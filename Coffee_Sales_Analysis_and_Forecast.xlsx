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barto\Desktop\kawa\"/>
    </mc:Choice>
  </mc:AlternateContent>
  <xr:revisionPtr revIDLastSave="0" documentId="13_ncr:1_{4D28C5CA-5C69-4612-960B-7771FF2CA142}" xr6:coauthVersionLast="47" xr6:coauthVersionMax="47" xr10:uidLastSave="{00000000-0000-0000-0000-000000000000}"/>
  <workbookProtection lockStructure="1"/>
  <bookViews>
    <workbookView xWindow="-120" yWindow="-120" windowWidth="29040" windowHeight="15840" xr2:uid="{8723D667-35A5-4D74-8652-2DC539DD19DB}"/>
  </bookViews>
  <sheets>
    <sheet name="Dashboard" sheetId="10" r:id="rId1"/>
    <sheet name="Top Coffee Types" sheetId="18" state="hidden" r:id="rId2"/>
    <sheet name="KPI" sheetId="20" state="hidden" r:id="rId3"/>
    <sheet name="Forecast Sheet" sheetId="27" r:id="rId4"/>
    <sheet name="Revenue Trend" sheetId="12" state="hidden" r:id="rId5"/>
    <sheet name="SALES BY HOUR" sheetId="13" state="hidden" r:id="rId6"/>
    <sheet name="Payment Types" sheetId="17" state="hidden" r:id="rId7"/>
    <sheet name="Price Analysis" sheetId="30" r:id="rId8"/>
    <sheet name="Conclusions" sheetId="24" r:id="rId9"/>
    <sheet name="Data Validation" sheetId="29" r:id="rId10"/>
    <sheet name="Sort Data " sheetId="4" state="hidden" r:id="rId11"/>
    <sheet name="Sales Data" sheetId="1" state="hidden" r:id="rId12"/>
  </sheets>
  <definedNames>
    <definedName name="CoffeeNameAverage">INDEX(#REF!, MATCH(#REF!,#REF!, 0))</definedName>
    <definedName name="CoffeeNameIncome">INDEX(#REF!, MATCH(#REF!,#REF!, 0))</definedName>
    <definedName name="CoffeeNameQuantity">INDEX(#REF!, MATCH(#REF!,#REF!, 0))</definedName>
    <definedName name="CoffeeNameTotal">INDEX(#REF!, MATCH(#REF!,#REF!, 0))</definedName>
    <definedName name="HourOfDayAverage">INDEX(#REF!, MATCH(#REF!,#REF!, 0))</definedName>
    <definedName name="HourOfDayIncome">INDEX(#REF!, MATCH(#REF!,#REF!, 0))</definedName>
    <definedName name="HourofDayQuantity">INDEX(#REF!, MATCH(#REF!,#REF!, 0))</definedName>
    <definedName name="HourOfDayTotal">INDEX(#REF!, MATCH(#REF!,#REF!, 0))</definedName>
    <definedName name="MonthAverage">INDEX(#REF!, MATCH(#REF!,#REF!, 0))</definedName>
    <definedName name="MonthIncome">INDEX(#REF!, MATCH(#REF!,#REF!, 0))</definedName>
    <definedName name="MonthQuantity">INDEX(#REF!, MATCH(#REF!,#REF!, 0))</definedName>
    <definedName name="MonthTotal">INDEX(#REF!, MATCH(#REF!,#REF!, 0))</definedName>
    <definedName name="_xlnm.Print_Area" localSheetId="0">Dashboard!$A$1:$X$23</definedName>
    <definedName name="Slicer_coffee_name">#N/A</definedName>
    <definedName name="Slicer_hour_of_day">#N/A</definedName>
    <definedName name="Slicer_Month_name">#N/A</definedName>
    <definedName name="Slicer_Time_of_Day">#N/A</definedName>
    <definedName name="Slicer_Weekday">#N/A</definedName>
    <definedName name="TimeOfDayAverage">INDEX(#REF!, MATCH(#REF!,#REF!, 0))</definedName>
    <definedName name="TimeOfDayIncome">INDEX(#REF!, MATCH(#REF!,#REF!, 0))</definedName>
    <definedName name="TimeofDayQuantity">INDEX(#REF!, MATCH(#REF!,#REF!, 0))</definedName>
    <definedName name="TimeOfDayTotal">INDEX(#REF!, MATCH(#REF!,#REF!, 0))</definedName>
    <definedName name="WeekdayAverage">INDEX(#REF!, MATCH(#REF!,#REF!, 0))</definedName>
    <definedName name="WeekdayIncome">INDEX(#REF!, MATCH(#REF!,#REF!, 0))</definedName>
    <definedName name="WeekdayQuantity">INDEX(#REF!, MATCH(#REF!,#REF!, 0))</definedName>
    <definedName name="WeekdayTotal">INDEX(#REF!, MATCH(#REF!,#REF!, 0))</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30" l="1"/>
  <c r="G5" i="30" s="1"/>
  <c r="F6" i="30"/>
  <c r="G6" i="30" s="1"/>
  <c r="F7" i="30"/>
  <c r="G7" i="30" s="1"/>
  <c r="F8" i="30"/>
  <c r="G8" i="30" s="1"/>
  <c r="F10" i="30"/>
  <c r="G10" i="30" s="1"/>
  <c r="F11" i="30"/>
  <c r="G11" i="30" s="1"/>
  <c r="F12" i="30"/>
  <c r="G12" i="30" s="1"/>
  <c r="F13" i="30"/>
  <c r="G13" i="30" s="1"/>
  <c r="F15" i="30"/>
  <c r="G15" i="30" s="1"/>
  <c r="F16" i="30"/>
  <c r="G16" i="30" s="1"/>
  <c r="F17" i="30"/>
  <c r="G17" i="30" s="1"/>
  <c r="F18" i="30"/>
  <c r="G18" i="30" s="1"/>
  <c r="F20" i="30"/>
  <c r="G20" i="30" s="1"/>
  <c r="F21" i="30"/>
  <c r="G21" i="30" s="1"/>
  <c r="F22" i="30"/>
  <c r="G22" i="30" s="1"/>
  <c r="F23" i="30"/>
  <c r="G23" i="30" s="1"/>
  <c r="F25" i="30"/>
  <c r="G25" i="30" s="1"/>
  <c r="F26" i="30"/>
  <c r="G26" i="30" s="1"/>
  <c r="F27" i="30"/>
  <c r="G27" i="30" s="1"/>
  <c r="F28" i="30"/>
  <c r="G28" i="30" s="1"/>
  <c r="F30" i="30"/>
  <c r="G30" i="30" s="1"/>
  <c r="F31" i="30"/>
  <c r="G31" i="30" s="1"/>
  <c r="F32" i="30"/>
  <c r="G32" i="30" s="1"/>
  <c r="F33" i="30"/>
  <c r="G33" i="30" s="1"/>
  <c r="F35" i="30"/>
  <c r="G35" i="30" s="1"/>
  <c r="F36" i="30"/>
  <c r="G36" i="30" s="1"/>
  <c r="F37" i="30"/>
  <c r="G37" i="30" s="1"/>
  <c r="F38" i="30"/>
  <c r="G38" i="30" s="1"/>
  <c r="F40" i="30"/>
  <c r="G40" i="30" s="1"/>
  <c r="F41" i="30"/>
  <c r="G41" i="30" s="1"/>
  <c r="F42" i="30"/>
  <c r="G42" i="30" s="1"/>
  <c r="F43" i="30"/>
  <c r="G43" i="30" s="1"/>
  <c r="A2" i="29"/>
  <c r="J2" i="29"/>
  <c r="A3" i="29"/>
  <c r="J3" i="29"/>
  <c r="A4" i="29"/>
  <c r="J4" i="29"/>
  <c r="A5" i="29"/>
  <c r="J5" i="29"/>
  <c r="J6" i="29" s="1"/>
  <c r="J7" i="29" s="1"/>
  <c r="J8" i="29" s="1"/>
  <c r="J9" i="29" s="1"/>
  <c r="J10" i="29" s="1"/>
  <c r="J11" i="29" s="1"/>
  <c r="J12" i="29" s="1"/>
  <c r="J13" i="29" s="1"/>
  <c r="J14" i="29" s="1"/>
  <c r="J15" i="29" s="1"/>
  <c r="J16" i="29" s="1"/>
  <c r="J17" i="29" s="1"/>
  <c r="J18" i="29" s="1"/>
  <c r="J19" i="29" s="1"/>
  <c r="J20" i="29" s="1"/>
  <c r="J21" i="29" s="1"/>
  <c r="J22" i="29" s="1"/>
  <c r="J23" i="29" s="1"/>
  <c r="J24" i="29" s="1"/>
  <c r="J25" i="29" s="1"/>
  <c r="J26" i="29" s="1"/>
  <c r="J27" i="29" s="1"/>
  <c r="J28" i="29" s="1"/>
  <c r="J29" i="29" s="1"/>
  <c r="J30" i="29" s="1"/>
  <c r="J31" i="29" s="1"/>
  <c r="J32" i="29" s="1"/>
  <c r="J33" i="29" s="1"/>
  <c r="J34" i="29" s="1"/>
  <c r="J35" i="29" s="1"/>
  <c r="J36" i="29" s="1"/>
  <c r="J37" i="29" s="1"/>
  <c r="J38" i="29" s="1"/>
  <c r="J39" i="29" s="1"/>
  <c r="J40" i="29" s="1"/>
  <c r="J41" i="29" s="1"/>
  <c r="J42" i="29" s="1"/>
  <c r="J43" i="29" s="1"/>
  <c r="J44" i="29" s="1"/>
  <c r="J45" i="29" s="1"/>
  <c r="J46" i="29" s="1"/>
  <c r="J47" i="29" s="1"/>
  <c r="J48" i="29" s="1"/>
  <c r="J49" i="29" s="1"/>
  <c r="J50" i="29" s="1"/>
  <c r="J51" i="29" s="1"/>
  <c r="J52" i="29" s="1"/>
  <c r="J53" i="29" s="1"/>
  <c r="J54" i="29" s="1"/>
  <c r="J55" i="29" s="1"/>
  <c r="J56" i="29" s="1"/>
  <c r="J57" i="29" s="1"/>
  <c r="J58" i="29" s="1"/>
  <c r="J59" i="29" s="1"/>
  <c r="J60" i="29" s="1"/>
  <c r="J61" i="29" s="1"/>
  <c r="J62" i="29" s="1"/>
  <c r="J63" i="29" s="1"/>
  <c r="J64" i="29" s="1"/>
  <c r="J65" i="29" s="1"/>
  <c r="J66" i="29" s="1"/>
  <c r="J67" i="29" s="1"/>
  <c r="J68" i="29" s="1"/>
  <c r="J69" i="29" s="1"/>
  <c r="J70" i="29" s="1"/>
  <c r="J71" i="29" s="1"/>
  <c r="J72" i="29" s="1"/>
  <c r="J73" i="29" s="1"/>
  <c r="J74" i="29" s="1"/>
  <c r="J75" i="29" s="1"/>
  <c r="J76" i="29" s="1"/>
  <c r="J77" i="29" s="1"/>
  <c r="J78" i="29" s="1"/>
  <c r="J79" i="29" s="1"/>
  <c r="J80" i="29" s="1"/>
  <c r="J81" i="29" s="1"/>
  <c r="J82" i="29" s="1"/>
  <c r="J83" i="29" s="1"/>
  <c r="J84" i="29" s="1"/>
  <c r="J85" i="29" s="1"/>
  <c r="J86" i="29" s="1"/>
  <c r="J87" i="29" s="1"/>
  <c r="J88" i="29" s="1"/>
  <c r="J89" i="29" s="1"/>
  <c r="J90" i="29" s="1"/>
  <c r="J91" i="29" s="1"/>
  <c r="J92" i="29" s="1"/>
  <c r="J93" i="29" s="1"/>
  <c r="J94" i="29" s="1"/>
  <c r="J95" i="29" s="1"/>
  <c r="J96" i="29" s="1"/>
  <c r="J97" i="29" s="1"/>
  <c r="J98" i="29" s="1"/>
  <c r="J99" i="29" s="1"/>
  <c r="J100" i="29" s="1"/>
  <c r="J101" i="29" s="1"/>
  <c r="J102" i="29" s="1"/>
  <c r="J103" i="29" s="1"/>
  <c r="J104" i="29" s="1"/>
  <c r="J105" i="29" s="1"/>
  <c r="J106" i="29" s="1"/>
  <c r="J107" i="29" s="1"/>
  <c r="J108" i="29" s="1"/>
  <c r="J109" i="29" s="1"/>
  <c r="J110" i="29" s="1"/>
  <c r="J111" i="29" s="1"/>
  <c r="J112" i="29" s="1"/>
  <c r="J113" i="29" s="1"/>
  <c r="J114" i="29" s="1"/>
  <c r="J115" i="29" s="1"/>
  <c r="J116" i="29" s="1"/>
  <c r="J117" i="29" s="1"/>
  <c r="J118" i="29" s="1"/>
  <c r="J119" i="29" s="1"/>
  <c r="J120" i="29" s="1"/>
  <c r="J121" i="29" s="1"/>
  <c r="J122" i="29" s="1"/>
  <c r="J123" i="29" s="1"/>
  <c r="J124" i="29" s="1"/>
  <c r="J125" i="29" s="1"/>
  <c r="J126" i="29" s="1"/>
  <c r="J127" i="29" s="1"/>
  <c r="J128" i="29" s="1"/>
  <c r="J129" i="29" s="1"/>
  <c r="J130" i="29" s="1"/>
  <c r="J131" i="29" s="1"/>
  <c r="J132" i="29" s="1"/>
  <c r="J133" i="29" s="1"/>
  <c r="J134" i="29" s="1"/>
  <c r="J135" i="29" s="1"/>
  <c r="J136" i="29" s="1"/>
  <c r="J137" i="29" s="1"/>
  <c r="J138" i="29" s="1"/>
  <c r="J139" i="29" s="1"/>
  <c r="J140" i="29" s="1"/>
  <c r="J141" i="29" s="1"/>
  <c r="J142" i="29" s="1"/>
  <c r="J143" i="29" s="1"/>
  <c r="J144" i="29" s="1"/>
  <c r="J145" i="29" s="1"/>
  <c r="J146" i="29" s="1"/>
  <c r="J147" i="29" s="1"/>
  <c r="J148" i="29" s="1"/>
  <c r="J149" i="29" s="1"/>
  <c r="J150" i="29" s="1"/>
  <c r="J151" i="29" s="1"/>
  <c r="J152" i="29" s="1"/>
  <c r="J153" i="29" s="1"/>
  <c r="J154" i="29" s="1"/>
  <c r="J155" i="29" s="1"/>
  <c r="J156" i="29" s="1"/>
  <c r="J157" i="29" s="1"/>
  <c r="J158" i="29" s="1"/>
  <c r="J159" i="29" s="1"/>
  <c r="J160" i="29" s="1"/>
  <c r="J161" i="29" s="1"/>
  <c r="J162" i="29" s="1"/>
  <c r="J163" i="29" s="1"/>
  <c r="J164" i="29" s="1"/>
  <c r="J165" i="29" s="1"/>
  <c r="J166" i="29" s="1"/>
  <c r="J167" i="29" s="1"/>
  <c r="J168" i="29" s="1"/>
  <c r="J169" i="29" s="1"/>
  <c r="J170" i="29" s="1"/>
  <c r="J171" i="29" s="1"/>
  <c r="J172" i="29" s="1"/>
  <c r="J173" i="29" s="1"/>
  <c r="J174" i="29" s="1"/>
  <c r="J175" i="29" s="1"/>
  <c r="J176" i="29" s="1"/>
  <c r="J177" i="29" s="1"/>
  <c r="J178" i="29" s="1"/>
  <c r="J179" i="29" s="1"/>
  <c r="J180" i="29" s="1"/>
  <c r="J181" i="29" s="1"/>
  <c r="J182" i="29" s="1"/>
  <c r="J183" i="29" s="1"/>
  <c r="J184" i="29" s="1"/>
  <c r="J185" i="29" s="1"/>
  <c r="J186" i="29" s="1"/>
  <c r="J187" i="29" s="1"/>
  <c r="J188" i="29" s="1"/>
  <c r="J189" i="29" s="1"/>
  <c r="J190" i="29" s="1"/>
  <c r="J191" i="29" s="1"/>
  <c r="J192" i="29" s="1"/>
  <c r="J193" i="29" s="1"/>
  <c r="J194" i="29" s="1"/>
  <c r="J195" i="29" s="1"/>
  <c r="J196" i="29" s="1"/>
  <c r="J197" i="29" s="1"/>
  <c r="J198" i="29" s="1"/>
  <c r="J199" i="29" s="1"/>
  <c r="J200" i="29" s="1"/>
  <c r="J201" i="29" s="1"/>
  <c r="J202" i="29" s="1"/>
  <c r="J203" i="29" s="1"/>
  <c r="J204" i="29" s="1"/>
  <c r="J205" i="29" s="1"/>
  <c r="J206" i="29" s="1"/>
  <c r="J207" i="29" s="1"/>
  <c r="J208" i="29" s="1"/>
  <c r="J209" i="29" s="1"/>
  <c r="J210" i="29" s="1"/>
  <c r="J211" i="29" s="1"/>
  <c r="J212" i="29" s="1"/>
  <c r="J213" i="29" s="1"/>
  <c r="J214" i="29" s="1"/>
  <c r="J215" i="29" s="1"/>
  <c r="J216" i="29" s="1"/>
  <c r="J217" i="29" s="1"/>
  <c r="J218" i="29" s="1"/>
  <c r="J219" i="29" s="1"/>
  <c r="J220" i="29" s="1"/>
  <c r="J221" i="29" s="1"/>
  <c r="J222" i="29" s="1"/>
  <c r="J223" i="29" s="1"/>
  <c r="J224" i="29" s="1"/>
  <c r="J225" i="29" s="1"/>
  <c r="J226" i="29" s="1"/>
  <c r="J227" i="29" s="1"/>
  <c r="J228" i="29" s="1"/>
  <c r="J229" i="29" s="1"/>
  <c r="J230" i="29" s="1"/>
  <c r="J231" i="29" s="1"/>
  <c r="J232" i="29" s="1"/>
  <c r="J233" i="29" s="1"/>
  <c r="J234" i="29" s="1"/>
  <c r="J235" i="29" s="1"/>
  <c r="J236" i="29" s="1"/>
  <c r="J237" i="29" s="1"/>
  <c r="J238" i="29" s="1"/>
  <c r="J239" i="29" s="1"/>
  <c r="J240" i="29" s="1"/>
  <c r="J241" i="29" s="1"/>
  <c r="J242" i="29" s="1"/>
  <c r="J243" i="29" s="1"/>
  <c r="J244" i="29" s="1"/>
  <c r="J245" i="29" s="1"/>
  <c r="J246" i="29" s="1"/>
  <c r="J247" i="29" s="1"/>
  <c r="J248" i="29" s="1"/>
  <c r="J249" i="29" s="1"/>
  <c r="J250" i="29" s="1"/>
  <c r="J251" i="29" s="1"/>
  <c r="J252" i="29" s="1"/>
  <c r="J253" i="29" s="1"/>
  <c r="J254" i="29" s="1"/>
  <c r="J255" i="29" s="1"/>
  <c r="J256" i="29" s="1"/>
  <c r="J257" i="29" s="1"/>
  <c r="J258" i="29" s="1"/>
  <c r="J259" i="29" s="1"/>
  <c r="J260" i="29" s="1"/>
  <c r="J261" i="29" s="1"/>
  <c r="J262" i="29" s="1"/>
  <c r="J263" i="29" s="1"/>
  <c r="J264" i="29" s="1"/>
  <c r="J265" i="29" s="1"/>
  <c r="J266" i="29" s="1"/>
  <c r="J267" i="29" s="1"/>
  <c r="J268" i="29" s="1"/>
  <c r="J269" i="29" s="1"/>
  <c r="J270" i="29" s="1"/>
  <c r="J271" i="29" s="1"/>
  <c r="J272" i="29" s="1"/>
  <c r="J273" i="29" s="1"/>
  <c r="J274" i="29" s="1"/>
  <c r="J275" i="29" s="1"/>
  <c r="J276" i="29" s="1"/>
  <c r="J277" i="29" s="1"/>
  <c r="J278" i="29" s="1"/>
  <c r="J279" i="29" s="1"/>
  <c r="J280" i="29" s="1"/>
  <c r="J281" i="29" s="1"/>
  <c r="J282" i="29" s="1"/>
  <c r="J283" i="29" s="1"/>
  <c r="J284" i="29" s="1"/>
  <c r="J285" i="29" s="1"/>
  <c r="J286" i="29" s="1"/>
  <c r="J287" i="29" s="1"/>
  <c r="J288" i="29" s="1"/>
  <c r="J289" i="29" s="1"/>
  <c r="J290" i="29" s="1"/>
  <c r="J291" i="29" s="1"/>
  <c r="J292" i="29" s="1"/>
  <c r="J293" i="29" s="1"/>
  <c r="J294" i="29" s="1"/>
  <c r="J295" i="29" s="1"/>
  <c r="J296" i="29" s="1"/>
  <c r="J297" i="29" s="1"/>
  <c r="J298" i="29" s="1"/>
  <c r="J299" i="29" s="1"/>
  <c r="J300" i="29" s="1"/>
  <c r="J301" i="29" s="1"/>
  <c r="J302" i="29" s="1"/>
  <c r="J303" i="29" s="1"/>
  <c r="J304" i="29" s="1"/>
  <c r="J305" i="29" s="1"/>
  <c r="J306" i="29" s="1"/>
  <c r="J307" i="29" s="1"/>
  <c r="J308" i="29" s="1"/>
  <c r="J309" i="29" s="1"/>
  <c r="J310" i="29" s="1"/>
  <c r="J311" i="29" s="1"/>
  <c r="J312" i="29" s="1"/>
  <c r="J313" i="29" s="1"/>
  <c r="J314" i="29" s="1"/>
  <c r="J315" i="29" s="1"/>
  <c r="J316" i="29" s="1"/>
  <c r="J317" i="29" s="1"/>
  <c r="J318" i="29" s="1"/>
  <c r="J319" i="29" s="1"/>
  <c r="J320" i="29" s="1"/>
  <c r="J321" i="29" s="1"/>
  <c r="J322" i="29" s="1"/>
  <c r="J323" i="29" s="1"/>
  <c r="J324" i="29" s="1"/>
  <c r="J325" i="29" s="1"/>
  <c r="J326" i="29" s="1"/>
  <c r="J327" i="29" s="1"/>
  <c r="J328" i="29" s="1"/>
  <c r="J329" i="29" s="1"/>
  <c r="J330" i="29" s="1"/>
  <c r="J331" i="29" s="1"/>
  <c r="J332" i="29" s="1"/>
  <c r="J333" i="29" s="1"/>
  <c r="J334" i="29" s="1"/>
  <c r="J335" i="29" s="1"/>
  <c r="J336" i="29" s="1"/>
  <c r="J337" i="29" s="1"/>
  <c r="J338" i="29" s="1"/>
  <c r="J339" i="29" s="1"/>
  <c r="J340" i="29" s="1"/>
  <c r="J341" i="29" s="1"/>
  <c r="J342" i="29" s="1"/>
  <c r="J343" i="29" s="1"/>
  <c r="J344" i="29" s="1"/>
  <c r="J345" i="29" s="1"/>
  <c r="J346" i="29" s="1"/>
  <c r="J347" i="29" s="1"/>
  <c r="J348" i="29" s="1"/>
  <c r="J349" i="29" s="1"/>
  <c r="J350" i="29" s="1"/>
  <c r="J351" i="29" s="1"/>
  <c r="J352" i="29" s="1"/>
  <c r="J353" i="29" s="1"/>
  <c r="J354" i="29" s="1"/>
  <c r="J355" i="29" s="1"/>
  <c r="J356" i="29" s="1"/>
  <c r="J357" i="29" s="1"/>
  <c r="J358" i="29" s="1"/>
  <c r="J359" i="29" s="1"/>
  <c r="J360" i="29" s="1"/>
  <c r="J361" i="29" s="1"/>
  <c r="J362" i="29" s="1"/>
  <c r="J363" i="29" s="1"/>
  <c r="J364" i="29" s="1"/>
  <c r="J365" i="29" s="1"/>
  <c r="J366" i="29" s="1"/>
  <c r="J367" i="29" s="1"/>
  <c r="J368" i="29" s="1"/>
  <c r="J369" i="29" s="1"/>
  <c r="J370" i="29" s="1"/>
  <c r="J371" i="29" s="1"/>
  <c r="J372" i="29" s="1"/>
  <c r="J373" i="29" s="1"/>
  <c r="J374" i="29" s="1"/>
  <c r="J375" i="29" s="1"/>
  <c r="J376" i="29" s="1"/>
  <c r="J377" i="29" s="1"/>
  <c r="J378" i="29" s="1"/>
  <c r="J379" i="29" s="1"/>
  <c r="J380" i="29" s="1"/>
  <c r="J381" i="29" s="1"/>
  <c r="J382" i="29" s="1"/>
  <c r="J383" i="29" s="1"/>
  <c r="J384" i="29" s="1"/>
  <c r="J385" i="29" s="1"/>
  <c r="J386" i="29" s="1"/>
  <c r="J387" i="29" s="1"/>
  <c r="J388" i="29" s="1"/>
  <c r="J389" i="29" s="1"/>
  <c r="J390" i="29" s="1"/>
  <c r="J391" i="29" s="1"/>
  <c r="J392" i="29" s="1"/>
  <c r="J393" i="29" s="1"/>
  <c r="J394" i="29" s="1"/>
  <c r="J395" i="29" s="1"/>
  <c r="J396" i="29" s="1"/>
  <c r="J397" i="29" s="1"/>
  <c r="J398" i="29" s="1"/>
  <c r="J399" i="29" s="1"/>
  <c r="J400" i="29" s="1"/>
  <c r="J401" i="29" s="1"/>
  <c r="J402" i="29" s="1"/>
  <c r="J403" i="29" s="1"/>
  <c r="J404" i="29" s="1"/>
  <c r="J405" i="29" s="1"/>
  <c r="J406" i="29" s="1"/>
  <c r="J407" i="29" s="1"/>
  <c r="J408" i="29" s="1"/>
  <c r="J409" i="29" s="1"/>
  <c r="J410" i="29" s="1"/>
  <c r="J411" i="29" s="1"/>
  <c r="J412" i="29" s="1"/>
  <c r="J413" i="29" s="1"/>
  <c r="J414" i="29" s="1"/>
  <c r="J415" i="29" s="1"/>
  <c r="J416" i="29" s="1"/>
  <c r="J417" i="29" s="1"/>
  <c r="J418" i="29" s="1"/>
  <c r="J419" i="29" s="1"/>
  <c r="J420" i="29" s="1"/>
  <c r="J421" i="29" s="1"/>
  <c r="J422" i="29" s="1"/>
  <c r="J423" i="29" s="1"/>
  <c r="J424" i="29" s="1"/>
  <c r="J425" i="29" s="1"/>
  <c r="J426" i="29" s="1"/>
  <c r="J427" i="29" s="1"/>
  <c r="J428" i="29" s="1"/>
  <c r="J429" i="29" s="1"/>
  <c r="J430" i="29" s="1"/>
  <c r="J431" i="29" s="1"/>
  <c r="J432" i="29" s="1"/>
  <c r="J433" i="29" s="1"/>
  <c r="J434" i="29" s="1"/>
  <c r="J435" i="29" s="1"/>
  <c r="J436" i="29" s="1"/>
  <c r="J437" i="29" s="1"/>
  <c r="J438" i="29" s="1"/>
  <c r="J439" i="29" s="1"/>
  <c r="J440" i="29" s="1"/>
  <c r="J441" i="29" s="1"/>
  <c r="J442" i="29" s="1"/>
  <c r="J443" i="29" s="1"/>
  <c r="J444" i="29" s="1"/>
  <c r="J445" i="29" s="1"/>
  <c r="J446" i="29" s="1"/>
  <c r="J447" i="29" s="1"/>
  <c r="J448" i="29" s="1"/>
  <c r="J449" i="29" s="1"/>
  <c r="J450" i="29" s="1"/>
  <c r="J451" i="29" s="1"/>
  <c r="J452" i="29" s="1"/>
  <c r="J453" i="29" s="1"/>
  <c r="J454" i="29" s="1"/>
  <c r="J455" i="29" s="1"/>
  <c r="J456" i="29" s="1"/>
  <c r="J457" i="29" s="1"/>
  <c r="J458" i="29" s="1"/>
  <c r="J459" i="29" s="1"/>
  <c r="J460" i="29" s="1"/>
  <c r="J461" i="29" s="1"/>
  <c r="J462" i="29" s="1"/>
  <c r="J463" i="29" s="1"/>
  <c r="J464" i="29" s="1"/>
  <c r="J465" i="29" s="1"/>
  <c r="J466" i="29" s="1"/>
  <c r="J467" i="29" s="1"/>
  <c r="J468" i="29" s="1"/>
  <c r="J469" i="29" s="1"/>
  <c r="J470" i="29" s="1"/>
  <c r="J471" i="29" s="1"/>
  <c r="J472" i="29" s="1"/>
  <c r="J473" i="29" s="1"/>
  <c r="J474" i="29" s="1"/>
  <c r="J475" i="29" s="1"/>
  <c r="J476" i="29" s="1"/>
  <c r="J477" i="29" s="1"/>
  <c r="J478" i="29" s="1"/>
  <c r="J479" i="29" s="1"/>
  <c r="J480" i="29" s="1"/>
  <c r="J481" i="29" s="1"/>
  <c r="J482" i="29" s="1"/>
  <c r="J483" i="29" s="1"/>
  <c r="J484" i="29" s="1"/>
  <c r="J485" i="29" s="1"/>
  <c r="J486" i="29" s="1"/>
  <c r="J487" i="29" s="1"/>
  <c r="J488" i="29" s="1"/>
  <c r="J489" i="29" s="1"/>
  <c r="J490" i="29" s="1"/>
  <c r="J491" i="29" s="1"/>
  <c r="J492" i="29" s="1"/>
  <c r="J493" i="29" s="1"/>
  <c r="J494" i="29" s="1"/>
  <c r="J495" i="29" s="1"/>
  <c r="J496" i="29" s="1"/>
  <c r="J497" i="29" s="1"/>
  <c r="J498" i="29" s="1"/>
  <c r="J499" i="29" s="1"/>
  <c r="J500" i="29" s="1"/>
  <c r="J501" i="29" s="1"/>
  <c r="J502" i="29" s="1"/>
  <c r="J503" i="29" s="1"/>
  <c r="J504" i="29" s="1"/>
  <c r="J505" i="29" s="1"/>
  <c r="J506" i="29" s="1"/>
  <c r="J507" i="29" s="1"/>
  <c r="J508" i="29" s="1"/>
  <c r="J509" i="29" s="1"/>
  <c r="J510" i="29" s="1"/>
  <c r="J511" i="29" s="1"/>
  <c r="J512" i="29" s="1"/>
  <c r="J513" i="29" s="1"/>
  <c r="J514" i="29" s="1"/>
  <c r="J515" i="29" s="1"/>
  <c r="J516" i="29" s="1"/>
  <c r="J517" i="29" s="1"/>
  <c r="J518" i="29" s="1"/>
  <c r="J519" i="29" s="1"/>
  <c r="J520" i="29" s="1"/>
  <c r="J521" i="29" s="1"/>
  <c r="J522" i="29" s="1"/>
  <c r="J523" i="29" s="1"/>
  <c r="J524" i="29" s="1"/>
  <c r="J525" i="29" s="1"/>
  <c r="J526" i="29" s="1"/>
  <c r="J527" i="29" s="1"/>
  <c r="J528" i="29" s="1"/>
  <c r="J529" i="29" s="1"/>
  <c r="J530" i="29" s="1"/>
  <c r="J531" i="29" s="1"/>
  <c r="J532" i="29" s="1"/>
  <c r="J533" i="29" s="1"/>
  <c r="J534" i="29" s="1"/>
  <c r="J535" i="29" s="1"/>
  <c r="J536" i="29" s="1"/>
  <c r="J537" i="29" s="1"/>
  <c r="J538" i="29" s="1"/>
  <c r="J539" i="29" s="1"/>
  <c r="J540" i="29" s="1"/>
  <c r="J541" i="29" s="1"/>
  <c r="J542" i="29" s="1"/>
  <c r="J543" i="29" s="1"/>
  <c r="J544" i="29" s="1"/>
  <c r="J545" i="29" s="1"/>
  <c r="J546" i="29" s="1"/>
  <c r="J547" i="29" s="1"/>
  <c r="J548" i="29" s="1"/>
  <c r="J549" i="29" s="1"/>
  <c r="J550" i="29" s="1"/>
  <c r="J551" i="29" s="1"/>
  <c r="J552" i="29" s="1"/>
  <c r="J553" i="29" s="1"/>
  <c r="J554" i="29" s="1"/>
  <c r="J555" i="29" s="1"/>
  <c r="J556" i="29" s="1"/>
  <c r="J557" i="29" s="1"/>
  <c r="J558" i="29" s="1"/>
  <c r="J559" i="29" s="1"/>
  <c r="J560" i="29" s="1"/>
  <c r="J561" i="29" s="1"/>
  <c r="J562" i="29" s="1"/>
  <c r="J563" i="29" s="1"/>
  <c r="J564" i="29" s="1"/>
  <c r="J565" i="29" s="1"/>
  <c r="J566" i="29" s="1"/>
  <c r="J567" i="29" s="1"/>
  <c r="J568" i="29" s="1"/>
  <c r="J569" i="29" s="1"/>
  <c r="J570" i="29" s="1"/>
  <c r="J571" i="29" s="1"/>
  <c r="J572" i="29" s="1"/>
  <c r="J573" i="29" s="1"/>
  <c r="J574" i="29" s="1"/>
  <c r="J575" i="29" s="1"/>
  <c r="J576" i="29" s="1"/>
  <c r="J577" i="29" s="1"/>
  <c r="J578" i="29" s="1"/>
  <c r="J579" i="29" s="1"/>
  <c r="J580" i="29" s="1"/>
  <c r="J581" i="29" s="1"/>
  <c r="J582" i="29" s="1"/>
  <c r="J583" i="29" s="1"/>
  <c r="J584" i="29" s="1"/>
  <c r="J585" i="29" s="1"/>
  <c r="J586" i="29" s="1"/>
  <c r="J587" i="29" s="1"/>
  <c r="J588" i="29" s="1"/>
  <c r="J589" i="29" s="1"/>
  <c r="J590" i="29" s="1"/>
  <c r="J591" i="29" s="1"/>
  <c r="J592" i="29" s="1"/>
  <c r="J593" i="29" s="1"/>
  <c r="J594" i="29" s="1"/>
  <c r="J595" i="29" s="1"/>
  <c r="J596" i="29" s="1"/>
  <c r="J597" i="29" s="1"/>
  <c r="J598" i="29" s="1"/>
  <c r="J599" i="29" s="1"/>
  <c r="J600" i="29" s="1"/>
  <c r="J601" i="29" s="1"/>
  <c r="J602" i="29" s="1"/>
  <c r="J603" i="29" s="1"/>
  <c r="J604" i="29" s="1"/>
  <c r="J605" i="29" s="1"/>
  <c r="J606" i="29" s="1"/>
  <c r="J607" i="29" s="1"/>
  <c r="J608" i="29" s="1"/>
  <c r="J609" i="29" s="1"/>
  <c r="J610" i="29" s="1"/>
  <c r="J611" i="29" s="1"/>
  <c r="J612" i="29" s="1"/>
  <c r="J613" i="29" s="1"/>
  <c r="J614" i="29" s="1"/>
  <c r="J615" i="29" s="1"/>
  <c r="J616" i="29" s="1"/>
  <c r="J617" i="29" s="1"/>
  <c r="J618" i="29" s="1"/>
  <c r="J619" i="29" s="1"/>
  <c r="J620" i="29" s="1"/>
  <c r="J621" i="29" s="1"/>
  <c r="J622" i="29" s="1"/>
  <c r="J623" i="29" s="1"/>
  <c r="J624" i="29" s="1"/>
  <c r="J625" i="29" s="1"/>
  <c r="J626" i="29" s="1"/>
  <c r="J627" i="29" s="1"/>
  <c r="J628" i="29" s="1"/>
  <c r="J629" i="29" s="1"/>
  <c r="J630" i="29" s="1"/>
  <c r="J631" i="29" s="1"/>
  <c r="J632" i="29" s="1"/>
  <c r="J633" i="29" s="1"/>
  <c r="J634" i="29" s="1"/>
  <c r="J635" i="29" s="1"/>
  <c r="J636" i="29" s="1"/>
  <c r="J637" i="29" s="1"/>
  <c r="J638" i="29" s="1"/>
  <c r="J639" i="29" s="1"/>
  <c r="J640" i="29" s="1"/>
  <c r="J641" i="29" s="1"/>
  <c r="J642" i="29" s="1"/>
  <c r="J643" i="29" s="1"/>
  <c r="J644" i="29" s="1"/>
  <c r="J645" i="29" s="1"/>
  <c r="J646" i="29" s="1"/>
  <c r="J647" i="29" s="1"/>
  <c r="J648" i="29" s="1"/>
  <c r="J649" i="29" s="1"/>
  <c r="J650" i="29" s="1"/>
  <c r="J651" i="29" s="1"/>
  <c r="J652" i="29" s="1"/>
  <c r="J653" i="29" s="1"/>
  <c r="J654" i="29" s="1"/>
  <c r="J655" i="29" s="1"/>
  <c r="J656" i="29" s="1"/>
  <c r="J657" i="29" s="1"/>
  <c r="J658" i="29" s="1"/>
  <c r="J659" i="29" s="1"/>
  <c r="J660" i="29" s="1"/>
  <c r="J661" i="29" s="1"/>
  <c r="J662" i="29" s="1"/>
  <c r="J663" i="29" s="1"/>
  <c r="J664" i="29" s="1"/>
  <c r="J665" i="29" s="1"/>
  <c r="J666" i="29" s="1"/>
  <c r="J667" i="29" s="1"/>
  <c r="J668" i="29" s="1"/>
  <c r="J669" i="29" s="1"/>
  <c r="J670" i="29" s="1"/>
  <c r="J671" i="29" s="1"/>
  <c r="J672" i="29" s="1"/>
  <c r="J673" i="29" s="1"/>
  <c r="J674" i="29" s="1"/>
  <c r="J675" i="29" s="1"/>
  <c r="J676" i="29" s="1"/>
  <c r="J677" i="29" s="1"/>
  <c r="J678" i="29" s="1"/>
  <c r="J679" i="29" s="1"/>
  <c r="J680" i="29" s="1"/>
  <c r="J681" i="29" s="1"/>
  <c r="J682" i="29" s="1"/>
  <c r="J683" i="29" s="1"/>
  <c r="J684" i="29" s="1"/>
  <c r="J685" i="29" s="1"/>
  <c r="J686" i="29" s="1"/>
  <c r="J687" i="29" s="1"/>
  <c r="J688" i="29" s="1"/>
  <c r="J689" i="29" s="1"/>
  <c r="J690" i="29" s="1"/>
  <c r="J691" i="29" s="1"/>
  <c r="J692" i="29" s="1"/>
  <c r="J693" i="29" s="1"/>
  <c r="J694" i="29" s="1"/>
  <c r="J695" i="29" s="1"/>
  <c r="J696" i="29" s="1"/>
  <c r="J697" i="29" s="1"/>
  <c r="J698" i="29" s="1"/>
  <c r="J699" i="29" s="1"/>
  <c r="J700" i="29" s="1"/>
  <c r="J701" i="29" s="1"/>
  <c r="J702" i="29" s="1"/>
  <c r="J703" i="29" s="1"/>
  <c r="J704" i="29" s="1"/>
  <c r="J705" i="29" s="1"/>
  <c r="J706" i="29" s="1"/>
  <c r="J707" i="29" s="1"/>
  <c r="J708" i="29" s="1"/>
  <c r="J709" i="29" s="1"/>
  <c r="J710" i="29" s="1"/>
  <c r="J711" i="29" s="1"/>
  <c r="J712" i="29" s="1"/>
  <c r="J713" i="29" s="1"/>
  <c r="J714" i="29" s="1"/>
  <c r="J715" i="29" s="1"/>
  <c r="J716" i="29" s="1"/>
  <c r="J717" i="29" s="1"/>
  <c r="J718" i="29" s="1"/>
  <c r="J719" i="29" s="1"/>
  <c r="J720" i="29" s="1"/>
  <c r="J721" i="29" s="1"/>
  <c r="J722" i="29" s="1"/>
  <c r="J723" i="29" s="1"/>
  <c r="J724" i="29" s="1"/>
  <c r="J725" i="29" s="1"/>
  <c r="J726" i="29" s="1"/>
  <c r="J727" i="29" s="1"/>
  <c r="J728" i="29" s="1"/>
  <c r="J729" i="29" s="1"/>
  <c r="J730" i="29" s="1"/>
  <c r="J731" i="29" s="1"/>
  <c r="J732" i="29" s="1"/>
  <c r="J733" i="29" s="1"/>
  <c r="J734" i="29" s="1"/>
  <c r="J735" i="29" s="1"/>
  <c r="J736" i="29" s="1"/>
  <c r="J737" i="29" s="1"/>
  <c r="J738" i="29" s="1"/>
  <c r="J739" i="29" s="1"/>
  <c r="J740" i="29" s="1"/>
  <c r="J741" i="29" s="1"/>
  <c r="J742" i="29" s="1"/>
  <c r="J743" i="29" s="1"/>
  <c r="J744" i="29" s="1"/>
  <c r="J745" i="29" s="1"/>
  <c r="J746" i="29" s="1"/>
  <c r="J747" i="29" s="1"/>
  <c r="J748" i="29" s="1"/>
  <c r="J749" i="29" s="1"/>
  <c r="J750" i="29" s="1"/>
  <c r="J751" i="29" s="1"/>
  <c r="J752" i="29" s="1"/>
  <c r="J753" i="29" s="1"/>
  <c r="J754" i="29" s="1"/>
  <c r="J755" i="29" s="1"/>
  <c r="J756" i="29" s="1"/>
  <c r="J757" i="29" s="1"/>
  <c r="J758" i="29" s="1"/>
  <c r="J759" i="29" s="1"/>
  <c r="J760" i="29" s="1"/>
  <c r="J761" i="29" s="1"/>
  <c r="J762" i="29" s="1"/>
  <c r="J763" i="29" s="1"/>
  <c r="J764" i="29" s="1"/>
  <c r="J765" i="29" s="1"/>
  <c r="J766" i="29" s="1"/>
  <c r="J767" i="29" s="1"/>
  <c r="J768" i="29" s="1"/>
  <c r="J769" i="29" s="1"/>
  <c r="J770" i="29" s="1"/>
  <c r="J771" i="29" s="1"/>
  <c r="J772" i="29" s="1"/>
  <c r="J773" i="29" s="1"/>
  <c r="J774" i="29" s="1"/>
  <c r="J775" i="29" s="1"/>
  <c r="J776" i="29" s="1"/>
  <c r="J777" i="29" s="1"/>
  <c r="J778" i="29" s="1"/>
  <c r="J779" i="29" s="1"/>
  <c r="J780" i="29" s="1"/>
  <c r="J781" i="29" s="1"/>
  <c r="J782" i="29" s="1"/>
  <c r="J783" i="29" s="1"/>
  <c r="J784" i="29" s="1"/>
  <c r="J785" i="29" s="1"/>
  <c r="J786" i="29" s="1"/>
  <c r="J787" i="29" s="1"/>
  <c r="J788" i="29" s="1"/>
  <c r="J789" i="29" s="1"/>
  <c r="J790" i="29" s="1"/>
  <c r="J791" i="29" s="1"/>
  <c r="J792" i="29" s="1"/>
  <c r="J793" i="29" s="1"/>
  <c r="J794" i="29" s="1"/>
  <c r="J795" i="29" s="1"/>
  <c r="J796" i="29" s="1"/>
  <c r="J797" i="29" s="1"/>
  <c r="J798" i="29" s="1"/>
  <c r="J799" i="29" s="1"/>
  <c r="J800" i="29" s="1"/>
  <c r="J801" i="29" s="1"/>
  <c r="J802" i="29" s="1"/>
  <c r="J803" i="29" s="1"/>
  <c r="J804" i="29" s="1"/>
  <c r="J805" i="29" s="1"/>
  <c r="J806" i="29" s="1"/>
  <c r="J807" i="29" s="1"/>
  <c r="J808" i="29" s="1"/>
  <c r="J809" i="29" s="1"/>
  <c r="J810" i="29" s="1"/>
  <c r="J811" i="29" s="1"/>
  <c r="J812" i="29" s="1"/>
  <c r="J813" i="29" s="1"/>
  <c r="J814" i="29" s="1"/>
  <c r="J815" i="29" s="1"/>
  <c r="J816" i="29" s="1"/>
  <c r="J817" i="29" s="1"/>
  <c r="J818" i="29" s="1"/>
  <c r="J819" i="29" s="1"/>
  <c r="J820" i="29" s="1"/>
  <c r="J821" i="29" s="1"/>
  <c r="J822" i="29" s="1"/>
  <c r="J823" i="29" s="1"/>
  <c r="J824" i="29" s="1"/>
  <c r="J825" i="29" s="1"/>
  <c r="J826" i="29" s="1"/>
  <c r="J827" i="29" s="1"/>
  <c r="J828" i="29" s="1"/>
  <c r="J829" i="29" s="1"/>
  <c r="J830" i="29" s="1"/>
  <c r="J831" i="29" s="1"/>
  <c r="J832" i="29" s="1"/>
  <c r="J833" i="29" s="1"/>
  <c r="J834" i="29" s="1"/>
  <c r="J835" i="29" s="1"/>
  <c r="J836" i="29" s="1"/>
  <c r="J837" i="29" s="1"/>
  <c r="J838" i="29" s="1"/>
  <c r="J839" i="29" s="1"/>
  <c r="J840" i="29" s="1"/>
  <c r="J841" i="29" s="1"/>
  <c r="J842" i="29" s="1"/>
  <c r="J843" i="29" s="1"/>
  <c r="J844" i="29" s="1"/>
  <c r="J845" i="29" s="1"/>
  <c r="J846" i="29" s="1"/>
  <c r="J847" i="29" s="1"/>
  <c r="J848" i="29" s="1"/>
  <c r="J849" i="29" s="1"/>
  <c r="J850" i="29" s="1"/>
  <c r="J851" i="29" s="1"/>
  <c r="J852" i="29" s="1"/>
  <c r="J853" i="29" s="1"/>
  <c r="J854" i="29" s="1"/>
  <c r="J855" i="29" s="1"/>
  <c r="J856" i="29" s="1"/>
  <c r="J857" i="29" s="1"/>
  <c r="J858" i="29" s="1"/>
  <c r="J859" i="29" s="1"/>
  <c r="J860" i="29" s="1"/>
  <c r="J861" i="29" s="1"/>
  <c r="J862" i="29" s="1"/>
  <c r="J863" i="29" s="1"/>
  <c r="J864" i="29" s="1"/>
  <c r="J865" i="29" s="1"/>
  <c r="J866" i="29" s="1"/>
  <c r="J867" i="29" s="1"/>
  <c r="J868" i="29" s="1"/>
  <c r="J869" i="29" s="1"/>
  <c r="J870" i="29" s="1"/>
  <c r="J871" i="29" s="1"/>
  <c r="J872" i="29" s="1"/>
  <c r="J873" i="29" s="1"/>
  <c r="J874" i="29" s="1"/>
  <c r="J875" i="29" s="1"/>
  <c r="J876" i="29" s="1"/>
  <c r="J877" i="29" s="1"/>
  <c r="J878" i="29" s="1"/>
  <c r="J879" i="29" s="1"/>
  <c r="J880" i="29" s="1"/>
  <c r="J881" i="29" s="1"/>
  <c r="J882" i="29" s="1"/>
  <c r="J883" i="29" s="1"/>
  <c r="J884" i="29" s="1"/>
  <c r="J885" i="29" s="1"/>
  <c r="J886" i="29" s="1"/>
  <c r="J887" i="29" s="1"/>
  <c r="J888" i="29" s="1"/>
  <c r="J889" i="29" s="1"/>
  <c r="J890" i="29" s="1"/>
  <c r="J891" i="29" s="1"/>
  <c r="J892" i="29" s="1"/>
  <c r="J893" i="29" s="1"/>
  <c r="J894" i="29" s="1"/>
  <c r="J895" i="29" s="1"/>
  <c r="J896" i="29" s="1"/>
  <c r="J897" i="29" s="1"/>
  <c r="J898" i="29" s="1"/>
  <c r="J899" i="29" s="1"/>
  <c r="J900" i="29" s="1"/>
  <c r="J901" i="29" s="1"/>
  <c r="J902" i="29" s="1"/>
  <c r="J903" i="29" s="1"/>
  <c r="J904" i="29" s="1"/>
  <c r="J905" i="29" s="1"/>
  <c r="J906" i="29" s="1"/>
  <c r="J907" i="29" s="1"/>
  <c r="J908" i="29" s="1"/>
  <c r="J909" i="29" s="1"/>
  <c r="J910" i="29" s="1"/>
  <c r="J911" i="29" s="1"/>
  <c r="J912" i="29" s="1"/>
  <c r="J913" i="29" s="1"/>
  <c r="J914" i="29" s="1"/>
  <c r="J915" i="29" s="1"/>
  <c r="J916" i="29" s="1"/>
  <c r="J917" i="29" s="1"/>
  <c r="J918" i="29" s="1"/>
  <c r="J919" i="29" s="1"/>
  <c r="J920" i="29" s="1"/>
  <c r="J921" i="29" s="1"/>
  <c r="J922" i="29" s="1"/>
  <c r="J923" i="29" s="1"/>
  <c r="J924" i="29" s="1"/>
  <c r="J925" i="29" s="1"/>
  <c r="J926" i="29" s="1"/>
  <c r="J927" i="29" s="1"/>
  <c r="J928" i="29" s="1"/>
  <c r="J929" i="29" s="1"/>
  <c r="J930" i="29" s="1"/>
  <c r="J931" i="29" s="1"/>
  <c r="J932" i="29" s="1"/>
  <c r="J933" i="29" s="1"/>
  <c r="J934" i="29" s="1"/>
  <c r="J935" i="29" s="1"/>
  <c r="J936" i="29" s="1"/>
  <c r="J937" i="29" s="1"/>
  <c r="J938" i="29" s="1"/>
  <c r="J939" i="29" s="1"/>
  <c r="J940" i="29" s="1"/>
  <c r="J941" i="29" s="1"/>
  <c r="J942" i="29" s="1"/>
  <c r="J943" i="29" s="1"/>
  <c r="J944" i="29" s="1"/>
  <c r="J945" i="29" s="1"/>
  <c r="J946" i="29" s="1"/>
  <c r="J947" i="29" s="1"/>
  <c r="J948" i="29" s="1"/>
  <c r="J949" i="29" s="1"/>
  <c r="J950" i="29" s="1"/>
  <c r="J951" i="29" s="1"/>
  <c r="J952" i="29" s="1"/>
  <c r="J953" i="29" s="1"/>
  <c r="J954" i="29" s="1"/>
  <c r="J955" i="29" s="1"/>
  <c r="J956" i="29" s="1"/>
  <c r="J957" i="29" s="1"/>
  <c r="J958" i="29" s="1"/>
  <c r="J959" i="29" s="1"/>
  <c r="J960" i="29" s="1"/>
  <c r="J961" i="29" s="1"/>
  <c r="J962" i="29" s="1"/>
  <c r="J963" i="29" s="1"/>
  <c r="J964" i="29" s="1"/>
  <c r="J965" i="29" s="1"/>
  <c r="J966" i="29" s="1"/>
  <c r="J967" i="29" s="1"/>
  <c r="J968" i="29" s="1"/>
  <c r="J969" i="29" s="1"/>
  <c r="J970" i="29" s="1"/>
  <c r="J971" i="29" s="1"/>
  <c r="J972" i="29" s="1"/>
  <c r="J973" i="29" s="1"/>
  <c r="J974" i="29" s="1"/>
  <c r="J975" i="29" s="1"/>
  <c r="J976" i="29" s="1"/>
  <c r="J977" i="29" s="1"/>
  <c r="J978" i="29" s="1"/>
  <c r="J979" i="29" s="1"/>
  <c r="J980" i="29" s="1"/>
  <c r="J981" i="29" s="1"/>
  <c r="J982" i="29" s="1"/>
  <c r="J983" i="29" s="1"/>
  <c r="J984" i="29" s="1"/>
  <c r="J985" i="29" s="1"/>
  <c r="J986" i="29" s="1"/>
  <c r="J987" i="29" s="1"/>
  <c r="J988" i="29" s="1"/>
  <c r="J989" i="29" s="1"/>
  <c r="J990" i="29" s="1"/>
  <c r="J991" i="29" s="1"/>
  <c r="J992" i="29" s="1"/>
  <c r="J993" i="29" s="1"/>
  <c r="J994" i="29" s="1"/>
  <c r="J995" i="29" s="1"/>
  <c r="J996" i="29" s="1"/>
  <c r="J997" i="29" s="1"/>
  <c r="J998" i="29" s="1"/>
  <c r="J999" i="29" s="1"/>
  <c r="J1000" i="29" s="1"/>
  <c r="J1001" i="29" s="1"/>
  <c r="J1002" i="29" s="1"/>
  <c r="J1003" i="29" s="1"/>
  <c r="J1004" i="29" s="1"/>
  <c r="J1005" i="29" s="1"/>
  <c r="J1006" i="29" s="1"/>
  <c r="J1007" i="29" s="1"/>
  <c r="J1008" i="29" s="1"/>
  <c r="J1009" i="29" s="1"/>
  <c r="J1010" i="29" s="1"/>
  <c r="J1011" i="29" s="1"/>
  <c r="J1012" i="29" s="1"/>
  <c r="J1013" i="29" s="1"/>
  <c r="J1014" i="29" s="1"/>
  <c r="J1015" i="29" s="1"/>
  <c r="J1016" i="29" s="1"/>
  <c r="J1017" i="29" s="1"/>
  <c r="J1018" i="29" s="1"/>
  <c r="J1019" i="29" s="1"/>
  <c r="J1020" i="29" s="1"/>
  <c r="J1021" i="29" s="1"/>
  <c r="J1022" i="29" s="1"/>
  <c r="J1023" i="29" s="1"/>
  <c r="J1024" i="29" s="1"/>
  <c r="J1025" i="29" s="1"/>
  <c r="J1026" i="29" s="1"/>
  <c r="J1027" i="29" s="1"/>
  <c r="J1028" i="29" s="1"/>
  <c r="J1029" i="29" s="1"/>
  <c r="J1030" i="29" s="1"/>
  <c r="J1031" i="29" s="1"/>
  <c r="J1032" i="29" s="1"/>
  <c r="J1033" i="29" s="1"/>
  <c r="J1034" i="29" s="1"/>
  <c r="J1035" i="29" s="1"/>
  <c r="J1036" i="29" s="1"/>
  <c r="J1037" i="29" s="1"/>
  <c r="J1038" i="29" s="1"/>
  <c r="J1039" i="29" s="1"/>
  <c r="J1040" i="29" s="1"/>
  <c r="J1041" i="29" s="1"/>
  <c r="J1042" i="29" s="1"/>
  <c r="J1043" i="29" s="1"/>
  <c r="J1044" i="29" s="1"/>
  <c r="J1045" i="29" s="1"/>
  <c r="J1046" i="29" s="1"/>
  <c r="J1047" i="29" s="1"/>
  <c r="J1048" i="29" s="1"/>
  <c r="J1049" i="29" s="1"/>
  <c r="J1050" i="29" s="1"/>
  <c r="J1051" i="29" s="1"/>
  <c r="J1052" i="29" s="1"/>
  <c r="J1053" i="29" s="1"/>
  <c r="J1054" i="29" s="1"/>
  <c r="J1055" i="29" s="1"/>
  <c r="J1056" i="29" s="1"/>
  <c r="J1057" i="29" s="1"/>
  <c r="J1058" i="29" s="1"/>
  <c r="J1059" i="29" s="1"/>
  <c r="J1060" i="29" s="1"/>
  <c r="J1061" i="29" s="1"/>
  <c r="J1062" i="29" s="1"/>
  <c r="J1063" i="29" s="1"/>
  <c r="J1064" i="29" s="1"/>
  <c r="J1065" i="29" s="1"/>
  <c r="J1066" i="29" s="1"/>
  <c r="J1067" i="29" s="1"/>
  <c r="J1068" i="29" s="1"/>
  <c r="J1069" i="29" s="1"/>
  <c r="J1070" i="29" s="1"/>
  <c r="J1071" i="29" s="1"/>
  <c r="J1072" i="29" s="1"/>
  <c r="J1073" i="29" s="1"/>
  <c r="J1074" i="29" s="1"/>
  <c r="J1075" i="29" s="1"/>
  <c r="J1076" i="29" s="1"/>
  <c r="J1077" i="29" s="1"/>
  <c r="J1078" i="29" s="1"/>
  <c r="J1079" i="29" s="1"/>
  <c r="J1080" i="29" s="1"/>
  <c r="J1081" i="29" s="1"/>
  <c r="J1082" i="29" s="1"/>
  <c r="J1083" i="29" s="1"/>
  <c r="J1084" i="29" s="1"/>
  <c r="J1085" i="29" s="1"/>
  <c r="J1086" i="29" s="1"/>
  <c r="J1087" i="29" s="1"/>
  <c r="J1088" i="29" s="1"/>
  <c r="J1089" i="29" s="1"/>
  <c r="J1090" i="29" s="1"/>
  <c r="J1091" i="29" s="1"/>
  <c r="J1092" i="29" s="1"/>
  <c r="J1093" i="29" s="1"/>
  <c r="J1094" i="29" s="1"/>
  <c r="J1095" i="29" s="1"/>
  <c r="J1096" i="29" s="1"/>
  <c r="J1097" i="29" s="1"/>
  <c r="J1098" i="29" s="1"/>
  <c r="J1099" i="29" s="1"/>
  <c r="J1100" i="29" s="1"/>
  <c r="J1101" i="29" s="1"/>
  <c r="J1102" i="29" s="1"/>
  <c r="J1103" i="29" s="1"/>
  <c r="J1104" i="29" s="1"/>
  <c r="J1105" i="29" s="1"/>
  <c r="J1106" i="29" s="1"/>
  <c r="J1107" i="29" s="1"/>
  <c r="J1108" i="29" s="1"/>
  <c r="J1109" i="29" s="1"/>
  <c r="J1110" i="29" s="1"/>
  <c r="J1111" i="29" s="1"/>
  <c r="J1112" i="29" s="1"/>
  <c r="J1113" i="29" s="1"/>
  <c r="J1114" i="29" s="1"/>
  <c r="J1115" i="29" s="1"/>
  <c r="J1116" i="29" s="1"/>
  <c r="J1117" i="29" s="1"/>
  <c r="J1118" i="29" s="1"/>
  <c r="J1119" i="29" s="1"/>
  <c r="J1120" i="29" s="1"/>
  <c r="J1121" i="29" s="1"/>
  <c r="J1122" i="29" s="1"/>
  <c r="J1123" i="29" s="1"/>
  <c r="J1124" i="29" s="1"/>
  <c r="J1125" i="29" s="1"/>
  <c r="J1126" i="29" s="1"/>
  <c r="J1127" i="29" s="1"/>
  <c r="J1128" i="29" s="1"/>
  <c r="J1129" i="29" s="1"/>
  <c r="J1130" i="29" s="1"/>
  <c r="J1131" i="29" s="1"/>
  <c r="J1132" i="29" s="1"/>
  <c r="J1133" i="29" s="1"/>
  <c r="J1134" i="29" s="1"/>
  <c r="J1135" i="29" s="1"/>
  <c r="J1136" i="29" s="1"/>
  <c r="J1137" i="29" s="1"/>
  <c r="J1138" i="29" s="1"/>
  <c r="J1139" i="29" s="1"/>
  <c r="J1140" i="29" s="1"/>
  <c r="J1141" i="29" s="1"/>
  <c r="J1142" i="29" s="1"/>
  <c r="J1143" i="29" s="1"/>
  <c r="J1144" i="29" s="1"/>
  <c r="J1145" i="29" s="1"/>
  <c r="J1146" i="29" s="1"/>
  <c r="J1147" i="29" s="1"/>
  <c r="J1148" i="29" s="1"/>
  <c r="J1149" i="29" s="1"/>
  <c r="J1150" i="29" s="1"/>
  <c r="J1151" i="29" s="1"/>
  <c r="J1152" i="29" s="1"/>
  <c r="J1153" i="29" s="1"/>
  <c r="J1154" i="29" s="1"/>
  <c r="J1155" i="29" s="1"/>
  <c r="J1156" i="29" s="1"/>
  <c r="J1157" i="29" s="1"/>
  <c r="J1158" i="29" s="1"/>
  <c r="J1159" i="29" s="1"/>
  <c r="J1160" i="29" s="1"/>
  <c r="J1161" i="29" s="1"/>
  <c r="J1162" i="29" s="1"/>
  <c r="J1163" i="29" s="1"/>
  <c r="J1164" i="29" s="1"/>
  <c r="J1165" i="29" s="1"/>
  <c r="J1166" i="29" s="1"/>
  <c r="J1167" i="29" s="1"/>
  <c r="J1168" i="29" s="1"/>
  <c r="J1169" i="29" s="1"/>
  <c r="J1170" i="29" s="1"/>
  <c r="J1171" i="29" s="1"/>
  <c r="J1172" i="29" s="1"/>
  <c r="J1173" i="29" s="1"/>
  <c r="J1174" i="29" s="1"/>
  <c r="J1175" i="29" s="1"/>
  <c r="J1176" i="29" s="1"/>
  <c r="J1177" i="29" s="1"/>
  <c r="J1178" i="29" s="1"/>
  <c r="J1179" i="29" s="1"/>
  <c r="J1180" i="29" s="1"/>
  <c r="J1181" i="29" s="1"/>
  <c r="J1182" i="29" s="1"/>
  <c r="J1183" i="29" s="1"/>
  <c r="J1184" i="29" s="1"/>
  <c r="J1185" i="29" s="1"/>
  <c r="J1186" i="29" s="1"/>
  <c r="J1187" i="29" s="1"/>
  <c r="J1188" i="29" s="1"/>
  <c r="J1189" i="29" s="1"/>
  <c r="J1190" i="29" s="1"/>
  <c r="J1191" i="29" s="1"/>
  <c r="J1192" i="29" s="1"/>
  <c r="J1193" i="29" s="1"/>
  <c r="J1194" i="29" s="1"/>
  <c r="J1195" i="29" s="1"/>
  <c r="J1196" i="29" s="1"/>
  <c r="J1197" i="29" s="1"/>
  <c r="J1198" i="29" s="1"/>
  <c r="J1199" i="29" s="1"/>
  <c r="J1200" i="29" s="1"/>
  <c r="J1201" i="29" s="1"/>
  <c r="J1202" i="29" s="1"/>
  <c r="J1203" i="29" s="1"/>
  <c r="J1204" i="29" s="1"/>
  <c r="J1205" i="29" s="1"/>
  <c r="J1206" i="29" s="1"/>
  <c r="J1207" i="29" s="1"/>
  <c r="J1208" i="29" s="1"/>
  <c r="J1209" i="29" s="1"/>
  <c r="J1210" i="29" s="1"/>
  <c r="J1211" i="29" s="1"/>
  <c r="J1212" i="29" s="1"/>
  <c r="J1213" i="29" s="1"/>
  <c r="J1214" i="29" s="1"/>
  <c r="J1215" i="29" s="1"/>
  <c r="J1216" i="29" s="1"/>
  <c r="J1217" i="29" s="1"/>
  <c r="J1218" i="29" s="1"/>
  <c r="J1219" i="29" s="1"/>
  <c r="J1220" i="29" s="1"/>
  <c r="J1221" i="29" s="1"/>
  <c r="J1222" i="29" s="1"/>
  <c r="J1223" i="29" s="1"/>
  <c r="J1224" i="29" s="1"/>
  <c r="J1225" i="29" s="1"/>
  <c r="J1226" i="29" s="1"/>
  <c r="J1227" i="29" s="1"/>
  <c r="J1228" i="29" s="1"/>
  <c r="J1229" i="29" s="1"/>
  <c r="J1230" i="29" s="1"/>
  <c r="J1231" i="29" s="1"/>
  <c r="J1232" i="29" s="1"/>
  <c r="J1233" i="29" s="1"/>
  <c r="J1234" i="29" s="1"/>
  <c r="J1235" i="29" s="1"/>
  <c r="J1236" i="29" s="1"/>
  <c r="J1237" i="29" s="1"/>
  <c r="J1238" i="29" s="1"/>
  <c r="J1239" i="29" s="1"/>
  <c r="J1240" i="29" s="1"/>
  <c r="J1241" i="29" s="1"/>
  <c r="J1242" i="29" s="1"/>
  <c r="J1243" i="29" s="1"/>
  <c r="J1244" i="29" s="1"/>
  <c r="J1245" i="29" s="1"/>
  <c r="J1246" i="29" s="1"/>
  <c r="J1247" i="29" s="1"/>
  <c r="J1248" i="29" s="1"/>
  <c r="J1249" i="29" s="1"/>
  <c r="J1250" i="29" s="1"/>
  <c r="J1251" i="29" s="1"/>
  <c r="J1252" i="29" s="1"/>
  <c r="J1253" i="29" s="1"/>
  <c r="J1254" i="29" s="1"/>
  <c r="J1255" i="29" s="1"/>
  <c r="J1256" i="29" s="1"/>
  <c r="J1257" i="29" s="1"/>
  <c r="J1258" i="29" s="1"/>
  <c r="J1259" i="29" s="1"/>
  <c r="J1260" i="29" s="1"/>
  <c r="J1261" i="29" s="1"/>
  <c r="J1262" i="29" s="1"/>
  <c r="J1263" i="29" s="1"/>
  <c r="J1264" i="29" s="1"/>
  <c r="J1265" i="29" s="1"/>
  <c r="J1266" i="29" s="1"/>
  <c r="J1267" i="29" s="1"/>
  <c r="J1268" i="29" s="1"/>
  <c r="J1269" i="29" s="1"/>
  <c r="J1270" i="29" s="1"/>
  <c r="J1271" i="29" s="1"/>
  <c r="J1272" i="29" s="1"/>
  <c r="J1273" i="29" s="1"/>
  <c r="J1274" i="29" s="1"/>
  <c r="J1275" i="29" s="1"/>
  <c r="J1276" i="29" s="1"/>
  <c r="J1277" i="29" s="1"/>
  <c r="J1278" i="29" s="1"/>
  <c r="J1279" i="29" s="1"/>
  <c r="J1280" i="29" s="1"/>
  <c r="J1281" i="29" s="1"/>
  <c r="J1282" i="29" s="1"/>
  <c r="J1283" i="29" s="1"/>
  <c r="J1284" i="29" s="1"/>
  <c r="J1285" i="29" s="1"/>
  <c r="J1286" i="29" s="1"/>
  <c r="J1287" i="29" s="1"/>
  <c r="J1288" i="29" s="1"/>
  <c r="J1289" i="29" s="1"/>
  <c r="J1290" i="29" s="1"/>
  <c r="J1291" i="29" s="1"/>
  <c r="J1292" i="29" s="1"/>
  <c r="J1293" i="29" s="1"/>
  <c r="J1294" i="29" s="1"/>
  <c r="J1295" i="29" s="1"/>
  <c r="J1296" i="29" s="1"/>
  <c r="J1297" i="29" s="1"/>
  <c r="J1298" i="29" s="1"/>
  <c r="J1299" i="29" s="1"/>
  <c r="J1300" i="29" s="1"/>
  <c r="J1301" i="29" s="1"/>
  <c r="J1302" i="29" s="1"/>
  <c r="J1303" i="29" s="1"/>
  <c r="J1304" i="29" s="1"/>
  <c r="J1305" i="29" s="1"/>
  <c r="J1306" i="29" s="1"/>
  <c r="J1307" i="29" s="1"/>
  <c r="J1308" i="29" s="1"/>
  <c r="J1309" i="29" s="1"/>
  <c r="J1310" i="29" s="1"/>
  <c r="J1311" i="29" s="1"/>
  <c r="J1312" i="29" s="1"/>
  <c r="J1313" i="29" s="1"/>
  <c r="J1314" i="29" s="1"/>
  <c r="J1315" i="29" s="1"/>
  <c r="J1316" i="29" s="1"/>
  <c r="J1317" i="29" s="1"/>
  <c r="J1318" i="29" s="1"/>
  <c r="J1319" i="29" s="1"/>
  <c r="J1320" i="29" s="1"/>
  <c r="J1321" i="29" s="1"/>
  <c r="J1322" i="29" s="1"/>
  <c r="J1323" i="29" s="1"/>
  <c r="J1324" i="29" s="1"/>
  <c r="J1325" i="29" s="1"/>
  <c r="J1326" i="29" s="1"/>
  <c r="J1327" i="29" s="1"/>
  <c r="J1328" i="29" s="1"/>
  <c r="J1329" i="29" s="1"/>
  <c r="J1330" i="29" s="1"/>
  <c r="J1331" i="29" s="1"/>
  <c r="J1332" i="29" s="1"/>
  <c r="J1333" i="29" s="1"/>
  <c r="J1334" i="29" s="1"/>
  <c r="J1335" i="29" s="1"/>
  <c r="J1336" i="29" s="1"/>
  <c r="J1337" i="29" s="1"/>
  <c r="J1338" i="29" s="1"/>
  <c r="J1339" i="29" s="1"/>
  <c r="J1340" i="29" s="1"/>
  <c r="J1341" i="29" s="1"/>
  <c r="J1342" i="29" s="1"/>
  <c r="J1343" i="29" s="1"/>
  <c r="J1344" i="29" s="1"/>
  <c r="J1345" i="29" s="1"/>
  <c r="J1346" i="29" s="1"/>
  <c r="J1347" i="29" s="1"/>
  <c r="J1348" i="29" s="1"/>
  <c r="J1349" i="29" s="1"/>
  <c r="J1350" i="29" s="1"/>
  <c r="J1351" i="29" s="1"/>
  <c r="J1352" i="29" s="1"/>
  <c r="J1353" i="29" s="1"/>
  <c r="J1354" i="29" s="1"/>
  <c r="J1355" i="29" s="1"/>
  <c r="J1356" i="29" s="1"/>
  <c r="J1357" i="29" s="1"/>
  <c r="J1358" i="29" s="1"/>
  <c r="J1359" i="29" s="1"/>
  <c r="J1360" i="29" s="1"/>
  <c r="J1361" i="29" s="1"/>
  <c r="J1362" i="29" s="1"/>
  <c r="J1363" i="29" s="1"/>
  <c r="J1364" i="29" s="1"/>
  <c r="J1365" i="29" s="1"/>
  <c r="J1366" i="29" s="1"/>
  <c r="J1367" i="29" s="1"/>
  <c r="J1368" i="29" s="1"/>
  <c r="J1369" i="29" s="1"/>
  <c r="J1370" i="29" s="1"/>
  <c r="J1371" i="29" s="1"/>
  <c r="J1372" i="29" s="1"/>
  <c r="J1373" i="29" s="1"/>
  <c r="J1374" i="29" s="1"/>
  <c r="J1375" i="29" s="1"/>
  <c r="J1376" i="29" s="1"/>
  <c r="J1377" i="29" s="1"/>
  <c r="J1378" i="29" s="1"/>
  <c r="J1379" i="29" s="1"/>
  <c r="J1380" i="29" s="1"/>
  <c r="J1381" i="29" s="1"/>
  <c r="J1382" i="29" s="1"/>
  <c r="J1383" i="29" s="1"/>
  <c r="J1384" i="29" s="1"/>
  <c r="J1385" i="29" s="1"/>
  <c r="J1386" i="29" s="1"/>
  <c r="J1387" i="29" s="1"/>
  <c r="J1388" i="29" s="1"/>
  <c r="J1389" i="29" s="1"/>
  <c r="J1390" i="29" s="1"/>
  <c r="J1391" i="29" s="1"/>
  <c r="J1392" i="29" s="1"/>
  <c r="J1393" i="29" s="1"/>
  <c r="J1394" i="29" s="1"/>
  <c r="J1395" i="29" s="1"/>
  <c r="J1396" i="29" s="1"/>
  <c r="J1397" i="29" s="1"/>
  <c r="J1398" i="29" s="1"/>
  <c r="J1399" i="29" s="1"/>
  <c r="J1400" i="29" s="1"/>
  <c r="J1401" i="29" s="1"/>
  <c r="J1402" i="29" s="1"/>
  <c r="J1403" i="29" s="1"/>
  <c r="J1404" i="29" s="1"/>
  <c r="J1405" i="29" s="1"/>
  <c r="J1406" i="29" s="1"/>
  <c r="J1407" i="29" s="1"/>
  <c r="J1408" i="29" s="1"/>
  <c r="J1409" i="29" s="1"/>
  <c r="J1410" i="29" s="1"/>
  <c r="J1411" i="29" s="1"/>
  <c r="J1412" i="29" s="1"/>
  <c r="J1413" i="29" s="1"/>
  <c r="J1414" i="29" s="1"/>
  <c r="J1415" i="29" s="1"/>
  <c r="J1416" i="29" s="1"/>
  <c r="J1417" i="29" s="1"/>
  <c r="J1418" i="29" s="1"/>
  <c r="J1419" i="29" s="1"/>
  <c r="J1420" i="29" s="1"/>
  <c r="J1421" i="29" s="1"/>
  <c r="J1422" i="29" s="1"/>
  <c r="J1423" i="29" s="1"/>
  <c r="J1424" i="29" s="1"/>
  <c r="J1425" i="29" s="1"/>
  <c r="J1426" i="29" s="1"/>
  <c r="J1427" i="29" s="1"/>
  <c r="J1428" i="29" s="1"/>
  <c r="J1429" i="29" s="1"/>
  <c r="J1430" i="29" s="1"/>
  <c r="J1431" i="29" s="1"/>
  <c r="J1432" i="29" s="1"/>
  <c r="J1433" i="29" s="1"/>
  <c r="J1434" i="29" s="1"/>
  <c r="J1435" i="29" s="1"/>
  <c r="J1436" i="29" s="1"/>
  <c r="J1437" i="29" s="1"/>
  <c r="J1438" i="29" s="1"/>
  <c r="J1439" i="29" s="1"/>
  <c r="J1440" i="29" s="1"/>
  <c r="J1441" i="29" s="1"/>
  <c r="J1442" i="29" s="1"/>
  <c r="J1443" i="29" s="1"/>
  <c r="J1444" i="29" s="1"/>
  <c r="J1445" i="29" s="1"/>
  <c r="J1446" i="29" s="1"/>
  <c r="J1447" i="29" s="1"/>
  <c r="J1448" i="29" s="1"/>
  <c r="J1449" i="29" s="1"/>
  <c r="J1450" i="29" s="1"/>
  <c r="J1451" i="29" s="1"/>
  <c r="J1452" i="29" s="1"/>
  <c r="J1453" i="29" s="1"/>
  <c r="J1454" i="29" s="1"/>
  <c r="J1455" i="29" s="1"/>
  <c r="J1456" i="29" s="1"/>
  <c r="J1457" i="29" s="1"/>
  <c r="J1458" i="29" s="1"/>
  <c r="J1459" i="29" s="1"/>
  <c r="J1460" i="29" s="1"/>
  <c r="J1461" i="29" s="1"/>
  <c r="J1462" i="29" s="1"/>
  <c r="J1463" i="29" s="1"/>
  <c r="J1464" i="29" s="1"/>
  <c r="J1465" i="29" s="1"/>
  <c r="J1466" i="29" s="1"/>
  <c r="J1467" i="29" s="1"/>
  <c r="J1468" i="29" s="1"/>
  <c r="J1469" i="29" s="1"/>
  <c r="J1470" i="29" s="1"/>
  <c r="J1471" i="29" s="1"/>
  <c r="J1472" i="29" s="1"/>
  <c r="J1473" i="29" s="1"/>
  <c r="J1474" i="29" s="1"/>
  <c r="J1475" i="29" s="1"/>
  <c r="J1476" i="29" s="1"/>
  <c r="J1477" i="29" s="1"/>
  <c r="J1478" i="29" s="1"/>
  <c r="J1479" i="29" s="1"/>
  <c r="J1480" i="29" s="1"/>
  <c r="J1481" i="29" s="1"/>
  <c r="J1482" i="29" s="1"/>
  <c r="J1483" i="29" s="1"/>
  <c r="J1484" i="29" s="1"/>
  <c r="J1485" i="29" s="1"/>
  <c r="J1486" i="29" s="1"/>
  <c r="J1487" i="29" s="1"/>
  <c r="J1488" i="29" s="1"/>
  <c r="J1489" i="29" s="1"/>
  <c r="J1490" i="29" s="1"/>
  <c r="J1491" i="29" s="1"/>
  <c r="J1492" i="29" s="1"/>
  <c r="J1493" i="29" s="1"/>
  <c r="J1494" i="29" s="1"/>
  <c r="J1495" i="29" s="1"/>
  <c r="J1496" i="29" s="1"/>
  <c r="J1497" i="29" s="1"/>
  <c r="J1498" i="29" s="1"/>
  <c r="J1499" i="29" s="1"/>
  <c r="J1500" i="29" s="1"/>
  <c r="J1501" i="29" s="1"/>
  <c r="J1502" i="29" s="1"/>
  <c r="J1503" i="29" s="1"/>
  <c r="J1504" i="29" s="1"/>
  <c r="J1505" i="29" s="1"/>
  <c r="J1506" i="29" s="1"/>
  <c r="J1507" i="29" s="1"/>
  <c r="J1508" i="29" s="1"/>
  <c r="J1509" i="29" s="1"/>
  <c r="J1510" i="29" s="1"/>
  <c r="J1511" i="29" s="1"/>
  <c r="J1512" i="29" s="1"/>
  <c r="J1513" i="29" s="1"/>
  <c r="J1514" i="29" s="1"/>
  <c r="J1515" i="29" s="1"/>
  <c r="J1516" i="29" s="1"/>
  <c r="J1517" i="29" s="1"/>
  <c r="J1518" i="29" s="1"/>
  <c r="J1519" i="29" s="1"/>
  <c r="J1520" i="29" s="1"/>
  <c r="J1521" i="29" s="1"/>
  <c r="J1522" i="29" s="1"/>
  <c r="J1523" i="29" s="1"/>
  <c r="J1524" i="29" s="1"/>
  <c r="J1525" i="29" s="1"/>
  <c r="J1526" i="29" s="1"/>
  <c r="J1527" i="29" s="1"/>
  <c r="J1528" i="29" s="1"/>
  <c r="J1529" i="29" s="1"/>
  <c r="J1530" i="29" s="1"/>
  <c r="J1531" i="29" s="1"/>
  <c r="J1532" i="29" s="1"/>
  <c r="J1533" i="29" s="1"/>
  <c r="J1534" i="29" s="1"/>
  <c r="J1535" i="29" s="1"/>
  <c r="J1536" i="29" s="1"/>
  <c r="J1537" i="29" s="1"/>
  <c r="J1538" i="29" s="1"/>
  <c r="J1539" i="29" s="1"/>
  <c r="J1540" i="29" s="1"/>
  <c r="J1541" i="29" s="1"/>
  <c r="J1542" i="29" s="1"/>
  <c r="J1543" i="29" s="1"/>
  <c r="J1544" i="29" s="1"/>
  <c r="J1545" i="29" s="1"/>
  <c r="J1546" i="29" s="1"/>
  <c r="J1547" i="29" s="1"/>
  <c r="J1548" i="29" s="1"/>
  <c r="J1549" i="29" s="1"/>
  <c r="J1550" i="29" s="1"/>
  <c r="J1551" i="29" s="1"/>
  <c r="J1552" i="29" s="1"/>
  <c r="J1553" i="29" s="1"/>
  <c r="J1554" i="29" s="1"/>
  <c r="J1555" i="29" s="1"/>
  <c r="J1556" i="29" s="1"/>
  <c r="J1557" i="29" s="1"/>
  <c r="J1558" i="29" s="1"/>
  <c r="J1559" i="29" s="1"/>
  <c r="J1560" i="29" s="1"/>
  <c r="J1561" i="29" s="1"/>
  <c r="J1562" i="29" s="1"/>
  <c r="J1563" i="29" s="1"/>
  <c r="J1564" i="29" s="1"/>
  <c r="J1565" i="29" s="1"/>
  <c r="J1566" i="29" s="1"/>
  <c r="J1567" i="29" s="1"/>
  <c r="J1568" i="29" s="1"/>
  <c r="J1569" i="29" s="1"/>
  <c r="J1570" i="29" s="1"/>
  <c r="J1571" i="29" s="1"/>
  <c r="J1572" i="29" s="1"/>
  <c r="J1573" i="29" s="1"/>
  <c r="J1574" i="29" s="1"/>
  <c r="J1575" i="29" s="1"/>
  <c r="J1576" i="29" s="1"/>
  <c r="J1577" i="29" s="1"/>
  <c r="J1578" i="29" s="1"/>
  <c r="J1579" i="29" s="1"/>
  <c r="J1580" i="29" s="1"/>
  <c r="J1581" i="29" s="1"/>
  <c r="J1582" i="29" s="1"/>
  <c r="J1583" i="29" s="1"/>
  <c r="J1584" i="29" s="1"/>
  <c r="J1585" i="29" s="1"/>
  <c r="J1586" i="29" s="1"/>
  <c r="J1587" i="29" s="1"/>
  <c r="J1588" i="29" s="1"/>
  <c r="J1589" i="29" s="1"/>
  <c r="J1590" i="29" s="1"/>
  <c r="J1591" i="29" s="1"/>
  <c r="J1592" i="29" s="1"/>
  <c r="J1593" i="29" s="1"/>
  <c r="J1594" i="29" s="1"/>
  <c r="J1595" i="29" s="1"/>
  <c r="J1596" i="29" s="1"/>
  <c r="J1597" i="29" s="1"/>
  <c r="J1598" i="29" s="1"/>
  <c r="J1599" i="29" s="1"/>
  <c r="J1600" i="29" s="1"/>
  <c r="J1601" i="29" s="1"/>
  <c r="J1602" i="29" s="1"/>
  <c r="J1603" i="29" s="1"/>
  <c r="J1604" i="29" s="1"/>
  <c r="J1605" i="29" s="1"/>
  <c r="J1606" i="29" s="1"/>
  <c r="J1607" i="29" s="1"/>
  <c r="J1608" i="29" s="1"/>
  <c r="J1609" i="29" s="1"/>
  <c r="J1610" i="29" s="1"/>
  <c r="J1611" i="29" s="1"/>
  <c r="J1612" i="29" s="1"/>
  <c r="J1613" i="29" s="1"/>
  <c r="J1614" i="29" s="1"/>
  <c r="J1615" i="29" s="1"/>
  <c r="J1616" i="29" s="1"/>
  <c r="J1617" i="29" s="1"/>
  <c r="J1618" i="29" s="1"/>
  <c r="J1619" i="29" s="1"/>
  <c r="J1620" i="29" s="1"/>
  <c r="J1621" i="29" s="1"/>
  <c r="J1622" i="29" s="1"/>
  <c r="J1623" i="29" s="1"/>
  <c r="J1624" i="29" s="1"/>
  <c r="J1625" i="29" s="1"/>
  <c r="J1626" i="29" s="1"/>
  <c r="J1627" i="29" s="1"/>
  <c r="J1628" i="29" s="1"/>
  <c r="J1629" i="29" s="1"/>
  <c r="J1630" i="29" s="1"/>
  <c r="J1631" i="29" s="1"/>
  <c r="J1632" i="29" s="1"/>
  <c r="J1633" i="29" s="1"/>
  <c r="J1634" i="29" s="1"/>
  <c r="J1635" i="29" s="1"/>
  <c r="J1636" i="29" s="1"/>
  <c r="J1637" i="29" s="1"/>
  <c r="J1638" i="29" s="1"/>
  <c r="J1639" i="29" s="1"/>
  <c r="J1640" i="29" s="1"/>
  <c r="J1641" i="29" s="1"/>
  <c r="J1642" i="29" s="1"/>
  <c r="J1643" i="29" s="1"/>
  <c r="J1644" i="29" s="1"/>
  <c r="J1645" i="29" s="1"/>
  <c r="J1646" i="29" s="1"/>
  <c r="J1647" i="29" s="1"/>
  <c r="J1648" i="29" s="1"/>
  <c r="J1649" i="29" s="1"/>
  <c r="J1650" i="29" s="1"/>
  <c r="J1651" i="29" s="1"/>
  <c r="J1652" i="29" s="1"/>
  <c r="J1653" i="29" s="1"/>
  <c r="J1654" i="29" s="1"/>
  <c r="J1655" i="29" s="1"/>
  <c r="J1656" i="29" s="1"/>
  <c r="J1657" i="29" s="1"/>
  <c r="J1658" i="29" s="1"/>
  <c r="J1659" i="29" s="1"/>
  <c r="J1660" i="29" s="1"/>
  <c r="J1661" i="29" s="1"/>
  <c r="J1662" i="29" s="1"/>
  <c r="J1663" i="29" s="1"/>
  <c r="J1664" i="29" s="1"/>
  <c r="J1665" i="29" s="1"/>
  <c r="J1666" i="29" s="1"/>
  <c r="J1667" i="29" s="1"/>
  <c r="J1668" i="29" s="1"/>
  <c r="J1669" i="29" s="1"/>
  <c r="J1670" i="29" s="1"/>
  <c r="J1671" i="29" s="1"/>
  <c r="J1672" i="29" s="1"/>
  <c r="J1673" i="29" s="1"/>
  <c r="J1674" i="29" s="1"/>
  <c r="J1675" i="29" s="1"/>
  <c r="J1676" i="29" s="1"/>
  <c r="J1677" i="29" s="1"/>
  <c r="J1678" i="29" s="1"/>
  <c r="J1679" i="29" s="1"/>
  <c r="J1680" i="29" s="1"/>
  <c r="J1681" i="29" s="1"/>
  <c r="J1682" i="29" s="1"/>
  <c r="J1683" i="29" s="1"/>
  <c r="J1684" i="29" s="1"/>
  <c r="J1685" i="29" s="1"/>
  <c r="J1686" i="29" s="1"/>
  <c r="J1687" i="29" s="1"/>
  <c r="J1688" i="29" s="1"/>
  <c r="J1689" i="29" s="1"/>
  <c r="J1690" i="29" s="1"/>
  <c r="J1691" i="29" s="1"/>
  <c r="J1692" i="29" s="1"/>
  <c r="J1693" i="29" s="1"/>
  <c r="J1694" i="29" s="1"/>
  <c r="J1695" i="29" s="1"/>
  <c r="J1696" i="29" s="1"/>
  <c r="J1697" i="29" s="1"/>
  <c r="J1698" i="29" s="1"/>
  <c r="J1699" i="29" s="1"/>
  <c r="J1700" i="29" s="1"/>
  <c r="J1701" i="29" s="1"/>
  <c r="J1702" i="29" s="1"/>
  <c r="J1703" i="29" s="1"/>
  <c r="J1704" i="29" s="1"/>
  <c r="J1705" i="29" s="1"/>
  <c r="J1706" i="29" s="1"/>
  <c r="J1707" i="29" s="1"/>
  <c r="J1708" i="29" s="1"/>
  <c r="J1709" i="29" s="1"/>
  <c r="J1710" i="29" s="1"/>
  <c r="J1711" i="29" s="1"/>
  <c r="J1712" i="29" s="1"/>
  <c r="J1713" i="29" s="1"/>
  <c r="J1714" i="29" s="1"/>
  <c r="J1715" i="29" s="1"/>
  <c r="J1716" i="29" s="1"/>
  <c r="J1717" i="29" s="1"/>
  <c r="J1718" i="29" s="1"/>
  <c r="J1719" i="29" s="1"/>
  <c r="J1720" i="29" s="1"/>
  <c r="J1721" i="29" s="1"/>
  <c r="J1722" i="29" s="1"/>
  <c r="J1723" i="29" s="1"/>
  <c r="J1724" i="29" s="1"/>
  <c r="J1725" i="29" s="1"/>
  <c r="J1726" i="29" s="1"/>
  <c r="J1727" i="29" s="1"/>
  <c r="J1728" i="29" s="1"/>
  <c r="J1729" i="29" s="1"/>
  <c r="J1730" i="29" s="1"/>
  <c r="J1731" i="29" s="1"/>
  <c r="J1732" i="29" s="1"/>
  <c r="J1733" i="29" s="1"/>
  <c r="J1734" i="29" s="1"/>
  <c r="J1735" i="29" s="1"/>
  <c r="J1736" i="29" s="1"/>
  <c r="J1737" i="29" s="1"/>
  <c r="J1738" i="29" s="1"/>
  <c r="J1739" i="29" s="1"/>
  <c r="J1740" i="29" s="1"/>
  <c r="J1741" i="29" s="1"/>
  <c r="J1742" i="29" s="1"/>
  <c r="J1743" i="29" s="1"/>
  <c r="J1744" i="29" s="1"/>
  <c r="J1745" i="29" s="1"/>
  <c r="J1746" i="29" s="1"/>
  <c r="J1747" i="29" s="1"/>
  <c r="J1748" i="29" s="1"/>
  <c r="J1749" i="29" s="1"/>
  <c r="J1750" i="29" s="1"/>
  <c r="J1751" i="29" s="1"/>
  <c r="J1752" i="29" s="1"/>
  <c r="J1753" i="29" s="1"/>
  <c r="J1754" i="29" s="1"/>
  <c r="J1755" i="29" s="1"/>
  <c r="J1756" i="29" s="1"/>
  <c r="J1757" i="29" s="1"/>
  <c r="J1758" i="29" s="1"/>
  <c r="J1759" i="29" s="1"/>
  <c r="J1760" i="29" s="1"/>
  <c r="J1761" i="29" s="1"/>
  <c r="J1762" i="29" s="1"/>
  <c r="J1763" i="29" s="1"/>
  <c r="J1764" i="29" s="1"/>
  <c r="J1765" i="29" s="1"/>
  <c r="J1766" i="29" s="1"/>
  <c r="J1767" i="29" s="1"/>
  <c r="J1768" i="29" s="1"/>
  <c r="J1769" i="29" s="1"/>
  <c r="J1770" i="29" s="1"/>
  <c r="J1771" i="29" s="1"/>
  <c r="J1772" i="29" s="1"/>
  <c r="J1773" i="29" s="1"/>
  <c r="J1774" i="29" s="1"/>
  <c r="J1775" i="29" s="1"/>
  <c r="J1776" i="29" s="1"/>
  <c r="J1777" i="29" s="1"/>
  <c r="J1778" i="29" s="1"/>
  <c r="J1779" i="29" s="1"/>
  <c r="J1780" i="29" s="1"/>
  <c r="J1781" i="29" s="1"/>
  <c r="J1782" i="29" s="1"/>
  <c r="J1783" i="29" s="1"/>
  <c r="J1784" i="29" s="1"/>
  <c r="J1785" i="29" s="1"/>
  <c r="J1786" i="29" s="1"/>
  <c r="J1787" i="29" s="1"/>
  <c r="J1788" i="29" s="1"/>
  <c r="J1789" i="29" s="1"/>
  <c r="J1790" i="29" s="1"/>
  <c r="J1791" i="29" s="1"/>
  <c r="J1792" i="29" s="1"/>
  <c r="J1793" i="29" s="1"/>
  <c r="J1794" i="29" s="1"/>
  <c r="J1795" i="29" s="1"/>
  <c r="J1796" i="29" s="1"/>
  <c r="J1797" i="29" s="1"/>
  <c r="J1798" i="29" s="1"/>
  <c r="J1799" i="29" s="1"/>
  <c r="J1800" i="29" s="1"/>
  <c r="J1801" i="29" s="1"/>
  <c r="J1802" i="29" s="1"/>
  <c r="J1803" i="29" s="1"/>
  <c r="J1804" i="29" s="1"/>
  <c r="J1805" i="29" s="1"/>
  <c r="J1806" i="29" s="1"/>
  <c r="J1807" i="29" s="1"/>
  <c r="J1808" i="29" s="1"/>
  <c r="J1809" i="29" s="1"/>
  <c r="J1810" i="29" s="1"/>
  <c r="J1811" i="29" s="1"/>
  <c r="J1812" i="29" s="1"/>
  <c r="J1813" i="29" s="1"/>
  <c r="J1814" i="29" s="1"/>
  <c r="J1815" i="29" s="1"/>
  <c r="J1816" i="29" s="1"/>
  <c r="J1817" i="29" s="1"/>
  <c r="J1818" i="29" s="1"/>
  <c r="J1819" i="29" s="1"/>
  <c r="J1820" i="29" s="1"/>
  <c r="J1821" i="29" s="1"/>
  <c r="J1822" i="29" s="1"/>
  <c r="J1823" i="29" s="1"/>
  <c r="J1824" i="29" s="1"/>
  <c r="J1825" i="29" s="1"/>
  <c r="J1826" i="29" s="1"/>
  <c r="J1827" i="29" s="1"/>
  <c r="J1828" i="29" s="1"/>
  <c r="J1829" i="29" s="1"/>
  <c r="J1830" i="29" s="1"/>
  <c r="J1831" i="29" s="1"/>
  <c r="J1832" i="29" s="1"/>
  <c r="J1833" i="29" s="1"/>
  <c r="J1834" i="29" s="1"/>
  <c r="J1835" i="29" s="1"/>
  <c r="J1836" i="29" s="1"/>
  <c r="J1837" i="29" s="1"/>
  <c r="J1838" i="29" s="1"/>
  <c r="J1839" i="29" s="1"/>
  <c r="J1840" i="29" s="1"/>
  <c r="J1841" i="29" s="1"/>
  <c r="J1842" i="29" s="1"/>
  <c r="J1843" i="29" s="1"/>
  <c r="J1844" i="29" s="1"/>
  <c r="J1845" i="29" s="1"/>
  <c r="J1846" i="29" s="1"/>
  <c r="J1847" i="29" s="1"/>
  <c r="J1848" i="29" s="1"/>
  <c r="J1849" i="29" s="1"/>
  <c r="J1850" i="29" s="1"/>
  <c r="J1851" i="29" s="1"/>
  <c r="J1852" i="29" s="1"/>
  <c r="J1853" i="29" s="1"/>
  <c r="J1854" i="29" s="1"/>
  <c r="J1855" i="29" s="1"/>
  <c r="J1856" i="29" s="1"/>
  <c r="J1857" i="29" s="1"/>
  <c r="J1858" i="29" s="1"/>
  <c r="J1859" i="29" s="1"/>
  <c r="J1860" i="29" s="1"/>
  <c r="J1861" i="29" s="1"/>
  <c r="J1862" i="29" s="1"/>
  <c r="J1863" i="29" s="1"/>
  <c r="J1864" i="29" s="1"/>
  <c r="J1865" i="29" s="1"/>
  <c r="J1866" i="29" s="1"/>
  <c r="J1867" i="29" s="1"/>
  <c r="J1868" i="29" s="1"/>
  <c r="J1869" i="29" s="1"/>
  <c r="J1870" i="29" s="1"/>
  <c r="J1871" i="29" s="1"/>
  <c r="J1872" i="29" s="1"/>
  <c r="J1873" i="29" s="1"/>
  <c r="J1874" i="29" s="1"/>
  <c r="J1875" i="29" s="1"/>
  <c r="J1876" i="29" s="1"/>
  <c r="J1877" i="29" s="1"/>
  <c r="J1878" i="29" s="1"/>
  <c r="J1879" i="29" s="1"/>
  <c r="J1880" i="29" s="1"/>
  <c r="J1881" i="29" s="1"/>
  <c r="J1882" i="29" s="1"/>
  <c r="J1883" i="29" s="1"/>
  <c r="J1884" i="29" s="1"/>
  <c r="J1885" i="29" s="1"/>
  <c r="J1886" i="29" s="1"/>
  <c r="J1887" i="29" s="1"/>
  <c r="J1888" i="29" s="1"/>
  <c r="J1889" i="29" s="1"/>
  <c r="J1890" i="29" s="1"/>
  <c r="J1891" i="29" s="1"/>
  <c r="J1892" i="29" s="1"/>
  <c r="J1893" i="29" s="1"/>
  <c r="J1894" i="29" s="1"/>
  <c r="J1895" i="29" s="1"/>
  <c r="J1896" i="29" s="1"/>
  <c r="J1897" i="29" s="1"/>
  <c r="J1898" i="29" s="1"/>
  <c r="J1899" i="29" s="1"/>
  <c r="J1900" i="29" s="1"/>
  <c r="J1901" i="29" s="1"/>
  <c r="J1902" i="29" s="1"/>
  <c r="J1903" i="29" s="1"/>
  <c r="J1904" i="29" s="1"/>
  <c r="J1905" i="29" s="1"/>
  <c r="J1906" i="29" s="1"/>
  <c r="J1907" i="29" s="1"/>
  <c r="J1908" i="29" s="1"/>
  <c r="J1909" i="29" s="1"/>
  <c r="J1910" i="29" s="1"/>
  <c r="J1911" i="29" s="1"/>
  <c r="J1912" i="29" s="1"/>
  <c r="J1913" i="29" s="1"/>
  <c r="J1914" i="29" s="1"/>
  <c r="J1915" i="29" s="1"/>
  <c r="J1916" i="29" s="1"/>
  <c r="J1917" i="29" s="1"/>
  <c r="J1918" i="29" s="1"/>
  <c r="J1919" i="29" s="1"/>
  <c r="J1920" i="29" s="1"/>
  <c r="J1921" i="29" s="1"/>
  <c r="J1922" i="29" s="1"/>
  <c r="J1923" i="29" s="1"/>
  <c r="J1924" i="29" s="1"/>
  <c r="J1925" i="29" s="1"/>
  <c r="J1926" i="29" s="1"/>
  <c r="J1927" i="29" s="1"/>
  <c r="J1928" i="29" s="1"/>
  <c r="J1929" i="29" s="1"/>
  <c r="J1930" i="29" s="1"/>
  <c r="J1931" i="29" s="1"/>
  <c r="J1932" i="29" s="1"/>
  <c r="J1933" i="29" s="1"/>
  <c r="J1934" i="29" s="1"/>
  <c r="J1935" i="29" s="1"/>
  <c r="J1936" i="29" s="1"/>
  <c r="J1937" i="29" s="1"/>
  <c r="J1938" i="29" s="1"/>
  <c r="J1939" i="29" s="1"/>
  <c r="J1940" i="29" s="1"/>
  <c r="J1941" i="29" s="1"/>
  <c r="J1942" i="29" s="1"/>
  <c r="J1943" i="29" s="1"/>
  <c r="J1944" i="29" s="1"/>
  <c r="J1945" i="29" s="1"/>
  <c r="J1946" i="29" s="1"/>
  <c r="J1947" i="29" s="1"/>
  <c r="J1948" i="29" s="1"/>
  <c r="J1949" i="29" s="1"/>
  <c r="J1950" i="29" s="1"/>
  <c r="J1951" i="29" s="1"/>
  <c r="J1952" i="29" s="1"/>
  <c r="J1953" i="29" s="1"/>
  <c r="J1954" i="29" s="1"/>
  <c r="J1955" i="29" s="1"/>
  <c r="J1956" i="29" s="1"/>
  <c r="J1957" i="29" s="1"/>
  <c r="J1958" i="29" s="1"/>
  <c r="J1959" i="29" s="1"/>
  <c r="J1960" i="29" s="1"/>
  <c r="J1961" i="29" s="1"/>
  <c r="J1962" i="29" s="1"/>
  <c r="J1963" i="29" s="1"/>
  <c r="J1964" i="29" s="1"/>
  <c r="J1965" i="29" s="1"/>
  <c r="J1966" i="29" s="1"/>
  <c r="J1967" i="29" s="1"/>
  <c r="J1968" i="29" s="1"/>
  <c r="J1969" i="29" s="1"/>
  <c r="J1970" i="29" s="1"/>
  <c r="J1971" i="29" s="1"/>
  <c r="J1972" i="29" s="1"/>
  <c r="J1973" i="29" s="1"/>
  <c r="J1974" i="29" s="1"/>
  <c r="J1975" i="29" s="1"/>
  <c r="J1976" i="29" s="1"/>
  <c r="J1977" i="29" s="1"/>
  <c r="J1978" i="29" s="1"/>
  <c r="J1979" i="29" s="1"/>
  <c r="J1980" i="29" s="1"/>
  <c r="J1981" i="29" s="1"/>
  <c r="J1982" i="29" s="1"/>
  <c r="J1983" i="29" s="1"/>
  <c r="J1984" i="29" s="1"/>
  <c r="J1985" i="29" s="1"/>
  <c r="J1986" i="29" s="1"/>
  <c r="J1987" i="29" s="1"/>
  <c r="J1988" i="29" s="1"/>
  <c r="J1989" i="29" s="1"/>
  <c r="J1990" i="29" s="1"/>
  <c r="J1991" i="29" s="1"/>
  <c r="J1992" i="29" s="1"/>
  <c r="J1993" i="29" s="1"/>
  <c r="J1994" i="29" s="1"/>
  <c r="J1995" i="29" s="1"/>
  <c r="J1996" i="29" s="1"/>
  <c r="J1997" i="29" s="1"/>
  <c r="J1998" i="29" s="1"/>
  <c r="J1999" i="29" s="1"/>
  <c r="J2000" i="29" s="1"/>
  <c r="J2001" i="29" s="1"/>
  <c r="J2002" i="29" s="1"/>
  <c r="J2003" i="29" s="1"/>
  <c r="J2004" i="29" s="1"/>
  <c r="J2005" i="29" s="1"/>
  <c r="J2006" i="29" s="1"/>
  <c r="J2007" i="29" s="1"/>
  <c r="J2008" i="29" s="1"/>
  <c r="J2009" i="29" s="1"/>
  <c r="J2010" i="29" s="1"/>
  <c r="J2011" i="29" s="1"/>
  <c r="J2012" i="29" s="1"/>
  <c r="J2013" i="29" s="1"/>
  <c r="J2014" i="29" s="1"/>
  <c r="J2015" i="29" s="1"/>
  <c r="J2016" i="29" s="1"/>
  <c r="J2017" i="29" s="1"/>
  <c r="J2018" i="29" s="1"/>
  <c r="J2019" i="29" s="1"/>
  <c r="J2020" i="29" s="1"/>
  <c r="J2021" i="29" s="1"/>
  <c r="J2022" i="29" s="1"/>
  <c r="J2023" i="29" s="1"/>
  <c r="J2024" i="29" s="1"/>
  <c r="J2025" i="29" s="1"/>
  <c r="J2026" i="29" s="1"/>
  <c r="J2027" i="29" s="1"/>
  <c r="J2028" i="29" s="1"/>
  <c r="J2029" i="29" s="1"/>
  <c r="J2030" i="29" s="1"/>
  <c r="J2031" i="29" s="1"/>
  <c r="J2032" i="29" s="1"/>
  <c r="J2033" i="29" s="1"/>
  <c r="J2034" i="29" s="1"/>
  <c r="J2035" i="29" s="1"/>
  <c r="J2036" i="29" s="1"/>
  <c r="J2037" i="29" s="1"/>
  <c r="J2038" i="29" s="1"/>
  <c r="J2039" i="29" s="1"/>
  <c r="J2040" i="29" s="1"/>
  <c r="J2041" i="29" s="1"/>
  <c r="J2042" i="29" s="1"/>
  <c r="J2043" i="29" s="1"/>
  <c r="J2044" i="29" s="1"/>
  <c r="J2045" i="29" s="1"/>
  <c r="J2046" i="29" s="1"/>
  <c r="J2047" i="29" s="1"/>
  <c r="J2048" i="29" s="1"/>
  <c r="J2049" i="29" s="1"/>
  <c r="J2050" i="29" s="1"/>
  <c r="J2051" i="29" s="1"/>
  <c r="J2052" i="29" s="1"/>
  <c r="J2053" i="29" s="1"/>
  <c r="J2054" i="29" s="1"/>
  <c r="J2055" i="29" s="1"/>
  <c r="J2056" i="29" s="1"/>
  <c r="J2057" i="29" s="1"/>
  <c r="J2058" i="29" s="1"/>
  <c r="J2059" i="29" s="1"/>
  <c r="J2060" i="29" s="1"/>
  <c r="J2061" i="29" s="1"/>
  <c r="J2062" i="29" s="1"/>
  <c r="J2063" i="29" s="1"/>
  <c r="J2064" i="29" s="1"/>
  <c r="J2065" i="29" s="1"/>
  <c r="J2066" i="29" s="1"/>
  <c r="J2067" i="29" s="1"/>
  <c r="J2068" i="29" s="1"/>
  <c r="J2069" i="29" s="1"/>
  <c r="J2070" i="29" s="1"/>
  <c r="J2071" i="29" s="1"/>
  <c r="J2072" i="29" s="1"/>
  <c r="J2073" i="29" s="1"/>
  <c r="J2074" i="29" s="1"/>
  <c r="J2075" i="29" s="1"/>
  <c r="J2076" i="29" s="1"/>
  <c r="J2077" i="29" s="1"/>
  <c r="J2078" i="29" s="1"/>
  <c r="J2079" i="29" s="1"/>
  <c r="J2080" i="29" s="1"/>
  <c r="J2081" i="29" s="1"/>
  <c r="J2082" i="29" s="1"/>
  <c r="J2083" i="29" s="1"/>
  <c r="J2084" i="29" s="1"/>
  <c r="J2085" i="29" s="1"/>
  <c r="J2086" i="29" s="1"/>
  <c r="J2087" i="29" s="1"/>
  <c r="J2088" i="29" s="1"/>
  <c r="J2089" i="29" s="1"/>
  <c r="J2090" i="29" s="1"/>
  <c r="J2091" i="29" s="1"/>
  <c r="J2092" i="29" s="1"/>
  <c r="J2093" i="29" s="1"/>
  <c r="J2094" i="29" s="1"/>
  <c r="J2095" i="29" s="1"/>
  <c r="J2096" i="29" s="1"/>
  <c r="J2097" i="29" s="1"/>
  <c r="J2098" i="29" s="1"/>
  <c r="J2099" i="29" s="1"/>
  <c r="J2100" i="29" s="1"/>
  <c r="J2101" i="29" s="1"/>
  <c r="J2102" i="29" s="1"/>
  <c r="J2103" i="29" s="1"/>
  <c r="J2104" i="29" s="1"/>
  <c r="J2105" i="29" s="1"/>
  <c r="J2106" i="29" s="1"/>
  <c r="J2107" i="29" s="1"/>
  <c r="J2108" i="29" s="1"/>
  <c r="J2109" i="29" s="1"/>
  <c r="J2110" i="29" s="1"/>
  <c r="J2111" i="29" s="1"/>
  <c r="J2112" i="29" s="1"/>
  <c r="J2113" i="29" s="1"/>
  <c r="J2114" i="29" s="1"/>
  <c r="J2115" i="29" s="1"/>
  <c r="J2116" i="29" s="1"/>
  <c r="J2117" i="29" s="1"/>
  <c r="J2118" i="29" s="1"/>
  <c r="J2119" i="29" s="1"/>
  <c r="J2120" i="29" s="1"/>
  <c r="J2121" i="29" s="1"/>
  <c r="J2122" i="29" s="1"/>
  <c r="J2123" i="29" s="1"/>
  <c r="J2124" i="29" s="1"/>
  <c r="J2125" i="29" s="1"/>
  <c r="J2126" i="29" s="1"/>
  <c r="J2127" i="29" s="1"/>
  <c r="J2128" i="29" s="1"/>
  <c r="J2129" i="29" s="1"/>
  <c r="J2130" i="29" s="1"/>
  <c r="J2131" i="29" s="1"/>
  <c r="J2132" i="29" s="1"/>
  <c r="J2133" i="29" s="1"/>
  <c r="J2134" i="29" s="1"/>
  <c r="J2135" i="29" s="1"/>
  <c r="J2136" i="29" s="1"/>
  <c r="J2137" i="29" s="1"/>
  <c r="J2138" i="29" s="1"/>
  <c r="J2139" i="29" s="1"/>
  <c r="J2140" i="29" s="1"/>
  <c r="J2141" i="29" s="1"/>
  <c r="J2142" i="29" s="1"/>
  <c r="J2143" i="29" s="1"/>
  <c r="J2144" i="29" s="1"/>
  <c r="J2145" i="29" s="1"/>
  <c r="J2146" i="29" s="1"/>
  <c r="J2147" i="29" s="1"/>
  <c r="J2148" i="29" s="1"/>
  <c r="J2149" i="29" s="1"/>
  <c r="J2150" i="29" s="1"/>
  <c r="J2151" i="29" s="1"/>
  <c r="J2152" i="29" s="1"/>
  <c r="J2153" i="29" s="1"/>
  <c r="J2154" i="29" s="1"/>
  <c r="J2155" i="29" s="1"/>
  <c r="J2156" i="29" s="1"/>
  <c r="J2157" i="29" s="1"/>
  <c r="J2158" i="29" s="1"/>
  <c r="J2159" i="29" s="1"/>
  <c r="J2160" i="29" s="1"/>
  <c r="J2161" i="29" s="1"/>
  <c r="J2162" i="29" s="1"/>
  <c r="J2163" i="29" s="1"/>
  <c r="J2164" i="29" s="1"/>
  <c r="J2165" i="29" s="1"/>
  <c r="J2166" i="29" s="1"/>
  <c r="J2167" i="29" s="1"/>
  <c r="J2168" i="29" s="1"/>
  <c r="J2169" i="29" s="1"/>
  <c r="J2170" i="29" s="1"/>
  <c r="J2171" i="29" s="1"/>
  <c r="J2172" i="29" s="1"/>
  <c r="J2173" i="29" s="1"/>
  <c r="J2174" i="29" s="1"/>
  <c r="J2175" i="29" s="1"/>
  <c r="J2176" i="29" s="1"/>
  <c r="J2177" i="29" s="1"/>
  <c r="J2178" i="29" s="1"/>
  <c r="J2179" i="29" s="1"/>
  <c r="J2180" i="29" s="1"/>
  <c r="J2181" i="29" s="1"/>
  <c r="J2182" i="29" s="1"/>
  <c r="J2183" i="29" s="1"/>
  <c r="J2184" i="29" s="1"/>
  <c r="J2185" i="29" s="1"/>
  <c r="J2186" i="29" s="1"/>
  <c r="J2187" i="29" s="1"/>
  <c r="J2188" i="29" s="1"/>
  <c r="J2189" i="29" s="1"/>
  <c r="J2190" i="29" s="1"/>
  <c r="J2191" i="29" s="1"/>
  <c r="J2192" i="29" s="1"/>
  <c r="J2193" i="29" s="1"/>
  <c r="J2194" i="29" s="1"/>
  <c r="J2195" i="29" s="1"/>
  <c r="J2196" i="29" s="1"/>
  <c r="J2197" i="29" s="1"/>
  <c r="J2198" i="29" s="1"/>
  <c r="J2199" i="29" s="1"/>
  <c r="J2200" i="29" s="1"/>
  <c r="J2201" i="29" s="1"/>
  <c r="J2202" i="29" s="1"/>
  <c r="J2203" i="29" s="1"/>
  <c r="J2204" i="29" s="1"/>
  <c r="J2205" i="29" s="1"/>
  <c r="J2206" i="29" s="1"/>
  <c r="J2207" i="29" s="1"/>
  <c r="J2208" i="29" s="1"/>
  <c r="J2209" i="29" s="1"/>
  <c r="J2210" i="29" s="1"/>
  <c r="J2211" i="29" s="1"/>
  <c r="J2212" i="29" s="1"/>
  <c r="J2213" i="29" s="1"/>
  <c r="J2214" i="29" s="1"/>
  <c r="J2215" i="29" s="1"/>
  <c r="J2216" i="29" s="1"/>
  <c r="J2217" i="29" s="1"/>
  <c r="J2218" i="29" s="1"/>
  <c r="J2219" i="29" s="1"/>
  <c r="J2220" i="29" s="1"/>
  <c r="J2221" i="29" s="1"/>
  <c r="J2222" i="29" s="1"/>
  <c r="J2223" i="29" s="1"/>
  <c r="J2224" i="29" s="1"/>
  <c r="J2225" i="29" s="1"/>
  <c r="J2226" i="29" s="1"/>
  <c r="J2227" i="29" s="1"/>
  <c r="J2228" i="29" s="1"/>
  <c r="J2229" i="29" s="1"/>
  <c r="J2230" i="29" s="1"/>
  <c r="J2231" i="29" s="1"/>
  <c r="J2232" i="29" s="1"/>
  <c r="J2233" i="29" s="1"/>
  <c r="J2234" i="29" s="1"/>
  <c r="J2235" i="29" s="1"/>
  <c r="J2236" i="29" s="1"/>
  <c r="J2237" i="29" s="1"/>
  <c r="J2238" i="29" s="1"/>
  <c r="J2239" i="29" s="1"/>
  <c r="J2240" i="29" s="1"/>
  <c r="J2241" i="29" s="1"/>
  <c r="J2242" i="29" s="1"/>
  <c r="J2243" i="29" s="1"/>
  <c r="J2244" i="29" s="1"/>
  <c r="J2245" i="29" s="1"/>
  <c r="J2246" i="29" s="1"/>
  <c r="J2247" i="29" s="1"/>
  <c r="J2248" i="29" s="1"/>
  <c r="J2249" i="29" s="1"/>
  <c r="J2250" i="29" s="1"/>
  <c r="J2251" i="29" s="1"/>
  <c r="J2252" i="29" s="1"/>
  <c r="J2253" i="29" s="1"/>
  <c r="J2254" i="29" s="1"/>
  <c r="J2255" i="29" s="1"/>
  <c r="J2256" i="29" s="1"/>
  <c r="J2257" i="29" s="1"/>
  <c r="J2258" i="29" s="1"/>
  <c r="J2259" i="29" s="1"/>
  <c r="J2260" i="29" s="1"/>
  <c r="J2261" i="29" s="1"/>
  <c r="J2262" i="29" s="1"/>
  <c r="J2263" i="29" s="1"/>
  <c r="J2264" i="29" s="1"/>
  <c r="J2265" i="29" s="1"/>
  <c r="J2266" i="29" s="1"/>
  <c r="J2267" i="29" s="1"/>
  <c r="J2268" i="29" s="1"/>
  <c r="J2269" i="29" s="1"/>
  <c r="J2270" i="29" s="1"/>
  <c r="J2271" i="29" s="1"/>
  <c r="J2272" i="29" s="1"/>
  <c r="J2273" i="29" s="1"/>
  <c r="J2274" i="29" s="1"/>
  <c r="J2275" i="29" s="1"/>
  <c r="J2276" i="29" s="1"/>
  <c r="J2277" i="29" s="1"/>
  <c r="J2278" i="29" s="1"/>
  <c r="J2279" i="29" s="1"/>
  <c r="J2280" i="29" s="1"/>
  <c r="J2281" i="29" s="1"/>
  <c r="J2282" i="29" s="1"/>
  <c r="J2283" i="29" s="1"/>
  <c r="J2284" i="29" s="1"/>
  <c r="J2285" i="29" s="1"/>
  <c r="J2286" i="29" s="1"/>
  <c r="J2287" i="29" s="1"/>
  <c r="J2288" i="29" s="1"/>
  <c r="J2289" i="29" s="1"/>
  <c r="J2290" i="29" s="1"/>
  <c r="J2291" i="29" s="1"/>
  <c r="J2292" i="29" s="1"/>
  <c r="J2293" i="29" s="1"/>
  <c r="J2294" i="29" s="1"/>
  <c r="J2295" i="29" s="1"/>
  <c r="J2296" i="29" s="1"/>
  <c r="J2297" i="29" s="1"/>
  <c r="J2298" i="29" s="1"/>
  <c r="J2299" i="29" s="1"/>
  <c r="J2300" i="29" s="1"/>
  <c r="J2301" i="29" s="1"/>
  <c r="J2302" i="29" s="1"/>
  <c r="J2303" i="29" s="1"/>
  <c r="J2304" i="29" s="1"/>
  <c r="J2305" i="29" s="1"/>
  <c r="J2306" i="29" s="1"/>
  <c r="J2307" i="29" s="1"/>
  <c r="J2308" i="29" s="1"/>
  <c r="J2309" i="29" s="1"/>
  <c r="J2310" i="29" s="1"/>
  <c r="J2311" i="29" s="1"/>
  <c r="J2312" i="29" s="1"/>
  <c r="J2313" i="29" s="1"/>
  <c r="J2314" i="29" s="1"/>
  <c r="J2315" i="29" s="1"/>
  <c r="J2316" i="29" s="1"/>
  <c r="J2317" i="29" s="1"/>
  <c r="J2318" i="29" s="1"/>
  <c r="J2319" i="29" s="1"/>
  <c r="J2320" i="29" s="1"/>
  <c r="J2321" i="29" s="1"/>
  <c r="J2322" i="29" s="1"/>
  <c r="J2323" i="29" s="1"/>
  <c r="J2324" i="29" s="1"/>
  <c r="J2325" i="29" s="1"/>
  <c r="J2326" i="29" s="1"/>
  <c r="J2327" i="29" s="1"/>
  <c r="J2328" i="29" s="1"/>
  <c r="J2329" i="29" s="1"/>
  <c r="J2330" i="29" s="1"/>
  <c r="J2331" i="29" s="1"/>
  <c r="J2332" i="29" s="1"/>
  <c r="J2333" i="29" s="1"/>
  <c r="J2334" i="29" s="1"/>
  <c r="J2335" i="29" s="1"/>
  <c r="J2336" i="29" s="1"/>
  <c r="J2337" i="29" s="1"/>
  <c r="J2338" i="29" s="1"/>
  <c r="J2339" i="29" s="1"/>
  <c r="J2340" i="29" s="1"/>
  <c r="J2341" i="29" s="1"/>
  <c r="J2342" i="29" s="1"/>
  <c r="J2343" i="29" s="1"/>
  <c r="J2344" i="29" s="1"/>
  <c r="J2345" i="29" s="1"/>
  <c r="J2346" i="29" s="1"/>
  <c r="J2347" i="29" s="1"/>
  <c r="J2348" i="29" s="1"/>
  <c r="J2349" i="29" s="1"/>
  <c r="J2350" i="29" s="1"/>
  <c r="J2351" i="29" s="1"/>
  <c r="J2352" i="29" s="1"/>
  <c r="J2353" i="29" s="1"/>
  <c r="J2354" i="29" s="1"/>
  <c r="J2355" i="29" s="1"/>
  <c r="J2356" i="29" s="1"/>
  <c r="J2357" i="29" s="1"/>
  <c r="J2358" i="29" s="1"/>
  <c r="J2359" i="29" s="1"/>
  <c r="J2360" i="29" s="1"/>
  <c r="J2361" i="29" s="1"/>
  <c r="J2362" i="29" s="1"/>
  <c r="J2363" i="29" s="1"/>
  <c r="J2364" i="29" s="1"/>
  <c r="J2365" i="29" s="1"/>
  <c r="J2366" i="29" s="1"/>
  <c r="J2367" i="29" s="1"/>
  <c r="J2368" i="29" s="1"/>
  <c r="J2369" i="29" s="1"/>
  <c r="J2370" i="29" s="1"/>
  <c r="J2371" i="29" s="1"/>
  <c r="J2372" i="29" s="1"/>
  <c r="J2373" i="29" s="1"/>
  <c r="J2374" i="29" s="1"/>
  <c r="J2375" i="29" s="1"/>
  <c r="J2376" i="29" s="1"/>
  <c r="J2377" i="29" s="1"/>
  <c r="J2378" i="29" s="1"/>
  <c r="J2379" i="29" s="1"/>
  <c r="J2380" i="29" s="1"/>
  <c r="J2381" i="29" s="1"/>
  <c r="J2382" i="29" s="1"/>
  <c r="J2383" i="29" s="1"/>
  <c r="J2384" i="29" s="1"/>
  <c r="J2385" i="29" s="1"/>
  <c r="J2386" i="29" s="1"/>
  <c r="J2387" i="29" s="1"/>
  <c r="J2388" i="29" s="1"/>
  <c r="J2389" i="29" s="1"/>
  <c r="J2390" i="29" s="1"/>
  <c r="J2391" i="29" s="1"/>
  <c r="J2392" i="29" s="1"/>
  <c r="J2393" i="29" s="1"/>
  <c r="J2394" i="29" s="1"/>
  <c r="J2395" i="29" s="1"/>
  <c r="J2396" i="29" s="1"/>
  <c r="J2397" i="29" s="1"/>
  <c r="J2398" i="29" s="1"/>
  <c r="J2399" i="29" s="1"/>
  <c r="J2400" i="29" s="1"/>
  <c r="J2401" i="29" s="1"/>
  <c r="J2402" i="29" s="1"/>
  <c r="J2403" i="29" s="1"/>
  <c r="J2404" i="29" s="1"/>
  <c r="J2405" i="29" s="1"/>
  <c r="J2406" i="29" s="1"/>
  <c r="J2407" i="29" s="1"/>
  <c r="J2408" i="29" s="1"/>
  <c r="J2409" i="29" s="1"/>
  <c r="J2410" i="29" s="1"/>
  <c r="J2411" i="29" s="1"/>
  <c r="J2412" i="29" s="1"/>
  <c r="J2413" i="29" s="1"/>
  <c r="J2414" i="29" s="1"/>
  <c r="J2415" i="29" s="1"/>
  <c r="J2416" i="29" s="1"/>
  <c r="J2417" i="29" s="1"/>
  <c r="J2418" i="29" s="1"/>
  <c r="J2419" i="29" s="1"/>
  <c r="J2420" i="29" s="1"/>
  <c r="J2421" i="29" s="1"/>
  <c r="J2422" i="29" s="1"/>
  <c r="J2423" i="29" s="1"/>
  <c r="J2424" i="29" s="1"/>
  <c r="J2425" i="29" s="1"/>
  <c r="J2426" i="29" s="1"/>
  <c r="J2427" i="29" s="1"/>
  <c r="J2428" i="29" s="1"/>
  <c r="J2429" i="29" s="1"/>
  <c r="J2430" i="29" s="1"/>
  <c r="J2431" i="29" s="1"/>
  <c r="J2432" i="29" s="1"/>
  <c r="J2433" i="29" s="1"/>
  <c r="J2434" i="29" s="1"/>
  <c r="J2435" i="29" s="1"/>
  <c r="J2436" i="29" s="1"/>
  <c r="J2437" i="29" s="1"/>
  <c r="J2438" i="29" s="1"/>
  <c r="J2439" i="29" s="1"/>
  <c r="J2440" i="29" s="1"/>
  <c r="J2441" i="29" s="1"/>
  <c r="J2442" i="29" s="1"/>
  <c r="J2443" i="29" s="1"/>
  <c r="J2444" i="29" s="1"/>
  <c r="J2445" i="29" s="1"/>
  <c r="J2446" i="29" s="1"/>
  <c r="J2447" i="29" s="1"/>
  <c r="J2448" i="29" s="1"/>
  <c r="J2449" i="29" s="1"/>
  <c r="J2450" i="29" s="1"/>
  <c r="J2451" i="29" s="1"/>
  <c r="J2452" i="29" s="1"/>
  <c r="J2453" i="29" s="1"/>
  <c r="J2454" i="29" s="1"/>
  <c r="J2455" i="29" s="1"/>
  <c r="J2456" i="29" s="1"/>
  <c r="J2457" i="29" s="1"/>
  <c r="J2458" i="29" s="1"/>
  <c r="J2459" i="29" s="1"/>
  <c r="J2460" i="29" s="1"/>
  <c r="J2461" i="29" s="1"/>
  <c r="J2462" i="29" s="1"/>
  <c r="J2463" i="29" s="1"/>
  <c r="J2464" i="29" s="1"/>
  <c r="J2465" i="29" s="1"/>
  <c r="J2466" i="29" s="1"/>
  <c r="J2467" i="29" s="1"/>
  <c r="J2468" i="29" s="1"/>
  <c r="J2469" i="29" s="1"/>
  <c r="J2470" i="29" s="1"/>
  <c r="J2471" i="29" s="1"/>
  <c r="J2472" i="29" s="1"/>
  <c r="J2473" i="29" s="1"/>
  <c r="J2474" i="29" s="1"/>
  <c r="J2475" i="29" s="1"/>
  <c r="J2476" i="29" s="1"/>
  <c r="J2477" i="29" s="1"/>
  <c r="J2478" i="29" s="1"/>
  <c r="J2479" i="29" s="1"/>
  <c r="J2480" i="29" s="1"/>
  <c r="J2481" i="29" s="1"/>
  <c r="J2482" i="29" s="1"/>
  <c r="J2483" i="29" s="1"/>
  <c r="J2484" i="29" s="1"/>
  <c r="J2485" i="29" s="1"/>
  <c r="J2486" i="29" s="1"/>
  <c r="J2487" i="29" s="1"/>
  <c r="J2488" i="29" s="1"/>
  <c r="J2489" i="29" s="1"/>
  <c r="J2490" i="29" s="1"/>
  <c r="J2491" i="29" s="1"/>
  <c r="J2492" i="29" s="1"/>
  <c r="J2493" i="29" s="1"/>
  <c r="J2494" i="29" s="1"/>
  <c r="J2495" i="29" s="1"/>
  <c r="J2496" i="29" s="1"/>
  <c r="J2497" i="29" s="1"/>
  <c r="J2498" i="29" s="1"/>
  <c r="J2499" i="29" s="1"/>
  <c r="J2500" i="29" s="1"/>
  <c r="J2501" i="29" s="1"/>
  <c r="J2502" i="29" s="1"/>
  <c r="J2503" i="29" s="1"/>
  <c r="J2504" i="29" s="1"/>
  <c r="J2505" i="29" s="1"/>
  <c r="J2506" i="29" s="1"/>
  <c r="J2507" i="29" s="1"/>
  <c r="J2508" i="29" s="1"/>
  <c r="J2509" i="29" s="1"/>
  <c r="J2510" i="29" s="1"/>
  <c r="J2511" i="29" s="1"/>
  <c r="J2512" i="29" s="1"/>
  <c r="J2513" i="29" s="1"/>
  <c r="J2514" i="29" s="1"/>
  <c r="J2515" i="29" s="1"/>
  <c r="J2516" i="29" s="1"/>
  <c r="J2517" i="29" s="1"/>
  <c r="J2518" i="29" s="1"/>
  <c r="J2519" i="29" s="1"/>
  <c r="J2520" i="29" s="1"/>
  <c r="J2521" i="29" s="1"/>
  <c r="J2522" i="29" s="1"/>
  <c r="J2523" i="29" s="1"/>
  <c r="J2524" i="29" s="1"/>
  <c r="J2525" i="29" s="1"/>
  <c r="J2526" i="29" s="1"/>
  <c r="J2527" i="29" s="1"/>
  <c r="J2528" i="29" s="1"/>
  <c r="J2529" i="29" s="1"/>
  <c r="J2530" i="29" s="1"/>
  <c r="J2531" i="29" s="1"/>
  <c r="J2532" i="29" s="1"/>
  <c r="J2533" i="29" s="1"/>
  <c r="J2534" i="29" s="1"/>
  <c r="J2535" i="29" s="1"/>
  <c r="J2536" i="29" s="1"/>
  <c r="J2537" i="29" s="1"/>
  <c r="J2538" i="29" s="1"/>
  <c r="J2539" i="29" s="1"/>
  <c r="J2540" i="29" s="1"/>
  <c r="J2541" i="29" s="1"/>
  <c r="J2542" i="29" s="1"/>
  <c r="J2543" i="29" s="1"/>
  <c r="J2544" i="29" s="1"/>
  <c r="J2545" i="29" s="1"/>
  <c r="J2546" i="29" s="1"/>
  <c r="J2547" i="29" s="1"/>
  <c r="J2548" i="29" s="1"/>
  <c r="J2549" i="29" s="1"/>
  <c r="J2550" i="29" s="1"/>
  <c r="J2551" i="29" s="1"/>
  <c r="J2552" i="29" s="1"/>
  <c r="J2553" i="29" s="1"/>
  <c r="J2554" i="29" s="1"/>
  <c r="J2555" i="29" s="1"/>
  <c r="J2556" i="29" s="1"/>
  <c r="J2557" i="29" s="1"/>
  <c r="J2558" i="29" s="1"/>
  <c r="J2559" i="29" s="1"/>
  <c r="J2560" i="29" s="1"/>
  <c r="J2561" i="29" s="1"/>
  <c r="J2562" i="29" s="1"/>
  <c r="J2563" i="29" s="1"/>
  <c r="J2564" i="29" s="1"/>
  <c r="J2565" i="29" s="1"/>
  <c r="J2566" i="29" s="1"/>
  <c r="J2567" i="29" s="1"/>
  <c r="J2568" i="29" s="1"/>
  <c r="J2569" i="29" s="1"/>
  <c r="J2570" i="29" s="1"/>
  <c r="J2571" i="29" s="1"/>
  <c r="J2572" i="29" s="1"/>
  <c r="J2573" i="29" s="1"/>
  <c r="J2574" i="29" s="1"/>
  <c r="J2575" i="29" s="1"/>
  <c r="J2576" i="29" s="1"/>
  <c r="J2577" i="29" s="1"/>
  <c r="J2578" i="29" s="1"/>
  <c r="J2579" i="29" s="1"/>
  <c r="J2580" i="29" s="1"/>
  <c r="J2581" i="29" s="1"/>
  <c r="J2582" i="29" s="1"/>
  <c r="J2583" i="29" s="1"/>
  <c r="J2584" i="29" s="1"/>
  <c r="J2585" i="29" s="1"/>
  <c r="J2586" i="29" s="1"/>
  <c r="J2587" i="29" s="1"/>
  <c r="J2588" i="29" s="1"/>
  <c r="J2589" i="29" s="1"/>
  <c r="J2590" i="29" s="1"/>
  <c r="J2591" i="29" s="1"/>
  <c r="J2592" i="29" s="1"/>
  <c r="J2593" i="29" s="1"/>
  <c r="J2594" i="29" s="1"/>
  <c r="J2595" i="29" s="1"/>
  <c r="J2596" i="29" s="1"/>
  <c r="J2597" i="29" s="1"/>
  <c r="J2598" i="29" s="1"/>
  <c r="J2599" i="29" s="1"/>
  <c r="J2600" i="29" s="1"/>
  <c r="J2601" i="29" s="1"/>
  <c r="J2602" i="29" s="1"/>
  <c r="J2603" i="29" s="1"/>
  <c r="J2604" i="29" s="1"/>
  <c r="J2605" i="29" s="1"/>
  <c r="J2606" i="29" s="1"/>
  <c r="J2607" i="29" s="1"/>
  <c r="J2608" i="29" s="1"/>
  <c r="J2609" i="29" s="1"/>
  <c r="J2610" i="29" s="1"/>
  <c r="J2611" i="29" s="1"/>
  <c r="J2612" i="29" s="1"/>
  <c r="J2613" i="29" s="1"/>
  <c r="J2614" i="29" s="1"/>
  <c r="J2615" i="29" s="1"/>
  <c r="J2616" i="29" s="1"/>
  <c r="J2617" i="29" s="1"/>
  <c r="J2618" i="29" s="1"/>
  <c r="J2619" i="29" s="1"/>
  <c r="J2620" i="29" s="1"/>
  <c r="J2621" i="29" s="1"/>
  <c r="J2622" i="29" s="1"/>
  <c r="J2623" i="29" s="1"/>
  <c r="J2624" i="29" s="1"/>
  <c r="J2625" i="29" s="1"/>
  <c r="J2626" i="29" s="1"/>
  <c r="J2627" i="29" s="1"/>
  <c r="J2628" i="29" s="1"/>
  <c r="J2629" i="29" s="1"/>
  <c r="J2630" i="29" s="1"/>
  <c r="J2631" i="29" s="1"/>
  <c r="J2632" i="29" s="1"/>
  <c r="J2633" i="29" s="1"/>
  <c r="J2634" i="29" s="1"/>
  <c r="J2635" i="29" s="1"/>
  <c r="J2636" i="29" s="1"/>
  <c r="J2637" i="29" s="1"/>
  <c r="J2638" i="29" s="1"/>
  <c r="J2639" i="29" s="1"/>
  <c r="J2640" i="29" s="1"/>
  <c r="J2641" i="29" s="1"/>
  <c r="J2642" i="29" s="1"/>
  <c r="J2643" i="29" s="1"/>
  <c r="J2644" i="29" s="1"/>
  <c r="J2645" i="29" s="1"/>
  <c r="J2646" i="29" s="1"/>
  <c r="J2647" i="29" s="1"/>
  <c r="J2648" i="29" s="1"/>
  <c r="J2649" i="29" s="1"/>
  <c r="J2650" i="29" s="1"/>
  <c r="J2651" i="29" s="1"/>
  <c r="J2652" i="29" s="1"/>
  <c r="J2653" i="29" s="1"/>
  <c r="J2654" i="29" s="1"/>
  <c r="J2655" i="29" s="1"/>
  <c r="J2656" i="29" s="1"/>
  <c r="J2657" i="29" s="1"/>
  <c r="J2658" i="29" s="1"/>
  <c r="J2659" i="29" s="1"/>
  <c r="J2660" i="29" s="1"/>
  <c r="J2661" i="29" s="1"/>
  <c r="J2662" i="29" s="1"/>
  <c r="J2663" i="29" s="1"/>
  <c r="J2664" i="29" s="1"/>
  <c r="J2665" i="29" s="1"/>
  <c r="J2666" i="29" s="1"/>
  <c r="J2667" i="29" s="1"/>
  <c r="J2668" i="29" s="1"/>
  <c r="J2669" i="29" s="1"/>
  <c r="J2670" i="29" s="1"/>
  <c r="J2671" i="29" s="1"/>
  <c r="J2672" i="29" s="1"/>
  <c r="J2673" i="29" s="1"/>
  <c r="J2674" i="29" s="1"/>
  <c r="J2675" i="29" s="1"/>
  <c r="J2676" i="29" s="1"/>
  <c r="J2677" i="29" s="1"/>
  <c r="J2678" i="29" s="1"/>
  <c r="J2679" i="29" s="1"/>
  <c r="J2680" i="29" s="1"/>
  <c r="J2681" i="29" s="1"/>
  <c r="J2682" i="29" s="1"/>
  <c r="J2683" i="29" s="1"/>
  <c r="J2684" i="29" s="1"/>
  <c r="J2685" i="29" s="1"/>
  <c r="J2686" i="29" s="1"/>
  <c r="J2687" i="29" s="1"/>
  <c r="J2688" i="29" s="1"/>
  <c r="J2689" i="29" s="1"/>
  <c r="J2690" i="29" s="1"/>
  <c r="J2691" i="29" s="1"/>
  <c r="J2692" i="29" s="1"/>
  <c r="J2693" i="29" s="1"/>
  <c r="J2694" i="29" s="1"/>
  <c r="J2695" i="29" s="1"/>
  <c r="J2696" i="29" s="1"/>
  <c r="J2697" i="29" s="1"/>
  <c r="J2698" i="29" s="1"/>
  <c r="J2699" i="29" s="1"/>
  <c r="J2700" i="29" s="1"/>
  <c r="J2701" i="29" s="1"/>
  <c r="J2702" i="29" s="1"/>
  <c r="J2703" i="29" s="1"/>
  <c r="J2704" i="29" s="1"/>
  <c r="J2705" i="29" s="1"/>
  <c r="J2706" i="29" s="1"/>
  <c r="J2707" i="29" s="1"/>
  <c r="J2708" i="29" s="1"/>
  <c r="J2709" i="29" s="1"/>
  <c r="J2710" i="29" s="1"/>
  <c r="J2711" i="29" s="1"/>
  <c r="J2712" i="29" s="1"/>
  <c r="J2713" i="29" s="1"/>
  <c r="J2714" i="29" s="1"/>
  <c r="J2715" i="29" s="1"/>
  <c r="J2716" i="29" s="1"/>
  <c r="J2717" i="29" s="1"/>
  <c r="J2718" i="29" s="1"/>
  <c r="J2719" i="29" s="1"/>
  <c r="J2720" i="29" s="1"/>
  <c r="J2721" i="29" s="1"/>
  <c r="J2722" i="29" s="1"/>
  <c r="J2723" i="29" s="1"/>
  <c r="J2724" i="29" s="1"/>
  <c r="J2725" i="29" s="1"/>
  <c r="J2726" i="29" s="1"/>
  <c r="J2727" i="29" s="1"/>
  <c r="J2728" i="29" s="1"/>
  <c r="J2729" i="29" s="1"/>
  <c r="J2730" i="29" s="1"/>
  <c r="J2731" i="29" s="1"/>
  <c r="J2732" i="29" s="1"/>
  <c r="J2733" i="29" s="1"/>
  <c r="J2734" i="29" s="1"/>
  <c r="J2735" i="29" s="1"/>
  <c r="J2736" i="29" s="1"/>
  <c r="J2737" i="29" s="1"/>
  <c r="J2738" i="29" s="1"/>
  <c r="J2739" i="29" s="1"/>
  <c r="J2740" i="29" s="1"/>
  <c r="J2741" i="29" s="1"/>
  <c r="J2742" i="29" s="1"/>
  <c r="J2743" i="29" s="1"/>
  <c r="J2744" i="29" s="1"/>
  <c r="J2745" i="29" s="1"/>
  <c r="J2746" i="29" s="1"/>
  <c r="J2747" i="29" s="1"/>
  <c r="J2748" i="29" s="1"/>
  <c r="J2749" i="29" s="1"/>
  <c r="J2750" i="29" s="1"/>
  <c r="J2751" i="29" s="1"/>
  <c r="J2752" i="29" s="1"/>
  <c r="J2753" i="29" s="1"/>
  <c r="J2754" i="29" s="1"/>
  <c r="J2755" i="29" s="1"/>
  <c r="J2756" i="29" s="1"/>
  <c r="J2757" i="29" s="1"/>
  <c r="J2758" i="29" s="1"/>
  <c r="J2759" i="29" s="1"/>
  <c r="J2760" i="29" s="1"/>
  <c r="J2761" i="29" s="1"/>
  <c r="J2762" i="29" s="1"/>
  <c r="J2763" i="29" s="1"/>
  <c r="J2764" i="29" s="1"/>
  <c r="J2765" i="29" s="1"/>
  <c r="J2766" i="29" s="1"/>
  <c r="J2767" i="29" s="1"/>
  <c r="J2768" i="29" s="1"/>
  <c r="J2769" i="29" s="1"/>
  <c r="J2770" i="29" s="1"/>
  <c r="J2771" i="29" s="1"/>
  <c r="J2772" i="29" s="1"/>
  <c r="J2773" i="29" s="1"/>
  <c r="J2774" i="29" s="1"/>
  <c r="J2775" i="29" s="1"/>
  <c r="J2776" i="29" s="1"/>
  <c r="J2777" i="29" s="1"/>
  <c r="J2778" i="29" s="1"/>
  <c r="J2779" i="29" s="1"/>
  <c r="J2780" i="29" s="1"/>
  <c r="J2781" i="29" s="1"/>
  <c r="J2782" i="29" s="1"/>
  <c r="J2783" i="29" s="1"/>
  <c r="J2784" i="29" s="1"/>
  <c r="J2785" i="29" s="1"/>
  <c r="J2786" i="29" s="1"/>
  <c r="J2787" i="29" s="1"/>
  <c r="J2788" i="29" s="1"/>
  <c r="J2789" i="29" s="1"/>
  <c r="J2790" i="29" s="1"/>
  <c r="J2791" i="29" s="1"/>
  <c r="J2792" i="29" s="1"/>
  <c r="J2793" i="29" s="1"/>
  <c r="J2794" i="29" s="1"/>
  <c r="J2795" i="29" s="1"/>
  <c r="J2796" i="29" s="1"/>
  <c r="J2797" i="29" s="1"/>
  <c r="J2798" i="29" s="1"/>
  <c r="J2799" i="29" s="1"/>
  <c r="J2800" i="29" s="1"/>
  <c r="J2801" i="29" s="1"/>
  <c r="J2802" i="29" s="1"/>
  <c r="J2803" i="29" s="1"/>
  <c r="J2804" i="29" s="1"/>
  <c r="J2805" i="29" s="1"/>
  <c r="J2806" i="29" s="1"/>
  <c r="J2807" i="29" s="1"/>
  <c r="J2808" i="29" s="1"/>
  <c r="J2809" i="29" s="1"/>
  <c r="J2810" i="29" s="1"/>
  <c r="J2811" i="29" s="1"/>
  <c r="J2812" i="29" s="1"/>
  <c r="J2813" i="29" s="1"/>
  <c r="J2814" i="29" s="1"/>
  <c r="J2815" i="29" s="1"/>
  <c r="J2816" i="29" s="1"/>
  <c r="J2817" i="29" s="1"/>
  <c r="J2818" i="29" s="1"/>
  <c r="J2819" i="29" s="1"/>
  <c r="J2820" i="29" s="1"/>
  <c r="J2821" i="29" s="1"/>
  <c r="J2822" i="29" s="1"/>
  <c r="J2823" i="29" s="1"/>
  <c r="J2824" i="29" s="1"/>
  <c r="J2825" i="29" s="1"/>
  <c r="J2826" i="29" s="1"/>
  <c r="J2827" i="29" s="1"/>
  <c r="J2828" i="29" s="1"/>
  <c r="J2829" i="29" s="1"/>
  <c r="J2830" i="29" s="1"/>
  <c r="J2831" i="29" s="1"/>
  <c r="J2832" i="29" s="1"/>
  <c r="J2833" i="29" s="1"/>
  <c r="J2834" i="29" s="1"/>
  <c r="J2835" i="29" s="1"/>
  <c r="J2836" i="29" s="1"/>
  <c r="J2837" i="29" s="1"/>
  <c r="J2838" i="29" s="1"/>
  <c r="J2839" i="29" s="1"/>
  <c r="J2840" i="29" s="1"/>
  <c r="J2841" i="29" s="1"/>
  <c r="J2842" i="29" s="1"/>
  <c r="J2843" i="29" s="1"/>
  <c r="J2844" i="29" s="1"/>
  <c r="J2845" i="29" s="1"/>
  <c r="J2846" i="29" s="1"/>
  <c r="J2847" i="29" s="1"/>
  <c r="J2848" i="29" s="1"/>
  <c r="J2849" i="29" s="1"/>
  <c r="J2850" i="29" s="1"/>
  <c r="J2851" i="29" s="1"/>
  <c r="J2852" i="29" s="1"/>
  <c r="J2853" i="29" s="1"/>
  <c r="J2854" i="29" s="1"/>
  <c r="J2855" i="29" s="1"/>
  <c r="J2856" i="29" s="1"/>
  <c r="J2857" i="29" s="1"/>
  <c r="J2858" i="29" s="1"/>
  <c r="J2859" i="29" s="1"/>
  <c r="J2860" i="29" s="1"/>
  <c r="J2861" i="29" s="1"/>
  <c r="J2862" i="29" s="1"/>
  <c r="J2863" i="29" s="1"/>
  <c r="J2864" i="29" s="1"/>
  <c r="J2865" i="29" s="1"/>
  <c r="J2866" i="29" s="1"/>
  <c r="J2867" i="29" s="1"/>
  <c r="J2868" i="29" s="1"/>
  <c r="J2869" i="29" s="1"/>
  <c r="J2870" i="29" s="1"/>
  <c r="J2871" i="29" s="1"/>
  <c r="J2872" i="29" s="1"/>
  <c r="J2873" i="29" s="1"/>
  <c r="J2874" i="29" s="1"/>
  <c r="J2875" i="29" s="1"/>
  <c r="J2876" i="29" s="1"/>
  <c r="J2877" i="29" s="1"/>
  <c r="J2878" i="29" s="1"/>
  <c r="J2879" i="29" s="1"/>
  <c r="J2880" i="29" s="1"/>
  <c r="J2881" i="29" s="1"/>
  <c r="J2882" i="29" s="1"/>
  <c r="J2883" i="29" s="1"/>
  <c r="J2884" i="29" s="1"/>
  <c r="J2885" i="29" s="1"/>
  <c r="J2886" i="29" s="1"/>
  <c r="J2887" i="29" s="1"/>
  <c r="J2888" i="29" s="1"/>
  <c r="J2889" i="29" s="1"/>
  <c r="J2890" i="29" s="1"/>
  <c r="J2891" i="29" s="1"/>
  <c r="J2892" i="29" s="1"/>
  <c r="J2893" i="29" s="1"/>
  <c r="J2894" i="29" s="1"/>
  <c r="J2895" i="29" s="1"/>
  <c r="J2896" i="29" s="1"/>
  <c r="J2897" i="29" s="1"/>
  <c r="J2898" i="29" s="1"/>
  <c r="J2899" i="29" s="1"/>
  <c r="J2900" i="29" s="1"/>
  <c r="J2901" i="29" s="1"/>
  <c r="J2902" i="29" s="1"/>
  <c r="J2903" i="29" s="1"/>
  <c r="J2904" i="29" s="1"/>
  <c r="J2905" i="29" s="1"/>
  <c r="J2906" i="29" s="1"/>
  <c r="J2907" i="29" s="1"/>
  <c r="J2908" i="29" s="1"/>
  <c r="J2909" i="29" s="1"/>
  <c r="J2910" i="29" s="1"/>
  <c r="J2911" i="29" s="1"/>
  <c r="J2912" i="29" s="1"/>
  <c r="J2913" i="29" s="1"/>
  <c r="J2914" i="29" s="1"/>
  <c r="J2915" i="29" s="1"/>
  <c r="J2916" i="29" s="1"/>
  <c r="J2917" i="29" s="1"/>
  <c r="J2918" i="29" s="1"/>
  <c r="J2919" i="29" s="1"/>
  <c r="J2920" i="29" s="1"/>
  <c r="J2921" i="29" s="1"/>
  <c r="J2922" i="29" s="1"/>
  <c r="J2923" i="29" s="1"/>
  <c r="J2924" i="29" s="1"/>
  <c r="J2925" i="29" s="1"/>
  <c r="J2926" i="29" s="1"/>
  <c r="J2927" i="29" s="1"/>
  <c r="J2928" i="29" s="1"/>
  <c r="J2929" i="29" s="1"/>
  <c r="J2930" i="29" s="1"/>
  <c r="J2931" i="29" s="1"/>
  <c r="J2932" i="29" s="1"/>
  <c r="J2933" i="29" s="1"/>
  <c r="J2934" i="29" s="1"/>
  <c r="J2935" i="29" s="1"/>
  <c r="J2936" i="29" s="1"/>
  <c r="J2937" i="29" s="1"/>
  <c r="J2938" i="29" s="1"/>
  <c r="J2939" i="29" s="1"/>
  <c r="J2940" i="29" s="1"/>
  <c r="J2941" i="29" s="1"/>
  <c r="J2942" i="29" s="1"/>
  <c r="J2943" i="29" s="1"/>
  <c r="J2944" i="29" s="1"/>
  <c r="J2945" i="29" s="1"/>
  <c r="J2946" i="29" s="1"/>
  <c r="J2947" i="29" s="1"/>
  <c r="J2948" i="29" s="1"/>
  <c r="J2949" i="29" s="1"/>
  <c r="J2950" i="29" s="1"/>
  <c r="J2951" i="29" s="1"/>
  <c r="J2952" i="29" s="1"/>
  <c r="J2953" i="29" s="1"/>
  <c r="J2954" i="29" s="1"/>
  <c r="J2955" i="29" s="1"/>
  <c r="J2956" i="29" s="1"/>
  <c r="J2957" i="29" s="1"/>
  <c r="J2958" i="29" s="1"/>
  <c r="J2959" i="29" s="1"/>
  <c r="J2960" i="29" s="1"/>
  <c r="J2961" i="29" s="1"/>
  <c r="J2962" i="29" s="1"/>
  <c r="J2963" i="29" s="1"/>
  <c r="J2964" i="29" s="1"/>
  <c r="J2965" i="29" s="1"/>
  <c r="J2966" i="29" s="1"/>
  <c r="J2967" i="29" s="1"/>
  <c r="J2968" i="29" s="1"/>
  <c r="J2969" i="29" s="1"/>
  <c r="J2970" i="29" s="1"/>
  <c r="J2971" i="29" s="1"/>
  <c r="J2972" i="29" s="1"/>
  <c r="J2973" i="29" s="1"/>
  <c r="J2974" i="29" s="1"/>
  <c r="J2975" i="29" s="1"/>
  <c r="J2976" i="29" s="1"/>
  <c r="J2977" i="29" s="1"/>
  <c r="J2978" i="29" s="1"/>
  <c r="J2979" i="29" s="1"/>
  <c r="J2980" i="29" s="1"/>
  <c r="J2981" i="29" s="1"/>
  <c r="J2982" i="29" s="1"/>
  <c r="J2983" i="29" s="1"/>
  <c r="J2984" i="29" s="1"/>
  <c r="J2985" i="29" s="1"/>
  <c r="J2986" i="29" s="1"/>
  <c r="J2987" i="29" s="1"/>
  <c r="J2988" i="29" s="1"/>
  <c r="J2989" i="29" s="1"/>
  <c r="J2990" i="29" s="1"/>
  <c r="J2991" i="29" s="1"/>
  <c r="J2992" i="29" s="1"/>
  <c r="J2993" i="29" s="1"/>
  <c r="J2994" i="29" s="1"/>
  <c r="J2995" i="29" s="1"/>
  <c r="J2996" i="29" s="1"/>
  <c r="J2997" i="29" s="1"/>
  <c r="J2998" i="29" s="1"/>
  <c r="J2999" i="29" s="1"/>
  <c r="J3000" i="29" s="1"/>
  <c r="J3001" i="29" s="1"/>
  <c r="J3002" i="29" s="1"/>
  <c r="J3003" i="29" s="1"/>
  <c r="J3004" i="29" s="1"/>
  <c r="J3005" i="29" s="1"/>
  <c r="J3006" i="29" s="1"/>
  <c r="J3007" i="29" s="1"/>
  <c r="J3008" i="29" s="1"/>
  <c r="J3009" i="29" s="1"/>
  <c r="J3010" i="29" s="1"/>
  <c r="J3011" i="29" s="1"/>
  <c r="J3012" i="29" s="1"/>
  <c r="J3013" i="29" s="1"/>
  <c r="J3014" i="29" s="1"/>
  <c r="J3015" i="29" s="1"/>
  <c r="J3016" i="29" s="1"/>
  <c r="J3017" i="29" s="1"/>
  <c r="J3018" i="29" s="1"/>
  <c r="J3019" i="29" s="1"/>
  <c r="J3020" i="29" s="1"/>
  <c r="J3021" i="29" s="1"/>
  <c r="J3022" i="29" s="1"/>
  <c r="J3023" i="29" s="1"/>
  <c r="J3024" i="29" s="1"/>
  <c r="J3025" i="29" s="1"/>
  <c r="J3026" i="29" s="1"/>
  <c r="J3027" i="29" s="1"/>
  <c r="J3028" i="29" s="1"/>
  <c r="J3029" i="29" s="1"/>
  <c r="J3030" i="29" s="1"/>
  <c r="J3031" i="29" s="1"/>
  <c r="J3032" i="29" s="1"/>
  <c r="J3033" i="29" s="1"/>
  <c r="J3034" i="29" s="1"/>
  <c r="J3035" i="29" s="1"/>
  <c r="J3036" i="29" s="1"/>
  <c r="J3037" i="29" s="1"/>
  <c r="J3038" i="29" s="1"/>
  <c r="J3039" i="29" s="1"/>
  <c r="J3040" i="29" s="1"/>
  <c r="J3041" i="29" s="1"/>
  <c r="J3042" i="29" s="1"/>
  <c r="J3043" i="29" s="1"/>
  <c r="J3044" i="29" s="1"/>
  <c r="J3045" i="29" s="1"/>
  <c r="J3046" i="29" s="1"/>
  <c r="J3047" i="29" s="1"/>
  <c r="J3048" i="29" s="1"/>
  <c r="J3049" i="29" s="1"/>
  <c r="J3050" i="29" s="1"/>
  <c r="J3051" i="29" s="1"/>
  <c r="J3052" i="29" s="1"/>
  <c r="J3053" i="29" s="1"/>
  <c r="J3054" i="29" s="1"/>
  <c r="J3055" i="29" s="1"/>
  <c r="J3056" i="29" s="1"/>
  <c r="J3057" i="29" s="1"/>
  <c r="J3058" i="29" s="1"/>
  <c r="J3059" i="29" s="1"/>
  <c r="J3060" i="29" s="1"/>
  <c r="J3061" i="29" s="1"/>
  <c r="J3062" i="29" s="1"/>
  <c r="J3063" i="29" s="1"/>
  <c r="J3064" i="29" s="1"/>
  <c r="J3065" i="29" s="1"/>
  <c r="J3066" i="29" s="1"/>
  <c r="J3067" i="29" s="1"/>
  <c r="J3068" i="29" s="1"/>
  <c r="J3069" i="29" s="1"/>
  <c r="J3070" i="29" s="1"/>
  <c r="J3071" i="29" s="1"/>
  <c r="J3072" i="29" s="1"/>
  <c r="J3073" i="29" s="1"/>
  <c r="J3074" i="29" s="1"/>
  <c r="J3075" i="29" s="1"/>
  <c r="J3076" i="29" s="1"/>
  <c r="J3077" i="29" s="1"/>
  <c r="J3078" i="29" s="1"/>
  <c r="J3079" i="29" s="1"/>
  <c r="J3080" i="29" s="1"/>
  <c r="J3081" i="29" s="1"/>
  <c r="J3082" i="29" s="1"/>
  <c r="J3083" i="29" s="1"/>
  <c r="J3084" i="29" s="1"/>
  <c r="J3085" i="29" s="1"/>
  <c r="J3086" i="29" s="1"/>
  <c r="J3087" i="29" s="1"/>
  <c r="J3088" i="29" s="1"/>
  <c r="J3089" i="29" s="1"/>
  <c r="J3090" i="29" s="1"/>
  <c r="J3091" i="29" s="1"/>
  <c r="J3092" i="29" s="1"/>
  <c r="J3093" i="29" s="1"/>
  <c r="J3094" i="29" s="1"/>
  <c r="J3095" i="29" s="1"/>
  <c r="J3096" i="29" s="1"/>
  <c r="J3097" i="29" s="1"/>
  <c r="J3098" i="29" s="1"/>
  <c r="J3099" i="29" s="1"/>
  <c r="J3100" i="29" s="1"/>
  <c r="J3101" i="29" s="1"/>
  <c r="J3102" i="29" s="1"/>
  <c r="J3103" i="29" s="1"/>
  <c r="J3104" i="29" s="1"/>
  <c r="J3105" i="29" s="1"/>
  <c r="J3106" i="29" s="1"/>
  <c r="J3107" i="29" s="1"/>
  <c r="J3108" i="29" s="1"/>
  <c r="J3109" i="29" s="1"/>
  <c r="J3110" i="29" s="1"/>
  <c r="J3111" i="29" s="1"/>
  <c r="J3112" i="29" s="1"/>
  <c r="J3113" i="29" s="1"/>
  <c r="J3114" i="29" s="1"/>
  <c r="J3115" i="29" s="1"/>
  <c r="J3116" i="29" s="1"/>
  <c r="J3117" i="29" s="1"/>
  <c r="J3118" i="29" s="1"/>
  <c r="J3119" i="29" s="1"/>
  <c r="J3120" i="29" s="1"/>
  <c r="J3121" i="29" s="1"/>
  <c r="J3122" i="29" s="1"/>
  <c r="J3123" i="29" s="1"/>
  <c r="J3124" i="29" s="1"/>
  <c r="J3125" i="29" s="1"/>
  <c r="J3126" i="29" s="1"/>
  <c r="J3127" i="29" s="1"/>
  <c r="J3128" i="29" s="1"/>
  <c r="J3129" i="29" s="1"/>
  <c r="J3130" i="29" s="1"/>
  <c r="J3131" i="29" s="1"/>
  <c r="J3132" i="29" s="1"/>
  <c r="J3133" i="29" s="1"/>
  <c r="J3134" i="29" s="1"/>
  <c r="J3135" i="29" s="1"/>
  <c r="J3136" i="29" s="1"/>
  <c r="J3137" i="29" s="1"/>
  <c r="J3138" i="29" s="1"/>
  <c r="J3139" i="29" s="1"/>
  <c r="J3140" i="29" s="1"/>
  <c r="J3141" i="29" s="1"/>
  <c r="J3142" i="29" s="1"/>
  <c r="J3143" i="29" s="1"/>
  <c r="J3144" i="29" s="1"/>
  <c r="J3145" i="29" s="1"/>
  <c r="J3146" i="29" s="1"/>
  <c r="J3147" i="29" s="1"/>
  <c r="J3148" i="29" s="1"/>
  <c r="J3149" i="29" s="1"/>
  <c r="J3150" i="29" s="1"/>
  <c r="J3151" i="29" s="1"/>
  <c r="J3152" i="29" s="1"/>
  <c r="J3153" i="29" s="1"/>
  <c r="J3154" i="29" s="1"/>
  <c r="J3155" i="29" s="1"/>
  <c r="J3156" i="29" s="1"/>
  <c r="J3157" i="29" s="1"/>
  <c r="J3158" i="29" s="1"/>
  <c r="J3159" i="29" s="1"/>
  <c r="J3160" i="29" s="1"/>
  <c r="J3161" i="29" s="1"/>
  <c r="J3162" i="29" s="1"/>
  <c r="J3163" i="29" s="1"/>
  <c r="J3164" i="29" s="1"/>
  <c r="J3165" i="29" s="1"/>
  <c r="J3166" i="29" s="1"/>
  <c r="J3167" i="29" s="1"/>
  <c r="J3168" i="29" s="1"/>
  <c r="J3169" i="29" s="1"/>
  <c r="J3170" i="29" s="1"/>
  <c r="J3171" i="29" s="1"/>
  <c r="J3172" i="29" s="1"/>
  <c r="J3173" i="29" s="1"/>
  <c r="J3174" i="29" s="1"/>
  <c r="J3175" i="29" s="1"/>
  <c r="J3176" i="29" s="1"/>
  <c r="J3177" i="29" s="1"/>
  <c r="J3178" i="29" s="1"/>
  <c r="J3179" i="29" s="1"/>
  <c r="J3180" i="29" s="1"/>
  <c r="J3181" i="29" s="1"/>
  <c r="J3182" i="29" s="1"/>
  <c r="J3183" i="29" s="1"/>
  <c r="J3184" i="29" s="1"/>
  <c r="J3185" i="29" s="1"/>
  <c r="J3186" i="29" s="1"/>
  <c r="J3187" i="29" s="1"/>
  <c r="J3188" i="29" s="1"/>
  <c r="J3189" i="29" s="1"/>
  <c r="J3190" i="29" s="1"/>
  <c r="J3191" i="29" s="1"/>
  <c r="J3192" i="29" s="1"/>
  <c r="J3193" i="29" s="1"/>
  <c r="J3194" i="29" s="1"/>
  <c r="J3195" i="29" s="1"/>
  <c r="J3196" i="29" s="1"/>
  <c r="J3197" i="29" s="1"/>
  <c r="J3198" i="29" s="1"/>
  <c r="J3199" i="29" s="1"/>
  <c r="J3200" i="29" s="1"/>
  <c r="J3201" i="29" s="1"/>
  <c r="J3202" i="29" s="1"/>
  <c r="J3203" i="29" s="1"/>
  <c r="J3204" i="29" s="1"/>
  <c r="J3205" i="29" s="1"/>
  <c r="J3206" i="29" s="1"/>
  <c r="J3207" i="29" s="1"/>
  <c r="J3208" i="29" s="1"/>
  <c r="J3209" i="29" s="1"/>
  <c r="J3210" i="29" s="1"/>
  <c r="J3211" i="29" s="1"/>
  <c r="J3212" i="29" s="1"/>
  <c r="J3213" i="29" s="1"/>
  <c r="J3214" i="29" s="1"/>
  <c r="J3215" i="29" s="1"/>
  <c r="J3216" i="29" s="1"/>
  <c r="J3217" i="29" s="1"/>
  <c r="J3218" i="29" s="1"/>
  <c r="J3219" i="29" s="1"/>
  <c r="J3220" i="29" s="1"/>
  <c r="J3221" i="29" s="1"/>
  <c r="J3222" i="29" s="1"/>
  <c r="J3223" i="29" s="1"/>
  <c r="J3224" i="29" s="1"/>
  <c r="J3225" i="29" s="1"/>
  <c r="J3226" i="29" s="1"/>
  <c r="J3227" i="29" s="1"/>
  <c r="J3228" i="29" s="1"/>
  <c r="J3229" i="29" s="1"/>
  <c r="J3230" i="29" s="1"/>
  <c r="J3231" i="29" s="1"/>
  <c r="J3232" i="29" s="1"/>
  <c r="J3233" i="29" s="1"/>
  <c r="J3234" i="29" s="1"/>
  <c r="J3235" i="29" s="1"/>
  <c r="J3236" i="29" s="1"/>
  <c r="J3237" i="29" s="1"/>
  <c r="J3238" i="29" s="1"/>
  <c r="J3239" i="29" s="1"/>
  <c r="J3240" i="29" s="1"/>
  <c r="J3241" i="29" s="1"/>
  <c r="J3242" i="29" s="1"/>
  <c r="J3243" i="29" s="1"/>
  <c r="J3244" i="29" s="1"/>
  <c r="J3245" i="29" s="1"/>
  <c r="J3246" i="29" s="1"/>
  <c r="J3247" i="29" s="1"/>
  <c r="J3248" i="29" s="1"/>
  <c r="J3249" i="29" s="1"/>
  <c r="J3250" i="29" s="1"/>
  <c r="J3251" i="29" s="1"/>
  <c r="J3252" i="29" s="1"/>
  <c r="J3253" i="29" s="1"/>
  <c r="J3254" i="29" s="1"/>
  <c r="J3255" i="29" s="1"/>
  <c r="J3256" i="29" s="1"/>
  <c r="J3257" i="29" s="1"/>
  <c r="J3258" i="29" s="1"/>
  <c r="J3259" i="29" s="1"/>
  <c r="J3260" i="29" s="1"/>
  <c r="J3261" i="29" s="1"/>
  <c r="J3262" i="29" s="1"/>
  <c r="J3263" i="29" s="1"/>
  <c r="J3264" i="29" s="1"/>
  <c r="J3265" i="29" s="1"/>
  <c r="J3266" i="29" s="1"/>
  <c r="J3267" i="29" s="1"/>
  <c r="J3268" i="29" s="1"/>
  <c r="J3269" i="29" s="1"/>
  <c r="J3270" i="29" s="1"/>
  <c r="J3271" i="29" s="1"/>
  <c r="J3272" i="29" s="1"/>
  <c r="J3273" i="29" s="1"/>
  <c r="J3274" i="29" s="1"/>
  <c r="J3275" i="29" s="1"/>
  <c r="J3276" i="29" s="1"/>
  <c r="J3277" i="29" s="1"/>
  <c r="J3278" i="29" s="1"/>
  <c r="J3279" i="29" s="1"/>
  <c r="J3280" i="29" s="1"/>
  <c r="J3281" i="29" s="1"/>
  <c r="J3282" i="29" s="1"/>
  <c r="J3283" i="29" s="1"/>
  <c r="J3284" i="29" s="1"/>
  <c r="J3285" i="29" s="1"/>
  <c r="J3286" i="29" s="1"/>
  <c r="J3287" i="29" s="1"/>
  <c r="J3288" i="29" s="1"/>
  <c r="J3289" i="29" s="1"/>
  <c r="J3290" i="29" s="1"/>
  <c r="J3291" i="29" s="1"/>
  <c r="J3292" i="29" s="1"/>
  <c r="J3293" i="29" s="1"/>
  <c r="J3294" i="29" s="1"/>
  <c r="J3295" i="29" s="1"/>
  <c r="J3296" i="29" s="1"/>
  <c r="J3297" i="29" s="1"/>
  <c r="J3298" i="29" s="1"/>
  <c r="J3299" i="29" s="1"/>
  <c r="J3300" i="29" s="1"/>
  <c r="J3301" i="29" s="1"/>
  <c r="J3302" i="29" s="1"/>
  <c r="J3303" i="29" s="1"/>
  <c r="J3304" i="29" s="1"/>
  <c r="J3305" i="29" s="1"/>
  <c r="J3306" i="29" s="1"/>
  <c r="J3307" i="29" s="1"/>
  <c r="J3308" i="29" s="1"/>
  <c r="J3309" i="29" s="1"/>
  <c r="J3310" i="29" s="1"/>
  <c r="J3311" i="29" s="1"/>
  <c r="J3312" i="29" s="1"/>
  <c r="J3313" i="29" s="1"/>
  <c r="J3314" i="29" s="1"/>
  <c r="J3315" i="29" s="1"/>
  <c r="J3316" i="29" s="1"/>
  <c r="J3317" i="29" s="1"/>
  <c r="J3318" i="29" s="1"/>
  <c r="J3319" i="29" s="1"/>
  <c r="J3320" i="29" s="1"/>
  <c r="J3321" i="29" s="1"/>
  <c r="J3322" i="29" s="1"/>
  <c r="J3323" i="29" s="1"/>
  <c r="J3324" i="29" s="1"/>
  <c r="J3325" i="29" s="1"/>
  <c r="J3326" i="29" s="1"/>
  <c r="J3327" i="29" s="1"/>
  <c r="J3328" i="29" s="1"/>
  <c r="J3329" i="29" s="1"/>
  <c r="J3330" i="29" s="1"/>
  <c r="J3331" i="29" s="1"/>
  <c r="J3332" i="29" s="1"/>
  <c r="J3333" i="29" s="1"/>
  <c r="J3334" i="29" s="1"/>
  <c r="J3335" i="29" s="1"/>
  <c r="J3336" i="29" s="1"/>
  <c r="J3337" i="29" s="1"/>
  <c r="J3338" i="29" s="1"/>
  <c r="J3339" i="29" s="1"/>
  <c r="J3340" i="29" s="1"/>
  <c r="J3341" i="29" s="1"/>
  <c r="J3342" i="29" s="1"/>
  <c r="J3343" i="29" s="1"/>
  <c r="J3344" i="29" s="1"/>
  <c r="J3345" i="29" s="1"/>
  <c r="J3346" i="29" s="1"/>
  <c r="J3347" i="29" s="1"/>
  <c r="J3348" i="29" s="1"/>
  <c r="J3349" i="29" s="1"/>
  <c r="J3350" i="29" s="1"/>
  <c r="J3351" i="29" s="1"/>
  <c r="J3352" i="29" s="1"/>
  <c r="J3353" i="29" s="1"/>
  <c r="J3354" i="29" s="1"/>
  <c r="J3355" i="29" s="1"/>
  <c r="J3356" i="29" s="1"/>
  <c r="J3357" i="29" s="1"/>
  <c r="J3358" i="29" s="1"/>
  <c r="J3359" i="29" s="1"/>
  <c r="J3360" i="29" s="1"/>
  <c r="J3361" i="29" s="1"/>
  <c r="J3362" i="29" s="1"/>
  <c r="J3363" i="29" s="1"/>
  <c r="J3364" i="29" s="1"/>
  <c r="J3365" i="29" s="1"/>
  <c r="J3366" i="29" s="1"/>
  <c r="J3367" i="29" s="1"/>
  <c r="J3368" i="29" s="1"/>
  <c r="J3369" i="29" s="1"/>
  <c r="J3370" i="29" s="1"/>
  <c r="J3371" i="29" s="1"/>
  <c r="J3372" i="29" s="1"/>
  <c r="J3373" i="29" s="1"/>
  <c r="J3374" i="29" s="1"/>
  <c r="J3375" i="29" s="1"/>
  <c r="J3376" i="29" s="1"/>
  <c r="J3377" i="29" s="1"/>
  <c r="J3378" i="29" s="1"/>
  <c r="J3379" i="29" s="1"/>
  <c r="J3380" i="29" s="1"/>
  <c r="J3381" i="29" s="1"/>
  <c r="J3382" i="29" s="1"/>
  <c r="J3383" i="29" s="1"/>
  <c r="J3384" i="29" s="1"/>
  <c r="J3385" i="29" s="1"/>
  <c r="J3386" i="29" s="1"/>
  <c r="J3387" i="29" s="1"/>
  <c r="J3388" i="29" s="1"/>
  <c r="J3389" i="29" s="1"/>
  <c r="J3390" i="29" s="1"/>
  <c r="J3391" i="29" s="1"/>
  <c r="J3392" i="29" s="1"/>
  <c r="J3393" i="29" s="1"/>
  <c r="J3394" i="29" s="1"/>
  <c r="J3395" i="29" s="1"/>
  <c r="J3396" i="29" s="1"/>
  <c r="J3397" i="29" s="1"/>
  <c r="J3398" i="29" s="1"/>
  <c r="J3399" i="29" s="1"/>
  <c r="J3400" i="29" s="1"/>
  <c r="J3401" i="29" s="1"/>
  <c r="J3402" i="29" s="1"/>
  <c r="J3403" i="29" s="1"/>
  <c r="J3404" i="29" s="1"/>
  <c r="J3405" i="29" s="1"/>
  <c r="J3406" i="29" s="1"/>
  <c r="J3407" i="29" s="1"/>
  <c r="J3408" i="29" s="1"/>
  <c r="J3409" i="29" s="1"/>
  <c r="J3410" i="29" s="1"/>
  <c r="J3411" i="29" s="1"/>
  <c r="J3412" i="29" s="1"/>
  <c r="J3413" i="29" s="1"/>
  <c r="J3414" i="29" s="1"/>
  <c r="J3415" i="29" s="1"/>
  <c r="J3416" i="29" s="1"/>
  <c r="J3417" i="29" s="1"/>
  <c r="J3418" i="29" s="1"/>
  <c r="J3419" i="29" s="1"/>
  <c r="J3420" i="29" s="1"/>
  <c r="J3421" i="29" s="1"/>
  <c r="J3422" i="29" s="1"/>
  <c r="J3423" i="29" s="1"/>
  <c r="J3424" i="29" s="1"/>
  <c r="J3425" i="29" s="1"/>
  <c r="J3426" i="29" s="1"/>
  <c r="J3427" i="29" s="1"/>
  <c r="J3428" i="29" s="1"/>
  <c r="J3429" i="29" s="1"/>
  <c r="J3430" i="29" s="1"/>
  <c r="J3431" i="29" s="1"/>
  <c r="J3432" i="29" s="1"/>
  <c r="J3433" i="29" s="1"/>
  <c r="J3434" i="29" s="1"/>
  <c r="J3435" i="29" s="1"/>
  <c r="J3436" i="29" s="1"/>
  <c r="J3437" i="29" s="1"/>
  <c r="J3438" i="29" s="1"/>
  <c r="J3439" i="29" s="1"/>
  <c r="J3440" i="29" s="1"/>
  <c r="J3441" i="29" s="1"/>
  <c r="J3442" i="29" s="1"/>
  <c r="J3443" i="29" s="1"/>
  <c r="J3444" i="29" s="1"/>
  <c r="J3445" i="29" s="1"/>
  <c r="J3446" i="29" s="1"/>
  <c r="J3447" i="29" s="1"/>
  <c r="J3448" i="29" s="1"/>
  <c r="J3449" i="29" s="1"/>
  <c r="J3450" i="29" s="1"/>
  <c r="J3451" i="29" s="1"/>
  <c r="J3452" i="29" s="1"/>
  <c r="J3453" i="29" s="1"/>
  <c r="J3454" i="29" s="1"/>
  <c r="J3455" i="29" s="1"/>
  <c r="J3456" i="29" s="1"/>
  <c r="J3457" i="29" s="1"/>
  <c r="J3458" i="29" s="1"/>
  <c r="J3459" i="29" s="1"/>
  <c r="J3460" i="29" s="1"/>
  <c r="J3461" i="29" s="1"/>
  <c r="J3462" i="29" s="1"/>
  <c r="J3463" i="29" s="1"/>
  <c r="J3464" i="29" s="1"/>
  <c r="J3465" i="29" s="1"/>
  <c r="J3466" i="29" s="1"/>
  <c r="J3467" i="29" s="1"/>
  <c r="J3468" i="29" s="1"/>
  <c r="J3469" i="29" s="1"/>
  <c r="J3470" i="29" s="1"/>
  <c r="J3471" i="29" s="1"/>
  <c r="J3472" i="29" s="1"/>
  <c r="J3473" i="29" s="1"/>
  <c r="J3474" i="29" s="1"/>
  <c r="J3475" i="29" s="1"/>
  <c r="J3476" i="29" s="1"/>
  <c r="J3477" i="29" s="1"/>
  <c r="J3478" i="29" s="1"/>
  <c r="J3479" i="29" s="1"/>
  <c r="J3480" i="29" s="1"/>
  <c r="J3481" i="29" s="1"/>
  <c r="J3482" i="29" s="1"/>
  <c r="J3483" i="29" s="1"/>
  <c r="J3484" i="29" s="1"/>
  <c r="J3485" i="29" s="1"/>
  <c r="J3486" i="29" s="1"/>
  <c r="J3487" i="29" s="1"/>
  <c r="J3488" i="29" s="1"/>
  <c r="J3489" i="29" s="1"/>
  <c r="J3490" i="29" s="1"/>
  <c r="J3491" i="29" s="1"/>
  <c r="J3492" i="29" s="1"/>
  <c r="J3493" i="29" s="1"/>
  <c r="J3494" i="29" s="1"/>
  <c r="J3495" i="29" s="1"/>
  <c r="J3496" i="29" s="1"/>
  <c r="J3497" i="29" s="1"/>
  <c r="J3498" i="29" s="1"/>
  <c r="J3499" i="29" s="1"/>
  <c r="J3500" i="29" s="1"/>
  <c r="J3501" i="29" s="1"/>
  <c r="J3502" i="29" s="1"/>
  <c r="J3503" i="29" s="1"/>
  <c r="J3504" i="29" s="1"/>
  <c r="J3505" i="29" s="1"/>
  <c r="J3506" i="29" s="1"/>
  <c r="J3507" i="29" s="1"/>
  <c r="J3508" i="29" s="1"/>
  <c r="J3509" i="29" s="1"/>
  <c r="J3510" i="29" s="1"/>
  <c r="J3511" i="29" s="1"/>
  <c r="J3512" i="29" s="1"/>
  <c r="J3513" i="29" s="1"/>
  <c r="J3514" i="29" s="1"/>
  <c r="J3515" i="29" s="1"/>
  <c r="J3516" i="29" s="1"/>
  <c r="J3517" i="29" s="1"/>
  <c r="J3518" i="29" s="1"/>
  <c r="J3519" i="29" s="1"/>
  <c r="J3520" i="29" s="1"/>
  <c r="J3521" i="29" s="1"/>
  <c r="J3522" i="29" s="1"/>
  <c r="J3523" i="29" s="1"/>
  <c r="J3524" i="29" s="1"/>
  <c r="J3525" i="29" s="1"/>
  <c r="J3526" i="29" s="1"/>
  <c r="J3527" i="29" s="1"/>
  <c r="J3528" i="29" s="1"/>
  <c r="J3529" i="29" s="1"/>
  <c r="J3530" i="29" s="1"/>
  <c r="J3531" i="29" s="1"/>
  <c r="J3532" i="29" s="1"/>
  <c r="J3533" i="29" s="1"/>
  <c r="J3534" i="29" s="1"/>
  <c r="J3535" i="29" s="1"/>
  <c r="J3536" i="29" s="1"/>
  <c r="J3537" i="29" s="1"/>
  <c r="J3538" i="29" s="1"/>
  <c r="J3539" i="29" s="1"/>
  <c r="J3540" i="29" s="1"/>
  <c r="J3541" i="29" s="1"/>
  <c r="J3542" i="29" s="1"/>
  <c r="J3543" i="29" s="1"/>
  <c r="J3544" i="29" s="1"/>
  <c r="J3545" i="29" s="1"/>
  <c r="J3546" i="29" s="1"/>
  <c r="J3547" i="29" s="1"/>
  <c r="J3548" i="29" s="1"/>
  <c r="A6" i="29"/>
  <c r="A7" i="29"/>
  <c r="A8" i="29"/>
  <c r="A9" i="29"/>
  <c r="A10" i="29"/>
  <c r="A11" i="29"/>
  <c r="A12" i="29"/>
  <c r="A13" i="29"/>
  <c r="A14" i="29"/>
  <c r="A15" i="29"/>
  <c r="A16" i="29"/>
  <c r="A17" i="29"/>
  <c r="A18" i="29"/>
  <c r="A19" i="29"/>
  <c r="A20" i="29"/>
  <c r="A21" i="29"/>
  <c r="A22" i="29"/>
  <c r="A23" i="29"/>
  <c r="A24" i="29"/>
  <c r="A25" i="29"/>
  <c r="A26" i="29"/>
  <c r="A27" i="29"/>
  <c r="A28" i="29"/>
  <c r="A29" i="29"/>
  <c r="A30" i="29"/>
  <c r="A31" i="29"/>
  <c r="A32" i="29"/>
  <c r="A33" i="29"/>
  <c r="A34" i="29"/>
  <c r="A35" i="29"/>
  <c r="A36" i="29"/>
  <c r="A37" i="29"/>
  <c r="A38" i="29"/>
  <c r="A39" i="29"/>
  <c r="A40" i="29"/>
  <c r="A41" i="29"/>
  <c r="A42" i="29"/>
  <c r="A43" i="29"/>
  <c r="A44" i="29"/>
  <c r="A45" i="29"/>
  <c r="A46" i="29"/>
  <c r="A47" i="29"/>
  <c r="A48" i="29"/>
  <c r="A49" i="29"/>
  <c r="A50" i="29"/>
  <c r="A51" i="29"/>
  <c r="A52" i="29"/>
  <c r="A53" i="29"/>
  <c r="A54" i="29"/>
  <c r="A55" i="29"/>
  <c r="A56" i="29"/>
  <c r="A57" i="29"/>
  <c r="A58" i="29"/>
  <c r="A59" i="29"/>
  <c r="A60" i="29"/>
  <c r="A61" i="29"/>
  <c r="A62" i="29"/>
  <c r="A63" i="29"/>
  <c r="A64" i="29"/>
  <c r="A65" i="29"/>
  <c r="A66" i="29"/>
  <c r="A67" i="29"/>
  <c r="A68" i="29"/>
  <c r="A69" i="29"/>
  <c r="A70" i="29"/>
  <c r="A71" i="29"/>
  <c r="A72" i="29"/>
  <c r="A73" i="29"/>
  <c r="A74" i="29"/>
  <c r="A75" i="29"/>
  <c r="A76" i="29"/>
  <c r="A77" i="29"/>
  <c r="A78" i="29"/>
  <c r="A79" i="29"/>
  <c r="A80" i="29"/>
  <c r="A81" i="29"/>
  <c r="A82" i="29"/>
  <c r="A83" i="29"/>
  <c r="A84" i="29"/>
  <c r="A85" i="29"/>
  <c r="A86" i="29"/>
  <c r="A87" i="29"/>
  <c r="A88" i="29"/>
  <c r="A89" i="29"/>
  <c r="A90" i="29"/>
  <c r="A91" i="29"/>
  <c r="A92" i="29"/>
  <c r="A93" i="29"/>
  <c r="A94" i="29"/>
  <c r="A95" i="29"/>
  <c r="A96" i="29"/>
  <c r="A97" i="29"/>
  <c r="A98" i="29"/>
  <c r="A99" i="29"/>
  <c r="A100" i="29"/>
  <c r="A101" i="29"/>
  <c r="A102" i="29"/>
  <c r="A103" i="29"/>
  <c r="A104" i="29"/>
  <c r="A105" i="29"/>
  <c r="A106" i="29"/>
  <c r="A107" i="29"/>
  <c r="A108" i="29"/>
  <c r="A109" i="29"/>
  <c r="A110" i="29"/>
  <c r="A111" i="29"/>
  <c r="A112" i="29"/>
  <c r="A113" i="29"/>
  <c r="A114" i="29"/>
  <c r="A115" i="29"/>
  <c r="A116" i="29"/>
  <c r="A117" i="29"/>
  <c r="A118" i="29"/>
  <c r="A119" i="29"/>
  <c r="A120" i="29"/>
  <c r="A121" i="29"/>
  <c r="A122" i="29"/>
  <c r="A123" i="29"/>
  <c r="A124" i="29"/>
  <c r="A125" i="29"/>
  <c r="A126" i="29"/>
  <c r="A127" i="29"/>
  <c r="A128" i="29"/>
  <c r="A129" i="29"/>
  <c r="A130" i="29"/>
  <c r="A131" i="29"/>
  <c r="A132" i="29"/>
  <c r="A133" i="29"/>
  <c r="A134" i="29"/>
  <c r="A135" i="29"/>
  <c r="A136" i="29"/>
  <c r="A137" i="29"/>
  <c r="A138" i="29"/>
  <c r="A139" i="29"/>
  <c r="A140" i="29"/>
  <c r="A141" i="29"/>
  <c r="A142" i="29"/>
  <c r="A143" i="29"/>
  <c r="A144" i="29"/>
  <c r="A145" i="29"/>
  <c r="A146" i="29"/>
  <c r="A147" i="29"/>
  <c r="A148" i="29"/>
  <c r="A149" i="29"/>
  <c r="A150" i="29"/>
  <c r="A151" i="29"/>
  <c r="A152" i="29"/>
  <c r="A153" i="29"/>
  <c r="A154" i="29"/>
  <c r="A155" i="29"/>
  <c r="A156" i="29"/>
  <c r="A157" i="29"/>
  <c r="A158" i="29"/>
  <c r="A159" i="29"/>
  <c r="A160" i="29"/>
  <c r="A161" i="29"/>
  <c r="A162" i="29"/>
  <c r="A163" i="29"/>
  <c r="A164" i="29"/>
  <c r="A165" i="29"/>
  <c r="A166" i="29"/>
  <c r="A167" i="29"/>
  <c r="A168" i="29"/>
  <c r="A169" i="29"/>
  <c r="A170" i="29"/>
  <c r="A171" i="29"/>
  <c r="A172" i="29"/>
  <c r="A173" i="29"/>
  <c r="A174" i="29"/>
  <c r="A175" i="29"/>
  <c r="A176" i="29"/>
  <c r="A177" i="29"/>
  <c r="A178" i="29"/>
  <c r="A179" i="29"/>
  <c r="A180" i="29"/>
  <c r="A181" i="29"/>
  <c r="A182" i="29"/>
  <c r="A183" i="29"/>
  <c r="A184" i="29"/>
  <c r="A185" i="29"/>
  <c r="A186" i="29"/>
  <c r="A187" i="29"/>
  <c r="A188" i="29"/>
  <c r="A189" i="29"/>
  <c r="A190" i="29"/>
  <c r="A191" i="29"/>
  <c r="A192" i="29"/>
  <c r="A193" i="29"/>
  <c r="A194" i="29"/>
  <c r="A195" i="29"/>
  <c r="A196" i="29"/>
  <c r="A197" i="29"/>
  <c r="A198" i="29"/>
  <c r="A199" i="29"/>
  <c r="A200" i="29"/>
  <c r="A201" i="29"/>
  <c r="A202" i="29"/>
  <c r="A203" i="29"/>
  <c r="A204" i="29"/>
  <c r="A205" i="29"/>
  <c r="A206" i="29"/>
  <c r="A207" i="29"/>
  <c r="A208" i="29"/>
  <c r="A209" i="29"/>
  <c r="A210" i="29"/>
  <c r="A211" i="29"/>
  <c r="A212" i="29"/>
  <c r="A213" i="29"/>
  <c r="A214" i="29"/>
  <c r="A215" i="29"/>
  <c r="A216" i="29"/>
  <c r="A217" i="29"/>
  <c r="A218" i="29"/>
  <c r="A219" i="29"/>
  <c r="A220" i="29"/>
  <c r="A221" i="29"/>
  <c r="A222" i="29"/>
  <c r="A223" i="29"/>
  <c r="A224" i="29"/>
  <c r="A225" i="29"/>
  <c r="A226" i="29"/>
  <c r="A227" i="29"/>
  <c r="A228" i="29"/>
  <c r="A229" i="29"/>
  <c r="A230" i="29"/>
  <c r="A231" i="29"/>
  <c r="A232" i="29"/>
  <c r="A233" i="29"/>
  <c r="A234" i="29"/>
  <c r="A235" i="29"/>
  <c r="A236" i="29"/>
  <c r="A237" i="29"/>
  <c r="A238" i="29"/>
  <c r="A239" i="29"/>
  <c r="A240" i="29"/>
  <c r="A241" i="29"/>
  <c r="A242" i="29"/>
  <c r="A243" i="29"/>
  <c r="A244" i="29"/>
  <c r="A245" i="29"/>
  <c r="A246" i="29"/>
  <c r="A247" i="29"/>
  <c r="A248" i="29"/>
  <c r="A249" i="29"/>
  <c r="A250" i="29"/>
  <c r="A251" i="29"/>
  <c r="A252" i="29"/>
  <c r="A253" i="29"/>
  <c r="A254" i="29"/>
  <c r="A255" i="29"/>
  <c r="A256" i="29"/>
  <c r="A257" i="29"/>
  <c r="A258" i="29"/>
  <c r="A259" i="29"/>
  <c r="A260" i="29"/>
  <c r="A261" i="29"/>
  <c r="A262" i="29"/>
  <c r="A263" i="29"/>
  <c r="A264" i="29"/>
  <c r="A265" i="29"/>
  <c r="A266" i="29"/>
  <c r="A267" i="29"/>
  <c r="A268" i="29"/>
  <c r="A269" i="29"/>
  <c r="A270" i="29"/>
  <c r="A271" i="29"/>
  <c r="A272" i="29"/>
  <c r="A273" i="29"/>
  <c r="A274" i="29"/>
  <c r="A275" i="29"/>
  <c r="A276" i="29"/>
  <c r="A277" i="29"/>
  <c r="A278" i="29"/>
  <c r="A279" i="29"/>
  <c r="A280" i="29"/>
  <c r="A281" i="29"/>
  <c r="A282" i="29"/>
  <c r="A283" i="29"/>
  <c r="A284" i="29"/>
  <c r="A285" i="29"/>
  <c r="A286" i="29"/>
  <c r="A287" i="29"/>
  <c r="A288" i="29"/>
  <c r="A289" i="29"/>
  <c r="A290" i="29"/>
  <c r="A291" i="29"/>
  <c r="A292" i="29"/>
  <c r="A293" i="29"/>
  <c r="A294" i="29"/>
  <c r="A295" i="29"/>
  <c r="A296" i="29"/>
  <c r="A297" i="29"/>
  <c r="A298" i="29"/>
  <c r="A299" i="29"/>
  <c r="A300" i="29"/>
  <c r="A301" i="29"/>
  <c r="A302" i="29"/>
  <c r="A303" i="29"/>
  <c r="A304" i="29"/>
  <c r="A305" i="29"/>
  <c r="A306" i="29"/>
  <c r="A307" i="29"/>
  <c r="A308" i="29"/>
  <c r="A309" i="29"/>
  <c r="A310" i="29"/>
  <c r="A311" i="29"/>
  <c r="A312" i="29"/>
  <c r="A313" i="29"/>
  <c r="A314" i="29"/>
  <c r="A315" i="29"/>
  <c r="A316" i="29"/>
  <c r="A317" i="29"/>
  <c r="A318" i="29"/>
  <c r="A319" i="29"/>
  <c r="A320" i="29"/>
  <c r="A321" i="29"/>
  <c r="A322" i="29"/>
  <c r="A323" i="29"/>
  <c r="A324" i="29"/>
  <c r="A325" i="29"/>
  <c r="A326" i="29"/>
  <c r="A327" i="29"/>
  <c r="A328" i="29"/>
  <c r="A329" i="29"/>
  <c r="A330" i="29"/>
  <c r="A331" i="29"/>
  <c r="A332" i="29"/>
  <c r="A333" i="29"/>
  <c r="A334" i="29"/>
  <c r="A335" i="29"/>
  <c r="A336" i="29"/>
  <c r="A337" i="29"/>
  <c r="A338" i="29"/>
  <c r="A339" i="29"/>
  <c r="A340" i="29"/>
  <c r="A341" i="29"/>
  <c r="A342" i="29"/>
  <c r="A343" i="29"/>
  <c r="A344" i="29"/>
  <c r="A345" i="29"/>
  <c r="A346" i="29"/>
  <c r="A347" i="29"/>
  <c r="A348" i="29"/>
  <c r="A349" i="29"/>
  <c r="A350" i="29"/>
  <c r="A351" i="29"/>
  <c r="A352" i="29"/>
  <c r="A353" i="29"/>
  <c r="A354" i="29"/>
  <c r="A355" i="29"/>
  <c r="A356" i="29"/>
  <c r="A357" i="29"/>
  <c r="A358" i="29"/>
  <c r="A359" i="29"/>
  <c r="A360" i="29"/>
  <c r="A361" i="29"/>
  <c r="A362" i="29"/>
  <c r="A363" i="29"/>
  <c r="A364" i="29"/>
  <c r="A365" i="29"/>
  <c r="A366" i="29"/>
  <c r="A367" i="29"/>
  <c r="A368" i="29"/>
  <c r="A369" i="29"/>
  <c r="A370" i="29"/>
  <c r="A371" i="29"/>
  <c r="A372" i="29"/>
  <c r="A373" i="29"/>
  <c r="A374" i="29"/>
  <c r="A375" i="29"/>
  <c r="A376" i="29"/>
  <c r="A377" i="29"/>
  <c r="A378" i="29"/>
  <c r="A379" i="29"/>
  <c r="A380" i="29"/>
  <c r="A381" i="29"/>
  <c r="A382" i="29"/>
  <c r="A383" i="29"/>
  <c r="A384" i="29"/>
  <c r="A385" i="29"/>
  <c r="A386" i="29"/>
  <c r="A387" i="29"/>
  <c r="A388" i="29"/>
  <c r="A389" i="29"/>
  <c r="A390" i="29"/>
  <c r="A391" i="29"/>
  <c r="A392" i="29"/>
  <c r="A393" i="29"/>
  <c r="A394" i="29"/>
  <c r="A395" i="29"/>
  <c r="A396" i="29"/>
  <c r="A397" i="29"/>
  <c r="A398" i="29"/>
  <c r="A399" i="29"/>
  <c r="A400" i="29"/>
  <c r="A401" i="29"/>
  <c r="A402" i="29"/>
  <c r="A403" i="29"/>
  <c r="A404" i="29"/>
  <c r="A405" i="29"/>
  <c r="A406" i="29"/>
  <c r="A407" i="29"/>
  <c r="A408" i="29"/>
  <c r="A409" i="29"/>
  <c r="A410" i="29"/>
  <c r="A411" i="29"/>
  <c r="A412" i="29"/>
  <c r="A413" i="29"/>
  <c r="A414" i="29"/>
  <c r="A415" i="29"/>
  <c r="A416" i="29"/>
  <c r="A417" i="29"/>
  <c r="A418" i="29"/>
  <c r="A419" i="29"/>
  <c r="A420" i="29"/>
  <c r="A421" i="29"/>
  <c r="A422" i="29"/>
  <c r="A423" i="29"/>
  <c r="A424" i="29"/>
  <c r="A425" i="29"/>
  <c r="A426" i="29"/>
  <c r="A427" i="29"/>
  <c r="A428" i="29"/>
  <c r="A429" i="29"/>
  <c r="A430" i="29"/>
  <c r="A431" i="29"/>
  <c r="A432" i="29"/>
  <c r="A433" i="29"/>
  <c r="A434" i="29"/>
  <c r="A435" i="29"/>
  <c r="A436" i="29"/>
  <c r="A437" i="29"/>
  <c r="A438" i="29"/>
  <c r="A439" i="29"/>
  <c r="A440" i="29"/>
  <c r="A441" i="29"/>
  <c r="A442" i="29"/>
  <c r="A443" i="29"/>
  <c r="A444" i="29"/>
  <c r="A445" i="29"/>
  <c r="A446" i="29"/>
  <c r="A447" i="29"/>
  <c r="A448" i="29"/>
  <c r="A449" i="29"/>
  <c r="A450" i="29"/>
  <c r="A451" i="29"/>
  <c r="A452" i="29"/>
  <c r="A453" i="29"/>
  <c r="A454" i="29"/>
  <c r="A455" i="29"/>
  <c r="A456" i="29"/>
  <c r="A457" i="29"/>
  <c r="A458" i="29"/>
  <c r="A459" i="29"/>
  <c r="A460" i="29"/>
  <c r="A461" i="29"/>
  <c r="A462" i="29"/>
  <c r="A463" i="29"/>
  <c r="A464" i="29"/>
  <c r="A465" i="29"/>
  <c r="A466" i="29"/>
  <c r="A467" i="29"/>
  <c r="A468" i="29"/>
  <c r="A469" i="29"/>
  <c r="A470" i="29"/>
  <c r="A471" i="29"/>
  <c r="A472" i="29"/>
  <c r="A473" i="29"/>
  <c r="A474" i="29"/>
  <c r="A475" i="29"/>
  <c r="A476" i="29"/>
  <c r="A477" i="29"/>
  <c r="A478" i="29"/>
  <c r="A479" i="29"/>
  <c r="A480" i="29"/>
  <c r="A481" i="29"/>
  <c r="A482" i="29"/>
  <c r="A483" i="29"/>
  <c r="A484" i="29"/>
  <c r="A485" i="29"/>
  <c r="A486" i="29"/>
  <c r="A487" i="29"/>
  <c r="A488" i="29"/>
  <c r="A489" i="29"/>
  <c r="A490" i="29"/>
  <c r="A491" i="29"/>
  <c r="A492" i="29"/>
  <c r="A493" i="29"/>
  <c r="A494" i="29"/>
  <c r="A495" i="29"/>
  <c r="A496" i="29"/>
  <c r="A497" i="29"/>
  <c r="A498" i="29"/>
  <c r="A499" i="29"/>
  <c r="A500" i="29"/>
  <c r="A501" i="29"/>
  <c r="A502" i="29"/>
  <c r="A503" i="29"/>
  <c r="A504" i="29"/>
  <c r="A505" i="29"/>
  <c r="A506" i="29"/>
  <c r="A507" i="29"/>
  <c r="A508" i="29"/>
  <c r="A509" i="29"/>
  <c r="A510" i="29"/>
  <c r="A511" i="29"/>
  <c r="A512" i="29"/>
  <c r="A513" i="29"/>
  <c r="A514" i="29"/>
  <c r="A515" i="29"/>
  <c r="A516" i="29"/>
  <c r="A517" i="29"/>
  <c r="A518" i="29"/>
  <c r="A519" i="29"/>
  <c r="A520" i="29"/>
  <c r="A521" i="29"/>
  <c r="A522" i="29"/>
  <c r="A523" i="29"/>
  <c r="A524" i="29"/>
  <c r="A525" i="29"/>
  <c r="A526" i="29"/>
  <c r="A527" i="29"/>
  <c r="A528" i="29"/>
  <c r="A529" i="29"/>
  <c r="A530" i="29"/>
  <c r="A531" i="29"/>
  <c r="A532" i="29"/>
  <c r="A533" i="29"/>
  <c r="A534" i="29"/>
  <c r="A535" i="29"/>
  <c r="A536" i="29"/>
  <c r="A537" i="29"/>
  <c r="A538" i="29"/>
  <c r="A539" i="29"/>
  <c r="A540" i="29"/>
  <c r="A541" i="29"/>
  <c r="A542" i="29"/>
  <c r="A543" i="29"/>
  <c r="A544" i="29"/>
  <c r="A545" i="29"/>
  <c r="A546" i="29"/>
  <c r="A547" i="29"/>
  <c r="A548" i="29"/>
  <c r="A549" i="29"/>
  <c r="A550" i="29"/>
  <c r="A551" i="29"/>
  <c r="A552" i="29"/>
  <c r="A553" i="29"/>
  <c r="A554" i="29"/>
  <c r="A555" i="29"/>
  <c r="A556" i="29"/>
  <c r="A557" i="29"/>
  <c r="A558" i="29"/>
  <c r="A559" i="29"/>
  <c r="A560" i="29"/>
  <c r="A561" i="29"/>
  <c r="A562" i="29"/>
  <c r="A563" i="29"/>
  <c r="A564" i="29"/>
  <c r="A565" i="29"/>
  <c r="A566" i="29"/>
  <c r="A567" i="29"/>
  <c r="A568" i="29"/>
  <c r="A569" i="29"/>
  <c r="A570" i="29"/>
  <c r="A571" i="29"/>
  <c r="A572" i="29"/>
  <c r="A573" i="29"/>
  <c r="A574" i="29"/>
  <c r="A575" i="29"/>
  <c r="A576" i="29"/>
  <c r="A577" i="29"/>
  <c r="A578" i="29"/>
  <c r="A579" i="29"/>
  <c r="A580" i="29"/>
  <c r="A581" i="29"/>
  <c r="A582" i="29"/>
  <c r="A583" i="29"/>
  <c r="A584" i="29"/>
  <c r="A585" i="29"/>
  <c r="A586" i="29"/>
  <c r="A587" i="29"/>
  <c r="A588" i="29"/>
  <c r="A589" i="29"/>
  <c r="A590" i="29"/>
  <c r="A591" i="29"/>
  <c r="A592" i="29"/>
  <c r="A593" i="29"/>
  <c r="A594" i="29"/>
  <c r="A595" i="29"/>
  <c r="A596" i="29"/>
  <c r="A597" i="29"/>
  <c r="A598" i="29"/>
  <c r="A599" i="29"/>
  <c r="A600" i="29"/>
  <c r="A601" i="29"/>
  <c r="A602" i="29"/>
  <c r="A603" i="29"/>
  <c r="A604" i="29"/>
  <c r="A605" i="29"/>
  <c r="A606" i="29"/>
  <c r="A607" i="29"/>
  <c r="A608" i="29"/>
  <c r="A609" i="29"/>
  <c r="A610" i="29"/>
  <c r="A611" i="29"/>
  <c r="A612" i="29"/>
  <c r="A613" i="29"/>
  <c r="A614" i="29"/>
  <c r="A615" i="29"/>
  <c r="A616" i="29"/>
  <c r="A617" i="29"/>
  <c r="A618" i="29"/>
  <c r="A619" i="29"/>
  <c r="A620" i="29"/>
  <c r="A621" i="29"/>
  <c r="A622" i="29"/>
  <c r="A623" i="29"/>
  <c r="A624" i="29"/>
  <c r="A625" i="29"/>
  <c r="A626" i="29"/>
  <c r="A627" i="29"/>
  <c r="A628" i="29"/>
  <c r="A629" i="29"/>
  <c r="A630" i="29"/>
  <c r="A631" i="29"/>
  <c r="A632" i="29"/>
  <c r="A633" i="29"/>
  <c r="A634" i="29"/>
  <c r="A635" i="29"/>
  <c r="A636" i="29"/>
  <c r="A637" i="29"/>
  <c r="A638" i="29"/>
  <c r="A639" i="29"/>
  <c r="A640" i="29"/>
  <c r="A641" i="29"/>
  <c r="A642" i="29"/>
  <c r="A643" i="29"/>
  <c r="A644" i="29"/>
  <c r="A645" i="29"/>
  <c r="A646" i="29"/>
  <c r="A647" i="29"/>
  <c r="A648" i="29"/>
  <c r="A649" i="29"/>
  <c r="A650" i="29"/>
  <c r="A651" i="29"/>
  <c r="A652" i="29"/>
  <c r="A653" i="29"/>
  <c r="A654" i="29"/>
  <c r="A655" i="29"/>
  <c r="A656" i="29"/>
  <c r="A657" i="29"/>
  <c r="A658" i="29"/>
  <c r="A659" i="29"/>
  <c r="A660" i="29"/>
  <c r="A661" i="29"/>
  <c r="A662" i="29"/>
  <c r="A663" i="29"/>
  <c r="A664" i="29"/>
  <c r="A665" i="29"/>
  <c r="A666" i="29"/>
  <c r="A667" i="29"/>
  <c r="A668" i="29"/>
  <c r="A669" i="29"/>
  <c r="A670" i="29"/>
  <c r="A671" i="29"/>
  <c r="A672" i="29"/>
  <c r="A673" i="29"/>
  <c r="A674" i="29"/>
  <c r="A675" i="29"/>
  <c r="A676" i="29"/>
  <c r="A677" i="29"/>
  <c r="A678" i="29"/>
  <c r="A679" i="29"/>
  <c r="A680" i="29"/>
  <c r="A681" i="29"/>
  <c r="A682" i="29"/>
  <c r="A683" i="29"/>
  <c r="A684" i="29"/>
  <c r="A685" i="29"/>
  <c r="A686" i="29"/>
  <c r="A687" i="29"/>
  <c r="A688" i="29"/>
  <c r="A689" i="29"/>
  <c r="A690" i="29"/>
  <c r="A691" i="29"/>
  <c r="A692" i="29"/>
  <c r="A693" i="29"/>
  <c r="A694" i="29"/>
  <c r="A695" i="29"/>
  <c r="A696" i="29"/>
  <c r="A697" i="29"/>
  <c r="A698" i="29"/>
  <c r="A699" i="29"/>
  <c r="A700" i="29"/>
  <c r="A701" i="29"/>
  <c r="A702" i="29"/>
  <c r="A703" i="29"/>
  <c r="A704" i="29"/>
  <c r="A705" i="29"/>
  <c r="A706" i="29"/>
  <c r="A707" i="29"/>
  <c r="A708" i="29"/>
  <c r="A709" i="29"/>
  <c r="A710" i="29"/>
  <c r="A711" i="29"/>
  <c r="A712" i="29"/>
  <c r="A713" i="29"/>
  <c r="A714" i="29"/>
  <c r="A715" i="29"/>
  <c r="A716" i="29"/>
  <c r="A717" i="29"/>
  <c r="A718" i="29"/>
  <c r="A719" i="29"/>
  <c r="A720" i="29"/>
  <c r="A721" i="29"/>
  <c r="A722" i="29"/>
  <c r="A723" i="29"/>
  <c r="A724" i="29"/>
  <c r="A725" i="29"/>
  <c r="A726" i="29"/>
  <c r="A727" i="29"/>
  <c r="A728" i="29"/>
  <c r="A729" i="29"/>
  <c r="A730" i="29"/>
  <c r="A731" i="29"/>
  <c r="A732" i="29"/>
  <c r="A733" i="29"/>
  <c r="A734" i="29"/>
  <c r="A735" i="29"/>
  <c r="A736" i="29"/>
  <c r="A737" i="29"/>
  <c r="A738" i="29"/>
  <c r="A739" i="29"/>
  <c r="A740" i="29"/>
  <c r="A741" i="29"/>
  <c r="A742" i="29"/>
  <c r="A743" i="29"/>
  <c r="A744" i="29"/>
  <c r="A745" i="29"/>
  <c r="A746" i="29"/>
  <c r="A747" i="29"/>
  <c r="A748" i="29"/>
  <c r="A749" i="29"/>
  <c r="A750" i="29"/>
  <c r="A751" i="29"/>
  <c r="A752" i="29"/>
  <c r="A753" i="29"/>
  <c r="A754" i="29"/>
  <c r="A755" i="29"/>
  <c r="A756" i="29"/>
  <c r="A757" i="29"/>
  <c r="A758" i="29"/>
  <c r="A759" i="29"/>
  <c r="A760" i="29"/>
  <c r="A761" i="29"/>
  <c r="A762" i="29"/>
  <c r="A763" i="29"/>
  <c r="A764" i="29"/>
  <c r="A765" i="29"/>
  <c r="A766" i="29"/>
  <c r="A767" i="29"/>
  <c r="A768" i="29"/>
  <c r="A769" i="29"/>
  <c r="A770" i="29"/>
  <c r="A771" i="29"/>
  <c r="A772" i="29"/>
  <c r="A773" i="29"/>
  <c r="A774" i="29"/>
  <c r="A775" i="29"/>
  <c r="A776" i="29"/>
  <c r="A777" i="29"/>
  <c r="A778" i="29"/>
  <c r="A779" i="29"/>
  <c r="A780" i="29"/>
  <c r="A781" i="29"/>
  <c r="A782" i="29"/>
  <c r="A783" i="29"/>
  <c r="A784" i="29"/>
  <c r="A785" i="29"/>
  <c r="A786" i="29"/>
  <c r="A787" i="29"/>
  <c r="A788" i="29"/>
  <c r="A789" i="29"/>
  <c r="A790" i="29"/>
  <c r="A791" i="29"/>
  <c r="A792" i="29"/>
  <c r="A793" i="29"/>
  <c r="A794" i="29"/>
  <c r="A795" i="29"/>
  <c r="A796" i="29"/>
  <c r="A797" i="29"/>
  <c r="A798" i="29"/>
  <c r="A799" i="29"/>
  <c r="A800" i="29"/>
  <c r="A801" i="29"/>
  <c r="A802" i="29"/>
  <c r="A803" i="29"/>
  <c r="A804" i="29"/>
  <c r="A805" i="29"/>
  <c r="A806" i="29"/>
  <c r="A807" i="29"/>
  <c r="A808" i="29"/>
  <c r="A809" i="29"/>
  <c r="A810" i="29"/>
  <c r="A811" i="29"/>
  <c r="A812" i="29"/>
  <c r="A813" i="29"/>
  <c r="A814" i="29"/>
  <c r="A815" i="29"/>
  <c r="A816" i="29"/>
  <c r="A817" i="29"/>
  <c r="A818" i="29"/>
  <c r="A819" i="29"/>
  <c r="A820" i="29"/>
  <c r="A821" i="29"/>
  <c r="A822" i="29"/>
  <c r="A823" i="29"/>
  <c r="A824" i="29"/>
  <c r="A825" i="29"/>
  <c r="A826" i="29"/>
  <c r="A827" i="29"/>
  <c r="A828" i="29"/>
  <c r="A829" i="29"/>
  <c r="A830" i="29"/>
  <c r="A831" i="29"/>
  <c r="A832" i="29"/>
  <c r="A833" i="29"/>
  <c r="A834" i="29"/>
  <c r="A835" i="29"/>
  <c r="A836" i="29"/>
  <c r="A837" i="29"/>
  <c r="A838" i="29"/>
  <c r="A839" i="29"/>
  <c r="A840" i="29"/>
  <c r="A841" i="29"/>
  <c r="A842" i="29"/>
  <c r="A843" i="29"/>
  <c r="A844" i="29"/>
  <c r="A845" i="29"/>
  <c r="A846" i="29"/>
  <c r="A847" i="29"/>
  <c r="A848" i="29"/>
  <c r="A849" i="29"/>
  <c r="A850" i="29"/>
  <c r="A851" i="29"/>
  <c r="A852" i="29"/>
  <c r="A853" i="29"/>
  <c r="A854" i="29"/>
  <c r="A855" i="29"/>
  <c r="A856" i="29"/>
  <c r="A857" i="29"/>
  <c r="A858" i="29"/>
  <c r="A859" i="29"/>
  <c r="A860" i="29"/>
  <c r="A861" i="29"/>
  <c r="A862" i="29"/>
  <c r="A863" i="29"/>
  <c r="A864" i="29"/>
  <c r="A865" i="29"/>
  <c r="A866" i="29"/>
  <c r="A867" i="29"/>
  <c r="A868" i="29"/>
  <c r="A869" i="29"/>
  <c r="A870" i="29"/>
  <c r="A871" i="29"/>
  <c r="A872" i="29"/>
  <c r="A873" i="29"/>
  <c r="A874" i="29"/>
  <c r="A875" i="29"/>
  <c r="A876" i="29"/>
  <c r="A877" i="29"/>
  <c r="A878" i="29"/>
  <c r="A879" i="29"/>
  <c r="A880" i="29"/>
  <c r="A881" i="29"/>
  <c r="A882" i="29"/>
  <c r="A883" i="29"/>
  <c r="A884" i="29"/>
  <c r="A885" i="29"/>
  <c r="A886" i="29"/>
  <c r="A887" i="29"/>
  <c r="A888" i="29"/>
  <c r="A889" i="29"/>
  <c r="A890" i="29"/>
  <c r="A891" i="29"/>
  <c r="A892" i="29"/>
  <c r="A893" i="29"/>
  <c r="A894" i="29"/>
  <c r="A895" i="29"/>
  <c r="A896" i="29"/>
  <c r="A897" i="29"/>
  <c r="A898" i="29"/>
  <c r="A899" i="29"/>
  <c r="A900" i="29"/>
  <c r="A901" i="29"/>
  <c r="A902" i="29"/>
  <c r="A903" i="29"/>
  <c r="A904" i="29"/>
  <c r="A905" i="29"/>
  <c r="A906" i="29"/>
  <c r="A907" i="29"/>
  <c r="A908" i="29"/>
  <c r="A909" i="29"/>
  <c r="A910" i="29"/>
  <c r="A911" i="29"/>
  <c r="A912" i="29"/>
  <c r="A913" i="29"/>
  <c r="A914" i="29"/>
  <c r="A915" i="29"/>
  <c r="A916" i="29"/>
  <c r="A917" i="29"/>
  <c r="A918" i="29"/>
  <c r="A919" i="29"/>
  <c r="A920" i="29"/>
  <c r="A921" i="29"/>
  <c r="A922" i="29"/>
  <c r="A923" i="29"/>
  <c r="A924" i="29"/>
  <c r="A925" i="29"/>
  <c r="A926" i="29"/>
  <c r="A927" i="29"/>
  <c r="A928" i="29"/>
  <c r="A929" i="29"/>
  <c r="A930" i="29"/>
  <c r="A931" i="29"/>
  <c r="A932" i="29"/>
  <c r="A933" i="29"/>
  <c r="A934" i="29"/>
  <c r="A935" i="29"/>
  <c r="A936" i="29"/>
  <c r="A937" i="29"/>
  <c r="A938" i="29"/>
  <c r="A939" i="29"/>
  <c r="A940" i="29"/>
  <c r="A941" i="29"/>
  <c r="A942" i="29"/>
  <c r="A943" i="29"/>
  <c r="A944" i="29"/>
  <c r="A945" i="29"/>
  <c r="A946" i="29"/>
  <c r="A947" i="29"/>
  <c r="A948" i="29"/>
  <c r="A949" i="29"/>
  <c r="A950" i="29"/>
  <c r="A951" i="29"/>
  <c r="A952" i="29"/>
  <c r="A953" i="29"/>
  <c r="A954" i="29"/>
  <c r="A955" i="29"/>
  <c r="A956" i="29"/>
  <c r="A957" i="29"/>
  <c r="A958" i="29"/>
  <c r="A959" i="29"/>
  <c r="A960" i="29"/>
  <c r="A961" i="29"/>
  <c r="A962" i="29"/>
  <c r="A963" i="29"/>
  <c r="A964" i="29"/>
  <c r="A965" i="29"/>
  <c r="A966" i="29"/>
  <c r="A967" i="29"/>
  <c r="A968" i="29"/>
  <c r="A969" i="29"/>
  <c r="A970" i="29"/>
  <c r="A971" i="29"/>
  <c r="A972" i="29"/>
  <c r="A973" i="29"/>
  <c r="A974" i="29"/>
  <c r="A975" i="29"/>
  <c r="A976" i="29"/>
  <c r="A977" i="29"/>
  <c r="A978" i="29"/>
  <c r="A979" i="29"/>
  <c r="A980" i="29"/>
  <c r="A981" i="29"/>
  <c r="A982" i="29"/>
  <c r="A983" i="29"/>
  <c r="A984" i="29"/>
  <c r="A985" i="29"/>
  <c r="A986" i="29"/>
  <c r="A987" i="29"/>
  <c r="A988" i="29"/>
  <c r="A989" i="29"/>
  <c r="A990" i="29"/>
  <c r="A991" i="29"/>
  <c r="A992" i="29"/>
  <c r="A993" i="29"/>
  <c r="A994" i="29"/>
  <c r="A995" i="29"/>
  <c r="A996" i="29"/>
  <c r="A997" i="29"/>
  <c r="A998" i="29"/>
  <c r="A999" i="29"/>
  <c r="A1000" i="29"/>
  <c r="A1001" i="29"/>
  <c r="A1002" i="29"/>
  <c r="A1003" i="29"/>
  <c r="A1004" i="29"/>
  <c r="A1005" i="29"/>
  <c r="A1006" i="29"/>
  <c r="A1007" i="29"/>
  <c r="A1008" i="29"/>
  <c r="A1009" i="29"/>
  <c r="A1010" i="29"/>
  <c r="A1011" i="29"/>
  <c r="A1012" i="29"/>
  <c r="A1013" i="29"/>
  <c r="A1014" i="29"/>
  <c r="A1015" i="29"/>
  <c r="A1016" i="29"/>
  <c r="A1017" i="29"/>
  <c r="A1018" i="29"/>
  <c r="A1019" i="29"/>
  <c r="A1020" i="29"/>
  <c r="A1021" i="29"/>
  <c r="A1022" i="29"/>
  <c r="A1023" i="29"/>
  <c r="A1024" i="29"/>
  <c r="A1025" i="29"/>
  <c r="A1026" i="29"/>
  <c r="A1027" i="29"/>
  <c r="A1028" i="29"/>
  <c r="A1029" i="29"/>
  <c r="A1030" i="29"/>
  <c r="A1031" i="29"/>
  <c r="A1032" i="29"/>
  <c r="A1033" i="29"/>
  <c r="A1034" i="29"/>
  <c r="A1035" i="29"/>
  <c r="A1036" i="29"/>
  <c r="A1037" i="29"/>
  <c r="A1038" i="29"/>
  <c r="A1039" i="29"/>
  <c r="A1040" i="29"/>
  <c r="A1041" i="29"/>
  <c r="A1042" i="29"/>
  <c r="A1043" i="29"/>
  <c r="A1044" i="29"/>
  <c r="A1045" i="29"/>
  <c r="A1046" i="29"/>
  <c r="A1047" i="29"/>
  <c r="A1048" i="29"/>
  <c r="A1049" i="29"/>
  <c r="A1050" i="29"/>
  <c r="A1051" i="29"/>
  <c r="A1052" i="29"/>
  <c r="A1053" i="29"/>
  <c r="A1054" i="29"/>
  <c r="A1055" i="29"/>
  <c r="A1056" i="29"/>
  <c r="A1057" i="29"/>
  <c r="A1058" i="29"/>
  <c r="A1059" i="29"/>
  <c r="A1060" i="29"/>
  <c r="A1061" i="29"/>
  <c r="A1062" i="29"/>
  <c r="A1063" i="29"/>
  <c r="A1064" i="29"/>
  <c r="A1065" i="29"/>
  <c r="A1066" i="29"/>
  <c r="A1067" i="29"/>
  <c r="A1068" i="29"/>
  <c r="A1069" i="29"/>
  <c r="A1070" i="29"/>
  <c r="A1071" i="29"/>
  <c r="A1072" i="29"/>
  <c r="A1073" i="29"/>
  <c r="A1074" i="29"/>
  <c r="A1075" i="29"/>
  <c r="A1076" i="29"/>
  <c r="A1077" i="29"/>
  <c r="A1078" i="29"/>
  <c r="A1079" i="29"/>
  <c r="A1080" i="29"/>
  <c r="A1081" i="29"/>
  <c r="A1082" i="29"/>
  <c r="A1083" i="29"/>
  <c r="A1084" i="29"/>
  <c r="A1085" i="29"/>
  <c r="A1086" i="29"/>
  <c r="A1087" i="29"/>
  <c r="A1088" i="29"/>
  <c r="A1089" i="29"/>
  <c r="A1090" i="29"/>
  <c r="A1091" i="29"/>
  <c r="A1092" i="29"/>
  <c r="A1093" i="29"/>
  <c r="A1094" i="29"/>
  <c r="A1095" i="29"/>
  <c r="A1096" i="29"/>
  <c r="A1097" i="29"/>
  <c r="A1098" i="29"/>
  <c r="A1099" i="29"/>
  <c r="A1100" i="29"/>
  <c r="A1101" i="29"/>
  <c r="A1102" i="29"/>
  <c r="A1103" i="29"/>
  <c r="A1104" i="29"/>
  <c r="A1105" i="29"/>
  <c r="A1106" i="29"/>
  <c r="A1107" i="29"/>
  <c r="A1108" i="29"/>
  <c r="A1109" i="29"/>
  <c r="A1110" i="29"/>
  <c r="A1111" i="29"/>
  <c r="A1112" i="29"/>
  <c r="A1113" i="29"/>
  <c r="A1114" i="29"/>
  <c r="A1115" i="29"/>
  <c r="A1116" i="29"/>
  <c r="A1117" i="29"/>
  <c r="A1118" i="29"/>
  <c r="A1119" i="29"/>
  <c r="A1120" i="29"/>
  <c r="A1121" i="29"/>
  <c r="A1122" i="29"/>
  <c r="A1123" i="29"/>
  <c r="A1124" i="29"/>
  <c r="A1125" i="29"/>
  <c r="A1126" i="29"/>
  <c r="A1127" i="29"/>
  <c r="A1128" i="29"/>
  <c r="A1129" i="29"/>
  <c r="A1130" i="29"/>
  <c r="A1131" i="29"/>
  <c r="A1132" i="29"/>
  <c r="A1133" i="29"/>
  <c r="A1134" i="29"/>
  <c r="A1135" i="29"/>
  <c r="A1136" i="29"/>
  <c r="A1137" i="29"/>
  <c r="A1138" i="29"/>
  <c r="A1139" i="29"/>
  <c r="A1140" i="29"/>
  <c r="A1141" i="29"/>
  <c r="A1142" i="29"/>
  <c r="A1143" i="29"/>
  <c r="A1144" i="29"/>
  <c r="A1145" i="29"/>
  <c r="A1146" i="29"/>
  <c r="A1147" i="29"/>
  <c r="A1148" i="29"/>
  <c r="A1149" i="29"/>
  <c r="A1150" i="29"/>
  <c r="A1151" i="29"/>
  <c r="A1152" i="29"/>
  <c r="A1153" i="29"/>
  <c r="A1154" i="29"/>
  <c r="A1155" i="29"/>
  <c r="A1156" i="29"/>
  <c r="A1157" i="29"/>
  <c r="A1158" i="29"/>
  <c r="A1159" i="29"/>
  <c r="A1160" i="29"/>
  <c r="A1161" i="29"/>
  <c r="A1162" i="29"/>
  <c r="A1163" i="29"/>
  <c r="A1164" i="29"/>
  <c r="A1165" i="29"/>
  <c r="A1166" i="29"/>
  <c r="A1167" i="29"/>
  <c r="A1168" i="29"/>
  <c r="A1169" i="29"/>
  <c r="A1170" i="29"/>
  <c r="A1171" i="29"/>
  <c r="A1172" i="29"/>
  <c r="A1173" i="29"/>
  <c r="A1174" i="29"/>
  <c r="A1175" i="29"/>
  <c r="A1176" i="29"/>
  <c r="A1177" i="29"/>
  <c r="A1178" i="29"/>
  <c r="A1179" i="29"/>
  <c r="A1180" i="29"/>
  <c r="A1181" i="29"/>
  <c r="A1182" i="29"/>
  <c r="A1183" i="29"/>
  <c r="A1184" i="29"/>
  <c r="A1185" i="29"/>
  <c r="A1186" i="29"/>
  <c r="A1187" i="29"/>
  <c r="A1188" i="29"/>
  <c r="A1189" i="29"/>
  <c r="A1190" i="29"/>
  <c r="A1191" i="29"/>
  <c r="A1192" i="29"/>
  <c r="A1193" i="29"/>
  <c r="A1194" i="29"/>
  <c r="A1195" i="29"/>
  <c r="A1196" i="29"/>
  <c r="A1197" i="29"/>
  <c r="A1198" i="29"/>
  <c r="A1199" i="29"/>
  <c r="A1200" i="29"/>
  <c r="A1201" i="29"/>
  <c r="A1202" i="29"/>
  <c r="A1203" i="29"/>
  <c r="A1204" i="29"/>
  <c r="A1205" i="29"/>
  <c r="A1206" i="29"/>
  <c r="A1207" i="29"/>
  <c r="A1208" i="29"/>
  <c r="A1209" i="29"/>
  <c r="A1210" i="29"/>
  <c r="A1211" i="29"/>
  <c r="A1212" i="29"/>
  <c r="A1213" i="29"/>
  <c r="A1214" i="29"/>
  <c r="A1215" i="29"/>
  <c r="A1216" i="29"/>
  <c r="A1217" i="29"/>
  <c r="A1218" i="29"/>
  <c r="A1219" i="29"/>
  <c r="A1220" i="29"/>
  <c r="A1221" i="29"/>
  <c r="A1222" i="29"/>
  <c r="A1223" i="29"/>
  <c r="A1224" i="29"/>
  <c r="A1225" i="29"/>
  <c r="A1226" i="29"/>
  <c r="A1227" i="29"/>
  <c r="A1228" i="29"/>
  <c r="A1229" i="29"/>
  <c r="A1230" i="29"/>
  <c r="A1231" i="29"/>
  <c r="A1232" i="29"/>
  <c r="A1233" i="29"/>
  <c r="A1234" i="29"/>
  <c r="A1235" i="29"/>
  <c r="A1236" i="29"/>
  <c r="A1237" i="29"/>
  <c r="A1238" i="29"/>
  <c r="A1239" i="29"/>
  <c r="A1240" i="29"/>
  <c r="A1241" i="29"/>
  <c r="A1242" i="29"/>
  <c r="A1243" i="29"/>
  <c r="A1244" i="29"/>
  <c r="A1245" i="29"/>
  <c r="A1246" i="29"/>
  <c r="A1247" i="29"/>
  <c r="A1248" i="29"/>
  <c r="A1249" i="29"/>
  <c r="A1250" i="29"/>
  <c r="A1251" i="29"/>
  <c r="A1252" i="29"/>
  <c r="A1253" i="29"/>
  <c r="A1254" i="29"/>
  <c r="A1255" i="29"/>
  <c r="A1256" i="29"/>
  <c r="A1257" i="29"/>
  <c r="A1258" i="29"/>
  <c r="A1259" i="29"/>
  <c r="A1260" i="29"/>
  <c r="A1261" i="29"/>
  <c r="A1262" i="29"/>
  <c r="A1263" i="29"/>
  <c r="A1264" i="29"/>
  <c r="A1265" i="29"/>
  <c r="A1266" i="29"/>
  <c r="A1267" i="29"/>
  <c r="A1268" i="29"/>
  <c r="A1269" i="29"/>
  <c r="A1270" i="29"/>
  <c r="A1271" i="29"/>
  <c r="A1272" i="29"/>
  <c r="A1273" i="29"/>
  <c r="A1274" i="29"/>
  <c r="A1275" i="29"/>
  <c r="A1276" i="29"/>
  <c r="A1277" i="29"/>
  <c r="A1278" i="29"/>
  <c r="A1279" i="29"/>
  <c r="A1280" i="29"/>
  <c r="A1281" i="29"/>
  <c r="A1282" i="29"/>
  <c r="A1283" i="29"/>
  <c r="A1284" i="29"/>
  <c r="A1285" i="29"/>
  <c r="A1286" i="29"/>
  <c r="A1287" i="29"/>
  <c r="A1288" i="29"/>
  <c r="A1289" i="29"/>
  <c r="A1290" i="29"/>
  <c r="A1291" i="29"/>
  <c r="A1292" i="29"/>
  <c r="A1293" i="29"/>
  <c r="A1294" i="29"/>
  <c r="A1295" i="29"/>
  <c r="A1296" i="29"/>
  <c r="A1297" i="29"/>
  <c r="A1298" i="29"/>
  <c r="A1299" i="29"/>
  <c r="A1300" i="29"/>
  <c r="A1301" i="29"/>
  <c r="A1302" i="29"/>
  <c r="A1303" i="29"/>
  <c r="A1304" i="29"/>
  <c r="A1305" i="29"/>
  <c r="A1306" i="29"/>
  <c r="A1307" i="29"/>
  <c r="A1308" i="29"/>
  <c r="A1309" i="29"/>
  <c r="A1310" i="29"/>
  <c r="A1311" i="29"/>
  <c r="A1312" i="29"/>
  <c r="A1313" i="29"/>
  <c r="A1314" i="29"/>
  <c r="A1315" i="29"/>
  <c r="A1316" i="29"/>
  <c r="A1317" i="29"/>
  <c r="A1318" i="29"/>
  <c r="A1319" i="29"/>
  <c r="A1320" i="29"/>
  <c r="A1321" i="29"/>
  <c r="A1322" i="29"/>
  <c r="A1323" i="29"/>
  <c r="A1324" i="29"/>
  <c r="A1325" i="29"/>
  <c r="A1326" i="29"/>
  <c r="A1327" i="29"/>
  <c r="A1328" i="29"/>
  <c r="A1329" i="29"/>
  <c r="A1330" i="29"/>
  <c r="A1331" i="29"/>
  <c r="A1332" i="29"/>
  <c r="A1333" i="29"/>
  <c r="A1334" i="29"/>
  <c r="A1335" i="29"/>
  <c r="A1336" i="29"/>
  <c r="A1337" i="29"/>
  <c r="A1338" i="29"/>
  <c r="A1339" i="29"/>
  <c r="A1340" i="29"/>
  <c r="A1341" i="29"/>
  <c r="A1342" i="29"/>
  <c r="A1343" i="29"/>
  <c r="A1344" i="29"/>
  <c r="A1345" i="29"/>
  <c r="A1346" i="29"/>
  <c r="A1347" i="29"/>
  <c r="A1348" i="29"/>
  <c r="A1349" i="29"/>
  <c r="A1350" i="29"/>
  <c r="A1351" i="29"/>
  <c r="A1352" i="29"/>
  <c r="A1353" i="29"/>
  <c r="A1354" i="29"/>
  <c r="A1355" i="29"/>
  <c r="A1356" i="29"/>
  <c r="A1357" i="29"/>
  <c r="A1358" i="29"/>
  <c r="A1359" i="29"/>
  <c r="A1360" i="29"/>
  <c r="A1361" i="29"/>
  <c r="A1362" i="29"/>
  <c r="A1363" i="29"/>
  <c r="A1364" i="29"/>
  <c r="A1365" i="29"/>
  <c r="A1366" i="29"/>
  <c r="A1367" i="29"/>
  <c r="A1368" i="29"/>
  <c r="A1369" i="29"/>
  <c r="A1370" i="29"/>
  <c r="A1371" i="29"/>
  <c r="A1372" i="29"/>
  <c r="A1373" i="29"/>
  <c r="A1374" i="29"/>
  <c r="A1375" i="29"/>
  <c r="A1376" i="29"/>
  <c r="A1377" i="29"/>
  <c r="A1378" i="29"/>
  <c r="A1379" i="29"/>
  <c r="A1380" i="29"/>
  <c r="A1381" i="29"/>
  <c r="A1382" i="29"/>
  <c r="A1383" i="29"/>
  <c r="A1384" i="29"/>
  <c r="A1385" i="29"/>
  <c r="A1386" i="29"/>
  <c r="A1387" i="29"/>
  <c r="A1388" i="29"/>
  <c r="A1389" i="29"/>
  <c r="A1390" i="29"/>
  <c r="A1391" i="29"/>
  <c r="A1392" i="29"/>
  <c r="A1393" i="29"/>
  <c r="A1394" i="29"/>
  <c r="A1395" i="29"/>
  <c r="A1396" i="29"/>
  <c r="A1397" i="29"/>
  <c r="A1398" i="29"/>
  <c r="A1399" i="29"/>
  <c r="A1400" i="29"/>
  <c r="A1401" i="29"/>
  <c r="A1402" i="29"/>
  <c r="A1403" i="29"/>
  <c r="A1404" i="29"/>
  <c r="A1405" i="29"/>
  <c r="A1406" i="29"/>
  <c r="A1407" i="29"/>
  <c r="A1408" i="29"/>
  <c r="A1409" i="29"/>
  <c r="A1410" i="29"/>
  <c r="A1411" i="29"/>
  <c r="A1412" i="29"/>
  <c r="A1413" i="29"/>
  <c r="A1414" i="29"/>
  <c r="A1415" i="29"/>
  <c r="A1416" i="29"/>
  <c r="A1417" i="29"/>
  <c r="A1418" i="29"/>
  <c r="A1419" i="29"/>
  <c r="A1420" i="29"/>
  <c r="A1421" i="29"/>
  <c r="A1422" i="29"/>
  <c r="A1423" i="29"/>
  <c r="A1424" i="29"/>
  <c r="A1425" i="29"/>
  <c r="A1426" i="29"/>
  <c r="A1427" i="29"/>
  <c r="A1428" i="29"/>
  <c r="A1429" i="29"/>
  <c r="A1430" i="29"/>
  <c r="A1431" i="29"/>
  <c r="A1432" i="29"/>
  <c r="A1433" i="29"/>
  <c r="A1434" i="29"/>
  <c r="A1435" i="29"/>
  <c r="A1436" i="29"/>
  <c r="A1437" i="29"/>
  <c r="A1438" i="29"/>
  <c r="A1439" i="29"/>
  <c r="A1440" i="29"/>
  <c r="A1441" i="29"/>
  <c r="A1442" i="29"/>
  <c r="A1443" i="29"/>
  <c r="A1444" i="29"/>
  <c r="A1445" i="29"/>
  <c r="A1446" i="29"/>
  <c r="A1447" i="29"/>
  <c r="A1448" i="29"/>
  <c r="A1449" i="29"/>
  <c r="A1450" i="29"/>
  <c r="A1451" i="29"/>
  <c r="A1452" i="29"/>
  <c r="A1453" i="29"/>
  <c r="A1454" i="29"/>
  <c r="A1455" i="29"/>
  <c r="A1456" i="29"/>
  <c r="A1457" i="29"/>
  <c r="A1458" i="29"/>
  <c r="A1459" i="29"/>
  <c r="A1460" i="29"/>
  <c r="A1461" i="29"/>
  <c r="A1462" i="29"/>
  <c r="A1463" i="29"/>
  <c r="A1464" i="29"/>
  <c r="A1465" i="29"/>
  <c r="A1466" i="29"/>
  <c r="A1467" i="29"/>
  <c r="A1468" i="29"/>
  <c r="A1469" i="29"/>
  <c r="A1470" i="29"/>
  <c r="A1471" i="29"/>
  <c r="A1472" i="29"/>
  <c r="A1473" i="29"/>
  <c r="A1474" i="29"/>
  <c r="A1475" i="29"/>
  <c r="A1476" i="29"/>
  <c r="A1477" i="29"/>
  <c r="A1478" i="29"/>
  <c r="A1479" i="29"/>
  <c r="A1480" i="29"/>
  <c r="A1481" i="29"/>
  <c r="A1482" i="29"/>
  <c r="A1483" i="29"/>
  <c r="A1484" i="29"/>
  <c r="A1485" i="29"/>
  <c r="A1486" i="29"/>
  <c r="A1487" i="29"/>
  <c r="A1488" i="29"/>
  <c r="A1489" i="29"/>
  <c r="A1490" i="29"/>
  <c r="A1491" i="29"/>
  <c r="A1492" i="29"/>
  <c r="A1493" i="29"/>
  <c r="A1494" i="29"/>
  <c r="A1495" i="29"/>
  <c r="A1496" i="29"/>
  <c r="A1497" i="29"/>
  <c r="A1498" i="29"/>
  <c r="A1499" i="29"/>
  <c r="A1500" i="29"/>
  <c r="A1501" i="29"/>
  <c r="A1502" i="29"/>
  <c r="A1503" i="29"/>
  <c r="A1504" i="29"/>
  <c r="A1505" i="29"/>
  <c r="A1506" i="29"/>
  <c r="A1507" i="29"/>
  <c r="A1508" i="29"/>
  <c r="A1509" i="29"/>
  <c r="A1510" i="29"/>
  <c r="A1511" i="29"/>
  <c r="A1512" i="29"/>
  <c r="A1513" i="29"/>
  <c r="A1514" i="29"/>
  <c r="A1515" i="29"/>
  <c r="A1516" i="29"/>
  <c r="A1517" i="29"/>
  <c r="A1518" i="29"/>
  <c r="A1519" i="29"/>
  <c r="A1520" i="29"/>
  <c r="A1521" i="29"/>
  <c r="A1522" i="29"/>
  <c r="A1523" i="29"/>
  <c r="A1524" i="29"/>
  <c r="A1525" i="29"/>
  <c r="A1526" i="29"/>
  <c r="A1527" i="29"/>
  <c r="A1528" i="29"/>
  <c r="A1529" i="29"/>
  <c r="A1530" i="29"/>
  <c r="A1531" i="29"/>
  <c r="A1532" i="29"/>
  <c r="A1533" i="29"/>
  <c r="A1534" i="29"/>
  <c r="A1535" i="29"/>
  <c r="A1536" i="29"/>
  <c r="A1537" i="29"/>
  <c r="A1538" i="29"/>
  <c r="A1539" i="29"/>
  <c r="A1540" i="29"/>
  <c r="A1541" i="29"/>
  <c r="A1542" i="29"/>
  <c r="A1543" i="29"/>
  <c r="A1544" i="29"/>
  <c r="A1545" i="29"/>
  <c r="A1546" i="29"/>
  <c r="A1547" i="29"/>
  <c r="A1548" i="29"/>
  <c r="A1549" i="29"/>
  <c r="A1550" i="29"/>
  <c r="A1551" i="29"/>
  <c r="A1552" i="29"/>
  <c r="A1553" i="29"/>
  <c r="A1554" i="29"/>
  <c r="A1555" i="29"/>
  <c r="A1556" i="29"/>
  <c r="A1557" i="29"/>
  <c r="A1558" i="29"/>
  <c r="A1559" i="29"/>
  <c r="A1560" i="29"/>
  <c r="A1561" i="29"/>
  <c r="A1562" i="29"/>
  <c r="A1563" i="29"/>
  <c r="A1564" i="29"/>
  <c r="A1565" i="29"/>
  <c r="A1566" i="29"/>
  <c r="A1567" i="29"/>
  <c r="A1568" i="29"/>
  <c r="A1569" i="29"/>
  <c r="A1570" i="29"/>
  <c r="A1571" i="29"/>
  <c r="A1572" i="29"/>
  <c r="A1573" i="29"/>
  <c r="A1574" i="29"/>
  <c r="A1575" i="29"/>
  <c r="A1576" i="29"/>
  <c r="A1577" i="29"/>
  <c r="A1578" i="29"/>
  <c r="A1579" i="29"/>
  <c r="A1580" i="29"/>
  <c r="A1581" i="29"/>
  <c r="A1582" i="29"/>
  <c r="A1583" i="29"/>
  <c r="A1584" i="29"/>
  <c r="A1585" i="29"/>
  <c r="A1586" i="29"/>
  <c r="A1587" i="29"/>
  <c r="A1588" i="29"/>
  <c r="A1589" i="29"/>
  <c r="A1590" i="29"/>
  <c r="A1591" i="29"/>
  <c r="A1592" i="29"/>
  <c r="A1593" i="29"/>
  <c r="A1594" i="29"/>
  <c r="A1595" i="29"/>
  <c r="A1596" i="29"/>
  <c r="A1597" i="29"/>
  <c r="A1598" i="29"/>
  <c r="A1599" i="29"/>
  <c r="A1600" i="29"/>
  <c r="A1601" i="29"/>
  <c r="A1602" i="29"/>
  <c r="A1603" i="29"/>
  <c r="A1604" i="29"/>
  <c r="A1605" i="29"/>
  <c r="A1606" i="29"/>
  <c r="A1607" i="29"/>
  <c r="A1608" i="29"/>
  <c r="A1609" i="29"/>
  <c r="A1610" i="29"/>
  <c r="A1611" i="29"/>
  <c r="A1612" i="29"/>
  <c r="A1613" i="29"/>
  <c r="A1614" i="29"/>
  <c r="A1615" i="29"/>
  <c r="A1616" i="29"/>
  <c r="A1617" i="29"/>
  <c r="A1618" i="29"/>
  <c r="A1619" i="29"/>
  <c r="A1620" i="29"/>
  <c r="A1621" i="29"/>
  <c r="A1622" i="29"/>
  <c r="A1623" i="29"/>
  <c r="A1624" i="29"/>
  <c r="A1625" i="29"/>
  <c r="A1626" i="29"/>
  <c r="A1627" i="29"/>
  <c r="A1628" i="29"/>
  <c r="A1629" i="29"/>
  <c r="A1630" i="29"/>
  <c r="A1631" i="29"/>
  <c r="A1632" i="29"/>
  <c r="A1633" i="29"/>
  <c r="A1634" i="29"/>
  <c r="A1635" i="29"/>
  <c r="A1636" i="29"/>
  <c r="A1637" i="29"/>
  <c r="A1638" i="29"/>
  <c r="A1639" i="29"/>
  <c r="A1640" i="29"/>
  <c r="A1641" i="29"/>
  <c r="A1642" i="29"/>
  <c r="A1643" i="29"/>
  <c r="A1644" i="29"/>
  <c r="A1645" i="29"/>
  <c r="A1646" i="29"/>
  <c r="A1647" i="29"/>
  <c r="A1648" i="29"/>
  <c r="A1649" i="29"/>
  <c r="A1650" i="29"/>
  <c r="A1651" i="29"/>
  <c r="A1652" i="29"/>
  <c r="A1653" i="29"/>
  <c r="A1654" i="29"/>
  <c r="A1655" i="29"/>
  <c r="A1656" i="29"/>
  <c r="A1657" i="29"/>
  <c r="A1658" i="29"/>
  <c r="A1659" i="29"/>
  <c r="A1660" i="29"/>
  <c r="A1661" i="29"/>
  <c r="A1662" i="29"/>
  <c r="A1663" i="29"/>
  <c r="A1664" i="29"/>
  <c r="A1665" i="29"/>
  <c r="A1666" i="29"/>
  <c r="A1667" i="29"/>
  <c r="A1668" i="29"/>
  <c r="A1669" i="29"/>
  <c r="A1670" i="29"/>
  <c r="A1671" i="29"/>
  <c r="A1672" i="29"/>
  <c r="A1673" i="29"/>
  <c r="A1674" i="29"/>
  <c r="A1675" i="29"/>
  <c r="A1676" i="29"/>
  <c r="A1677" i="29"/>
  <c r="A1678" i="29"/>
  <c r="A1679" i="29"/>
  <c r="A1680" i="29"/>
  <c r="A1681" i="29"/>
  <c r="A1682" i="29"/>
  <c r="A1683" i="29"/>
  <c r="A1684" i="29"/>
  <c r="A1685" i="29"/>
  <c r="A1686" i="29"/>
  <c r="A1687" i="29"/>
  <c r="A1688" i="29"/>
  <c r="A1689" i="29"/>
  <c r="A1690" i="29"/>
  <c r="A1691" i="29"/>
  <c r="A1692" i="29"/>
  <c r="A1693" i="29"/>
  <c r="A1694" i="29"/>
  <c r="A1695" i="29"/>
  <c r="A1696" i="29"/>
  <c r="A1697" i="29"/>
  <c r="A1698" i="29"/>
  <c r="A1699" i="29"/>
  <c r="A1700" i="29"/>
  <c r="A1701" i="29"/>
  <c r="A1702" i="29"/>
  <c r="A1703" i="29"/>
  <c r="A1704" i="29"/>
  <c r="A1705" i="29"/>
  <c r="A1706" i="29"/>
  <c r="A1707" i="29"/>
  <c r="A1708" i="29"/>
  <c r="A1709" i="29"/>
  <c r="A1710" i="29"/>
  <c r="A1711" i="29"/>
  <c r="A1712" i="29"/>
  <c r="A1713" i="29"/>
  <c r="A1714" i="29"/>
  <c r="A1715" i="29"/>
  <c r="A1716" i="29"/>
  <c r="A1717" i="29"/>
  <c r="A1718" i="29"/>
  <c r="A1719" i="29"/>
  <c r="A1720" i="29"/>
  <c r="A1721" i="29"/>
  <c r="A1722" i="29"/>
  <c r="A1723" i="29"/>
  <c r="A1724" i="29"/>
  <c r="A1725" i="29"/>
  <c r="A1726" i="29"/>
  <c r="A1727" i="29"/>
  <c r="A1728" i="29"/>
  <c r="A1729" i="29"/>
  <c r="A1730" i="29"/>
  <c r="A1731" i="29"/>
  <c r="A1732" i="29"/>
  <c r="A1733" i="29"/>
  <c r="A1734" i="29"/>
  <c r="A1735" i="29"/>
  <c r="A1736" i="29"/>
  <c r="A1737" i="29"/>
  <c r="A1738" i="29"/>
  <c r="A1739" i="29"/>
  <c r="A1740" i="29"/>
  <c r="A1741" i="29"/>
  <c r="A1742" i="29"/>
  <c r="A1743" i="29"/>
  <c r="A1744" i="29"/>
  <c r="A1745" i="29"/>
  <c r="A1746" i="29"/>
  <c r="A1747" i="29"/>
  <c r="A1748" i="29"/>
  <c r="A1749" i="29"/>
  <c r="A1750" i="29"/>
  <c r="A1751" i="29"/>
  <c r="A1752" i="29"/>
  <c r="A1753" i="29"/>
  <c r="A1754" i="29"/>
  <c r="A1755" i="29"/>
  <c r="A1756" i="29"/>
  <c r="A1757" i="29"/>
  <c r="A1758" i="29"/>
  <c r="A1759" i="29"/>
  <c r="A1760" i="29"/>
  <c r="A1761" i="29"/>
  <c r="A1762" i="29"/>
  <c r="A1763" i="29"/>
  <c r="A1764" i="29"/>
  <c r="A1765" i="29"/>
  <c r="A1766" i="29"/>
  <c r="A1767" i="29"/>
  <c r="A1768" i="29"/>
  <c r="A1769" i="29"/>
  <c r="A1770" i="29"/>
  <c r="A1771" i="29"/>
  <c r="A1772" i="29"/>
  <c r="A1773" i="29"/>
  <c r="A1774" i="29"/>
  <c r="A1775" i="29"/>
  <c r="A1776" i="29"/>
  <c r="A1777" i="29"/>
  <c r="A1778" i="29"/>
  <c r="A1779" i="29"/>
  <c r="A1780" i="29"/>
  <c r="A1781" i="29"/>
  <c r="A1782" i="29"/>
  <c r="A1783" i="29"/>
  <c r="A1784" i="29"/>
  <c r="A1785" i="29"/>
  <c r="A1786" i="29"/>
  <c r="A1787" i="29"/>
  <c r="A1788" i="29"/>
  <c r="A1789" i="29"/>
  <c r="A1790" i="29"/>
  <c r="A1791" i="29"/>
  <c r="A1792" i="29"/>
  <c r="A1793" i="29"/>
  <c r="A1794" i="29"/>
  <c r="A1795" i="29"/>
  <c r="A1796" i="29"/>
  <c r="A1797" i="29"/>
  <c r="A1798" i="29"/>
  <c r="A1799" i="29"/>
  <c r="A1800" i="29"/>
  <c r="A1801" i="29"/>
  <c r="A1802" i="29"/>
  <c r="A1803" i="29"/>
  <c r="A1804" i="29"/>
  <c r="A1805" i="29"/>
  <c r="A1806" i="29"/>
  <c r="A1807" i="29"/>
  <c r="A1808" i="29"/>
  <c r="A1809" i="29"/>
  <c r="A1810" i="29"/>
  <c r="A1811" i="29"/>
  <c r="A1812" i="29"/>
  <c r="A1813" i="29"/>
  <c r="A1814" i="29"/>
  <c r="A1815" i="29"/>
  <c r="A1816" i="29"/>
  <c r="A1817" i="29"/>
  <c r="A1818" i="29"/>
  <c r="A1819" i="29"/>
  <c r="A1820" i="29"/>
  <c r="A1821" i="29"/>
  <c r="A1822" i="29"/>
  <c r="A1823" i="29"/>
  <c r="A1824" i="29"/>
  <c r="A1825" i="29"/>
  <c r="A1826" i="29"/>
  <c r="A1827" i="29"/>
  <c r="A1828" i="29"/>
  <c r="A1829" i="29"/>
  <c r="A1830" i="29"/>
  <c r="A1831" i="29"/>
  <c r="A1832" i="29"/>
  <c r="A1833" i="29"/>
  <c r="A1834" i="29"/>
  <c r="A1835" i="29"/>
  <c r="A1836" i="29"/>
  <c r="A1837" i="29"/>
  <c r="A1838" i="29"/>
  <c r="A1839" i="29"/>
  <c r="A1840" i="29"/>
  <c r="A1841" i="29"/>
  <c r="A1842" i="29"/>
  <c r="A1843" i="29"/>
  <c r="A1844" i="29"/>
  <c r="A1845" i="29"/>
  <c r="A1846" i="29"/>
  <c r="A1847" i="29"/>
  <c r="A1848" i="29"/>
  <c r="A1849" i="29"/>
  <c r="A1850" i="29"/>
  <c r="A1851" i="29"/>
  <c r="A1852" i="29"/>
  <c r="A1853" i="29"/>
  <c r="A1854" i="29"/>
  <c r="A1855" i="29"/>
  <c r="A1856" i="29"/>
  <c r="A1857" i="29"/>
  <c r="A1858" i="29"/>
  <c r="A1859" i="29"/>
  <c r="A1860" i="29"/>
  <c r="A1861" i="29"/>
  <c r="A1862" i="29"/>
  <c r="A1863" i="29"/>
  <c r="A1864" i="29"/>
  <c r="A1865" i="29"/>
  <c r="A1866" i="29"/>
  <c r="A1867" i="29"/>
  <c r="A1868" i="29"/>
  <c r="A1869" i="29"/>
  <c r="A1870" i="29"/>
  <c r="A1871" i="29"/>
  <c r="A1872" i="29"/>
  <c r="A1873" i="29"/>
  <c r="A1874" i="29"/>
  <c r="A1875" i="29"/>
  <c r="A1876" i="29"/>
  <c r="A1877" i="29"/>
  <c r="A1878" i="29"/>
  <c r="A1879" i="29"/>
  <c r="A1880" i="29"/>
  <c r="A1881" i="29"/>
  <c r="A1882" i="29"/>
  <c r="A1883" i="29"/>
  <c r="A1884" i="29"/>
  <c r="A1885" i="29"/>
  <c r="A1886" i="29"/>
  <c r="A1887" i="29"/>
  <c r="A1888" i="29"/>
  <c r="A1889" i="29"/>
  <c r="A1890" i="29"/>
  <c r="A1891" i="29"/>
  <c r="A1892" i="29"/>
  <c r="A1893" i="29"/>
  <c r="A1894" i="29"/>
  <c r="A1895" i="29"/>
  <c r="A1896" i="29"/>
  <c r="A1897" i="29"/>
  <c r="A1898" i="29"/>
  <c r="A1899" i="29"/>
  <c r="A1900" i="29"/>
  <c r="A1901" i="29"/>
  <c r="A1902" i="29"/>
  <c r="A1903" i="29"/>
  <c r="A1904" i="29"/>
  <c r="A1905" i="29"/>
  <c r="A1906" i="29"/>
  <c r="A1907" i="29"/>
  <c r="A1908" i="29"/>
  <c r="A1909" i="29"/>
  <c r="A1910" i="29"/>
  <c r="A1911" i="29"/>
  <c r="A1912" i="29"/>
  <c r="A1913" i="29"/>
  <c r="A1914" i="29"/>
  <c r="A1915" i="29"/>
  <c r="A1916" i="29"/>
  <c r="A1917" i="29"/>
  <c r="A1918" i="29"/>
  <c r="A1919" i="29"/>
  <c r="A1920" i="29"/>
  <c r="A1921" i="29"/>
  <c r="A1922" i="29"/>
  <c r="A1923" i="29"/>
  <c r="A1924" i="29"/>
  <c r="A1925" i="29"/>
  <c r="A1926" i="29"/>
  <c r="A1927" i="29"/>
  <c r="A1928" i="29"/>
  <c r="A1929" i="29"/>
  <c r="A1930" i="29"/>
  <c r="A1931" i="29"/>
  <c r="A1932" i="29"/>
  <c r="A1933" i="29"/>
  <c r="A1934" i="29"/>
  <c r="A1935" i="29"/>
  <c r="A1936" i="29"/>
  <c r="A1937" i="29"/>
  <c r="A1938" i="29"/>
  <c r="A1939" i="29"/>
  <c r="A1940" i="29"/>
  <c r="A1941" i="29"/>
  <c r="A1942" i="29"/>
  <c r="A1943" i="29"/>
  <c r="A1944" i="29"/>
  <c r="A1945" i="29"/>
  <c r="A1946" i="29"/>
  <c r="A1947" i="29"/>
  <c r="A1948" i="29"/>
  <c r="A1949" i="29"/>
  <c r="A1950" i="29"/>
  <c r="A1951" i="29"/>
  <c r="A1952" i="29"/>
  <c r="A1953" i="29"/>
  <c r="A1954" i="29"/>
  <c r="A1955" i="29"/>
  <c r="A1956" i="29"/>
  <c r="A1957" i="29"/>
  <c r="A1958" i="29"/>
  <c r="A1959" i="29"/>
  <c r="A1960" i="29"/>
  <c r="A1961" i="29"/>
  <c r="A1962" i="29"/>
  <c r="A1963" i="29"/>
  <c r="A1964" i="29"/>
  <c r="A1965" i="29"/>
  <c r="A1966" i="29"/>
  <c r="A1967" i="29"/>
  <c r="A1968" i="29"/>
  <c r="A1969" i="29"/>
  <c r="A1970" i="29"/>
  <c r="A1971" i="29"/>
  <c r="A1972" i="29"/>
  <c r="A1973" i="29"/>
  <c r="A1974" i="29"/>
  <c r="A1975" i="29"/>
  <c r="A1976" i="29"/>
  <c r="A1977" i="29"/>
  <c r="A1978" i="29"/>
  <c r="A1979" i="29"/>
  <c r="A1980" i="29"/>
  <c r="A1981" i="29"/>
  <c r="A1982" i="29"/>
  <c r="A1983" i="29"/>
  <c r="A1984" i="29"/>
  <c r="A1985" i="29"/>
  <c r="A1986" i="29"/>
  <c r="A1987" i="29"/>
  <c r="A1988" i="29"/>
  <c r="A1989" i="29"/>
  <c r="A1990" i="29"/>
  <c r="A1991" i="29"/>
  <c r="A1992" i="29"/>
  <c r="A1993" i="29"/>
  <c r="A1994" i="29"/>
  <c r="A1995" i="29"/>
  <c r="A1996" i="29"/>
  <c r="A1997" i="29"/>
  <c r="A1998" i="29"/>
  <c r="A1999" i="29"/>
  <c r="A2000" i="29"/>
  <c r="A2001" i="29"/>
  <c r="A2002" i="29"/>
  <c r="A2003" i="29"/>
  <c r="A2004" i="29"/>
  <c r="A2005" i="29"/>
  <c r="A2006" i="29"/>
  <c r="A2007" i="29"/>
  <c r="A2008" i="29"/>
  <c r="A2009" i="29"/>
  <c r="A2010" i="29"/>
  <c r="A2011" i="29"/>
  <c r="A2012" i="29"/>
  <c r="A2013" i="29"/>
  <c r="A2014" i="29"/>
  <c r="A2015" i="29"/>
  <c r="A2016" i="29"/>
  <c r="A2017" i="29"/>
  <c r="A2018" i="29"/>
  <c r="A2019" i="29"/>
  <c r="A2020" i="29"/>
  <c r="A2021" i="29"/>
  <c r="A2022" i="29"/>
  <c r="A2023" i="29"/>
  <c r="A2024" i="29"/>
  <c r="A2025" i="29"/>
  <c r="A2026" i="29"/>
  <c r="A2027" i="29"/>
  <c r="A2028" i="29"/>
  <c r="A2029" i="29"/>
  <c r="A2030" i="29"/>
  <c r="A2031" i="29"/>
  <c r="A2032" i="29"/>
  <c r="A2033" i="29"/>
  <c r="A2034" i="29"/>
  <c r="A2035" i="29"/>
  <c r="A2036" i="29"/>
  <c r="A2037" i="29"/>
  <c r="A2038" i="29"/>
  <c r="A2039" i="29"/>
  <c r="A2040" i="29"/>
  <c r="A2041" i="29"/>
  <c r="A2042" i="29"/>
  <c r="A2043" i="29"/>
  <c r="A2044" i="29"/>
  <c r="A2045" i="29"/>
  <c r="A2046" i="29"/>
  <c r="A2047" i="29"/>
  <c r="A2048" i="29"/>
  <c r="A2049" i="29"/>
  <c r="A2050" i="29"/>
  <c r="A2051" i="29"/>
  <c r="A2052" i="29"/>
  <c r="A2053" i="29"/>
  <c r="A2054" i="29"/>
  <c r="A2055" i="29"/>
  <c r="A2056" i="29"/>
  <c r="A2057" i="29"/>
  <c r="A2058" i="29"/>
  <c r="A2059" i="29"/>
  <c r="A2060" i="29"/>
  <c r="A2061" i="29"/>
  <c r="A2062" i="29"/>
  <c r="A2063" i="29"/>
  <c r="A2064" i="29"/>
  <c r="A2065" i="29"/>
  <c r="A2066" i="29"/>
  <c r="A2067" i="29"/>
  <c r="A2068" i="29"/>
  <c r="A2069" i="29"/>
  <c r="A2070" i="29"/>
  <c r="A2071" i="29"/>
  <c r="A2072" i="29"/>
  <c r="A2073" i="29"/>
  <c r="A2074" i="29"/>
  <c r="A2075" i="29"/>
  <c r="A2076" i="29"/>
  <c r="A2077" i="29"/>
  <c r="A2078" i="29"/>
  <c r="A2079" i="29"/>
  <c r="A2080" i="29"/>
  <c r="A2081" i="29"/>
  <c r="A2082" i="29"/>
  <c r="A2083" i="29"/>
  <c r="A2084" i="29"/>
  <c r="A2085" i="29"/>
  <c r="A2086" i="29"/>
  <c r="A2087" i="29"/>
  <c r="A2088" i="29"/>
  <c r="A2089" i="29"/>
  <c r="A2090" i="29"/>
  <c r="A2091" i="29"/>
  <c r="A2092" i="29"/>
  <c r="A2093" i="29"/>
  <c r="A2094" i="29"/>
  <c r="A2095" i="29"/>
  <c r="A2096" i="29"/>
  <c r="A2097" i="29"/>
  <c r="A2098" i="29"/>
  <c r="A2099" i="29"/>
  <c r="A2100" i="29"/>
  <c r="A2101" i="29"/>
  <c r="A2102" i="29"/>
  <c r="A2103" i="29"/>
  <c r="A2104" i="29"/>
  <c r="A2105" i="29"/>
  <c r="A2106" i="29"/>
  <c r="A2107" i="29"/>
  <c r="A2108" i="29"/>
  <c r="A2109" i="29"/>
  <c r="A2110" i="29"/>
  <c r="A2111" i="29"/>
  <c r="A2112" i="29"/>
  <c r="A2113" i="29"/>
  <c r="A2114" i="29"/>
  <c r="A2115" i="29"/>
  <c r="A2116" i="29"/>
  <c r="A2117" i="29"/>
  <c r="A2118" i="29"/>
  <c r="A2119" i="29"/>
  <c r="A2120" i="29"/>
  <c r="A2121" i="29"/>
  <c r="A2122" i="29"/>
  <c r="A2123" i="29"/>
  <c r="A2124" i="29"/>
  <c r="A2125" i="29"/>
  <c r="A2126" i="29"/>
  <c r="A2127" i="29"/>
  <c r="A2128" i="29"/>
  <c r="A2129" i="29"/>
  <c r="A2130" i="29"/>
  <c r="A2131" i="29"/>
  <c r="A2132" i="29"/>
  <c r="A2133" i="29"/>
  <c r="A2134" i="29"/>
  <c r="A2135" i="29"/>
  <c r="A2136" i="29"/>
  <c r="A2137" i="29"/>
  <c r="A2138" i="29"/>
  <c r="A2139" i="29"/>
  <c r="A2140" i="29"/>
  <c r="A2141" i="29"/>
  <c r="A2142" i="29"/>
  <c r="A2143" i="29"/>
  <c r="A2144" i="29"/>
  <c r="A2145" i="29"/>
  <c r="A2146" i="29"/>
  <c r="A2147" i="29"/>
  <c r="A2148" i="29"/>
  <c r="A2149" i="29"/>
  <c r="A2150" i="29"/>
  <c r="A2151" i="29"/>
  <c r="A2152" i="29"/>
  <c r="A2153" i="29"/>
  <c r="A2154" i="29"/>
  <c r="A2155" i="29"/>
  <c r="A2156" i="29"/>
  <c r="A2157" i="29"/>
  <c r="A2158" i="29"/>
  <c r="A2159" i="29"/>
  <c r="A2160" i="29"/>
  <c r="A2161" i="29"/>
  <c r="A2162" i="29"/>
  <c r="A2163" i="29"/>
  <c r="A2164" i="29"/>
  <c r="A2165" i="29"/>
  <c r="A2166" i="29"/>
  <c r="A2167" i="29"/>
  <c r="A2168" i="29"/>
  <c r="A2169" i="29"/>
  <c r="A2170" i="29"/>
  <c r="A2171" i="29"/>
  <c r="A2172" i="29"/>
  <c r="A2173" i="29"/>
  <c r="A2174" i="29"/>
  <c r="A2175" i="29"/>
  <c r="A2176" i="29"/>
  <c r="A2177" i="29"/>
  <c r="A2178" i="29"/>
  <c r="A2179" i="29"/>
  <c r="A2180" i="29"/>
  <c r="A2181" i="29"/>
  <c r="A2182" i="29"/>
  <c r="A2183" i="29"/>
  <c r="A2184" i="29"/>
  <c r="A2185" i="29"/>
  <c r="A2186" i="29"/>
  <c r="A2187" i="29"/>
  <c r="A2188" i="29"/>
  <c r="A2189" i="29"/>
  <c r="A2190" i="29"/>
  <c r="A2191" i="29"/>
  <c r="A2192" i="29"/>
  <c r="A2193" i="29"/>
  <c r="A2194" i="29"/>
  <c r="A2195" i="29"/>
  <c r="A2196" i="29"/>
  <c r="A2197" i="29"/>
  <c r="A2198" i="29"/>
  <c r="A2199" i="29"/>
  <c r="A2200" i="29"/>
  <c r="A2201" i="29"/>
  <c r="A2202" i="29"/>
  <c r="A2203" i="29"/>
  <c r="A2204" i="29"/>
  <c r="A2205" i="29"/>
  <c r="A2206" i="29"/>
  <c r="A2207" i="29"/>
  <c r="A2208" i="29"/>
  <c r="A2209" i="29"/>
  <c r="A2210" i="29"/>
  <c r="A2211" i="29"/>
  <c r="A2212" i="29"/>
  <c r="A2213" i="29"/>
  <c r="A2214" i="29"/>
  <c r="A2215" i="29"/>
  <c r="A2216" i="29"/>
  <c r="A2217" i="29"/>
  <c r="A2218" i="29"/>
  <c r="A2219" i="29"/>
  <c r="A2220" i="29"/>
  <c r="A2221" i="29"/>
  <c r="A2222" i="29"/>
  <c r="A2223" i="29"/>
  <c r="A2224" i="29"/>
  <c r="A2225" i="29"/>
  <c r="A2226" i="29"/>
  <c r="A2227" i="29"/>
  <c r="A2228" i="29"/>
  <c r="A2229" i="29"/>
  <c r="A2230" i="29"/>
  <c r="A2231" i="29"/>
  <c r="A2232" i="29"/>
  <c r="A2233" i="29"/>
  <c r="A2234" i="29"/>
  <c r="A2235" i="29"/>
  <c r="A2236" i="29"/>
  <c r="A2237" i="29"/>
  <c r="A2238" i="29"/>
  <c r="A2239" i="29"/>
  <c r="A2240" i="29"/>
  <c r="A2241" i="29"/>
  <c r="A2242" i="29"/>
  <c r="A2243" i="29"/>
  <c r="A2244" i="29"/>
  <c r="A2245" i="29"/>
  <c r="A2246" i="29"/>
  <c r="A2247" i="29"/>
  <c r="A2248" i="29"/>
  <c r="A2249" i="29"/>
  <c r="A2250" i="29"/>
  <c r="A2251" i="29"/>
  <c r="A2252" i="29"/>
  <c r="A2253" i="29"/>
  <c r="A2254" i="29"/>
  <c r="A2255" i="29"/>
  <c r="A2256" i="29"/>
  <c r="A2257" i="29"/>
  <c r="A2258" i="29"/>
  <c r="A2259" i="29"/>
  <c r="A2260" i="29"/>
  <c r="A2261" i="29"/>
  <c r="A2262" i="29"/>
  <c r="A2263" i="29"/>
  <c r="A2264" i="29"/>
  <c r="A2265" i="29"/>
  <c r="A2266" i="29"/>
  <c r="A2267" i="29"/>
  <c r="A2268" i="29"/>
  <c r="A2269" i="29"/>
  <c r="A2270" i="29"/>
  <c r="A2271" i="29"/>
  <c r="A2272" i="29"/>
  <c r="A2273" i="29"/>
  <c r="A2274" i="29"/>
  <c r="A2275" i="29"/>
  <c r="A2276" i="29"/>
  <c r="A2277" i="29"/>
  <c r="A2278" i="29"/>
  <c r="A2279" i="29"/>
  <c r="A2280" i="29"/>
  <c r="A2281" i="29"/>
  <c r="A2282" i="29"/>
  <c r="A2283" i="29"/>
  <c r="A2284" i="29"/>
  <c r="A2285" i="29"/>
  <c r="A2286" i="29"/>
  <c r="A2287" i="29"/>
  <c r="A2288" i="29"/>
  <c r="A2289" i="29"/>
  <c r="A2290" i="29"/>
  <c r="A2291" i="29"/>
  <c r="A2292" i="29"/>
  <c r="A2293" i="29"/>
  <c r="A2294" i="29"/>
  <c r="A2295" i="29"/>
  <c r="A2296" i="29"/>
  <c r="A2297" i="29"/>
  <c r="A2298" i="29"/>
  <c r="A2299" i="29"/>
  <c r="A2300" i="29"/>
  <c r="A2301" i="29"/>
  <c r="A2302" i="29"/>
  <c r="A2303" i="29"/>
  <c r="A2304" i="29"/>
  <c r="A2305" i="29"/>
  <c r="A2306" i="29"/>
  <c r="A2307" i="29"/>
  <c r="A2308" i="29"/>
  <c r="A2309" i="29"/>
  <c r="A2310" i="29"/>
  <c r="A2311" i="29"/>
  <c r="A2312" i="29"/>
  <c r="A2313" i="29"/>
  <c r="A2314" i="29"/>
  <c r="A2315" i="29"/>
  <c r="A2316" i="29"/>
  <c r="A2317" i="29"/>
  <c r="A2318" i="29"/>
  <c r="A2319" i="29"/>
  <c r="A2320" i="29"/>
  <c r="A2321" i="29"/>
  <c r="A2322" i="29"/>
  <c r="A2323" i="29"/>
  <c r="A2324" i="29"/>
  <c r="A2325" i="29"/>
  <c r="A2326" i="29"/>
  <c r="A2327" i="29"/>
  <c r="A2328" i="29"/>
  <c r="A2329" i="29"/>
  <c r="A2330" i="29"/>
  <c r="A2331" i="29"/>
  <c r="A2332" i="29"/>
  <c r="A2333" i="29"/>
  <c r="A2334" i="29"/>
  <c r="A2335" i="29"/>
  <c r="A2336" i="29"/>
  <c r="A2337" i="29"/>
  <c r="A2338" i="29"/>
  <c r="A2339" i="29"/>
  <c r="A2340" i="29"/>
  <c r="A2341" i="29"/>
  <c r="A2342" i="29"/>
  <c r="A2343" i="29"/>
  <c r="A2344" i="29"/>
  <c r="A2345" i="29"/>
  <c r="A2346" i="29"/>
  <c r="A2347" i="29"/>
  <c r="A2348" i="29"/>
  <c r="A2349" i="29"/>
  <c r="A2350" i="29"/>
  <c r="A2351" i="29"/>
  <c r="A2352" i="29"/>
  <c r="A2353" i="29"/>
  <c r="A2354" i="29"/>
  <c r="A2355" i="29"/>
  <c r="A2356" i="29"/>
  <c r="A2357" i="29"/>
  <c r="A2358" i="29"/>
  <c r="A2359" i="29"/>
  <c r="A2360" i="29"/>
  <c r="A2361" i="29"/>
  <c r="A2362" i="29"/>
  <c r="A2363" i="29"/>
  <c r="A2364" i="29"/>
  <c r="A2365" i="29"/>
  <c r="A2366" i="29"/>
  <c r="A2367" i="29"/>
  <c r="A2368" i="29"/>
  <c r="A2369" i="29"/>
  <c r="A2370" i="29"/>
  <c r="A2371" i="29"/>
  <c r="A2372" i="29"/>
  <c r="A2373" i="29"/>
  <c r="A2374" i="29"/>
  <c r="A2375" i="29"/>
  <c r="A2376" i="29"/>
  <c r="A2377" i="29"/>
  <c r="A2378" i="29"/>
  <c r="A2379" i="29"/>
  <c r="A2380" i="29"/>
  <c r="A2381" i="29"/>
  <c r="A2382" i="29"/>
  <c r="A2383" i="29"/>
  <c r="A2384" i="29"/>
  <c r="A2385" i="29"/>
  <c r="A2386" i="29"/>
  <c r="A2387" i="29"/>
  <c r="A2388" i="29"/>
  <c r="A2389" i="29"/>
  <c r="A2390" i="29"/>
  <c r="A2391" i="29"/>
  <c r="A2392" i="29"/>
  <c r="A2393" i="29"/>
  <c r="A2394" i="29"/>
  <c r="A2395" i="29"/>
  <c r="A2396" i="29"/>
  <c r="A2397" i="29"/>
  <c r="A2398" i="29"/>
  <c r="A2399" i="29"/>
  <c r="A2400" i="29"/>
  <c r="A2401" i="29"/>
  <c r="A2402" i="29"/>
  <c r="A2403" i="29"/>
  <c r="A2404" i="29"/>
  <c r="A2405" i="29"/>
  <c r="A2406" i="29"/>
  <c r="A2407" i="29"/>
  <c r="A2408" i="29"/>
  <c r="A2409" i="29"/>
  <c r="A2410" i="29"/>
  <c r="A2411" i="29"/>
  <c r="A2412" i="29"/>
  <c r="A2413" i="29"/>
  <c r="A2414" i="29"/>
  <c r="A2415" i="29"/>
  <c r="A2416" i="29"/>
  <c r="A2417" i="29"/>
  <c r="A2418" i="29"/>
  <c r="A2419" i="29"/>
  <c r="A2420" i="29"/>
  <c r="A2421" i="29"/>
  <c r="A2422" i="29"/>
  <c r="A2423" i="29"/>
  <c r="A2424" i="29"/>
  <c r="A2425" i="29"/>
  <c r="A2426" i="29"/>
  <c r="A2427" i="29"/>
  <c r="A2428" i="29"/>
  <c r="A2429" i="29"/>
  <c r="A2430" i="29"/>
  <c r="A2431" i="29"/>
  <c r="A2432" i="29"/>
  <c r="A2433" i="29"/>
  <c r="A2434" i="29"/>
  <c r="A2435" i="29"/>
  <c r="A2436" i="29"/>
  <c r="A2437" i="29"/>
  <c r="A2438" i="29"/>
  <c r="A2439" i="29"/>
  <c r="A2440" i="29"/>
  <c r="A2441" i="29"/>
  <c r="A2442" i="29"/>
  <c r="A2443" i="29"/>
  <c r="A2444" i="29"/>
  <c r="A2445" i="29"/>
  <c r="A2446" i="29"/>
  <c r="A2447" i="29"/>
  <c r="A2448" i="29"/>
  <c r="A2449" i="29"/>
  <c r="A2450" i="29"/>
  <c r="A2451" i="29"/>
  <c r="A2452" i="29"/>
  <c r="A2453" i="29"/>
  <c r="A2454" i="29"/>
  <c r="A2455" i="29"/>
  <c r="A2456" i="29"/>
  <c r="A2457" i="29"/>
  <c r="A2458" i="29"/>
  <c r="A2459" i="29"/>
  <c r="A2460" i="29"/>
  <c r="A2461" i="29"/>
  <c r="A2462" i="29"/>
  <c r="A2463" i="29"/>
  <c r="A2464" i="29"/>
  <c r="A2465" i="29"/>
  <c r="A2466" i="29"/>
  <c r="A2467" i="29"/>
  <c r="A2468" i="29"/>
  <c r="A2469" i="29"/>
  <c r="A2470" i="29"/>
  <c r="A2471" i="29"/>
  <c r="A2472" i="29"/>
  <c r="A2473" i="29"/>
  <c r="A2474" i="29"/>
  <c r="A2475" i="29"/>
  <c r="A2476" i="29"/>
  <c r="A2477" i="29"/>
  <c r="A2478" i="29"/>
  <c r="A2479" i="29"/>
  <c r="A2480" i="29"/>
  <c r="A2481" i="29"/>
  <c r="A2482" i="29"/>
  <c r="A2483" i="29"/>
  <c r="A2484" i="29"/>
  <c r="A2485" i="29"/>
  <c r="A2486" i="29"/>
  <c r="A2487" i="29"/>
  <c r="A2488" i="29"/>
  <c r="A2489" i="29"/>
  <c r="A2490" i="29"/>
  <c r="A2491" i="29"/>
  <c r="A2492" i="29"/>
  <c r="A2493" i="29"/>
  <c r="A2494" i="29"/>
  <c r="A2495" i="29"/>
  <c r="A2496" i="29"/>
  <c r="A2497" i="29"/>
  <c r="A2498" i="29"/>
  <c r="A2499" i="29"/>
  <c r="A2500" i="29"/>
  <c r="A2501" i="29"/>
  <c r="A2502" i="29"/>
  <c r="A2503" i="29"/>
  <c r="A2504" i="29"/>
  <c r="A2505" i="29"/>
  <c r="A2506" i="29"/>
  <c r="A2507" i="29"/>
  <c r="A2508" i="29"/>
  <c r="A2509" i="29"/>
  <c r="A2510" i="29"/>
  <c r="A2511" i="29"/>
  <c r="A2512" i="29"/>
  <c r="A2513" i="29"/>
  <c r="A2514" i="29"/>
  <c r="A2515" i="29"/>
  <c r="A2516" i="29"/>
  <c r="A2517" i="29"/>
  <c r="A2518" i="29"/>
  <c r="A2519" i="29"/>
  <c r="A2520" i="29"/>
  <c r="A2521" i="29"/>
  <c r="A2522" i="29"/>
  <c r="A2523" i="29"/>
  <c r="A2524" i="29"/>
  <c r="A2525" i="29"/>
  <c r="A2526" i="29"/>
  <c r="A2527" i="29"/>
  <c r="A2528" i="29"/>
  <c r="A2529" i="29"/>
  <c r="A2530" i="29"/>
  <c r="A2531" i="29"/>
  <c r="A2532" i="29"/>
  <c r="A2533" i="29"/>
  <c r="A2534" i="29"/>
  <c r="A2535" i="29"/>
  <c r="A2536" i="29"/>
  <c r="A2537" i="29"/>
  <c r="A2538" i="29"/>
  <c r="A2539" i="29"/>
  <c r="A2540" i="29"/>
  <c r="A2541" i="29"/>
  <c r="A2542" i="29"/>
  <c r="A2543" i="29"/>
  <c r="A2544" i="29"/>
  <c r="A2545" i="29"/>
  <c r="A2546" i="29"/>
  <c r="A2547" i="29"/>
  <c r="A2548" i="29"/>
  <c r="A2549" i="29"/>
  <c r="A2550" i="29"/>
  <c r="A2551" i="29"/>
  <c r="A2552" i="29"/>
  <c r="A2553" i="29"/>
  <c r="A2554" i="29"/>
  <c r="A2555" i="29"/>
  <c r="A2556" i="29"/>
  <c r="A2557" i="29"/>
  <c r="A2558" i="29"/>
  <c r="A2559" i="29"/>
  <c r="A2560" i="29"/>
  <c r="A2561" i="29"/>
  <c r="A2562" i="29"/>
  <c r="A2563" i="29"/>
  <c r="A2564" i="29"/>
  <c r="A2565" i="29"/>
  <c r="A2566" i="29"/>
  <c r="A2567" i="29"/>
  <c r="A2568" i="29"/>
  <c r="A2569" i="29"/>
  <c r="A2570" i="29"/>
  <c r="A2571" i="29"/>
  <c r="A2572" i="29"/>
  <c r="A2573" i="29"/>
  <c r="A2574" i="29"/>
  <c r="A2575" i="29"/>
  <c r="A2576" i="29"/>
  <c r="A2577" i="29"/>
  <c r="A2578" i="29"/>
  <c r="A2579" i="29"/>
  <c r="A2580" i="29"/>
  <c r="A2581" i="29"/>
  <c r="A2582" i="29"/>
  <c r="A2583" i="29"/>
  <c r="A2584" i="29"/>
  <c r="A2585" i="29"/>
  <c r="A2586" i="29"/>
  <c r="A2587" i="29"/>
  <c r="A2588" i="29"/>
  <c r="A2589" i="29"/>
  <c r="A2590" i="29"/>
  <c r="A2591" i="29"/>
  <c r="A2592" i="29"/>
  <c r="A2593" i="29"/>
  <c r="A2594" i="29"/>
  <c r="A2595" i="29"/>
  <c r="A2596" i="29"/>
  <c r="A2597" i="29"/>
  <c r="A2598" i="29"/>
  <c r="A2599" i="29"/>
  <c r="A2600" i="29"/>
  <c r="A2601" i="29"/>
  <c r="A2602" i="29"/>
  <c r="A2603" i="29"/>
  <c r="A2604" i="29"/>
  <c r="A2605" i="29"/>
  <c r="A2606" i="29"/>
  <c r="A2607" i="29"/>
  <c r="A2608" i="29"/>
  <c r="A2609" i="29"/>
  <c r="A2610" i="29"/>
  <c r="A2611" i="29"/>
  <c r="A2612" i="29"/>
  <c r="A2613" i="29"/>
  <c r="A2614" i="29"/>
  <c r="A2615" i="29"/>
  <c r="A2616" i="29"/>
  <c r="A2617" i="29"/>
  <c r="A2618" i="29"/>
  <c r="A2619" i="29"/>
  <c r="A2620" i="29"/>
  <c r="A2621" i="29"/>
  <c r="A2622" i="29"/>
  <c r="A2623" i="29"/>
  <c r="A2624" i="29"/>
  <c r="A2625" i="29"/>
  <c r="A2626" i="29"/>
  <c r="A2627" i="29"/>
  <c r="A2628" i="29"/>
  <c r="A2629" i="29"/>
  <c r="A2630" i="29"/>
  <c r="A2631" i="29"/>
  <c r="A2632" i="29"/>
  <c r="A2633" i="29"/>
  <c r="A2634" i="29"/>
  <c r="A2635" i="29"/>
  <c r="A2636" i="29"/>
  <c r="A2637" i="29"/>
  <c r="A2638" i="29"/>
  <c r="A2639" i="29"/>
  <c r="A2640" i="29"/>
  <c r="A2641" i="29"/>
  <c r="A2642" i="29"/>
  <c r="A2643" i="29"/>
  <c r="A2644" i="29"/>
  <c r="A2645" i="29"/>
  <c r="A2646" i="29"/>
  <c r="A2647" i="29"/>
  <c r="A2648" i="29"/>
  <c r="A2649" i="29"/>
  <c r="A2650" i="29"/>
  <c r="A2651" i="29"/>
  <c r="A2652" i="29"/>
  <c r="A2653" i="29"/>
  <c r="A2654" i="29"/>
  <c r="A2655" i="29"/>
  <c r="A2656" i="29"/>
  <c r="A2657" i="29"/>
  <c r="A2658" i="29"/>
  <c r="A2659" i="29"/>
  <c r="A2660" i="29"/>
  <c r="A2661" i="29"/>
  <c r="A2662" i="29"/>
  <c r="A2663" i="29"/>
  <c r="A2664" i="29"/>
  <c r="A2665" i="29"/>
  <c r="A2666" i="29"/>
  <c r="A2667" i="29"/>
  <c r="A2668" i="29"/>
  <c r="A2669" i="29"/>
  <c r="A2670" i="29"/>
  <c r="A2671" i="29"/>
  <c r="A2672" i="29"/>
  <c r="A2673" i="29"/>
  <c r="A2674" i="29"/>
  <c r="A2675" i="29"/>
  <c r="A2676" i="29"/>
  <c r="A2677" i="29"/>
  <c r="A2678" i="29"/>
  <c r="A2679" i="29"/>
  <c r="A2680" i="29"/>
  <c r="A2681" i="29"/>
  <c r="A2682" i="29"/>
  <c r="A2683" i="29"/>
  <c r="A2684" i="29"/>
  <c r="A2685" i="29"/>
  <c r="A2686" i="29"/>
  <c r="A2687" i="29"/>
  <c r="A2688" i="29"/>
  <c r="A2689" i="29"/>
  <c r="A2690" i="29"/>
  <c r="A2691" i="29"/>
  <c r="A2692" i="29"/>
  <c r="A2693" i="29"/>
  <c r="A2694" i="29"/>
  <c r="A2695" i="29"/>
  <c r="A2696" i="29"/>
  <c r="A2697" i="29"/>
  <c r="A2698" i="29"/>
  <c r="A2699" i="29"/>
  <c r="A2700" i="29"/>
  <c r="A2701" i="29"/>
  <c r="A2702" i="29"/>
  <c r="A2703" i="29"/>
  <c r="A2704" i="29"/>
  <c r="A2705" i="29"/>
  <c r="A2706" i="29"/>
  <c r="A2707" i="29"/>
  <c r="A2708" i="29"/>
  <c r="A2709" i="29"/>
  <c r="A2710" i="29"/>
  <c r="A2711" i="29"/>
  <c r="A2712" i="29"/>
  <c r="A2713" i="29"/>
  <c r="A2714" i="29"/>
  <c r="A2715" i="29"/>
  <c r="A2716" i="29"/>
  <c r="A2717" i="29"/>
  <c r="A2718" i="29"/>
  <c r="A2719" i="29"/>
  <c r="A2720" i="29"/>
  <c r="A2721" i="29"/>
  <c r="A2722" i="29"/>
  <c r="A2723" i="29"/>
  <c r="A2724" i="29"/>
  <c r="A2725" i="29"/>
  <c r="A2726" i="29"/>
  <c r="A2727" i="29"/>
  <c r="A2728" i="29"/>
  <c r="A2729" i="29"/>
  <c r="A2730" i="29"/>
  <c r="A2731" i="29"/>
  <c r="A2732" i="29"/>
  <c r="A2733" i="29"/>
  <c r="A2734" i="29"/>
  <c r="A2735" i="29"/>
  <c r="A2736" i="29"/>
  <c r="A2737" i="29"/>
  <c r="A2738" i="29"/>
  <c r="A2739" i="29"/>
  <c r="A2740" i="29"/>
  <c r="A2741" i="29"/>
  <c r="A2742" i="29"/>
  <c r="A2743" i="29"/>
  <c r="A2744" i="29"/>
  <c r="A2745" i="29"/>
  <c r="A2746" i="29"/>
  <c r="A2747" i="29"/>
  <c r="A2748" i="29"/>
  <c r="A2749" i="29"/>
  <c r="A2750" i="29"/>
  <c r="A2751" i="29"/>
  <c r="A2752" i="29"/>
  <c r="A2753" i="29"/>
  <c r="A2754" i="29"/>
  <c r="A2755" i="29"/>
  <c r="A2756" i="29"/>
  <c r="A2757" i="29"/>
  <c r="A2758" i="29"/>
  <c r="A2759" i="29"/>
  <c r="A2760" i="29"/>
  <c r="A2761" i="29"/>
  <c r="A2762" i="29"/>
  <c r="A2763" i="29"/>
  <c r="A2764" i="29"/>
  <c r="A2765" i="29"/>
  <c r="A2766" i="29"/>
  <c r="A2767" i="29"/>
  <c r="A2768" i="29"/>
  <c r="A2769" i="29"/>
  <c r="A2770" i="29"/>
  <c r="A2771" i="29"/>
  <c r="A2772" i="29"/>
  <c r="A2773" i="29"/>
  <c r="A2774" i="29"/>
  <c r="A2775" i="29"/>
  <c r="A2776" i="29"/>
  <c r="A2777" i="29"/>
  <c r="A2778" i="29"/>
  <c r="A2779" i="29"/>
  <c r="A2780" i="29"/>
  <c r="A2781" i="29"/>
  <c r="A2782" i="29"/>
  <c r="A2783" i="29"/>
  <c r="A2784" i="29"/>
  <c r="A2785" i="29"/>
  <c r="A2786" i="29"/>
  <c r="A2787" i="29"/>
  <c r="A2788" i="29"/>
  <c r="A2789" i="29"/>
  <c r="A2790" i="29"/>
  <c r="A2791" i="29"/>
  <c r="A2792" i="29"/>
  <c r="A2793" i="29"/>
  <c r="A2794" i="29"/>
  <c r="A2795" i="29"/>
  <c r="A2796" i="29"/>
  <c r="A2797" i="29"/>
  <c r="A2798" i="29"/>
  <c r="A2799" i="29"/>
  <c r="A2800" i="29"/>
  <c r="A2801" i="29"/>
  <c r="A2802" i="29"/>
  <c r="A2803" i="29"/>
  <c r="A2804" i="29"/>
  <c r="A2805" i="29"/>
  <c r="A2806" i="29"/>
  <c r="A2807" i="29"/>
  <c r="A2808" i="29"/>
  <c r="A2809" i="29"/>
  <c r="A2810" i="29"/>
  <c r="A2811" i="29"/>
  <c r="A2812" i="29"/>
  <c r="A2813" i="29"/>
  <c r="A2814" i="29"/>
  <c r="A2815" i="29"/>
  <c r="A2816" i="29"/>
  <c r="A2817" i="29"/>
  <c r="A2818" i="29"/>
  <c r="A2819" i="29"/>
  <c r="A2820" i="29"/>
  <c r="A2821" i="29"/>
  <c r="A2822" i="29"/>
  <c r="A2823" i="29"/>
  <c r="A2824" i="29"/>
  <c r="A2825" i="29"/>
  <c r="A2826" i="29"/>
  <c r="A2827" i="29"/>
  <c r="A2828" i="29"/>
  <c r="A2829" i="29"/>
  <c r="A2830" i="29"/>
  <c r="A2831" i="29"/>
  <c r="A2832" i="29"/>
  <c r="A2833" i="29"/>
  <c r="A2834" i="29"/>
  <c r="A2835" i="29"/>
  <c r="A2836" i="29"/>
  <c r="A2837" i="29"/>
  <c r="A2838" i="29"/>
  <c r="A2839" i="29"/>
  <c r="A2840" i="29"/>
  <c r="A2841" i="29"/>
  <c r="A2842" i="29"/>
  <c r="A2843" i="29"/>
  <c r="A2844" i="29"/>
  <c r="A2845" i="29"/>
  <c r="A2846" i="29"/>
  <c r="A2847" i="29"/>
  <c r="A2848" i="29"/>
  <c r="A2849" i="29"/>
  <c r="A2850" i="29"/>
  <c r="A2851" i="29"/>
  <c r="A2852" i="29"/>
  <c r="A2853" i="29"/>
  <c r="A2854" i="29"/>
  <c r="A2855" i="29"/>
  <c r="A2856" i="29"/>
  <c r="A2857" i="29"/>
  <c r="A2858" i="29"/>
  <c r="A2859" i="29"/>
  <c r="A2860" i="29"/>
  <c r="A2861" i="29"/>
  <c r="A2862" i="29"/>
  <c r="A2863" i="29"/>
  <c r="A2864" i="29"/>
  <c r="A2865" i="29"/>
  <c r="A2866" i="29"/>
  <c r="A2867" i="29"/>
  <c r="A2868" i="29"/>
  <c r="A2869" i="29"/>
  <c r="A2870" i="29"/>
  <c r="A2871" i="29"/>
  <c r="A2872" i="29"/>
  <c r="A2873" i="29"/>
  <c r="A2874" i="29"/>
  <c r="A2875" i="29"/>
  <c r="A2876" i="29"/>
  <c r="A2877" i="29"/>
  <c r="A2878" i="29"/>
  <c r="A2879" i="29"/>
  <c r="A2880" i="29"/>
  <c r="A2881" i="29"/>
  <c r="A2882" i="29"/>
  <c r="A2883" i="29"/>
  <c r="A2884" i="29"/>
  <c r="A2885" i="29"/>
  <c r="A2886" i="29"/>
  <c r="A2887" i="29"/>
  <c r="A2888" i="29"/>
  <c r="A2889" i="29"/>
  <c r="A2890" i="29"/>
  <c r="A2891" i="29"/>
  <c r="A2892" i="29"/>
  <c r="A2893" i="29"/>
  <c r="A2894" i="29"/>
  <c r="A2895" i="29"/>
  <c r="A2896" i="29"/>
  <c r="A2897" i="29"/>
  <c r="A2898" i="29"/>
  <c r="A2899" i="29"/>
  <c r="A2900" i="29"/>
  <c r="A2901" i="29"/>
  <c r="A2902" i="29"/>
  <c r="A2903" i="29"/>
  <c r="A2904" i="29"/>
  <c r="A2905" i="29"/>
  <c r="A2906" i="29"/>
  <c r="A2907" i="29"/>
  <c r="A2908" i="29"/>
  <c r="A2909" i="29"/>
  <c r="A2910" i="29"/>
  <c r="A2911" i="29"/>
  <c r="A2912" i="29"/>
  <c r="A2913" i="29"/>
  <c r="A2914" i="29"/>
  <c r="A2915" i="29"/>
  <c r="A2916" i="29"/>
  <c r="A2917" i="29"/>
  <c r="A2918" i="29"/>
  <c r="A2919" i="29"/>
  <c r="A2920" i="29"/>
  <c r="A2921" i="29"/>
  <c r="A2922" i="29"/>
  <c r="A2923" i="29"/>
  <c r="A2924" i="29"/>
  <c r="A2925" i="29"/>
  <c r="A2926" i="29"/>
  <c r="A2927" i="29"/>
  <c r="A2928" i="29"/>
  <c r="A2929" i="29"/>
  <c r="A2930" i="29"/>
  <c r="A2931" i="29"/>
  <c r="A2932" i="29"/>
  <c r="A2933" i="29"/>
  <c r="A2934" i="29"/>
  <c r="A2935" i="29"/>
  <c r="A2936" i="29"/>
  <c r="A2937" i="29"/>
  <c r="A2938" i="29"/>
  <c r="A2939" i="29"/>
  <c r="A2940" i="29"/>
  <c r="A2941" i="29"/>
  <c r="A2942" i="29"/>
  <c r="A2943" i="29"/>
  <c r="A2944" i="29"/>
  <c r="A2945" i="29"/>
  <c r="A2946" i="29"/>
  <c r="A2947" i="29"/>
  <c r="A2948" i="29"/>
  <c r="A2949" i="29"/>
  <c r="A2950" i="29"/>
  <c r="A2951" i="29"/>
  <c r="A2952" i="29"/>
  <c r="A2953" i="29"/>
  <c r="A2954" i="29"/>
  <c r="A2955" i="29"/>
  <c r="A2956" i="29"/>
  <c r="A2957" i="29"/>
  <c r="A2958" i="29"/>
  <c r="A2959" i="29"/>
  <c r="A2960" i="29"/>
  <c r="A2961" i="29"/>
  <c r="A2962" i="29"/>
  <c r="A2963" i="29"/>
  <c r="A2964" i="29"/>
  <c r="A2965" i="29"/>
  <c r="A2966" i="29"/>
  <c r="A2967" i="29"/>
  <c r="A2968" i="29"/>
  <c r="A2969" i="29"/>
  <c r="A2970" i="29"/>
  <c r="A2971" i="29"/>
  <c r="A2972" i="29"/>
  <c r="A2973" i="29"/>
  <c r="A2974" i="29"/>
  <c r="A2975" i="29"/>
  <c r="A2976" i="29"/>
  <c r="A2977" i="29"/>
  <c r="A2978" i="29"/>
  <c r="A2979" i="29"/>
  <c r="A2980" i="29"/>
  <c r="A2981" i="29"/>
  <c r="A2982" i="29"/>
  <c r="A2983" i="29"/>
  <c r="A2984" i="29"/>
  <c r="A2985" i="29"/>
  <c r="A2986" i="29"/>
  <c r="A2987" i="29"/>
  <c r="A2988" i="29"/>
  <c r="A2989" i="29"/>
  <c r="A2990" i="29"/>
  <c r="A2991" i="29"/>
  <c r="A2992" i="29"/>
  <c r="A2993" i="29"/>
  <c r="A2994" i="29"/>
  <c r="A2995" i="29"/>
  <c r="A2996" i="29"/>
  <c r="A2997" i="29"/>
  <c r="A2998" i="29"/>
  <c r="A2999" i="29"/>
  <c r="A3000" i="29"/>
  <c r="A3001" i="29"/>
  <c r="A3002" i="29"/>
  <c r="A3003" i="29"/>
  <c r="A3004" i="29"/>
  <c r="A3005" i="29"/>
  <c r="A3006" i="29"/>
  <c r="A3007" i="29"/>
  <c r="A3008" i="29"/>
  <c r="A3009" i="29"/>
  <c r="A3010" i="29"/>
  <c r="A3011" i="29"/>
  <c r="A3012" i="29"/>
  <c r="A3013" i="29"/>
  <c r="A3014" i="29"/>
  <c r="A3015" i="29"/>
  <c r="A3016" i="29"/>
  <c r="A3017" i="29"/>
  <c r="A3018" i="29"/>
  <c r="A3019" i="29"/>
  <c r="A3020" i="29"/>
  <c r="A3021" i="29"/>
  <c r="A3022" i="29"/>
  <c r="A3023" i="29"/>
  <c r="A3024" i="29"/>
  <c r="A3025" i="29"/>
  <c r="A3026" i="29"/>
  <c r="A3027" i="29"/>
  <c r="A3028" i="29"/>
  <c r="A3029" i="29"/>
  <c r="A3030" i="29"/>
  <c r="A3031" i="29"/>
  <c r="A3032" i="29"/>
  <c r="A3033" i="29"/>
  <c r="A3034" i="29"/>
  <c r="A3035" i="29"/>
  <c r="A3036" i="29"/>
  <c r="A3037" i="29"/>
  <c r="A3038" i="29"/>
  <c r="A3039" i="29"/>
  <c r="A3040" i="29"/>
  <c r="A3041" i="29"/>
  <c r="A3042" i="29"/>
  <c r="A3043" i="29"/>
  <c r="A3044" i="29"/>
  <c r="A3045" i="29"/>
  <c r="A3046" i="29"/>
  <c r="A3047" i="29"/>
  <c r="A3048" i="29"/>
  <c r="A3049" i="29"/>
  <c r="A3050" i="29"/>
  <c r="A3051" i="29"/>
  <c r="A3052" i="29"/>
  <c r="A3053" i="29"/>
  <c r="A3054" i="29"/>
  <c r="A3055" i="29"/>
  <c r="A3056" i="29"/>
  <c r="A3057" i="29"/>
  <c r="A3058" i="29"/>
  <c r="A3059" i="29"/>
  <c r="A3060" i="29"/>
  <c r="A3061" i="29"/>
  <c r="A3062" i="29"/>
  <c r="A3063" i="29"/>
  <c r="A3064" i="29"/>
  <c r="A3065" i="29"/>
  <c r="A3066" i="29"/>
  <c r="A3067" i="29"/>
  <c r="A3068" i="29"/>
  <c r="A3069" i="29"/>
  <c r="A3070" i="29"/>
  <c r="A3071" i="29"/>
  <c r="A3072" i="29"/>
  <c r="A3073" i="29"/>
  <c r="A3074" i="29"/>
  <c r="A3075" i="29"/>
  <c r="A3076" i="29"/>
  <c r="A3077" i="29"/>
  <c r="A3078" i="29"/>
  <c r="A3079" i="29"/>
  <c r="A3080" i="29"/>
  <c r="A3081" i="29"/>
  <c r="A3082" i="29"/>
  <c r="A3083" i="29"/>
  <c r="A3084" i="29"/>
  <c r="A3085" i="29"/>
  <c r="A3086" i="29"/>
  <c r="A3087" i="29"/>
  <c r="A3088" i="29"/>
  <c r="A3089" i="29"/>
  <c r="A3090" i="29"/>
  <c r="A3091" i="29"/>
  <c r="A3092" i="29"/>
  <c r="A3093" i="29"/>
  <c r="A3094" i="29"/>
  <c r="A3095" i="29"/>
  <c r="A3096" i="29"/>
  <c r="A3097" i="29"/>
  <c r="A3098" i="29"/>
  <c r="A3099" i="29"/>
  <c r="A3100" i="29"/>
  <c r="A3101" i="29"/>
  <c r="A3102" i="29"/>
  <c r="A3103" i="29"/>
  <c r="A3104" i="29"/>
  <c r="A3105" i="29"/>
  <c r="A3106" i="29"/>
  <c r="A3107" i="29"/>
  <c r="A3108" i="29"/>
  <c r="A3109" i="29"/>
  <c r="A3110" i="29"/>
  <c r="A3111" i="29"/>
  <c r="A3112" i="29"/>
  <c r="A3113" i="29"/>
  <c r="A3114" i="29"/>
  <c r="A3115" i="29"/>
  <c r="A3116" i="29"/>
  <c r="A3117" i="29"/>
  <c r="A3118" i="29"/>
  <c r="A3119" i="29"/>
  <c r="A3120" i="29"/>
  <c r="A3121" i="29"/>
  <c r="A3122" i="29"/>
  <c r="A3123" i="29"/>
  <c r="A3124" i="29"/>
  <c r="A3125" i="29"/>
  <c r="A3126" i="29"/>
  <c r="A3127" i="29"/>
  <c r="A3128" i="29"/>
  <c r="A3129" i="29"/>
  <c r="A3130" i="29"/>
  <c r="A3131" i="29"/>
  <c r="A3132" i="29"/>
  <c r="A3133" i="29"/>
  <c r="A3134" i="29"/>
  <c r="A3135" i="29"/>
  <c r="A3136" i="29"/>
  <c r="A3137" i="29"/>
  <c r="A3138" i="29"/>
  <c r="A3139" i="29"/>
  <c r="A3140" i="29"/>
  <c r="A3141" i="29"/>
  <c r="A3142" i="29"/>
  <c r="A3143" i="29"/>
  <c r="A3144" i="29"/>
  <c r="A3145" i="29"/>
  <c r="A3146" i="29"/>
  <c r="A3147" i="29"/>
  <c r="A3148" i="29"/>
  <c r="A3149" i="29"/>
  <c r="A3150" i="29"/>
  <c r="A3151" i="29"/>
  <c r="A3152" i="29"/>
  <c r="A3153" i="29"/>
  <c r="A3154" i="29"/>
  <c r="A3155" i="29"/>
  <c r="A3156" i="29"/>
  <c r="A3157" i="29"/>
  <c r="A3158" i="29"/>
  <c r="A3159" i="29"/>
  <c r="A3160" i="29"/>
  <c r="A3161" i="29"/>
  <c r="A3162" i="29"/>
  <c r="A3163" i="29"/>
  <c r="A3164" i="29"/>
  <c r="A3165" i="29"/>
  <c r="A3166" i="29"/>
  <c r="A3167" i="29"/>
  <c r="A3168" i="29"/>
  <c r="A3169" i="29"/>
  <c r="A3170" i="29"/>
  <c r="A3171" i="29"/>
  <c r="A3172" i="29"/>
  <c r="A3173" i="29"/>
  <c r="A3174" i="29"/>
  <c r="A3175" i="29"/>
  <c r="A3176" i="29"/>
  <c r="A3177" i="29"/>
  <c r="A3178" i="29"/>
  <c r="A3179" i="29"/>
  <c r="A3180" i="29"/>
  <c r="A3181" i="29"/>
  <c r="A3182" i="29"/>
  <c r="A3183" i="29"/>
  <c r="A3184" i="29"/>
  <c r="A3185" i="29"/>
  <c r="A3186" i="29"/>
  <c r="A3187" i="29"/>
  <c r="A3188" i="29"/>
  <c r="A3189" i="29"/>
  <c r="A3190" i="29"/>
  <c r="A3191" i="29"/>
  <c r="A3192" i="29"/>
  <c r="A3193" i="29"/>
  <c r="A3194" i="29"/>
  <c r="A3195" i="29"/>
  <c r="A3196" i="29"/>
  <c r="A3197" i="29"/>
  <c r="A3198" i="29"/>
  <c r="A3199" i="29"/>
  <c r="A3200" i="29"/>
  <c r="A3201" i="29"/>
  <c r="A3202" i="29"/>
  <c r="A3203" i="29"/>
  <c r="A3204" i="29"/>
  <c r="A3205" i="29"/>
  <c r="A3206" i="29"/>
  <c r="A3207" i="29"/>
  <c r="A3208" i="29"/>
  <c r="A3209" i="29"/>
  <c r="A3210" i="29"/>
  <c r="A3211" i="29"/>
  <c r="A3212" i="29"/>
  <c r="A3213" i="29"/>
  <c r="A3214" i="29"/>
  <c r="A3215" i="29"/>
  <c r="A3216" i="29"/>
  <c r="A3217" i="29"/>
  <c r="A3218" i="29"/>
  <c r="A3219" i="29"/>
  <c r="A3220" i="29"/>
  <c r="A3221" i="29"/>
  <c r="A3222" i="29"/>
  <c r="A3223" i="29"/>
  <c r="A3224" i="29"/>
  <c r="A3225" i="29"/>
  <c r="A3226" i="29"/>
  <c r="A3227" i="29"/>
  <c r="A3228" i="29"/>
  <c r="A3229" i="29"/>
  <c r="A3230" i="29"/>
  <c r="A3231" i="29"/>
  <c r="A3232" i="29"/>
  <c r="A3233" i="29"/>
  <c r="A3234" i="29"/>
  <c r="A3235" i="29"/>
  <c r="A3236" i="29"/>
  <c r="A3237" i="29"/>
  <c r="A3238" i="29"/>
  <c r="A3239" i="29"/>
  <c r="A3240" i="29"/>
  <c r="A3241" i="29"/>
  <c r="A3242" i="29"/>
  <c r="A3243" i="29"/>
  <c r="A3244" i="29"/>
  <c r="A3245" i="29"/>
  <c r="A3246" i="29"/>
  <c r="A3247" i="29"/>
  <c r="A3248" i="29"/>
  <c r="A3249" i="29"/>
  <c r="A3250" i="29"/>
  <c r="A3251" i="29"/>
  <c r="A3252" i="29"/>
  <c r="A3253" i="29"/>
  <c r="A3254" i="29"/>
  <c r="A3255" i="29"/>
  <c r="A3256" i="29"/>
  <c r="A3257" i="29"/>
  <c r="A3258" i="29"/>
  <c r="A3259" i="29"/>
  <c r="A3260" i="29"/>
  <c r="A3261" i="29"/>
  <c r="A3262" i="29"/>
  <c r="A3263" i="29"/>
  <c r="A3264" i="29"/>
  <c r="A3265" i="29"/>
  <c r="A3266" i="29"/>
  <c r="A3267" i="29"/>
  <c r="A3268" i="29"/>
  <c r="A3269" i="29"/>
  <c r="A3270" i="29"/>
  <c r="A3271" i="29"/>
  <c r="A3272" i="29"/>
  <c r="A3273" i="29"/>
  <c r="A3274" i="29"/>
  <c r="A3275" i="29"/>
  <c r="A3276" i="29"/>
  <c r="A3277" i="29"/>
  <c r="A3278" i="29"/>
  <c r="A3279" i="29"/>
  <c r="A3280" i="29"/>
  <c r="A3281" i="29"/>
  <c r="A3282" i="29"/>
  <c r="A3283" i="29"/>
  <c r="A3284" i="29"/>
  <c r="A3285" i="29"/>
  <c r="A3286" i="29"/>
  <c r="A3287" i="29"/>
  <c r="A3288" i="29"/>
  <c r="A3289" i="29"/>
  <c r="A3290" i="29"/>
  <c r="A3291" i="29"/>
  <c r="A3292" i="29"/>
  <c r="A3293" i="29"/>
  <c r="A3294" i="29"/>
  <c r="A3295" i="29"/>
  <c r="A3296" i="29"/>
  <c r="A3297" i="29"/>
  <c r="A3298" i="29"/>
  <c r="A3299" i="29"/>
  <c r="A3300" i="29"/>
  <c r="A3301" i="29"/>
  <c r="A3302" i="29"/>
  <c r="A3303" i="29"/>
  <c r="A3304" i="29"/>
  <c r="A3305" i="29"/>
  <c r="A3306" i="29"/>
  <c r="A3307" i="29"/>
  <c r="A3308" i="29"/>
  <c r="A3309" i="29"/>
  <c r="A3310" i="29"/>
  <c r="A3311" i="29"/>
  <c r="A3312" i="29"/>
  <c r="A3313" i="29"/>
  <c r="A3314" i="29"/>
  <c r="A3315" i="29"/>
  <c r="A3316" i="29"/>
  <c r="A3317" i="29"/>
  <c r="A3318" i="29"/>
  <c r="A3319" i="29"/>
  <c r="A3320" i="29"/>
  <c r="A3321" i="29"/>
  <c r="A3322" i="29"/>
  <c r="A3323" i="29"/>
  <c r="A3324" i="29"/>
  <c r="A3325" i="29"/>
  <c r="A3326" i="29"/>
  <c r="A3327" i="29"/>
  <c r="A3328" i="29"/>
  <c r="A3329" i="29"/>
  <c r="A3330" i="29"/>
  <c r="A3331" i="29"/>
  <c r="A3332" i="29"/>
  <c r="A3333" i="29"/>
  <c r="A3334" i="29"/>
  <c r="A3335" i="29"/>
  <c r="A3336" i="29"/>
  <c r="A3337" i="29"/>
  <c r="A3338" i="29"/>
  <c r="A3339" i="29"/>
  <c r="A3340" i="29"/>
  <c r="A3341" i="29"/>
  <c r="A3342" i="29"/>
  <c r="A3343" i="29"/>
  <c r="A3344" i="29"/>
  <c r="A3345" i="29"/>
  <c r="A3346" i="29"/>
  <c r="A3347" i="29"/>
  <c r="A3348" i="29"/>
  <c r="A3349" i="29"/>
  <c r="A3350" i="29"/>
  <c r="A3351" i="29"/>
  <c r="A3352" i="29"/>
  <c r="A3353" i="29"/>
  <c r="A3354" i="29"/>
  <c r="A3355" i="29"/>
  <c r="A3356" i="29"/>
  <c r="A3357" i="29"/>
  <c r="A3358" i="29"/>
  <c r="A3359" i="29"/>
  <c r="A3360" i="29"/>
  <c r="A3361" i="29"/>
  <c r="A3362" i="29"/>
  <c r="A3363" i="29"/>
  <c r="A3364" i="29"/>
  <c r="A3365" i="29"/>
  <c r="A3366" i="29"/>
  <c r="A3367" i="29"/>
  <c r="A3368" i="29"/>
  <c r="A3369" i="29"/>
  <c r="A3370" i="29"/>
  <c r="A3371" i="29"/>
  <c r="A3372" i="29"/>
  <c r="A3373" i="29"/>
  <c r="A3374" i="29"/>
  <c r="A3375" i="29"/>
  <c r="A3376" i="29"/>
  <c r="A3377" i="29"/>
  <c r="A3378" i="29"/>
  <c r="A3379" i="29"/>
  <c r="A3380" i="29"/>
  <c r="A3381" i="29"/>
  <c r="A3382" i="29"/>
  <c r="A3383" i="29"/>
  <c r="A3384" i="29"/>
  <c r="A3385" i="29"/>
  <c r="A3386" i="29"/>
  <c r="A3387" i="29"/>
  <c r="A3388" i="29"/>
  <c r="A3389" i="29"/>
  <c r="A3390" i="29"/>
  <c r="A3391" i="29"/>
  <c r="A3392" i="29"/>
  <c r="A3393" i="29"/>
  <c r="A3394" i="29"/>
  <c r="A3395" i="29"/>
  <c r="A3396" i="29"/>
  <c r="A3397" i="29"/>
  <c r="A3398" i="29"/>
  <c r="A3399" i="29"/>
  <c r="A3400" i="29"/>
  <c r="A3401" i="29"/>
  <c r="A3402" i="29"/>
  <c r="A3403" i="29"/>
  <c r="A3404" i="29"/>
  <c r="A3405" i="29"/>
  <c r="A3406" i="29"/>
  <c r="A3407" i="29"/>
  <c r="A3408" i="29"/>
  <c r="A3409" i="29"/>
  <c r="A3410" i="29"/>
  <c r="A3411" i="29"/>
  <c r="A3412" i="29"/>
  <c r="A3413" i="29"/>
  <c r="A3414" i="29"/>
  <c r="A3415" i="29"/>
  <c r="A3416" i="29"/>
  <c r="A3417" i="29"/>
  <c r="A3418" i="29"/>
  <c r="A3419" i="29"/>
  <c r="A3420" i="29"/>
  <c r="A3421" i="29"/>
  <c r="A3422" i="29"/>
  <c r="A3423" i="29"/>
  <c r="A3424" i="29"/>
  <c r="A3425" i="29"/>
  <c r="A3426" i="29"/>
  <c r="A3427" i="29"/>
  <c r="A3428" i="29"/>
  <c r="A3429" i="29"/>
  <c r="A3430" i="29"/>
  <c r="A3431" i="29"/>
  <c r="A3432" i="29"/>
  <c r="A3433" i="29"/>
  <c r="A3434" i="29"/>
  <c r="A3435" i="29"/>
  <c r="A3436" i="29"/>
  <c r="A3437" i="29"/>
  <c r="A3438" i="29"/>
  <c r="A3439" i="29"/>
  <c r="A3440" i="29"/>
  <c r="A3441" i="29"/>
  <c r="A3442" i="29"/>
  <c r="A3443" i="29"/>
  <c r="A3444" i="29"/>
  <c r="A3445" i="29"/>
  <c r="A3446" i="29"/>
  <c r="A3447" i="29"/>
  <c r="A3448" i="29"/>
  <c r="A3449" i="29"/>
  <c r="A3450" i="29"/>
  <c r="A3451" i="29"/>
  <c r="A3452" i="29"/>
  <c r="A3453" i="29"/>
  <c r="A3454" i="29"/>
  <c r="A3455" i="29"/>
  <c r="A3456" i="29"/>
  <c r="A3457" i="29"/>
  <c r="A3458" i="29"/>
  <c r="A3459" i="29"/>
  <c r="A3460" i="29"/>
  <c r="A3461" i="29"/>
  <c r="A3462" i="29"/>
  <c r="A3463" i="29"/>
  <c r="A3464" i="29"/>
  <c r="A3465" i="29"/>
  <c r="A3466" i="29"/>
  <c r="A3467" i="29"/>
  <c r="A3468" i="29"/>
  <c r="A3469" i="29"/>
  <c r="A3470" i="29"/>
  <c r="A3471" i="29"/>
  <c r="A3472" i="29"/>
  <c r="A3473" i="29"/>
  <c r="A3474" i="29"/>
  <c r="A3475" i="29"/>
  <c r="A3476" i="29"/>
  <c r="A3477" i="29"/>
  <c r="A3478" i="29"/>
  <c r="A3479" i="29"/>
  <c r="A3480" i="29"/>
  <c r="A3481" i="29"/>
  <c r="A3482" i="29"/>
  <c r="A3483" i="29"/>
  <c r="A3484" i="29"/>
  <c r="A3485" i="29"/>
  <c r="A3486" i="29"/>
  <c r="A3487" i="29"/>
  <c r="A3488" i="29"/>
  <c r="A3489" i="29"/>
  <c r="A3490" i="29"/>
  <c r="A3491" i="29"/>
  <c r="A3492" i="29"/>
  <c r="A3493" i="29"/>
  <c r="A3494" i="29"/>
  <c r="A3495" i="29"/>
  <c r="A3496" i="29"/>
  <c r="A3497" i="29"/>
  <c r="A3498" i="29"/>
  <c r="A3499" i="29"/>
  <c r="A3500" i="29"/>
  <c r="A3501" i="29"/>
  <c r="A3502" i="29"/>
  <c r="A3503" i="29"/>
  <c r="A3504" i="29"/>
  <c r="A3505" i="29"/>
  <c r="A3506" i="29"/>
  <c r="A3507" i="29"/>
  <c r="A3508" i="29"/>
  <c r="A3509" i="29"/>
  <c r="A3510" i="29"/>
  <c r="A3511" i="29"/>
  <c r="A3512" i="29"/>
  <c r="A3513" i="29"/>
  <c r="A3514" i="29"/>
  <c r="A3515" i="29"/>
  <c r="A3516" i="29"/>
  <c r="A3517" i="29"/>
  <c r="A3518" i="29"/>
  <c r="A3519" i="29"/>
  <c r="A3520" i="29"/>
  <c r="A3521" i="29"/>
  <c r="A3522" i="29"/>
  <c r="A3523" i="29"/>
  <c r="A3524" i="29"/>
  <c r="A3525" i="29"/>
  <c r="A3526" i="29"/>
  <c r="A3527" i="29"/>
  <c r="A3528" i="29"/>
  <c r="A3529" i="29"/>
  <c r="A3530" i="29"/>
  <c r="A3531" i="29"/>
  <c r="A3532" i="29"/>
  <c r="A3533" i="29"/>
  <c r="A3534" i="29"/>
  <c r="A3535" i="29"/>
  <c r="A3536" i="29"/>
  <c r="A3537" i="29"/>
  <c r="A3538" i="29"/>
  <c r="A3539" i="29"/>
  <c r="A3540" i="29"/>
  <c r="A3541" i="29"/>
  <c r="A3542" i="29"/>
  <c r="A3543" i="29"/>
  <c r="A3544" i="29"/>
  <c r="A3545" i="29"/>
  <c r="A3546" i="29"/>
  <c r="A3547" i="29"/>
  <c r="A3548" i="29"/>
  <c r="M3" i="10"/>
  <c r="C390" i="27"/>
  <c r="C398" i="27"/>
  <c r="C406" i="27"/>
  <c r="C414" i="27"/>
  <c r="C422" i="27"/>
  <c r="C430" i="27"/>
  <c r="C438" i="27"/>
  <c r="C446" i="27"/>
  <c r="C454" i="27"/>
  <c r="C462" i="27"/>
  <c r="C470" i="27"/>
  <c r="C478" i="27"/>
  <c r="C486" i="27"/>
  <c r="C494" i="27"/>
  <c r="C502" i="27"/>
  <c r="C510" i="27"/>
  <c r="C518" i="27"/>
  <c r="C526" i="27"/>
  <c r="C534" i="27"/>
  <c r="C542" i="27"/>
  <c r="C550" i="27"/>
  <c r="C558" i="27"/>
  <c r="C566" i="27"/>
  <c r="C574" i="27"/>
  <c r="C582" i="27"/>
  <c r="C590" i="27"/>
  <c r="C598" i="27"/>
  <c r="C606" i="27"/>
  <c r="C614" i="27"/>
  <c r="C622" i="27"/>
  <c r="C630" i="27"/>
  <c r="C638" i="27"/>
  <c r="C646" i="27"/>
  <c r="C391" i="27"/>
  <c r="C399" i="27"/>
  <c r="C407" i="27"/>
  <c r="C415" i="27"/>
  <c r="C423" i="27"/>
  <c r="C431" i="27"/>
  <c r="C439" i="27"/>
  <c r="C447" i="27"/>
  <c r="C455" i="27"/>
  <c r="C463" i="27"/>
  <c r="C471" i="27"/>
  <c r="C479" i="27"/>
  <c r="C487" i="27"/>
  <c r="C495" i="27"/>
  <c r="C503" i="27"/>
  <c r="C511" i="27"/>
  <c r="C519" i="27"/>
  <c r="C527" i="27"/>
  <c r="C535" i="27"/>
  <c r="C543" i="27"/>
  <c r="C551" i="27"/>
  <c r="C559" i="27"/>
  <c r="C567" i="27"/>
  <c r="C575" i="27"/>
  <c r="C583" i="27"/>
  <c r="C591" i="27"/>
  <c r="C599" i="27"/>
  <c r="C607" i="27"/>
  <c r="C615" i="27"/>
  <c r="C623" i="27"/>
  <c r="C631" i="27"/>
  <c r="C639" i="27"/>
  <c r="C647" i="27"/>
  <c r="C392" i="27"/>
  <c r="C400" i="27"/>
  <c r="C408" i="27"/>
  <c r="C416" i="27"/>
  <c r="C424" i="27"/>
  <c r="C432" i="27"/>
  <c r="C440" i="27"/>
  <c r="C448" i="27"/>
  <c r="C456" i="27"/>
  <c r="C464" i="27"/>
  <c r="C472" i="27"/>
  <c r="C480" i="27"/>
  <c r="C488" i="27"/>
  <c r="C496" i="27"/>
  <c r="C504" i="27"/>
  <c r="C512" i="27"/>
  <c r="C520" i="27"/>
  <c r="C528" i="27"/>
  <c r="C536" i="27"/>
  <c r="C544" i="27"/>
  <c r="C552" i="27"/>
  <c r="C560" i="27"/>
  <c r="C568" i="27"/>
  <c r="C576" i="27"/>
  <c r="C584" i="27"/>
  <c r="C592" i="27"/>
  <c r="C600" i="27"/>
  <c r="C608" i="27"/>
  <c r="C616" i="27"/>
  <c r="C624" i="27"/>
  <c r="C632" i="27"/>
  <c r="C640" i="27"/>
  <c r="C393" i="27"/>
  <c r="C401" i="27"/>
  <c r="C409" i="27"/>
  <c r="C417" i="27"/>
  <c r="C425" i="27"/>
  <c r="C433" i="27"/>
  <c r="C441" i="27"/>
  <c r="C449" i="27"/>
  <c r="C457" i="27"/>
  <c r="C465" i="27"/>
  <c r="C473" i="27"/>
  <c r="C481" i="27"/>
  <c r="C489" i="27"/>
  <c r="C497" i="27"/>
  <c r="C505" i="27"/>
  <c r="C513" i="27"/>
  <c r="C521" i="27"/>
  <c r="C529" i="27"/>
  <c r="C537" i="27"/>
  <c r="C545" i="27"/>
  <c r="C553" i="27"/>
  <c r="C561" i="27"/>
  <c r="C569" i="27"/>
  <c r="C577" i="27"/>
  <c r="C585" i="27"/>
  <c r="C593" i="27"/>
  <c r="C601" i="27"/>
  <c r="C609" i="27"/>
  <c r="C617" i="27"/>
  <c r="C625" i="27"/>
  <c r="C633" i="27"/>
  <c r="C641" i="27"/>
  <c r="C394" i="27"/>
  <c r="C402" i="27"/>
  <c r="C410" i="27"/>
  <c r="C418" i="27"/>
  <c r="C426" i="27"/>
  <c r="C434" i="27"/>
  <c r="C442" i="27"/>
  <c r="C450" i="27"/>
  <c r="C458" i="27"/>
  <c r="C466" i="27"/>
  <c r="C474" i="27"/>
  <c r="C482" i="27"/>
  <c r="C490" i="27"/>
  <c r="C498" i="27"/>
  <c r="C506" i="27"/>
  <c r="C514" i="27"/>
  <c r="C522" i="27"/>
  <c r="C530" i="27"/>
  <c r="C538" i="27"/>
  <c r="C546" i="27"/>
  <c r="C554" i="27"/>
  <c r="C562" i="27"/>
  <c r="C570" i="27"/>
  <c r="C578" i="27"/>
  <c r="C586" i="27"/>
  <c r="C594" i="27"/>
  <c r="C602" i="27"/>
  <c r="C610" i="27"/>
  <c r="C618" i="27"/>
  <c r="C626" i="27"/>
  <c r="C634" i="27"/>
  <c r="C642" i="27"/>
  <c r="C396" i="27"/>
  <c r="C404" i="27"/>
  <c r="C412" i="27"/>
  <c r="C420" i="27"/>
  <c r="C428" i="27"/>
  <c r="C436" i="27"/>
  <c r="C444" i="27"/>
  <c r="C452" i="27"/>
  <c r="C460" i="27"/>
  <c r="C468" i="27"/>
  <c r="C476" i="27"/>
  <c r="C484" i="27"/>
  <c r="C492" i="27"/>
  <c r="C500" i="27"/>
  <c r="C508" i="27"/>
  <c r="C516" i="27"/>
  <c r="C524" i="27"/>
  <c r="C532" i="27"/>
  <c r="C540" i="27"/>
  <c r="C548" i="27"/>
  <c r="C556" i="27"/>
  <c r="C564" i="27"/>
  <c r="C572" i="27"/>
  <c r="C580" i="27"/>
  <c r="C588" i="27"/>
  <c r="C596" i="27"/>
  <c r="C604" i="27"/>
  <c r="C612" i="27"/>
  <c r="C620" i="27"/>
  <c r="C628" i="27"/>
  <c r="C636" i="27"/>
  <c r="C644" i="27"/>
  <c r="C395" i="27"/>
  <c r="C427" i="27"/>
  <c r="C459" i="27"/>
  <c r="C491" i="27"/>
  <c r="C523" i="27"/>
  <c r="C555" i="27"/>
  <c r="C587" i="27"/>
  <c r="C619" i="27"/>
  <c r="C507" i="27"/>
  <c r="C445" i="27"/>
  <c r="C397" i="27"/>
  <c r="C429" i="27"/>
  <c r="C461" i="27"/>
  <c r="C493" i="27"/>
  <c r="C525" i="27"/>
  <c r="C557" i="27"/>
  <c r="C589" i="27"/>
  <c r="C621" i="27"/>
  <c r="C475" i="27"/>
  <c r="C509" i="27"/>
  <c r="C403" i="27"/>
  <c r="C435" i="27"/>
  <c r="C467" i="27"/>
  <c r="C499" i="27"/>
  <c r="C531" i="27"/>
  <c r="C563" i="27"/>
  <c r="C595" i="27"/>
  <c r="C627" i="27"/>
  <c r="C443" i="27"/>
  <c r="C539" i="27"/>
  <c r="C571" i="27"/>
  <c r="C603" i="27"/>
  <c r="C635" i="27"/>
  <c r="C413" i="27"/>
  <c r="C573" i="27"/>
  <c r="C605" i="27"/>
  <c r="C637" i="27"/>
  <c r="C405" i="27"/>
  <c r="C437" i="27"/>
  <c r="C469" i="27"/>
  <c r="C501" i="27"/>
  <c r="C533" i="27"/>
  <c r="C565" i="27"/>
  <c r="C597" i="27"/>
  <c r="C629" i="27"/>
  <c r="C411" i="27"/>
  <c r="C477" i="27"/>
  <c r="C419" i="27"/>
  <c r="C451" i="27"/>
  <c r="C483" i="27"/>
  <c r="C515" i="27"/>
  <c r="C547" i="27"/>
  <c r="C579" i="27"/>
  <c r="C611" i="27"/>
  <c r="C643" i="27"/>
  <c r="C453" i="27"/>
  <c r="C485" i="27"/>
  <c r="C517" i="27"/>
  <c r="C549" i="27"/>
  <c r="C581" i="27"/>
  <c r="C613" i="27"/>
  <c r="C645" i="27"/>
  <c r="C541" i="27"/>
  <c r="C421" i="27"/>
  <c r="B3" i="10"/>
  <c r="F3" i="10"/>
  <c r="J3" i="10" l="1"/>
  <c r="D421" i="27"/>
  <c r="D581" i="27"/>
  <c r="D453" i="27"/>
  <c r="E547" i="27"/>
  <c r="E419" i="27"/>
  <c r="D597" i="27"/>
  <c r="D469" i="27"/>
  <c r="D605" i="27"/>
  <c r="E603" i="27"/>
  <c r="E627" i="27"/>
  <c r="E499" i="27"/>
  <c r="D509" i="27"/>
  <c r="D557" i="27"/>
  <c r="D429" i="27"/>
  <c r="E619" i="27"/>
  <c r="E491" i="27"/>
  <c r="D644" i="27"/>
  <c r="D612" i="27"/>
  <c r="D580" i="27"/>
  <c r="D548" i="27"/>
  <c r="D516" i="27"/>
  <c r="D484" i="27"/>
  <c r="D452" i="27"/>
  <c r="D420" i="27"/>
  <c r="D642" i="27"/>
  <c r="E610" i="27"/>
  <c r="E578" i="27"/>
  <c r="E546" i="27"/>
  <c r="E514" i="27"/>
  <c r="E482" i="27"/>
  <c r="E450" i="27"/>
  <c r="E418" i="27"/>
  <c r="E641" i="27"/>
  <c r="D609" i="27"/>
  <c r="D577" i="27"/>
  <c r="D545" i="27"/>
  <c r="D513" i="27"/>
  <c r="D481" i="27"/>
  <c r="D449" i="27"/>
  <c r="D417" i="27"/>
  <c r="D640" i="27"/>
  <c r="D608" i="27"/>
  <c r="D576" i="27"/>
  <c r="D544" i="27"/>
  <c r="D512" i="27"/>
  <c r="D480" i="27"/>
  <c r="D448" i="27"/>
  <c r="D416" i="27"/>
  <c r="D647" i="27"/>
  <c r="D615" i="27"/>
  <c r="D583" i="27"/>
  <c r="D551" i="27"/>
  <c r="D519" i="27"/>
  <c r="D487" i="27"/>
  <c r="D455" i="27"/>
  <c r="D423" i="27"/>
  <c r="D391" i="27"/>
  <c r="D622" i="27"/>
  <c r="D590" i="27"/>
  <c r="D558" i="27"/>
  <c r="D526" i="27"/>
  <c r="D494" i="27"/>
  <c r="D462" i="27"/>
  <c r="D430" i="27"/>
  <c r="D398" i="27"/>
  <c r="E430" i="27"/>
  <c r="E629" i="27"/>
  <c r="D403" i="27"/>
  <c r="E556" i="27"/>
  <c r="D618" i="27"/>
  <c r="D394" i="27"/>
  <c r="E425" i="27"/>
  <c r="E456" i="27"/>
  <c r="E495" i="27"/>
  <c r="E534" i="27"/>
  <c r="E421" i="27"/>
  <c r="E581" i="27"/>
  <c r="E453" i="27"/>
  <c r="D547" i="27"/>
  <c r="D419" i="27"/>
  <c r="E597" i="27"/>
  <c r="E469" i="27"/>
  <c r="E605" i="27"/>
  <c r="D603" i="27"/>
  <c r="D627" i="27"/>
  <c r="D499" i="27"/>
  <c r="E509" i="27"/>
  <c r="E557" i="27"/>
  <c r="E429" i="27"/>
  <c r="D619" i="27"/>
  <c r="D491" i="27"/>
  <c r="E644" i="27"/>
  <c r="E612" i="27"/>
  <c r="E580" i="27"/>
  <c r="E548" i="27"/>
  <c r="E516" i="27"/>
  <c r="E484" i="27"/>
  <c r="E452" i="27"/>
  <c r="E420" i="27"/>
  <c r="E642" i="27"/>
  <c r="D610" i="27"/>
  <c r="D578" i="27"/>
  <c r="D546" i="27"/>
  <c r="D514" i="27"/>
  <c r="D482" i="27"/>
  <c r="D450" i="27"/>
  <c r="D418" i="27"/>
  <c r="D641" i="27"/>
  <c r="E609" i="27"/>
  <c r="E577" i="27"/>
  <c r="E545" i="27"/>
  <c r="E513" i="27"/>
  <c r="E481" i="27"/>
  <c r="E449" i="27"/>
  <c r="E417" i="27"/>
  <c r="E640" i="27"/>
  <c r="E608" i="27"/>
  <c r="E576" i="27"/>
  <c r="E544" i="27"/>
  <c r="E512" i="27"/>
  <c r="E480" i="27"/>
  <c r="E448" i="27"/>
  <c r="E416" i="27"/>
  <c r="E647" i="27"/>
  <c r="E615" i="27"/>
  <c r="E583" i="27"/>
  <c r="E551" i="27"/>
  <c r="E519" i="27"/>
  <c r="E487" i="27"/>
  <c r="E455" i="27"/>
  <c r="E423" i="27"/>
  <c r="E391" i="27"/>
  <c r="E622" i="27"/>
  <c r="E590" i="27"/>
  <c r="E558" i="27"/>
  <c r="E526" i="27"/>
  <c r="E494" i="27"/>
  <c r="E462" i="27"/>
  <c r="E398" i="27"/>
  <c r="E637" i="27"/>
  <c r="D531" i="27"/>
  <c r="D523" i="27"/>
  <c r="E492" i="27"/>
  <c r="D554" i="27"/>
  <c r="E585" i="27"/>
  <c r="E393" i="27"/>
  <c r="E488" i="27"/>
  <c r="E527" i="27"/>
  <c r="E566" i="27"/>
  <c r="D541" i="27"/>
  <c r="D549" i="27"/>
  <c r="E643" i="27"/>
  <c r="E515" i="27"/>
  <c r="D477" i="27"/>
  <c r="D565" i="27"/>
  <c r="D437" i="27"/>
  <c r="D573" i="27"/>
  <c r="E571" i="27"/>
  <c r="E595" i="27"/>
  <c r="E467" i="27"/>
  <c r="E475" i="27"/>
  <c r="D525" i="27"/>
  <c r="D397" i="27"/>
  <c r="E587" i="27"/>
  <c r="E459" i="27"/>
  <c r="D636" i="27"/>
  <c r="D604" i="27"/>
  <c r="D572" i="27"/>
  <c r="D540" i="27"/>
  <c r="D508" i="27"/>
  <c r="D476" i="27"/>
  <c r="D444" i="27"/>
  <c r="D412" i="27"/>
  <c r="E634" i="27"/>
  <c r="E602" i="27"/>
  <c r="E570" i="27"/>
  <c r="E538" i="27"/>
  <c r="E506" i="27"/>
  <c r="E474" i="27"/>
  <c r="E442" i="27"/>
  <c r="E410" i="27"/>
  <c r="D633" i="27"/>
  <c r="D601" i="27"/>
  <c r="D569" i="27"/>
  <c r="D537" i="27"/>
  <c r="E505" i="27"/>
  <c r="D473" i="27"/>
  <c r="D441" i="27"/>
  <c r="D409" i="27"/>
  <c r="D632" i="27"/>
  <c r="D600" i="27"/>
  <c r="D568" i="27"/>
  <c r="D536" i="27"/>
  <c r="D504" i="27"/>
  <c r="D472" i="27"/>
  <c r="D440" i="27"/>
  <c r="D408" i="27"/>
  <c r="D639" i="27"/>
  <c r="D607" i="27"/>
  <c r="D575" i="27"/>
  <c r="D543" i="27"/>
  <c r="D511" i="27"/>
  <c r="D479" i="27"/>
  <c r="D447" i="27"/>
  <c r="D415" i="27"/>
  <c r="D646" i="27"/>
  <c r="D614" i="27"/>
  <c r="D582" i="27"/>
  <c r="D550" i="27"/>
  <c r="D518" i="27"/>
  <c r="D486" i="27"/>
  <c r="D454" i="27"/>
  <c r="D422" i="27"/>
  <c r="D390" i="27"/>
  <c r="E414" i="27"/>
  <c r="D579" i="27"/>
  <c r="D635" i="27"/>
  <c r="D395" i="27"/>
  <c r="E428" i="27"/>
  <c r="D490" i="27"/>
  <c r="E553" i="27"/>
  <c r="E584" i="27"/>
  <c r="E623" i="27"/>
  <c r="E399" i="27"/>
  <c r="E470" i="27"/>
  <c r="E541" i="27"/>
  <c r="E549" i="27"/>
  <c r="D643" i="27"/>
  <c r="D515" i="27"/>
  <c r="E477" i="27"/>
  <c r="E565" i="27"/>
  <c r="E437" i="27"/>
  <c r="E573" i="27"/>
  <c r="D571" i="27"/>
  <c r="D595" i="27"/>
  <c r="D467" i="27"/>
  <c r="D475" i="27"/>
  <c r="E525" i="27"/>
  <c r="E397" i="27"/>
  <c r="D587" i="27"/>
  <c r="D459" i="27"/>
  <c r="E636" i="27"/>
  <c r="E604" i="27"/>
  <c r="E572" i="27"/>
  <c r="E540" i="27"/>
  <c r="E508" i="27"/>
  <c r="E476" i="27"/>
  <c r="E444" i="27"/>
  <c r="E412" i="27"/>
  <c r="D634" i="27"/>
  <c r="D602" i="27"/>
  <c r="D570" i="27"/>
  <c r="D538" i="27"/>
  <c r="D506" i="27"/>
  <c r="D474" i="27"/>
  <c r="D442" i="27"/>
  <c r="D410" i="27"/>
  <c r="E633" i="27"/>
  <c r="E601" i="27"/>
  <c r="E569" i="27"/>
  <c r="E537" i="27"/>
  <c r="D505" i="27"/>
  <c r="E473" i="27"/>
  <c r="E441" i="27"/>
  <c r="E409" i="27"/>
  <c r="E632" i="27"/>
  <c r="E600" i="27"/>
  <c r="E568" i="27"/>
  <c r="E536" i="27"/>
  <c r="E504" i="27"/>
  <c r="E472" i="27"/>
  <c r="E440" i="27"/>
  <c r="E408" i="27"/>
  <c r="E639" i="27"/>
  <c r="E607" i="27"/>
  <c r="E575" i="27"/>
  <c r="E543" i="27"/>
  <c r="E511" i="27"/>
  <c r="E479" i="27"/>
  <c r="E447" i="27"/>
  <c r="E415" i="27"/>
  <c r="E646" i="27"/>
  <c r="E614" i="27"/>
  <c r="E582" i="27"/>
  <c r="E550" i="27"/>
  <c r="E518" i="27"/>
  <c r="E486" i="27"/>
  <c r="E454" i="27"/>
  <c r="E422" i="27"/>
  <c r="E390" i="27"/>
  <c r="E446" i="27"/>
  <c r="E485" i="27"/>
  <c r="E461" i="27"/>
  <c r="E588" i="27"/>
  <c r="D586" i="27"/>
  <c r="E617" i="27"/>
  <c r="E616" i="27"/>
  <c r="E392" i="27"/>
  <c r="E463" i="27"/>
  <c r="E502" i="27"/>
  <c r="D645" i="27"/>
  <c r="D517" i="27"/>
  <c r="E611" i="27"/>
  <c r="E483" i="27"/>
  <c r="E411" i="27"/>
  <c r="D533" i="27"/>
  <c r="D405" i="27"/>
  <c r="D413" i="27"/>
  <c r="E539" i="27"/>
  <c r="E563" i="27"/>
  <c r="E435" i="27"/>
  <c r="D621" i="27"/>
  <c r="D493" i="27"/>
  <c r="D445" i="27"/>
  <c r="E555" i="27"/>
  <c r="E427" i="27"/>
  <c r="D628" i="27"/>
  <c r="D596" i="27"/>
  <c r="D564" i="27"/>
  <c r="D532" i="27"/>
  <c r="D500" i="27"/>
  <c r="D468" i="27"/>
  <c r="D436" i="27"/>
  <c r="D404" i="27"/>
  <c r="E626" i="27"/>
  <c r="E594" i="27"/>
  <c r="E562" i="27"/>
  <c r="E530" i="27"/>
  <c r="E498" i="27"/>
  <c r="E466" i="27"/>
  <c r="E434" i="27"/>
  <c r="E402" i="27"/>
  <c r="E625" i="27"/>
  <c r="D593" i="27"/>
  <c r="D561" i="27"/>
  <c r="D529" i="27"/>
  <c r="D497" i="27"/>
  <c r="D465" i="27"/>
  <c r="D433" i="27"/>
  <c r="D401" i="27"/>
  <c r="D624" i="27"/>
  <c r="D592" i="27"/>
  <c r="D560" i="27"/>
  <c r="D528" i="27"/>
  <c r="D496" i="27"/>
  <c r="D464" i="27"/>
  <c r="D432" i="27"/>
  <c r="D400" i="27"/>
  <c r="D631" i="27"/>
  <c r="D599" i="27"/>
  <c r="D567" i="27"/>
  <c r="D535" i="27"/>
  <c r="D503" i="27"/>
  <c r="D471" i="27"/>
  <c r="D439" i="27"/>
  <c r="D407" i="27"/>
  <c r="D638" i="27"/>
  <c r="D606" i="27"/>
  <c r="D574" i="27"/>
  <c r="D542" i="27"/>
  <c r="D510" i="27"/>
  <c r="D478" i="27"/>
  <c r="D446" i="27"/>
  <c r="D414" i="27"/>
  <c r="E478" i="27"/>
  <c r="D451" i="27"/>
  <c r="E460" i="27"/>
  <c r="D426" i="27"/>
  <c r="E457" i="27"/>
  <c r="E424" i="27"/>
  <c r="E431" i="27"/>
  <c r="E438" i="27"/>
  <c r="E645" i="27"/>
  <c r="E517" i="27"/>
  <c r="D611" i="27"/>
  <c r="D483" i="27"/>
  <c r="D411" i="27"/>
  <c r="E533" i="27"/>
  <c r="E405" i="27"/>
  <c r="E413" i="27"/>
  <c r="D539" i="27"/>
  <c r="D563" i="27"/>
  <c r="D435" i="27"/>
  <c r="E621" i="27"/>
  <c r="E493" i="27"/>
  <c r="E445" i="27"/>
  <c r="D555" i="27"/>
  <c r="D427" i="27"/>
  <c r="E628" i="27"/>
  <c r="E596" i="27"/>
  <c r="E564" i="27"/>
  <c r="E532" i="27"/>
  <c r="E500" i="27"/>
  <c r="E468" i="27"/>
  <c r="E436" i="27"/>
  <c r="E404" i="27"/>
  <c r="D626" i="27"/>
  <c r="D594" i="27"/>
  <c r="D562" i="27"/>
  <c r="D530" i="27"/>
  <c r="D498" i="27"/>
  <c r="D466" i="27"/>
  <c r="D434" i="27"/>
  <c r="D402" i="27"/>
  <c r="D625" i="27"/>
  <c r="E593" i="27"/>
  <c r="E561" i="27"/>
  <c r="E529" i="27"/>
  <c r="E497" i="27"/>
  <c r="E465" i="27"/>
  <c r="E433" i="27"/>
  <c r="E401" i="27"/>
  <c r="E624" i="27"/>
  <c r="E592" i="27"/>
  <c r="E560" i="27"/>
  <c r="E528" i="27"/>
  <c r="E496" i="27"/>
  <c r="E464" i="27"/>
  <c r="E432" i="27"/>
  <c r="E400" i="27"/>
  <c r="E631" i="27"/>
  <c r="E599" i="27"/>
  <c r="E567" i="27"/>
  <c r="E535" i="27"/>
  <c r="E503" i="27"/>
  <c r="E471" i="27"/>
  <c r="E439" i="27"/>
  <c r="E407" i="27"/>
  <c r="E638" i="27"/>
  <c r="E606" i="27"/>
  <c r="E574" i="27"/>
  <c r="E542" i="27"/>
  <c r="E510" i="27"/>
  <c r="E501" i="27"/>
  <c r="E589" i="27"/>
  <c r="E620" i="27"/>
  <c r="E396" i="27"/>
  <c r="D458" i="27"/>
  <c r="E489" i="27"/>
  <c r="E520" i="27"/>
  <c r="E559" i="27"/>
  <c r="E598" i="27"/>
  <c r="D613" i="27"/>
  <c r="D485" i="27"/>
  <c r="E579" i="27"/>
  <c r="E451" i="27"/>
  <c r="D629" i="27"/>
  <c r="D501" i="27"/>
  <c r="D637" i="27"/>
  <c r="E635" i="27"/>
  <c r="E443" i="27"/>
  <c r="E531" i="27"/>
  <c r="E403" i="27"/>
  <c r="D589" i="27"/>
  <c r="D461" i="27"/>
  <c r="E507" i="27"/>
  <c r="E523" i="27"/>
  <c r="E395" i="27"/>
  <c r="D620" i="27"/>
  <c r="D588" i="27"/>
  <c r="D556" i="27"/>
  <c r="D524" i="27"/>
  <c r="D492" i="27"/>
  <c r="D460" i="27"/>
  <c r="D428" i="27"/>
  <c r="D396" i="27"/>
  <c r="E618" i="27"/>
  <c r="E586" i="27"/>
  <c r="E554" i="27"/>
  <c r="E522" i="27"/>
  <c r="E490" i="27"/>
  <c r="E458" i="27"/>
  <c r="E426" i="27"/>
  <c r="E394" i="27"/>
  <c r="D617" i="27"/>
  <c r="D585" i="27"/>
  <c r="D553" i="27"/>
  <c r="D521" i="27"/>
  <c r="D489" i="27"/>
  <c r="D457" i="27"/>
  <c r="D425" i="27"/>
  <c r="D393" i="27"/>
  <c r="D616" i="27"/>
  <c r="D584" i="27"/>
  <c r="D552" i="27"/>
  <c r="D520" i="27"/>
  <c r="D488" i="27"/>
  <c r="D456" i="27"/>
  <c r="D424" i="27"/>
  <c r="D392" i="27"/>
  <c r="D623" i="27"/>
  <c r="D591" i="27"/>
  <c r="D559" i="27"/>
  <c r="D527" i="27"/>
  <c r="D495" i="27"/>
  <c r="D463" i="27"/>
  <c r="D431" i="27"/>
  <c r="D399" i="27"/>
  <c r="D630" i="27"/>
  <c r="D598" i="27"/>
  <c r="D566" i="27"/>
  <c r="D534" i="27"/>
  <c r="D502" i="27"/>
  <c r="D470" i="27"/>
  <c r="D438" i="27"/>
  <c r="D406" i="27"/>
  <c r="E613" i="27"/>
  <c r="D443" i="27"/>
  <c r="D507" i="27"/>
  <c r="E524" i="27"/>
  <c r="D522" i="27"/>
  <c r="E521" i="27"/>
  <c r="E552" i="27"/>
  <c r="E591" i="27"/>
  <c r="E630" i="27"/>
  <c r="E406" i="27"/>
</calcChain>
</file>

<file path=xl/sharedStrings.xml><?xml version="1.0" encoding="utf-8"?>
<sst xmlns="http://schemas.openxmlformats.org/spreadsheetml/2006/main" count="35634" uniqueCount="95">
  <si>
    <t>hour_of_day</t>
  </si>
  <si>
    <t>cash_type</t>
  </si>
  <si>
    <t>money</t>
  </si>
  <si>
    <t>coffee_name</t>
  </si>
  <si>
    <t>Time_of_Day</t>
  </si>
  <si>
    <t>Weekday</t>
  </si>
  <si>
    <t>Month_name</t>
  </si>
  <si>
    <t>Weekdaysort</t>
  </si>
  <si>
    <t>Monthsort</t>
  </si>
  <si>
    <t>Date</t>
  </si>
  <si>
    <t>Time</t>
  </si>
  <si>
    <t>card</t>
  </si>
  <si>
    <t>Latte</t>
  </si>
  <si>
    <t>Morning</t>
  </si>
  <si>
    <t>Fri</t>
  </si>
  <si>
    <t>Mar</t>
  </si>
  <si>
    <t>Hot Chocolate</t>
  </si>
  <si>
    <t>Afternoon</t>
  </si>
  <si>
    <t>Americano</t>
  </si>
  <si>
    <t>Americano with Milk</t>
  </si>
  <si>
    <t>Night</t>
  </si>
  <si>
    <t>Cocoa</t>
  </si>
  <si>
    <t>Sat</t>
  </si>
  <si>
    <t>Sun</t>
  </si>
  <si>
    <t>Cortado</t>
  </si>
  <si>
    <t>Mon</t>
  </si>
  <si>
    <t>Espresso</t>
  </si>
  <si>
    <t>Tue</t>
  </si>
  <si>
    <t>Wed</t>
  </si>
  <si>
    <t>Cappuccino</t>
  </si>
  <si>
    <t>Thu</t>
  </si>
  <si>
    <t>Apr</t>
  </si>
  <si>
    <t>May</t>
  </si>
  <si>
    <t>Jun</t>
  </si>
  <si>
    <t>Jul</t>
  </si>
  <si>
    <t>Aug</t>
  </si>
  <si>
    <t>Sep</t>
  </si>
  <si>
    <t>Oct</t>
  </si>
  <si>
    <t>Nov</t>
  </si>
  <si>
    <t>Dec</t>
  </si>
  <si>
    <t>Jan</t>
  </si>
  <si>
    <t>Feb</t>
  </si>
  <si>
    <t>January</t>
  </si>
  <si>
    <t>February</t>
  </si>
  <si>
    <t>March</t>
  </si>
  <si>
    <t>Monday</t>
  </si>
  <si>
    <t>Tuesday</t>
  </si>
  <si>
    <t>Wednesday</t>
  </si>
  <si>
    <t>Thursday</t>
  </si>
  <si>
    <t>Friday</t>
  </si>
  <si>
    <t>Saturday</t>
  </si>
  <si>
    <t>Sunday</t>
  </si>
  <si>
    <t>April</t>
  </si>
  <si>
    <t>June</t>
  </si>
  <si>
    <t>July</t>
  </si>
  <si>
    <t>August</t>
  </si>
  <si>
    <t>September</t>
  </si>
  <si>
    <t>October</t>
  </si>
  <si>
    <t>November</t>
  </si>
  <si>
    <t>December</t>
  </si>
  <si>
    <t>Quantity sold</t>
  </si>
  <si>
    <t>Grand Total</t>
  </si>
  <si>
    <t>Row Labels</t>
  </si>
  <si>
    <t>Count of Index</t>
  </si>
  <si>
    <t>Total Revenue</t>
  </si>
  <si>
    <t>Transactions</t>
  </si>
  <si>
    <t>Avg/Order</t>
  </si>
  <si>
    <t>Best Coffee</t>
  </si>
  <si>
    <t>2024</t>
  </si>
  <si>
    <t>2025</t>
  </si>
  <si>
    <t>Sum of money</t>
  </si>
  <si>
    <t>Count of cash_type</t>
  </si>
  <si>
    <t>Coffee Product &amp; Payment Insights Dashboard</t>
  </si>
  <si>
    <t>Orders</t>
  </si>
  <si>
    <t>Forecast(Sum of money)</t>
  </si>
  <si>
    <t>Lower Confidence Bound(Sum of money)</t>
  </si>
  <si>
    <t>Upper Confidence Bound(Sum of money)</t>
  </si>
  <si>
    <t>PricePeriodID</t>
  </si>
  <si>
    <t>Index</t>
  </si>
  <si>
    <t>Start Date</t>
  </si>
  <si>
    <t>End Date</t>
  </si>
  <si>
    <t>Number of Days</t>
  </si>
  <si>
    <t>Average per day</t>
  </si>
  <si>
    <t>0. Data Quality and Analysis Limitations</t>
  </si>
  <si>
    <t>The available dataset is incomplete and contains significant gaps, which limits the ability to perform a full, reliable business analysis. Nevertheless, the data is sufficient to identify key operational issues and provide practical recommendations that can support future growth.</t>
  </si>
  <si>
    <t>1. Analysis of Traffic Patterns and Sales Volume</t>
  </si>
  <si>
    <t>The heatmap indicates that the peak activity occurs around 10 a.m. However, even during the busiest periods the overall sales volume remains extremely low. Total sales of 3547 units over more than 12 months translate to an average of fewer than 10 coffees sold per day. Such a sales level is far too low for the operation to be profitable in any form.
Key conclusions:
1. Demand in the current location or under the current operating model is close to zero.
2. Even with maximum operational efficiency, this sales volume makes profitability unattainable - traffic must be increased, not only operating hours or pricing adjusted.</t>
  </si>
  <si>
    <t>2. Payment Structure and Operational Consequences</t>
  </si>
  <si>
    <t>All transactions were processed exclusively via card payments. 
This may indicate:
1. lack of support for cash payments,
2. an error in the recording system,
3. intentional limitation of payment methods.
If only card payments are accepted, this negatively affects the range of potential customers - particularly older individuals, some local customers, and those preferring small cash transactions.</t>
  </si>
  <si>
    <t>3. Analysis of Revenue Trends and Pricing Policy</t>
  </si>
  <si>
    <t>The Revenue Trend suggests that the business operates in a highly unstable manner, with fluctuations not tied to seasonality or business growth. There is no indication of a positive trend.
Analysis of the Price Analysis notebook reveals additional issues:
1. Pricing changes are inconsistent and not aligned with market data.
2. The pricing structure is inadequate for product categories - for example, espresso, which typically serves as an affordable entry-level item, is priced far above market norms, which is reflected in its extremely low sales.
3. The menu shows no seasonal adaptability (e.g. differences between winter and summer offerings).
Recommendations:
1. Develop a complete and coherent price list based on local benchmarks.
2. Introduce seasonal menu variations and promotional “traffic boosters” (espresso, americano, small takeaway coffee).
3. Conduct a price elasticity analysis - current pricing may be suppressing demand instead of supporting margins.</t>
  </si>
  <si>
    <t>4. Evaluation of Opening Hours and Operational Setup</t>
  </si>
  <si>
    <t>5. Analysis of Forecast Reliability</t>
  </si>
  <si>
    <t>Historical data is highly unstable and shows no developmental direction.
The forecasting model maintains values close to historical levels, while the confidence intervals expand rapidly, which implies:
1. a very high level of noise,
2. a lack of clear dependencies in the data,
3. low predictive capability for future performance.
In practice, this means that without operational and marketing improvements, future sales are expected to remain close to zero.</t>
  </si>
  <si>
    <t>Heatmap data indicates that the current opening hours are suboptimal:
1. Early opening (e.g. 6 a.m.) generates no traffic.
2. The highest activity occurs later in the morning (around 10 a.m.).
3. Closing at 10 p.m. on weekdays is unjustified, as there is no traffic during those hours.
4. Fridays and Saturdays typically provide higher potential for evening traffic, yet the business does not take advantage of this.
Recommendations:
1. Shift the café’s opening time to 7–8 a.m.
2. Introduce short morning promotions on weekdays (e.g. -10% for takeaway coffee).
3. Reduce weekday operating hours (e.g. closing between 7-8 p.m.).
4. Extend operating hours on weekends (Fridays and Saturdays) into late evening, if the location has evening potential.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</si>
</sst>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0.00\ &quot;zł&quot;_-;\-* #,##0.00\ &quot;zł&quot;_-;_-* &quot;-&quot;??\ &quot;zł&quot;_-;_-@_-"/>
    <numFmt numFmtId="164" formatCode="[$-F400]h:mm:ss\ AM/PM"/>
    <numFmt numFmtId="165" formatCode="#,##0.00\ &quot;zł&quot;"/>
  </numFmts>
  <fonts count="30" x14ac:knownFonts="1">
    <font>
      <sz val="11"/>
      <color theme="1"/>
      <name val="Aptos Narrow"/>
      <family val="2"/>
      <charset val="238"/>
      <scheme val="minor"/>
    </font>
    <font>
      <sz val="11"/>
      <color theme="1"/>
      <name val="Aptos Narrow"/>
      <family val="2"/>
      <charset val="238"/>
      <scheme val="minor"/>
    </font>
    <font>
      <sz val="18"/>
      <color theme="3"/>
      <name val="Aptos Display"/>
      <family val="2"/>
      <charset val="238"/>
      <scheme val="major"/>
    </font>
    <font>
      <b/>
      <sz val="15"/>
      <color theme="3"/>
      <name val="Aptos Narrow"/>
      <family val="2"/>
      <charset val="238"/>
      <scheme val="minor"/>
    </font>
    <font>
      <b/>
      <sz val="13"/>
      <color theme="3"/>
      <name val="Aptos Narrow"/>
      <family val="2"/>
      <charset val="238"/>
      <scheme val="minor"/>
    </font>
    <font>
      <b/>
      <sz val="11"/>
      <color theme="3"/>
      <name val="Aptos Narrow"/>
      <family val="2"/>
      <charset val="238"/>
      <scheme val="minor"/>
    </font>
    <font>
      <sz val="11"/>
      <color rgb="FF006100"/>
      <name val="Aptos Narrow"/>
      <family val="2"/>
      <charset val="238"/>
      <scheme val="minor"/>
    </font>
    <font>
      <sz val="11"/>
      <color rgb="FF9C0006"/>
      <name val="Aptos Narrow"/>
      <family val="2"/>
      <charset val="238"/>
      <scheme val="minor"/>
    </font>
    <font>
      <sz val="11"/>
      <color rgb="FF9C5700"/>
      <name val="Aptos Narrow"/>
      <family val="2"/>
      <charset val="238"/>
      <scheme val="minor"/>
    </font>
    <font>
      <sz val="11"/>
      <color rgb="FF3F3F76"/>
      <name val="Aptos Narrow"/>
      <family val="2"/>
      <charset val="238"/>
      <scheme val="minor"/>
    </font>
    <font>
      <b/>
      <sz val="11"/>
      <color rgb="FF3F3F3F"/>
      <name val="Aptos Narrow"/>
      <family val="2"/>
      <charset val="238"/>
      <scheme val="minor"/>
    </font>
    <font>
      <b/>
      <sz val="11"/>
      <color rgb="FFFA7D00"/>
      <name val="Aptos Narrow"/>
      <family val="2"/>
      <charset val="238"/>
      <scheme val="minor"/>
    </font>
    <font>
      <sz val="11"/>
      <color rgb="FFFA7D00"/>
      <name val="Aptos Narrow"/>
      <family val="2"/>
      <charset val="238"/>
      <scheme val="minor"/>
    </font>
    <font>
      <b/>
      <sz val="11"/>
      <color theme="0"/>
      <name val="Aptos Narrow"/>
      <family val="2"/>
      <charset val="238"/>
      <scheme val="minor"/>
    </font>
    <font>
      <sz val="11"/>
      <color rgb="FFFF0000"/>
      <name val="Aptos Narrow"/>
      <family val="2"/>
      <charset val="238"/>
      <scheme val="minor"/>
    </font>
    <font>
      <i/>
      <sz val="11"/>
      <color rgb="FF7F7F7F"/>
      <name val="Aptos Narrow"/>
      <family val="2"/>
      <charset val="238"/>
      <scheme val="minor"/>
    </font>
    <font>
      <b/>
      <sz val="11"/>
      <color theme="1"/>
      <name val="Aptos Narrow"/>
      <family val="2"/>
      <charset val="238"/>
      <scheme val="minor"/>
    </font>
    <font>
      <sz val="11"/>
      <color theme="0"/>
      <name val="Aptos Narrow"/>
      <family val="2"/>
      <charset val="238"/>
      <scheme val="minor"/>
    </font>
    <font>
      <b/>
      <sz val="11"/>
      <color theme="1"/>
      <name val="Aptos Narrow"/>
      <family val="2"/>
      <scheme val="minor"/>
    </font>
    <font>
      <sz val="11"/>
      <color theme="1"/>
      <name val="Aptos Narrow"/>
      <family val="2"/>
      <scheme val="minor"/>
    </font>
    <font>
      <sz val="22"/>
      <color theme="0" tint="-4.9989318521683403E-2"/>
      <name val="Aptos Narrow"/>
      <family val="2"/>
      <scheme val="minor"/>
    </font>
    <font>
      <sz val="11"/>
      <color theme="0" tint="-4.9989318521683403E-2"/>
      <name val="Aptos Narrow"/>
      <family val="2"/>
      <scheme val="minor"/>
    </font>
    <font>
      <b/>
      <sz val="18"/>
      <color theme="0" tint="-4.9989318521683403E-2"/>
      <name val="Aptos Narrow"/>
      <family val="2"/>
      <scheme val="minor"/>
    </font>
    <font>
      <sz val="15"/>
      <color theme="0" tint="-4.9989318521683403E-2"/>
      <name val="Aptos Narrow"/>
      <family val="2"/>
      <scheme val="minor"/>
    </font>
    <font>
      <b/>
      <sz val="20"/>
      <color theme="0" tint="-4.9989318521683403E-2"/>
      <name val="Aptos Narrow"/>
      <family val="2"/>
      <scheme val="minor"/>
    </font>
    <font>
      <b/>
      <sz val="11"/>
      <color theme="0" tint="-4.9989318521683403E-2"/>
      <name val="Aptos Narrow"/>
      <family val="2"/>
      <scheme val="minor"/>
    </font>
    <font>
      <sz val="11"/>
      <color theme="0" tint="-4.9989318521683403E-2"/>
      <name val="Aptos Narrow"/>
      <family val="2"/>
      <charset val="238"/>
      <scheme val="minor"/>
    </font>
    <font>
      <sz val="15"/>
      <color theme="1"/>
      <name val="Aptos Narrow"/>
      <family val="2"/>
      <charset val="238"/>
      <scheme val="minor"/>
    </font>
    <font>
      <sz val="16"/>
      <color theme="1"/>
      <name val="Aptos Narrow"/>
      <family val="2"/>
      <scheme val="minor"/>
    </font>
    <font>
      <b/>
      <sz val="14"/>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0"/>
        <bgColor indexed="64"/>
      </patternFill>
    </fill>
    <fill>
      <patternFill patternType="solid">
        <fgColor theme="4" tint="0.79998168889431442"/>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2">
    <xf numFmtId="0" fontId="0" fillId="0" borderId="0" xfId="0"/>
    <xf numFmtId="14" fontId="0" fillId="0" borderId="0" xfId="0" applyNumberFormat="1"/>
    <xf numFmtId="0" fontId="18" fillId="0" borderId="0" xfId="0" applyFont="1" applyAlignment="1">
      <alignment horizontal="center" vertical="center"/>
    </xf>
    <xf numFmtId="49" fontId="18" fillId="0" borderId="0" xfId="0" applyNumberFormat="1" applyFont="1" applyAlignment="1">
      <alignment horizontal="center" vertical="center"/>
    </xf>
    <xf numFmtId="0" fontId="19" fillId="0" borderId="0" xfId="0" applyFont="1" applyAlignment="1">
      <alignment horizontal="center" vertical="center"/>
    </xf>
    <xf numFmtId="14" fontId="19" fillId="0" borderId="0" xfId="0" applyNumberFormat="1" applyFont="1" applyAlignment="1">
      <alignment horizontal="center" vertical="center"/>
    </xf>
    <xf numFmtId="164" fontId="19" fillId="0" borderId="0" xfId="0" applyNumberFormat="1" applyFont="1" applyAlignment="1">
      <alignment horizontal="center" vertical="center"/>
    </xf>
    <xf numFmtId="44" fontId="19" fillId="0" borderId="0" xfId="0" applyNumberFormat="1" applyFont="1" applyAlignment="1">
      <alignment horizontal="center" vertical="center"/>
    </xf>
    <xf numFmtId="164" fontId="0" fillId="0" borderId="0" xfId="0" applyNumberFormat="1"/>
    <xf numFmtId="4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0" fillId="33" borderId="10" xfId="0" applyFont="1" applyFill="1" applyBorder="1" applyAlignment="1">
      <alignment vertical="center"/>
    </xf>
    <xf numFmtId="0" fontId="20" fillId="34" borderId="11" xfId="0" applyFont="1" applyFill="1" applyBorder="1" applyAlignment="1">
      <alignment vertical="center"/>
    </xf>
    <xf numFmtId="0" fontId="21" fillId="0" borderId="11" xfId="0" applyFont="1" applyBorder="1"/>
    <xf numFmtId="0" fontId="21" fillId="0" borderId="12" xfId="0" applyFont="1" applyBorder="1"/>
    <xf numFmtId="0" fontId="21" fillId="0" borderId="0" xfId="0" applyFont="1"/>
    <xf numFmtId="0" fontId="21" fillId="33" borderId="10" xfId="0" applyFont="1" applyFill="1" applyBorder="1"/>
    <xf numFmtId="0" fontId="21" fillId="33" borderId="12" xfId="0" applyFont="1" applyFill="1" applyBorder="1"/>
    <xf numFmtId="0" fontId="23" fillId="33" borderId="12" xfId="0" applyFont="1" applyFill="1" applyBorder="1"/>
    <xf numFmtId="0" fontId="23" fillId="33" borderId="10" xfId="0" applyFont="1" applyFill="1" applyBorder="1"/>
    <xf numFmtId="0" fontId="22" fillId="33" borderId="11" xfId="0" applyFont="1" applyFill="1" applyBorder="1" applyAlignment="1">
      <alignment vertical="center"/>
    </xf>
    <xf numFmtId="0" fontId="21" fillId="33" borderId="11" xfId="0" applyFont="1" applyFill="1" applyBorder="1"/>
    <xf numFmtId="0" fontId="21" fillId="33" borderId="13" xfId="0" applyFont="1" applyFill="1" applyBorder="1"/>
    <xf numFmtId="0" fontId="21" fillId="34" borderId="0" xfId="0" applyFont="1" applyFill="1"/>
    <xf numFmtId="0" fontId="21" fillId="0" borderId="14" xfId="0" applyFont="1" applyBorder="1"/>
    <xf numFmtId="0" fontId="21" fillId="33" borderId="14" xfId="0" applyFont="1" applyFill="1" applyBorder="1"/>
    <xf numFmtId="0" fontId="21" fillId="33" borderId="0" xfId="0" applyFont="1" applyFill="1"/>
    <xf numFmtId="0" fontId="24" fillId="33" borderId="13" xfId="0" applyFont="1" applyFill="1" applyBorder="1" applyAlignment="1">
      <alignment vertical="center"/>
    </xf>
    <xf numFmtId="0" fontId="21" fillId="33" borderId="15" xfId="0" applyFont="1" applyFill="1" applyBorder="1"/>
    <xf numFmtId="0" fontId="21" fillId="33" borderId="17" xfId="0" applyFont="1" applyFill="1" applyBorder="1"/>
    <xf numFmtId="0" fontId="24" fillId="33" borderId="15" xfId="0" applyFont="1" applyFill="1" applyBorder="1" applyAlignment="1">
      <alignment vertical="center"/>
    </xf>
    <xf numFmtId="0" fontId="21" fillId="34" borderId="16" xfId="0" applyFont="1" applyFill="1" applyBorder="1"/>
    <xf numFmtId="0" fontId="21" fillId="0" borderId="16" xfId="0" applyFont="1" applyBorder="1"/>
    <xf numFmtId="0" fontId="21" fillId="0" borderId="17" xfId="0" applyFont="1" applyBorder="1"/>
    <xf numFmtId="0" fontId="21" fillId="34" borderId="10" xfId="0" applyFont="1" applyFill="1" applyBorder="1"/>
    <xf numFmtId="0" fontId="21" fillId="34" borderId="11" xfId="0" applyFont="1" applyFill="1" applyBorder="1"/>
    <xf numFmtId="0" fontId="21" fillId="34" borderId="12" xfId="0" applyFont="1" applyFill="1" applyBorder="1"/>
    <xf numFmtId="0" fontId="21" fillId="34" borderId="13" xfId="0" applyFont="1" applyFill="1" applyBorder="1"/>
    <xf numFmtId="0" fontId="21" fillId="34" borderId="14" xfId="0" applyFont="1" applyFill="1" applyBorder="1"/>
    <xf numFmtId="0" fontId="25" fillId="33" borderId="0" xfId="0" applyFont="1" applyFill="1" applyAlignment="1">
      <alignment horizontal="center" vertical="center"/>
    </xf>
    <xf numFmtId="0" fontId="21" fillId="34" borderId="15" xfId="0" applyFont="1" applyFill="1" applyBorder="1"/>
    <xf numFmtId="0" fontId="21" fillId="34" borderId="17" xfId="0" applyFont="1" applyFill="1" applyBorder="1"/>
    <xf numFmtId="0" fontId="25" fillId="34" borderId="0" xfId="0" applyFont="1" applyFill="1"/>
    <xf numFmtId="0" fontId="25" fillId="34" borderId="13" xfId="0" applyFont="1" applyFill="1" applyBorder="1"/>
    <xf numFmtId="0" fontId="21" fillId="34" borderId="18" xfId="0" applyFont="1" applyFill="1" applyBorder="1"/>
    <xf numFmtId="0" fontId="21" fillId="34" borderId="19" xfId="0" applyFont="1" applyFill="1" applyBorder="1"/>
    <xf numFmtId="0" fontId="21" fillId="34" borderId="20" xfId="0" applyFont="1" applyFill="1" applyBorder="1"/>
    <xf numFmtId="165" fontId="0" fillId="0" borderId="0" xfId="0" applyNumberFormat="1"/>
    <xf numFmtId="44" fontId="0" fillId="0" borderId="0" xfId="0" applyNumberFormat="1" applyAlignment="1">
      <alignment horizontal="left" indent="1"/>
    </xf>
    <xf numFmtId="2" fontId="0" fillId="0" borderId="0" xfId="0" applyNumberFormat="1"/>
    <xf numFmtId="0" fontId="18" fillId="0" borderId="0" xfId="0" applyFont="1"/>
    <xf numFmtId="0" fontId="18" fillId="35" borderId="0" xfId="0" applyFont="1" applyFill="1"/>
    <xf numFmtId="0" fontId="18" fillId="0" borderId="0" xfId="0" pivotButton="1" applyFont="1"/>
    <xf numFmtId="0" fontId="26" fillId="0" borderId="0" xfId="0" applyFont="1"/>
    <xf numFmtId="0" fontId="27" fillId="0" borderId="0" xfId="0" pivotButton="1" applyFont="1" applyAlignment="1">
      <alignment horizontal="center" vertical="center"/>
    </xf>
    <xf numFmtId="0" fontId="28" fillId="0" borderId="0" xfId="0" applyFont="1" applyAlignment="1">
      <alignment vertical="center"/>
    </xf>
    <xf numFmtId="0" fontId="0" fillId="0" borderId="0" xfId="0" applyAlignment="1">
      <alignment vertical="center"/>
    </xf>
    <xf numFmtId="0" fontId="20" fillId="33" borderId="18" xfId="0" applyFont="1" applyFill="1" applyBorder="1" applyAlignment="1">
      <alignment horizontal="center" vertical="center"/>
    </xf>
    <xf numFmtId="0" fontId="20" fillId="33" borderId="19" xfId="0" applyFont="1" applyFill="1" applyBorder="1" applyAlignment="1">
      <alignment horizontal="center" vertical="center"/>
    </xf>
    <xf numFmtId="0" fontId="24" fillId="33" borderId="13" xfId="0" applyFont="1" applyFill="1" applyBorder="1" applyAlignment="1">
      <alignment horizontal="center" vertical="center"/>
    </xf>
    <xf numFmtId="0" fontId="24" fillId="33" borderId="0" xfId="0" applyFont="1" applyFill="1" applyAlignment="1">
      <alignment horizontal="center" vertical="center"/>
    </xf>
    <xf numFmtId="0" fontId="24" fillId="33" borderId="15" xfId="0" applyFont="1" applyFill="1" applyBorder="1" applyAlignment="1">
      <alignment horizontal="center" vertical="center"/>
    </xf>
    <xf numFmtId="0" fontId="24" fillId="33" borderId="16" xfId="0" applyFont="1" applyFill="1" applyBorder="1" applyAlignment="1">
      <alignment horizontal="center" vertical="center"/>
    </xf>
    <xf numFmtId="0" fontId="22" fillId="33" borderId="11" xfId="0" applyFont="1" applyFill="1" applyBorder="1" applyAlignment="1">
      <alignment horizontal="center" vertical="center"/>
    </xf>
    <xf numFmtId="165" fontId="24" fillId="33" borderId="0" xfId="0" applyNumberFormat="1" applyFont="1" applyFill="1" applyAlignment="1">
      <alignment horizontal="center" vertical="center"/>
    </xf>
    <xf numFmtId="165" fontId="24" fillId="33" borderId="16" xfId="0" applyNumberFormat="1" applyFont="1" applyFill="1" applyBorder="1" applyAlignment="1">
      <alignment horizontal="center" vertical="center"/>
    </xf>
    <xf numFmtId="0" fontId="29" fillId="0" borderId="0" xfId="0" applyFont="1" applyAlignment="1">
      <alignment horizontal="center" vertical="center" wrapText="1"/>
    </xf>
    <xf numFmtId="0" fontId="0" fillId="0" borderId="0" xfId="0" applyAlignment="1">
      <alignment horizontal="center" wrapText="1"/>
    </xf>
    <xf numFmtId="0" fontId="29" fillId="0" borderId="0" xfId="0" applyFont="1" applyAlignment="1">
      <alignment horizontal="center" vertical="center"/>
    </xf>
    <xf numFmtId="0" fontId="0" fillId="0" borderId="0" xfId="0"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font>
        <b val="0"/>
        <i val="0"/>
        <strike val="0"/>
        <condense val="0"/>
        <extend val="0"/>
        <outline val="0"/>
        <shadow val="0"/>
        <u val="none"/>
        <vertAlign val="baseline"/>
        <sz val="11"/>
        <color theme="1"/>
        <name val="Aptos Narrow"/>
        <family val="2"/>
        <scheme val="minor"/>
      </font>
      <numFmt numFmtId="0" formatCode="Genera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Aptos Narrow"/>
        <family val="2"/>
        <scheme val="minor"/>
      </font>
      <numFmt numFmtId="0" formatCode="Genera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1" hidden="0"/>
    </dxf>
    <dxf>
      <font>
        <b/>
      </font>
    </dxf>
    <dxf>
      <font>
        <b/>
      </font>
    </dxf>
    <dxf>
      <numFmt numFmtId="165" formatCode="#,##0.00\ &quot;zł&quot;"/>
    </dxf>
    <dxf>
      <numFmt numFmtId="165" formatCode="#,##0.00\ &quot;zł&quot;"/>
    </dxf>
    <dxf>
      <numFmt numFmtId="165" formatCode="#,##0.00\ &quot;zł&quot;"/>
    </dxf>
    <dxf>
      <numFmt numFmtId="19" formatCode="dd/mm/yyyy"/>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2E0098D9-9C30-499E-90AA-EAEE60E70B6E}">
      <tableStyleElement type="wholeTable" dxfId="19"/>
      <tableStyleElement type="headerRow" dxfId="18"/>
    </tableStyle>
  </tableStyles>
  <colors>
    <mruColors>
      <color rgb="FF4472C4"/>
      <color rgb="FFFFFFCC"/>
      <color rgb="FFDCE6F1"/>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[Coffee_Sales_Analysis_and_Forecast.xlsx]Revenue Trend!PivotTable2</c:name>
    <c:fmtId val="3"/>
  </c:pivotSource>
  <c:chart>
    <c:title>
      <c:tx>
        <c:rich>
          <a:bodyPr rot="0" spcFirstLastPara="1" vertOverflow="ellipsis" vert="horz" wrap="square" anchor="ctr" anchorCtr="1"/>
          <a:lstStyle/>
          <a:p>
            <a:pPr>
              <a:defRPr sz="1500" b="1" i="0" u="none" strike="noStrike" kern="1200" cap="all" spc="100" normalizeH="0" baseline="0">
                <a:solidFill>
                  <a:schemeClr val="bg1"/>
                </a:solidFill>
                <a:latin typeface="+mn-lt"/>
                <a:ea typeface="+mn-ea"/>
                <a:cs typeface="+mn-cs"/>
              </a:defRPr>
            </a:pPr>
            <a:r>
              <a:rPr lang="en-US">
                <a:solidFill>
                  <a:schemeClr val="bg1"/>
                </a:solidFill>
              </a:rPr>
              <a:t>Revenue Trend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3.2680902514452818E-2"/>
              <c:y val="-0.11300891462336128"/>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8.2163749453450612E-3"/>
              <c:y val="-7.888338304935135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5.5497304363389822E-2"/>
              <c:y val="-9.1680457389605077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5.4071279247831262E-2"/>
              <c:y val="-5.328923436884392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5.2645254132272806E-2"/>
              <c:y val="-7.461769160260016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4.4089103438921376E-2"/>
              <c:y val="-7.888338304935135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3.9811028092245633E-2"/>
              <c:y val="-7.888338304935144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12370532078042E-2"/>
              <c:y val="-0.1002118402831076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12370532078042E-2"/>
              <c:y val="-7.461769160260012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12370532078042E-2"/>
              <c:y val="-9.16804573896050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1237053207804249E-2"/>
              <c:y val="-8.74147659428538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12370532078042E-2"/>
              <c:y val="-0.1215402975168637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3.8385002976687073E-2"/>
              <c:y val="-0.1428687547506199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266307832336276E-2"/>
              <c:y val="-0.172728594877878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6772525638696439E-2"/>
              <c:y val="-0.117274606070112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lineChart>
        <c:grouping val="standard"/>
        <c:varyColors val="0"/>
        <c:ser>
          <c:idx val="0"/>
          <c:order val="0"/>
          <c:tx>
            <c:strRef>
              <c:f>'Revenue Trend'!$B$3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Pt>
            <c:idx val="1"/>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8-6FBE-424A-AED9-5493E89A862A}"/>
              </c:ext>
            </c:extLst>
          </c:dPt>
          <c:dPt>
            <c:idx val="2"/>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E-3C58-4DDE-A066-FD95B7C5619B}"/>
              </c:ext>
            </c:extLst>
          </c:dPt>
          <c:dPt>
            <c:idx val="3"/>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F-3C58-4DDE-A066-FD95B7C5619B}"/>
              </c:ext>
            </c:extLst>
          </c:dPt>
          <c:dPt>
            <c:idx val="5"/>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7-6FBE-424A-AED9-5493E89A862A}"/>
              </c:ext>
            </c:extLst>
          </c:dPt>
          <c:dPt>
            <c:idx val="6"/>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6-6FBE-424A-AED9-5493E89A862A}"/>
              </c:ext>
            </c:extLst>
          </c:dPt>
          <c:dPt>
            <c:idx val="8"/>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2-6FBE-424A-AED9-5493E89A862A}"/>
              </c:ext>
            </c:extLst>
          </c:dPt>
          <c:dPt>
            <c:idx val="9"/>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5-6FBE-424A-AED9-5493E89A862A}"/>
              </c:ext>
            </c:extLst>
          </c:dPt>
          <c:dPt>
            <c:idx val="10"/>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4-6FBE-424A-AED9-5493E89A862A}"/>
              </c:ext>
            </c:extLst>
          </c:dPt>
          <c:dPt>
            <c:idx val="12"/>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3-6FBE-424A-AED9-5493E89A862A}"/>
              </c:ext>
            </c:extLst>
          </c:dPt>
          <c:dLbls>
            <c:dLbl>
              <c:idx val="1"/>
              <c:layout>
                <c:manualLayout>
                  <c:x val="-4.12370532078042E-2"/>
                  <c:y val="-0.1002118402831076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FBE-424A-AED9-5493E89A862A}"/>
                </c:ext>
              </c:extLst>
            </c:dLbl>
            <c:dLbl>
              <c:idx val="2"/>
              <c:layout>
                <c:manualLayout>
                  <c:x val="-4.12370532078042E-2"/>
                  <c:y val="-7.46176916026001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C58-4DDE-A066-FD95B7C5619B}"/>
                </c:ext>
              </c:extLst>
            </c:dLbl>
            <c:dLbl>
              <c:idx val="3"/>
              <c:layout>
                <c:manualLayout>
                  <c:x val="-4.12370532078042E-2"/>
                  <c:y val="-9.16804573896050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C58-4DDE-A066-FD95B7C5619B}"/>
                </c:ext>
              </c:extLst>
            </c:dLbl>
            <c:dLbl>
              <c:idx val="5"/>
              <c:layout>
                <c:manualLayout>
                  <c:x val="-4.1237053207804249E-2"/>
                  <c:y val="-8.74147659428538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FBE-424A-AED9-5493E89A862A}"/>
                </c:ext>
              </c:extLst>
            </c:dLbl>
            <c:dLbl>
              <c:idx val="6"/>
              <c:layout>
                <c:manualLayout>
                  <c:x val="-4.12370532078042E-2"/>
                  <c:y val="-0.1215402975168637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FBE-424A-AED9-5493E89A862A}"/>
                </c:ext>
              </c:extLst>
            </c:dLbl>
            <c:dLbl>
              <c:idx val="8"/>
              <c:layout>
                <c:manualLayout>
                  <c:x val="-3.8385002976687073E-2"/>
                  <c:y val="-0.1428687547506199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FBE-424A-AED9-5493E89A862A}"/>
                </c:ext>
              </c:extLst>
            </c:dLbl>
            <c:dLbl>
              <c:idx val="10"/>
              <c:layout>
                <c:manualLayout>
                  <c:x val="-4.266307832336276E-2"/>
                  <c:y val="-0.1727285948778786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FBE-424A-AED9-5493E89A862A}"/>
                </c:ext>
              </c:extLst>
            </c:dLbl>
            <c:dLbl>
              <c:idx val="12"/>
              <c:layout>
                <c:manualLayout>
                  <c:x val="-1.6772525638696439E-2"/>
                  <c:y val="-0.1172746060701125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FBE-424A-AED9-5493E89A862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'Revenue Trend'!$A$4:$A$19</c:f>
              <c:multiLvlStrCache>
                <c:ptCount val="13"/>
                <c:lvl>
                  <c:pt idx="0">
                    <c:v>March</c:v>
                  </c:pt>
                  <c:pt idx="1">
                    <c:v>April</c:v>
                  </c:pt>
                  <c:pt idx="2">
                    <c:v>May</c:v>
                  </c:pt>
                  <c:pt idx="3">
                    <c:v>June</c:v>
                  </c:pt>
                  <c:pt idx="4">
                    <c:v>July</c:v>
                  </c:pt>
                  <c:pt idx="5">
                    <c:v>August</c:v>
                  </c:pt>
                  <c:pt idx="6">
                    <c:v>September</c:v>
                  </c:pt>
                  <c:pt idx="7">
                    <c:v>October</c:v>
                  </c:pt>
                  <c:pt idx="8">
                    <c:v>November</c:v>
                  </c:pt>
                  <c:pt idx="9">
                    <c:v>December</c:v>
                  </c:pt>
                  <c:pt idx="10">
                    <c:v>January</c:v>
                  </c:pt>
                  <c:pt idx="11">
                    <c:v>February</c:v>
                  </c:pt>
                  <c:pt idx="12">
                    <c:v>March</c:v>
                  </c:pt>
                </c:lvl>
                <c:lvl>
                  <c:pt idx="0">
                    <c:v>2024</c:v>
                  </c:pt>
                  <c:pt idx="10">
                    <c:v>2025</c:v>
                  </c:pt>
                </c:lvl>
              </c:multiLvlStrCache>
            </c:multiLvlStrRef>
          </c:cat>
          <c:val>
            <c:numRef>
              <c:f>'Revenue Trend'!$B$4:$B$19</c:f>
              <c:numCache>
                <c:formatCode>_("zł"* #,##0.00_);_("zł"* \(#,##0.00\);_("zł"* "-"??_);_(@_)</c:formatCode>
                <c:ptCount val="13"/>
                <c:pt idx="0">
                  <c:v>5905.199999999988</c:v>
                </c:pt>
                <c:pt idx="1">
                  <c:v>5719.5599999999904</c:v>
                </c:pt>
                <c:pt idx="2">
                  <c:v>8164.4200000000237</c:v>
                </c:pt>
                <c:pt idx="3">
                  <c:v>7617.7600000000175</c:v>
                </c:pt>
                <c:pt idx="4">
                  <c:v>6915.9399999999969</c:v>
                </c:pt>
                <c:pt idx="5">
                  <c:v>7613.8400000000056</c:v>
                </c:pt>
                <c:pt idx="6">
                  <c:v>9988.6399999999903</c:v>
                </c:pt>
                <c:pt idx="7">
                  <c:v>13891.160000000065</c:v>
                </c:pt>
                <c:pt idx="8">
                  <c:v>8590.5400000000354</c:v>
                </c:pt>
                <c:pt idx="9">
                  <c:v>8237.7400000000325</c:v>
                </c:pt>
                <c:pt idx="10">
                  <c:v>6398.8600000000215</c:v>
                </c:pt>
                <c:pt idx="11">
                  <c:v>13215.480000000016</c:v>
                </c:pt>
                <c:pt idx="12">
                  <c:v>9986.4400000000442</c:v>
                </c:pt>
              </c:numCache>
            </c:numRef>
          </c:val>
          <c:smooth val="0"/>
          <c:extLst>
            <c:ext xmlns:c16="http://schemas.microsoft.com/office/drawing/2014/chart" uri="{C3380CC4-5D6E-409C-BE32-E72D297353CC}">
              <c16:uniqueId val="{00000000-6FBE-424A-AED9-5493E89A862A}"/>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95598256"/>
        <c:axId val="595621296"/>
      </c:lineChart>
      <c:catAx>
        <c:axId val="595598256"/>
        <c:scaling>
          <c:orientation val="minMax"/>
        </c:scaling>
        <c:delete val="0"/>
        <c:axPos val="b"/>
        <c:numFmt formatCode="General" sourceLinked="1"/>
        <c:majorTickMark val="none"/>
        <c:minorTickMark val="none"/>
        <c:tickLblPos val="low"/>
        <c:spPr>
          <a:noFill/>
          <a:ln w="12700" cap="flat" cmpd="sng" algn="ctr">
            <a:solidFill>
              <a:schemeClr val="lt1"/>
            </a:solidFill>
            <a:round/>
          </a:ln>
          <a:effectLst/>
        </c:spPr>
        <c:txPr>
          <a:bodyPr rot="0" spcFirstLastPara="1" vertOverflow="ellipsis" wrap="square" anchor="ctr" anchorCtr="1"/>
          <a:lstStyle/>
          <a:p>
            <a:pPr>
              <a:defRPr sz="900" b="0" i="0" u="none" strike="noStrike" kern="1200" spc="100" baseline="0">
                <a:solidFill>
                  <a:schemeClr val="bg1"/>
                </a:solidFill>
                <a:latin typeface="+mn-lt"/>
                <a:ea typeface="+mn-ea"/>
                <a:cs typeface="+mn-cs"/>
              </a:defRPr>
            </a:pPr>
            <a:endParaRPr lang="en-US"/>
          </a:p>
        </c:txPr>
        <c:crossAx val="595621296"/>
        <c:crosses val="autoZero"/>
        <c:auto val="1"/>
        <c:lblAlgn val="ctr"/>
        <c:lblOffset val="100"/>
        <c:noMultiLvlLbl val="0"/>
      </c:catAx>
      <c:valAx>
        <c:axId val="595621296"/>
        <c:scaling>
          <c:orientation val="minMax"/>
          <c:max val="15000"/>
        </c:scaling>
        <c:delete val="0"/>
        <c:axPos val="l"/>
        <c:numFmt formatCode="_(&quot;zł&quot;* #,##0.00_);_(&quot;zł&quot;* \(#,##0.00\);_(&quot;zł&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5598256"/>
        <c:crosses val="autoZero"/>
        <c:crossBetween val="between"/>
        <c:majorUnit val="3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[Coffee_Sales_Analysis_and_Forecast.xlsx]SALES BY HOUR!PivotTable3</c:name>
    <c:fmtId val="12"/>
  </c:pivotSource>
  <c:chart>
    <c:title>
      <c:tx>
        <c:rich>
          <a:bodyPr rot="0" spcFirstLastPara="1" vertOverflow="ellipsis" vert="horz" wrap="square" anchor="ctr" anchorCtr="1"/>
          <a:lstStyle/>
          <a:p>
            <a:pPr>
              <a:defRPr sz="1500" b="1" i="0" u="none" strike="noStrike" kern="1200" cap="all" spc="100" normalizeH="0" baseline="0">
                <a:solidFill>
                  <a:schemeClr val="bg1"/>
                </a:solidFill>
                <a:latin typeface="+mn-lt"/>
                <a:ea typeface="+mn-ea"/>
                <a:cs typeface="+mn-cs"/>
              </a:defRPr>
            </a:pPr>
            <a:r>
              <a:rPr lang="en-GB">
                <a:solidFill>
                  <a:schemeClr val="bg1"/>
                </a:solidFill>
              </a:rPr>
              <a:t>Sales by Hour</a:t>
            </a:r>
            <a:endParaRPr lang="en-US">
              <a:solidFill>
                <a:schemeClr val="bg1"/>
              </a:solidFill>
            </a:endParaRPr>
          </a:p>
        </c:rich>
      </c:tx>
      <c:layout>
        <c:manualLayout>
          <c:xMode val="edge"/>
          <c:yMode val="edge"/>
          <c:x val="0.43257398526332247"/>
          <c:y val="2.0995330873616758E-2"/>
        </c:manualLayout>
      </c:layout>
      <c:overlay val="1"/>
      <c:spPr>
        <a:noFill/>
        <a:ln>
          <a:noFill/>
        </a:ln>
        <a:effectLst/>
      </c:spPr>
      <c:txPr>
        <a:bodyPr rot="0" spcFirstLastPara="1" vertOverflow="ellipsis" vert="horz" wrap="square" anchor="ctr" anchorCtr="1"/>
        <a:lstStyle/>
        <a:p>
          <a:pPr>
            <a:defRPr sz="1500" b="1" i="0" u="none" strike="noStrike" kern="1200" cap="all" spc="100" normalizeH="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321641612980196E-2"/>
          <c:y val="0.13200217528894037"/>
          <c:w val="0.92747633818499964"/>
          <c:h val="0.76771551972144425"/>
        </c:manualLayout>
      </c:layout>
      <c:barChart>
        <c:barDir val="col"/>
        <c:grouping val="clustered"/>
        <c:varyColors val="0"/>
        <c:ser>
          <c:idx val="0"/>
          <c:order val="0"/>
          <c:tx>
            <c:strRef>
              <c:f>'SALES BY HOUR'!$B$3</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'SALES BY HOUR'!$A$4:$A$21</c:f>
              <c:strCache>
                <c:ptCount val="17"/>
                <c:pt idx="0">
                  <c:v>10</c:v>
                </c:pt>
                <c:pt idx="1">
                  <c:v>11</c:v>
                </c:pt>
                <c:pt idx="2">
                  <c:v>16</c:v>
                </c:pt>
                <c:pt idx="3">
                  <c:v>9</c:v>
                </c:pt>
                <c:pt idx="4">
                  <c:v>12</c:v>
                </c:pt>
                <c:pt idx="5">
                  <c:v>17</c:v>
                </c:pt>
                <c:pt idx="6">
                  <c:v>15</c:v>
                </c:pt>
                <c:pt idx="7">
                  <c:v>8</c:v>
                </c:pt>
                <c:pt idx="8">
                  <c:v>19</c:v>
                </c:pt>
                <c:pt idx="9">
                  <c:v>13</c:v>
                </c:pt>
                <c:pt idx="10">
                  <c:v>14</c:v>
                </c:pt>
                <c:pt idx="11">
                  <c:v>18</c:v>
                </c:pt>
                <c:pt idx="12">
                  <c:v>21</c:v>
                </c:pt>
                <c:pt idx="13">
                  <c:v>20</c:v>
                </c:pt>
                <c:pt idx="14">
                  <c:v>22</c:v>
                </c:pt>
                <c:pt idx="15">
                  <c:v>7</c:v>
                </c:pt>
                <c:pt idx="16">
                  <c:v>6</c:v>
                </c:pt>
              </c:strCache>
            </c:strRef>
          </c:cat>
          <c:val>
            <c:numRef>
              <c:f>'SALES BY HOUR'!$B$4:$B$21</c:f>
              <c:numCache>
                <c:formatCode>General</c:formatCode>
                <c:ptCount val="17"/>
                <c:pt idx="0">
                  <c:v>328</c:v>
                </c:pt>
                <c:pt idx="1">
                  <c:v>283</c:v>
                </c:pt>
                <c:pt idx="2">
                  <c:v>278</c:v>
                </c:pt>
                <c:pt idx="3">
                  <c:v>242</c:v>
                </c:pt>
                <c:pt idx="4">
                  <c:v>241</c:v>
                </c:pt>
                <c:pt idx="5">
                  <c:v>237</c:v>
                </c:pt>
                <c:pt idx="6">
                  <c:v>236</c:v>
                </c:pt>
                <c:pt idx="7">
                  <c:v>235</c:v>
                </c:pt>
                <c:pt idx="8">
                  <c:v>229</c:v>
                </c:pt>
                <c:pt idx="9">
                  <c:v>225</c:v>
                </c:pt>
                <c:pt idx="10">
                  <c:v>225</c:v>
                </c:pt>
                <c:pt idx="11">
                  <c:v>218</c:v>
                </c:pt>
                <c:pt idx="12">
                  <c:v>195</c:v>
                </c:pt>
                <c:pt idx="13">
                  <c:v>169</c:v>
                </c:pt>
                <c:pt idx="14">
                  <c:v>113</c:v>
                </c:pt>
                <c:pt idx="15">
                  <c:v>88</c:v>
                </c:pt>
                <c:pt idx="16">
                  <c:v>5</c:v>
                </c:pt>
              </c:numCache>
            </c:numRef>
          </c:val>
          <c:extLst>
            <c:ext xmlns:c16="http://schemas.microsoft.com/office/drawing/2014/chart" uri="{C3380CC4-5D6E-409C-BE32-E72D297353CC}">
              <c16:uniqueId val="{00000000-E748-45AB-B1D8-1F202977C655}"/>
            </c:ext>
          </c:extLst>
        </c:ser>
        <c:dLbls>
          <c:dLblPos val="outEnd"/>
          <c:showLegendKey val="0"/>
          <c:showVal val="1"/>
          <c:showCatName val="0"/>
          <c:showSerName val="0"/>
          <c:showPercent val="0"/>
          <c:showBubbleSize val="0"/>
        </c:dLbls>
        <c:gapWidth val="269"/>
        <c:overlap val="-20"/>
        <c:axId val="2129700464"/>
        <c:axId val="2129689904"/>
      </c:barChart>
      <c:catAx>
        <c:axId val="2129700464"/>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bg1"/>
                </a:solidFill>
                <a:latin typeface="+mn-lt"/>
                <a:ea typeface="+mn-ea"/>
                <a:cs typeface="+mn-cs"/>
              </a:defRPr>
            </a:pPr>
            <a:endParaRPr lang="en-US"/>
          </a:p>
        </c:txPr>
        <c:crossAx val="2129689904"/>
        <c:crosses val="autoZero"/>
        <c:auto val="1"/>
        <c:lblAlgn val="ctr"/>
        <c:lblOffset val="100"/>
        <c:noMultiLvlLbl val="0"/>
      </c:catAx>
      <c:valAx>
        <c:axId val="2129689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29700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[Coffee_Sales_Analysis_and_Forecast.xlsx]Top Coffee Types!PivotTable16</c:name>
    <c:fmtId val="6"/>
  </c:pivotSource>
  <c:chart>
    <c:title>
      <c:tx>
        <c:rich>
          <a:bodyPr rot="0" spcFirstLastPara="1" vertOverflow="ellipsis" vert="horz" wrap="square" anchor="ctr" anchorCtr="1"/>
          <a:lstStyle/>
          <a:p>
            <a:pPr>
              <a:defRPr sz="15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GB" sz="1500" b="1" i="0" u="none" strike="noStrike" baseline="0">
                <a:solidFill>
                  <a:schemeClr val="bg1"/>
                </a:solidFill>
                <a:effectLst>
                  <a:outerShdw blurRad="50800" dist="38100" dir="5400000" algn="t" rotWithShape="0">
                    <a:prstClr val="black">
                      <a:alpha val="40000"/>
                    </a:prstClr>
                  </a:outerShdw>
                </a:effectLst>
              </a:rPr>
              <a:t>Top Coffee Types</a:t>
            </a:r>
            <a:endParaRPr lang="en-GB" sz="1500">
              <a:solidFill>
                <a:schemeClr val="bg1"/>
              </a:solidFill>
            </a:endParaRPr>
          </a:p>
        </c:rich>
      </c:tx>
      <c:layout>
        <c:manualLayout>
          <c:xMode val="edge"/>
          <c:yMode val="edge"/>
          <c:x val="0.42025662108485984"/>
          <c:y val="2.5516677964923264E-2"/>
        </c:manualLayout>
      </c:layout>
      <c:overlay val="0"/>
      <c:spPr>
        <a:noFill/>
        <a:ln>
          <a:noFill/>
        </a:ln>
        <a:effectLst/>
      </c:spPr>
      <c:txPr>
        <a:bodyPr rot="0" spcFirstLastPara="1" vertOverflow="ellipsis" vert="horz" wrap="square" anchor="ctr" anchorCtr="1"/>
        <a:lstStyle/>
        <a:p>
          <a:pPr>
            <a:defRPr sz="15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CE6F1"/>
          </a:solidFill>
          <a:ln>
            <a:solidFill>
              <a:schemeClr val="accent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2040588808777064"/>
          <c:y val="0.14609062939980186"/>
          <c:w val="0.80153406599942778"/>
          <c:h val="0.55677460847195415"/>
        </c:manualLayout>
      </c:layout>
      <c:barChart>
        <c:barDir val="col"/>
        <c:grouping val="clustered"/>
        <c:varyColors val="0"/>
        <c:ser>
          <c:idx val="0"/>
          <c:order val="0"/>
          <c:tx>
            <c:strRef>
              <c:f>'Top Coffee Types'!$B$3</c:f>
              <c:strCache>
                <c:ptCount val="1"/>
                <c:pt idx="0">
                  <c:v>Quantity sold</c:v>
                </c:pt>
              </c:strCache>
            </c:strRef>
          </c:tx>
          <c:spPr>
            <a:solidFill>
              <a:srgbClr val="DCE6F1"/>
            </a:solidFill>
            <a:ln>
              <a:solidFill>
                <a:schemeClr val="accent1"/>
              </a:solidFill>
            </a:ln>
            <a:effectLst>
              <a:outerShdw blurRad="57150" dist="19050" dir="5400000" algn="ctr" rotWithShape="0">
                <a:srgbClr val="000000">
                  <a:alpha val="63000"/>
                </a:srgbClr>
              </a:outerShdw>
            </a:effectLst>
          </c:spPr>
          <c:invertIfNegative val="0"/>
          <c:cat>
            <c:strRef>
              <c:f>'Top Coffee Types'!$A$4:$A$12</c:f>
              <c:strCache>
                <c:ptCount val="8"/>
                <c:pt idx="0">
                  <c:v>Espresso</c:v>
                </c:pt>
                <c:pt idx="1">
                  <c:v>Cortado</c:v>
                </c:pt>
                <c:pt idx="2">
                  <c:v>Cocoa</c:v>
                </c:pt>
                <c:pt idx="3">
                  <c:v>Hot Chocolate</c:v>
                </c:pt>
                <c:pt idx="4">
                  <c:v>Americano</c:v>
                </c:pt>
                <c:pt idx="5">
                  <c:v>Cappuccino</c:v>
                </c:pt>
                <c:pt idx="6">
                  <c:v>Americano with Milk</c:v>
                </c:pt>
                <c:pt idx="7">
                  <c:v>Latte</c:v>
                </c:pt>
              </c:strCache>
            </c:strRef>
          </c:cat>
          <c:val>
            <c:numRef>
              <c:f>'Top Coffee Types'!$B$4:$B$12</c:f>
              <c:numCache>
                <c:formatCode>General</c:formatCode>
                <c:ptCount val="8"/>
                <c:pt idx="0">
                  <c:v>129</c:v>
                </c:pt>
                <c:pt idx="1">
                  <c:v>287</c:v>
                </c:pt>
                <c:pt idx="2">
                  <c:v>239</c:v>
                </c:pt>
                <c:pt idx="3">
                  <c:v>276</c:v>
                </c:pt>
                <c:pt idx="4">
                  <c:v>564</c:v>
                </c:pt>
                <c:pt idx="5">
                  <c:v>486</c:v>
                </c:pt>
                <c:pt idx="6">
                  <c:v>809</c:v>
                </c:pt>
                <c:pt idx="7">
                  <c:v>757</c:v>
                </c:pt>
              </c:numCache>
            </c:numRef>
          </c:val>
          <c:extLst>
            <c:ext xmlns:c16="http://schemas.microsoft.com/office/drawing/2014/chart" uri="{C3380CC4-5D6E-409C-BE32-E72D297353CC}">
              <c16:uniqueId val="{00000000-4249-4DAD-A1D1-812C126D32FD}"/>
            </c:ext>
          </c:extLst>
        </c:ser>
        <c:dLbls>
          <c:showLegendKey val="0"/>
          <c:showVal val="0"/>
          <c:showCatName val="0"/>
          <c:showSerName val="0"/>
          <c:showPercent val="0"/>
          <c:showBubbleSize val="0"/>
        </c:dLbls>
        <c:gapWidth val="150"/>
        <c:axId val="2129701424"/>
        <c:axId val="2129707184"/>
      </c:barChart>
      <c:lineChart>
        <c:grouping val="standard"/>
        <c:varyColors val="0"/>
        <c:ser>
          <c:idx val="1"/>
          <c:order val="1"/>
          <c:tx>
            <c:strRef>
              <c:f>'Top Coffee Types'!$C$3</c:f>
              <c:strCache>
                <c:ptCount val="1"/>
                <c:pt idx="0">
                  <c:v>Sum of money</c:v>
                </c:pt>
              </c:strCache>
            </c:strRef>
          </c:tx>
          <c:spPr>
            <a:ln w="34925" cap="rnd">
              <a:solidFill>
                <a:schemeClr val="accent1">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cat>
            <c:strRef>
              <c:f>'Top Coffee Types'!$A$4:$A$12</c:f>
              <c:strCache>
                <c:ptCount val="8"/>
                <c:pt idx="0">
                  <c:v>Espresso</c:v>
                </c:pt>
                <c:pt idx="1">
                  <c:v>Cortado</c:v>
                </c:pt>
                <c:pt idx="2">
                  <c:v>Cocoa</c:v>
                </c:pt>
                <c:pt idx="3">
                  <c:v>Hot Chocolate</c:v>
                </c:pt>
                <c:pt idx="4">
                  <c:v>Americano</c:v>
                </c:pt>
                <c:pt idx="5">
                  <c:v>Cappuccino</c:v>
                </c:pt>
                <c:pt idx="6">
                  <c:v>Americano with Milk</c:v>
                </c:pt>
                <c:pt idx="7">
                  <c:v>Latte</c:v>
                </c:pt>
              </c:strCache>
            </c:strRef>
          </c:cat>
          <c:val>
            <c:numRef>
              <c:f>'Top Coffee Types'!$C$4:$C$12</c:f>
              <c:numCache>
                <c:formatCode>_("zł"* #,##0.00_);_("zł"* \(#,##0.00\);_("zł"* "-"??_);_(@_)</c:formatCode>
                <c:ptCount val="8"/>
                <c:pt idx="0">
                  <c:v>2690.2799999999938</c:v>
                </c:pt>
                <c:pt idx="1">
                  <c:v>7384.8600000000097</c:v>
                </c:pt>
                <c:pt idx="2">
                  <c:v>8521.1600000000381</c:v>
                </c:pt>
                <c:pt idx="3">
                  <c:v>9933.4600000000464</c:v>
                </c:pt>
                <c:pt idx="4">
                  <c:v>14650.259999999824</c:v>
                </c:pt>
                <c:pt idx="5">
                  <c:v>17439.139999999974</c:v>
                </c:pt>
                <c:pt idx="6">
                  <c:v>24751.120000000228</c:v>
                </c:pt>
                <c:pt idx="7">
                  <c:v>26875.299999999501</c:v>
                </c:pt>
              </c:numCache>
            </c:numRef>
          </c:val>
          <c:smooth val="0"/>
          <c:extLst>
            <c:ext xmlns:c16="http://schemas.microsoft.com/office/drawing/2014/chart" uri="{C3380CC4-5D6E-409C-BE32-E72D297353CC}">
              <c16:uniqueId val="{00000001-4249-4DAD-A1D1-812C126D32FD}"/>
            </c:ext>
          </c:extLst>
        </c:ser>
        <c:dLbls>
          <c:showLegendKey val="0"/>
          <c:showVal val="0"/>
          <c:showCatName val="0"/>
          <c:showSerName val="0"/>
          <c:showPercent val="0"/>
          <c:showBubbleSize val="0"/>
        </c:dLbls>
        <c:marker val="1"/>
        <c:smooth val="0"/>
        <c:axId val="2129712464"/>
        <c:axId val="2129712944"/>
      </c:lineChart>
      <c:catAx>
        <c:axId val="21297014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9707184"/>
        <c:crosses val="autoZero"/>
        <c:auto val="1"/>
        <c:lblAlgn val="ctr"/>
        <c:lblOffset val="100"/>
        <c:noMultiLvlLbl val="0"/>
      </c:catAx>
      <c:valAx>
        <c:axId val="21297071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29701424"/>
        <c:crosses val="autoZero"/>
        <c:crossBetween val="between"/>
      </c:valAx>
      <c:valAx>
        <c:axId val="2129712944"/>
        <c:scaling>
          <c:orientation val="minMax"/>
        </c:scaling>
        <c:delete val="0"/>
        <c:axPos val="r"/>
        <c:numFmt formatCode="_(&quot;zł&quot;* #,##0.00_);_(&quot;zł&quot;* \(#,##0.00\);_(&quot;zł&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29712464"/>
        <c:crosses val="max"/>
        <c:crossBetween val="between"/>
      </c:valAx>
      <c:catAx>
        <c:axId val="2129712464"/>
        <c:scaling>
          <c:orientation val="minMax"/>
        </c:scaling>
        <c:delete val="1"/>
        <c:axPos val="t"/>
        <c:numFmt formatCode="General" sourceLinked="1"/>
        <c:majorTickMark val="out"/>
        <c:minorTickMark val="none"/>
        <c:tickLblPos val="nextTo"/>
        <c:crossAx val="2129712944"/>
        <c:crosses val="max"/>
        <c:auto val="1"/>
        <c:lblAlgn val="ctr"/>
        <c:lblOffset val="100"/>
        <c:noMultiLvlLbl val="0"/>
      </c:cat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[Coffee_Sales_Analysis_and_Forecast.xlsx]Payment Types!PivotTable15</c:name>
    <c:fmtId val="16"/>
  </c:pivotSource>
  <c:chart>
    <c:title>
      <c:tx>
        <c:rich>
          <a:bodyPr rot="0" spcFirstLastPara="1" vertOverflow="ellipsis" vert="horz" wrap="square" anchor="ctr" anchorCtr="1"/>
          <a:lstStyle/>
          <a:p>
            <a:pPr>
              <a:defRPr sz="1500" b="1" i="0" u="none" strike="noStrike" kern="1200" cap="all" spc="100" normalizeH="0" baseline="0">
                <a:ln>
                  <a:noFill/>
                </a:ln>
                <a:solidFill>
                  <a:schemeClr val="lt1"/>
                </a:solidFill>
                <a:latin typeface="+mn-lt"/>
                <a:ea typeface="+mn-ea"/>
                <a:cs typeface="+mn-cs"/>
              </a:defRPr>
            </a:pPr>
            <a:r>
              <a:rPr lang="en-GB"/>
              <a:t>Payment</a:t>
            </a:r>
            <a:endParaRPr lang="pl-PL"/>
          </a:p>
          <a:p>
            <a:pPr>
              <a:defRPr sz="1500" b="1" i="0" u="none" strike="noStrike" kern="1200" cap="all" spc="100" normalizeH="0" baseline="0">
                <a:ln>
                  <a:noFill/>
                </a:ln>
                <a:solidFill>
                  <a:schemeClr val="lt1"/>
                </a:solidFill>
                <a:latin typeface="+mn-lt"/>
                <a:ea typeface="+mn-ea"/>
                <a:cs typeface="+mn-cs"/>
              </a:defRPr>
            </a:pPr>
            <a:r>
              <a:rPr lang="en-GB"/>
              <a:t> Types</a:t>
            </a:r>
          </a:p>
        </c:rich>
      </c:tx>
      <c:layout>
        <c:manualLayout>
          <c:xMode val="edge"/>
          <c:yMode val="edge"/>
          <c:x val="5.6395540763590109E-2"/>
          <c:y val="0.32850241545893721"/>
        </c:manualLayout>
      </c:layout>
      <c:overlay val="1"/>
      <c:spPr>
        <a:noFill/>
        <a:ln w="0">
          <a:solidFill>
            <a:schemeClr val="accent1"/>
          </a:solid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spPr>
          <a:solidFill>
            <a:schemeClr val="lt1"/>
          </a:solidFill>
          <a:ln w="19050">
            <a:solidFill>
              <a:schemeClr val="accent1"/>
            </a:solid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lt1"/>
          </a:solidFill>
          <a:ln w="19050">
            <a:solidFill>
              <a:schemeClr val="accent1"/>
            </a:solidFill>
          </a:ln>
          <a:effectLst/>
        </c:spPr>
        <c:dLbl>
          <c:idx val="0"/>
          <c:layout>
            <c:manualLayout>
              <c:x val="0.3042374922206888"/>
              <c:y val="-0.30998592567233446"/>
            </c:manualLayout>
          </c:layout>
          <c:tx>
            <c:rich>
              <a:bodyPr wrap="square" lIns="38100" tIns="19050" rIns="38100" bIns="19050" anchor="ctr">
                <a:spAutoFit/>
              </a:bodyPr>
              <a:lstStyle/>
              <a:p>
                <a:pPr>
                  <a:defRPr>
                    <a:solidFill>
                      <a:schemeClr val="bg1"/>
                    </a:solidFill>
                  </a:defRPr>
                </a:pPr>
                <a:fld id="{EBB2F140-21D8-44ED-AEE8-347710ADA633}" type="CATEGORYNAME">
                  <a:rPr lang="en-US" sz="1400">
                    <a:solidFill>
                      <a:schemeClr val="bg1"/>
                    </a:solidFill>
                  </a:rPr>
                  <a:pPr>
                    <a:defRPr>
                      <a:solidFill>
                        <a:schemeClr val="bg1"/>
                      </a:solidFill>
                    </a:defRPr>
                  </a:pPr>
                  <a:t>[CATEGORY NAME]</a:t>
                </a:fld>
                <a:r>
                  <a:rPr lang="en-US">
                    <a:solidFill>
                      <a:schemeClr val="bg1"/>
                    </a:solidFill>
                  </a:rPr>
                  <a:t>
</a:t>
                </a:r>
                <a:fld id="{B731438F-0113-4C71-82E8-8190BFD1B9E0}" type="PERCENTAGE">
                  <a:rPr lang="en-US" sz="1400">
                    <a:solidFill>
                      <a:schemeClr val="bg1"/>
                    </a:solidFill>
                  </a:rPr>
                  <a:pPr>
                    <a:defRPr>
                      <a:solidFill>
                        <a:schemeClr val="bg1"/>
                      </a:solidFill>
                    </a:defRPr>
                  </a:pPr>
                  <a:t>[PERCENTAGE]</a:t>
                </a:fld>
                <a:endParaRPr lang="en-US">
                  <a:solidFill>
                    <a:schemeClr val="bg1"/>
                  </a:solidFill>
                </a:endParaRPr>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layout>
                <c:manualLayout>
                  <c:w val="0.20249530099060198"/>
                  <c:h val="0.39981589257864508"/>
                </c:manualLayout>
              </c15:layout>
              <c15:dlblFieldTable/>
              <c15:showDataLabelsRange val="0"/>
            </c:ext>
          </c:extLst>
        </c:dLbl>
      </c:pivotFmt>
    </c:pivotFmts>
    <c:plotArea>
      <c:layout/>
      <c:pieChart>
        <c:varyColors val="1"/>
        <c:ser>
          <c:idx val="0"/>
          <c:order val="0"/>
          <c:tx>
            <c:strRef>
              <c:f>'Payment Types'!$B$3</c:f>
              <c:strCache>
                <c:ptCount val="1"/>
                <c:pt idx="0">
                  <c:v>Total</c:v>
                </c:pt>
              </c:strCache>
            </c:strRef>
          </c:tx>
          <c:spPr>
            <a:solidFill>
              <a:schemeClr val="lt1"/>
            </a:solidFill>
            <a:ln w="19050">
              <a:solidFill>
                <a:schemeClr val="accent1"/>
              </a:solidFill>
            </a:ln>
            <a:effectLst/>
          </c:spPr>
          <c:dPt>
            <c:idx val="0"/>
            <c:bubble3D val="0"/>
            <c:extLst>
              <c:ext xmlns:c16="http://schemas.microsoft.com/office/drawing/2014/chart" uri="{C3380CC4-5D6E-409C-BE32-E72D297353CC}">
                <c16:uniqueId val="{00000001-29C4-43D0-A33B-43E210FDCF69}"/>
              </c:ext>
            </c:extLst>
          </c:dPt>
          <c:dLbls>
            <c:dLbl>
              <c:idx val="0"/>
              <c:layout>
                <c:manualLayout>
                  <c:x val="0.3042374922206888"/>
                  <c:y val="-0.30998592567233446"/>
                </c:manualLayout>
              </c:layout>
              <c:tx>
                <c:rich>
                  <a:bodyPr/>
                  <a:lstStyle/>
                  <a:p>
                    <a:fld id="{EBB2F140-21D8-44ED-AEE8-347710ADA633}" type="CATEGORYNAME">
                      <a:rPr lang="en-US" sz="1400">
                        <a:solidFill>
                          <a:schemeClr val="bg1"/>
                        </a:solidFill>
                      </a:rPr>
                      <a:pPr/>
                      <a:t>[CATEGORY NAME]</a:t>
                    </a:fld>
                    <a:r>
                      <a:rPr lang="en-US">
                        <a:solidFill>
                          <a:schemeClr val="bg1"/>
                        </a:solidFill>
                      </a:rPr>
                      <a:t>
</a:t>
                    </a:r>
                    <a:fld id="{B731438F-0113-4C71-82E8-8190BFD1B9E0}" type="PERCENTAGE">
                      <a:rPr lang="en-US" sz="1400">
                        <a:solidFill>
                          <a:schemeClr val="bg1"/>
                        </a:solidFill>
                      </a:rPr>
                      <a:pPr/>
                      <a:t>[PERCENTAGE]</a:t>
                    </a:fld>
                    <a:endParaRPr lang="en-US">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layout>
                    <c:manualLayout>
                      <c:w val="0.20249530099060198"/>
                      <c:h val="0.39981589257864508"/>
                    </c:manualLayout>
                  </c15:layout>
                  <c15:dlblFieldTable/>
                  <c15:showDataLabelsRange val="0"/>
                </c:ext>
                <c:ext xmlns:c16="http://schemas.microsoft.com/office/drawing/2014/chart" uri="{C3380CC4-5D6E-409C-BE32-E72D297353CC}">
                  <c16:uniqueId val="{00000001-29C4-43D0-A33B-43E210FDCF69}"/>
                </c:ext>
              </c:extLst>
            </c:dLbl>
            <c:spPr>
              <a:noFill/>
              <a:ln>
                <a:noFill/>
              </a:ln>
              <a:effectLst/>
            </c:spPr>
            <c:txPr>
              <a:bodyPr wrap="square" lIns="38100" tIns="19050" rIns="38100" bIns="19050" anchor="ctr">
                <a:spAutoFit/>
              </a:bodyPr>
              <a:lstStyle/>
              <a:p>
                <a:pPr>
                  <a:defRPr>
                    <a:solidFill>
                      <a:schemeClr val="bg1"/>
                    </a:solidFill>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'Payment Types'!$A$4:$A$5</c:f>
              <c:strCache>
                <c:ptCount val="1"/>
                <c:pt idx="0">
                  <c:v>card</c:v>
                </c:pt>
              </c:strCache>
            </c:strRef>
          </c:cat>
          <c:val>
            <c:numRef>
              <c:f>'Payment Types'!$B$4:$B$5</c:f>
              <c:numCache>
                <c:formatCode>General</c:formatCode>
                <c:ptCount val="1"/>
                <c:pt idx="0">
                  <c:v>3547</c:v>
                </c:pt>
              </c:numCache>
            </c:numRef>
          </c:val>
          <c:extLst>
            <c:ext xmlns:c16="http://schemas.microsoft.com/office/drawing/2014/chart" uri="{C3380CC4-5D6E-409C-BE32-E72D297353CC}">
              <c16:uniqueId val="{00000002-29C4-43D0-A33B-43E210FDCF69}"/>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rot="0"/>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'Forecast Sheet'!$B$1</c:f>
              <c:strCache>
                <c:ptCount val="1"/>
                <c:pt idx="0">
                  <c:v>Sum of money</c:v>
                </c:pt>
              </c:strCache>
            </c:strRef>
          </c:tx>
          <c:spPr>
            <a:ln w="28575" cap="rnd">
              <a:solidFill>
                <a:schemeClr val="accent1"/>
              </a:solidFill>
              <a:round/>
            </a:ln>
            <a:effectLst/>
          </c:spPr>
          <c:marker>
            <c:symbol val="none"/>
          </c:marker>
          <c:val>
            <c:numRef>
              <c:f>'Forecast Sheet'!$B$2:$B$647</c:f>
              <c:numCache>
                <c:formatCode>#\ ##0.00\ "zł"</c:formatCode>
                <c:ptCount val="646"/>
                <c:pt idx="0">
                  <c:v>396.3</c:v>
                </c:pt>
                <c:pt idx="1">
                  <c:v>188.1</c:v>
                </c:pt>
                <c:pt idx="2">
                  <c:v>309.09999999999997</c:v>
                </c:pt>
                <c:pt idx="3">
                  <c:v>135.19999999999999</c:v>
                </c:pt>
                <c:pt idx="4">
                  <c:v>338.49999999999994</c:v>
                </c:pt>
                <c:pt idx="5">
                  <c:v>135.19999999999999</c:v>
                </c:pt>
                <c:pt idx="6">
                  <c:v>140.10000000000002</c:v>
                </c:pt>
                <c:pt idx="7">
                  <c:v>265.5</c:v>
                </c:pt>
                <c:pt idx="8">
                  <c:v>439.40000000000003</c:v>
                </c:pt>
                <c:pt idx="9">
                  <c:v>91.6</c:v>
                </c:pt>
                <c:pt idx="10">
                  <c:v>135.19999999999999</c:v>
                </c:pt>
                <c:pt idx="11">
                  <c:v>188.10000000000002</c:v>
                </c:pt>
                <c:pt idx="12">
                  <c:v>231.2</c:v>
                </c:pt>
                <c:pt idx="13">
                  <c:v>357.09999999999997</c:v>
                </c:pt>
                <c:pt idx="14">
                  <c:v>67.599999999999994</c:v>
                </c:pt>
                <c:pt idx="15">
                  <c:v>183.2</c:v>
                </c:pt>
                <c:pt idx="16">
                  <c:v>28.9</c:v>
                </c:pt>
                <c:pt idx="17">
                  <c:v>115.6</c:v>
                </c:pt>
                <c:pt idx="18">
                  <c:v>149.9</c:v>
                </c:pt>
                <c:pt idx="19">
                  <c:v>173.89999999999998</c:v>
                </c:pt>
                <c:pt idx="20">
                  <c:v>135.19999999999999</c:v>
                </c:pt>
                <c:pt idx="21">
                  <c:v>149.4</c:v>
                </c:pt>
                <c:pt idx="22">
                  <c:v>285.09999999999997</c:v>
                </c:pt>
                <c:pt idx="23">
                  <c:v>38.700000000000003</c:v>
                </c:pt>
                <c:pt idx="24">
                  <c:v>188.60000000000002</c:v>
                </c:pt>
                <c:pt idx="25">
                  <c:v>376.7</c:v>
                </c:pt>
                <c:pt idx="26">
                  <c:v>231.7</c:v>
                </c:pt>
                <c:pt idx="27">
                  <c:v>125.39999999999999</c:v>
                </c:pt>
                <c:pt idx="28">
                  <c:v>116.10000000000001</c:v>
                </c:pt>
                <c:pt idx="29">
                  <c:v>149.9</c:v>
                </c:pt>
                <c:pt idx="30">
                  <c:v>38.700000000000003</c:v>
                </c:pt>
                <c:pt idx="31">
                  <c:v>202.8</c:v>
                </c:pt>
                <c:pt idx="32">
                  <c:v>96.5</c:v>
                </c:pt>
                <c:pt idx="33">
                  <c:v>96.5</c:v>
                </c:pt>
                <c:pt idx="34">
                  <c:v>145</c:v>
                </c:pt>
                <c:pt idx="35">
                  <c:v>212.1</c:v>
                </c:pt>
                <c:pt idx="36">
                  <c:v>140.10000000000002</c:v>
                </c:pt>
                <c:pt idx="37">
                  <c:v>241.5</c:v>
                </c:pt>
                <c:pt idx="38">
                  <c:v>280.2</c:v>
                </c:pt>
                <c:pt idx="39">
                  <c:v>116.10000000000001</c:v>
                </c:pt>
                <c:pt idx="40">
                  <c:v>101.4</c:v>
                </c:pt>
                <c:pt idx="41">
                  <c:v>169</c:v>
                </c:pt>
                <c:pt idx="42">
                  <c:v>67.599999999999994</c:v>
                </c:pt>
                <c:pt idx="43">
                  <c:v>222.39999999999998</c:v>
                </c:pt>
                <c:pt idx="44">
                  <c:v>299.3</c:v>
                </c:pt>
                <c:pt idx="45">
                  <c:v>125.39999999999999</c:v>
                </c:pt>
                <c:pt idx="46">
                  <c:v>241.5</c:v>
                </c:pt>
                <c:pt idx="47">
                  <c:v>159.20000000000002</c:v>
                </c:pt>
                <c:pt idx="48">
                  <c:v>352.69999999999993</c:v>
                </c:pt>
                <c:pt idx="49">
                  <c:v>261.10000000000002</c:v>
                </c:pt>
                <c:pt idx="50">
                  <c:v>420.30000000000007</c:v>
                </c:pt>
                <c:pt idx="51">
                  <c:v>65.64</c:v>
                </c:pt>
                <c:pt idx="52">
                  <c:v>98.460000000000008</c:v>
                </c:pt>
                <c:pt idx="53">
                  <c:v>173.89999999999998</c:v>
                </c:pt>
                <c:pt idx="54">
                  <c:v>272.35999999999996</c:v>
                </c:pt>
                <c:pt idx="55">
                  <c:v>121.48</c:v>
                </c:pt>
                <c:pt idx="56">
                  <c:v>300.28000000000009</c:v>
                </c:pt>
                <c:pt idx="57">
                  <c:v>37.72</c:v>
                </c:pt>
                <c:pt idx="58">
                  <c:v>169</c:v>
                </c:pt>
                <c:pt idx="59">
                  <c:v>257.65999999999997</c:v>
                </c:pt>
                <c:pt idx="60">
                  <c:v>272.35999999999996</c:v>
                </c:pt>
                <c:pt idx="61">
                  <c:v>239.53999999999996</c:v>
                </c:pt>
                <c:pt idx="62">
                  <c:v>206.72</c:v>
                </c:pt>
                <c:pt idx="63">
                  <c:v>75.44</c:v>
                </c:pt>
                <c:pt idx="64">
                  <c:v>145.48666666666668</c:v>
                </c:pt>
                <c:pt idx="65">
                  <c:v>215.53333333333336</c:v>
                </c:pt>
                <c:pt idx="66">
                  <c:v>285.58000000000004</c:v>
                </c:pt>
                <c:pt idx="67">
                  <c:v>310.08000000000004</c:v>
                </c:pt>
                <c:pt idx="68">
                  <c:v>37.72</c:v>
                </c:pt>
                <c:pt idx="69">
                  <c:v>295.38</c:v>
                </c:pt>
                <c:pt idx="70">
                  <c:v>75.44</c:v>
                </c:pt>
                <c:pt idx="71">
                  <c:v>254.23999999999998</c:v>
                </c:pt>
                <c:pt idx="72">
                  <c:v>272.35999999999996</c:v>
                </c:pt>
                <c:pt idx="73">
                  <c:v>32.82</c:v>
                </c:pt>
                <c:pt idx="74">
                  <c:v>403.64</c:v>
                </c:pt>
                <c:pt idx="75">
                  <c:v>321.82000000000005</c:v>
                </c:pt>
                <c:pt idx="76">
                  <c:v>249.34</c:v>
                </c:pt>
                <c:pt idx="77">
                  <c:v>272.36</c:v>
                </c:pt>
                <c:pt idx="78">
                  <c:v>244.43999999999997</c:v>
                </c:pt>
                <c:pt idx="79">
                  <c:v>393.84000000000003</c:v>
                </c:pt>
                <c:pt idx="80">
                  <c:v>530.0200000000001</c:v>
                </c:pt>
                <c:pt idx="81">
                  <c:v>173.9</c:v>
                </c:pt>
                <c:pt idx="82">
                  <c:v>370.82000000000005</c:v>
                </c:pt>
                <c:pt idx="83">
                  <c:v>536.4000000000002</c:v>
                </c:pt>
                <c:pt idx="84">
                  <c:v>210.14</c:v>
                </c:pt>
                <c:pt idx="85">
                  <c:v>196.91999999999996</c:v>
                </c:pt>
                <c:pt idx="86">
                  <c:v>526.60000000000014</c:v>
                </c:pt>
                <c:pt idx="87">
                  <c:v>365.91999999999996</c:v>
                </c:pt>
                <c:pt idx="88">
                  <c:v>333.1</c:v>
                </c:pt>
                <c:pt idx="89">
                  <c:v>357.6</c:v>
                </c:pt>
                <c:pt idx="90">
                  <c:v>370.82</c:v>
                </c:pt>
                <c:pt idx="91">
                  <c:v>460.96000000000004</c:v>
                </c:pt>
                <c:pt idx="92">
                  <c:v>347.8</c:v>
                </c:pt>
                <c:pt idx="93">
                  <c:v>178.79999999999998</c:v>
                </c:pt>
                <c:pt idx="94">
                  <c:v>183.7</c:v>
                </c:pt>
                <c:pt idx="95">
                  <c:v>474.18</c:v>
                </c:pt>
                <c:pt idx="96">
                  <c:v>310.08</c:v>
                </c:pt>
                <c:pt idx="97">
                  <c:v>385.52</c:v>
                </c:pt>
                <c:pt idx="98">
                  <c:v>149.4</c:v>
                </c:pt>
                <c:pt idx="99">
                  <c:v>136.18</c:v>
                </c:pt>
                <c:pt idx="100">
                  <c:v>436.46000000000004</c:v>
                </c:pt>
                <c:pt idx="101">
                  <c:v>226.32</c:v>
                </c:pt>
                <c:pt idx="102">
                  <c:v>211.61999999999998</c:v>
                </c:pt>
                <c:pt idx="103">
                  <c:v>221.42</c:v>
                </c:pt>
                <c:pt idx="104">
                  <c:v>379.14</c:v>
                </c:pt>
                <c:pt idx="105">
                  <c:v>126.38</c:v>
                </c:pt>
                <c:pt idx="106">
                  <c:v>262.56</c:v>
                </c:pt>
                <c:pt idx="107">
                  <c:v>408.53999999999996</c:v>
                </c:pt>
                <c:pt idx="108">
                  <c:v>323.3</c:v>
                </c:pt>
                <c:pt idx="109">
                  <c:v>234.64</c:v>
                </c:pt>
                <c:pt idx="110">
                  <c:v>380.61999999999995</c:v>
                </c:pt>
                <c:pt idx="111">
                  <c:v>221.42</c:v>
                </c:pt>
                <c:pt idx="112">
                  <c:v>403.6400000000001</c:v>
                </c:pt>
                <c:pt idx="113">
                  <c:v>169</c:v>
                </c:pt>
                <c:pt idx="114">
                  <c:v>178.79999999999998</c:v>
                </c:pt>
                <c:pt idx="115">
                  <c:v>221.42</c:v>
                </c:pt>
                <c:pt idx="116">
                  <c:v>141.07999999999998</c:v>
                </c:pt>
                <c:pt idx="117">
                  <c:v>196.92</c:v>
                </c:pt>
                <c:pt idx="118">
                  <c:v>131.28</c:v>
                </c:pt>
                <c:pt idx="119">
                  <c:v>159.19999999999999</c:v>
                </c:pt>
                <c:pt idx="120">
                  <c:v>287.06</c:v>
                </c:pt>
                <c:pt idx="121">
                  <c:v>131.28</c:v>
                </c:pt>
                <c:pt idx="122">
                  <c:v>98.46</c:v>
                </c:pt>
                <c:pt idx="123">
                  <c:v>192.02</c:v>
                </c:pt>
                <c:pt idx="124">
                  <c:v>310.08000000000004</c:v>
                </c:pt>
                <c:pt idx="125">
                  <c:v>60.74</c:v>
                </c:pt>
                <c:pt idx="126">
                  <c:v>303.7</c:v>
                </c:pt>
                <c:pt idx="127">
                  <c:v>164.09999999999997</c:v>
                </c:pt>
                <c:pt idx="128">
                  <c:v>346.32</c:v>
                </c:pt>
                <c:pt idx="129">
                  <c:v>139.6</c:v>
                </c:pt>
                <c:pt idx="130">
                  <c:v>144.5</c:v>
                </c:pt>
                <c:pt idx="131">
                  <c:v>83.759999999999991</c:v>
                </c:pt>
                <c:pt idx="132">
                  <c:v>116.58</c:v>
                </c:pt>
                <c:pt idx="133">
                  <c:v>154.29999999999998</c:v>
                </c:pt>
                <c:pt idx="134">
                  <c:v>65.64</c:v>
                </c:pt>
                <c:pt idx="135">
                  <c:v>172.42</c:v>
                </c:pt>
                <c:pt idx="136">
                  <c:v>32.82</c:v>
                </c:pt>
                <c:pt idx="137">
                  <c:v>60.74</c:v>
                </c:pt>
                <c:pt idx="138">
                  <c:v>27.92</c:v>
                </c:pt>
                <c:pt idx="139">
                  <c:v>312.02</c:v>
                </c:pt>
                <c:pt idx="140">
                  <c:v>242.95999999999998</c:v>
                </c:pt>
                <c:pt idx="141">
                  <c:v>200.34</c:v>
                </c:pt>
                <c:pt idx="142">
                  <c:v>121.47999999999999</c:v>
                </c:pt>
                <c:pt idx="143">
                  <c:v>106.78</c:v>
                </c:pt>
                <c:pt idx="144">
                  <c:v>339.94</c:v>
                </c:pt>
                <c:pt idx="145">
                  <c:v>330.14</c:v>
                </c:pt>
                <c:pt idx="146">
                  <c:v>269.40000000000003</c:v>
                </c:pt>
                <c:pt idx="147">
                  <c:v>461.41999999999996</c:v>
                </c:pt>
                <c:pt idx="148">
                  <c:v>372.76</c:v>
                </c:pt>
                <c:pt idx="149">
                  <c:v>78.860000000000014</c:v>
                </c:pt>
                <c:pt idx="150">
                  <c:v>321.81999999999994</c:v>
                </c:pt>
                <c:pt idx="151">
                  <c:v>650.48000000000013</c:v>
                </c:pt>
                <c:pt idx="152">
                  <c:v>633.84</c:v>
                </c:pt>
                <c:pt idx="153">
                  <c:v>335.03999999999996</c:v>
                </c:pt>
                <c:pt idx="154">
                  <c:v>139.6</c:v>
                </c:pt>
                <c:pt idx="155">
                  <c:v>358.06000000000006</c:v>
                </c:pt>
                <c:pt idx="156">
                  <c:v>187.12</c:v>
                </c:pt>
                <c:pt idx="157">
                  <c:v>392.35999999999996</c:v>
                </c:pt>
                <c:pt idx="158">
                  <c:v>247.85999999999996</c:v>
                </c:pt>
                <c:pt idx="159">
                  <c:v>279.2</c:v>
                </c:pt>
                <c:pt idx="160">
                  <c:v>208.65999999999997</c:v>
                </c:pt>
                <c:pt idx="161">
                  <c:v>218.46</c:v>
                </c:pt>
                <c:pt idx="162">
                  <c:v>321.82</c:v>
                </c:pt>
                <c:pt idx="163">
                  <c:v>443.29999999999995</c:v>
                </c:pt>
                <c:pt idx="164">
                  <c:v>377.66</c:v>
                </c:pt>
                <c:pt idx="165">
                  <c:v>382.55999999999995</c:v>
                </c:pt>
                <c:pt idx="166">
                  <c:v>348.26</c:v>
                </c:pt>
                <c:pt idx="167">
                  <c:v>446.72</c:v>
                </c:pt>
                <c:pt idx="168">
                  <c:v>120.00000000000001</c:v>
                </c:pt>
                <c:pt idx="169">
                  <c:v>312.02</c:v>
                </c:pt>
                <c:pt idx="170">
                  <c:v>279.2</c:v>
                </c:pt>
                <c:pt idx="171">
                  <c:v>121.47999999999999</c:v>
                </c:pt>
                <c:pt idx="172">
                  <c:v>358.06</c:v>
                </c:pt>
                <c:pt idx="173">
                  <c:v>190.54</c:v>
                </c:pt>
                <c:pt idx="174">
                  <c:v>200.34</c:v>
                </c:pt>
                <c:pt idx="175">
                  <c:v>353.15999999999997</c:v>
                </c:pt>
                <c:pt idx="176">
                  <c:v>128.32000000000002</c:v>
                </c:pt>
                <c:pt idx="177">
                  <c:v>167.51999999999998</c:v>
                </c:pt>
                <c:pt idx="178">
                  <c:v>297.32000000000005</c:v>
                </c:pt>
                <c:pt idx="179">
                  <c:v>32.82</c:v>
                </c:pt>
                <c:pt idx="180">
                  <c:v>111.68</c:v>
                </c:pt>
                <c:pt idx="181">
                  <c:v>23.02</c:v>
                </c:pt>
                <c:pt idx="182">
                  <c:v>88.66</c:v>
                </c:pt>
                <c:pt idx="183">
                  <c:v>143.02000000000001</c:v>
                </c:pt>
                <c:pt idx="184">
                  <c:v>293.89999999999998</c:v>
                </c:pt>
                <c:pt idx="185">
                  <c:v>233.16000000000003</c:v>
                </c:pt>
                <c:pt idx="186">
                  <c:v>513.84</c:v>
                </c:pt>
                <c:pt idx="187">
                  <c:v>298.8</c:v>
                </c:pt>
                <c:pt idx="188">
                  <c:v>405.58</c:v>
                </c:pt>
                <c:pt idx="189">
                  <c:v>274.3</c:v>
                </c:pt>
                <c:pt idx="190">
                  <c:v>579.94000000000017</c:v>
                </c:pt>
                <c:pt idx="191">
                  <c:v>138.12</c:v>
                </c:pt>
                <c:pt idx="192">
                  <c:v>518.74</c:v>
                </c:pt>
                <c:pt idx="193">
                  <c:v>289</c:v>
                </c:pt>
                <c:pt idx="194">
                  <c:v>242.96</c:v>
                </c:pt>
                <c:pt idx="195">
                  <c:v>310.54000000000002</c:v>
                </c:pt>
                <c:pt idx="196">
                  <c:v>187.12</c:v>
                </c:pt>
                <c:pt idx="197">
                  <c:v>65.64</c:v>
                </c:pt>
                <c:pt idx="198">
                  <c:v>147.91999999999999</c:v>
                </c:pt>
                <c:pt idx="199">
                  <c:v>336.52000000000004</c:v>
                </c:pt>
                <c:pt idx="200">
                  <c:v>661.76</c:v>
                </c:pt>
                <c:pt idx="201">
                  <c:v>121.48</c:v>
                </c:pt>
                <c:pt idx="202">
                  <c:v>157.72</c:v>
                </c:pt>
                <c:pt idx="203">
                  <c:v>195.44000000000005</c:v>
                </c:pt>
                <c:pt idx="204">
                  <c:v>428.59999999999991</c:v>
                </c:pt>
                <c:pt idx="205">
                  <c:v>679.88</c:v>
                </c:pt>
                <c:pt idx="206">
                  <c:v>279.2</c:v>
                </c:pt>
                <c:pt idx="207">
                  <c:v>448.2</c:v>
                </c:pt>
                <c:pt idx="208">
                  <c:v>279.20000000000005</c:v>
                </c:pt>
                <c:pt idx="209">
                  <c:v>261.08</c:v>
                </c:pt>
                <c:pt idx="210">
                  <c:v>481.02</c:v>
                </c:pt>
                <c:pt idx="211">
                  <c:v>362.9799999999999</c:v>
                </c:pt>
                <c:pt idx="212">
                  <c:v>368.85999999999996</c:v>
                </c:pt>
                <c:pt idx="213">
                  <c:v>427.14000000000004</c:v>
                </c:pt>
                <c:pt idx="214">
                  <c:v>482.49999999999994</c:v>
                </c:pt>
                <c:pt idx="215">
                  <c:v>373.75999999999993</c:v>
                </c:pt>
                <c:pt idx="216">
                  <c:v>271.38</c:v>
                </c:pt>
                <c:pt idx="217">
                  <c:v>267.94</c:v>
                </c:pt>
                <c:pt idx="218">
                  <c:v>175.36</c:v>
                </c:pt>
                <c:pt idx="219">
                  <c:v>656.4</c:v>
                </c:pt>
                <c:pt idx="220">
                  <c:v>399.71999999999997</c:v>
                </c:pt>
                <c:pt idx="221">
                  <c:v>584.88</c:v>
                </c:pt>
                <c:pt idx="222">
                  <c:v>365.41999999999996</c:v>
                </c:pt>
                <c:pt idx="223">
                  <c:v>487.4</c:v>
                </c:pt>
                <c:pt idx="224">
                  <c:v>836.65999999999985</c:v>
                </c:pt>
                <c:pt idx="225">
                  <c:v>216.01999999999998</c:v>
                </c:pt>
                <c:pt idx="226">
                  <c:v>272.83999999999997</c:v>
                </c:pt>
                <c:pt idx="227">
                  <c:v>528.05999999999995</c:v>
                </c:pt>
                <c:pt idx="228">
                  <c:v>579.9799999999999</c:v>
                </c:pt>
                <c:pt idx="229">
                  <c:v>441.84000000000003</c:v>
                </c:pt>
                <c:pt idx="230">
                  <c:v>726.45999999999992</c:v>
                </c:pt>
                <c:pt idx="231">
                  <c:v>521.69999999999993</c:v>
                </c:pt>
                <c:pt idx="232">
                  <c:v>316.93999999999994</c:v>
                </c:pt>
                <c:pt idx="233">
                  <c:v>547.66</c:v>
                </c:pt>
                <c:pt idx="234">
                  <c:v>615.74</c:v>
                </c:pt>
                <c:pt idx="235">
                  <c:v>272.84000000000003</c:v>
                </c:pt>
                <c:pt idx="236">
                  <c:v>415.88</c:v>
                </c:pt>
                <c:pt idx="237">
                  <c:v>497.19999999999987</c:v>
                </c:pt>
                <c:pt idx="238">
                  <c:v>472.69999999999993</c:v>
                </c:pt>
                <c:pt idx="239">
                  <c:v>513.3599999999999</c:v>
                </c:pt>
                <c:pt idx="240">
                  <c:v>169</c:v>
                </c:pt>
                <c:pt idx="241">
                  <c:v>599.58000000000004</c:v>
                </c:pt>
                <c:pt idx="242">
                  <c:v>589.78</c:v>
                </c:pt>
                <c:pt idx="243">
                  <c:v>523.16</c:v>
                </c:pt>
                <c:pt idx="244">
                  <c:v>169</c:v>
                </c:pt>
                <c:pt idx="245">
                  <c:v>225.82</c:v>
                </c:pt>
                <c:pt idx="246">
                  <c:v>287.53999999999996</c:v>
                </c:pt>
                <c:pt idx="247">
                  <c:v>406.07999999999993</c:v>
                </c:pt>
                <c:pt idx="248">
                  <c:v>230.71999999999997</c:v>
                </c:pt>
                <c:pt idx="249">
                  <c:v>588.31999999999994</c:v>
                </c:pt>
                <c:pt idx="250">
                  <c:v>261.58</c:v>
                </c:pt>
                <c:pt idx="251">
                  <c:v>230.71999999999997</c:v>
                </c:pt>
                <c:pt idx="252">
                  <c:v>394.81999999999994</c:v>
                </c:pt>
                <c:pt idx="253">
                  <c:v>539.31999999999994</c:v>
                </c:pt>
                <c:pt idx="254">
                  <c:v>204.75999999999996</c:v>
                </c:pt>
                <c:pt idx="255">
                  <c:v>342.9</c:v>
                </c:pt>
                <c:pt idx="256">
                  <c:v>321.83999999999997</c:v>
                </c:pt>
                <c:pt idx="257">
                  <c:v>194.95999999999998</c:v>
                </c:pt>
                <c:pt idx="258">
                  <c:v>471.2399999999999</c:v>
                </c:pt>
                <c:pt idx="259">
                  <c:v>359.06</c:v>
                </c:pt>
                <c:pt idx="260">
                  <c:v>420.78</c:v>
                </c:pt>
                <c:pt idx="261">
                  <c:v>297.33999999999997</c:v>
                </c:pt>
                <c:pt idx="262">
                  <c:v>204.75999999999996</c:v>
                </c:pt>
                <c:pt idx="263">
                  <c:v>368.85999999999996</c:v>
                </c:pt>
                <c:pt idx="264">
                  <c:v>138.13999999999999</c:v>
                </c:pt>
                <c:pt idx="265">
                  <c:v>261.58</c:v>
                </c:pt>
                <c:pt idx="266">
                  <c:v>214.55999999999997</c:v>
                </c:pt>
                <c:pt idx="267">
                  <c:v>246.88</c:v>
                </c:pt>
                <c:pt idx="268">
                  <c:v>35.76</c:v>
                </c:pt>
                <c:pt idx="269">
                  <c:v>373.75999999999993</c:v>
                </c:pt>
                <c:pt idx="270">
                  <c:v>333.09999999999997</c:v>
                </c:pt>
                <c:pt idx="271">
                  <c:v>268.92999999999995</c:v>
                </c:pt>
                <c:pt idx="272">
                  <c:v>204.76</c:v>
                </c:pt>
                <c:pt idx="273">
                  <c:v>235.62</c:v>
                </c:pt>
                <c:pt idx="274">
                  <c:v>194.95999999999998</c:v>
                </c:pt>
                <c:pt idx="275">
                  <c:v>466.34</c:v>
                </c:pt>
                <c:pt idx="276">
                  <c:v>272.84000000000003</c:v>
                </c:pt>
                <c:pt idx="277">
                  <c:v>425.68</c:v>
                </c:pt>
                <c:pt idx="278">
                  <c:v>318.40000000000003</c:v>
                </c:pt>
                <c:pt idx="279">
                  <c:v>282.64</c:v>
                </c:pt>
                <c:pt idx="280">
                  <c:v>143.04</c:v>
                </c:pt>
                <c:pt idx="281">
                  <c:v>185.16</c:v>
                </c:pt>
                <c:pt idx="282">
                  <c:v>339.46000000000004</c:v>
                </c:pt>
                <c:pt idx="283">
                  <c:v>154.29999999999998</c:v>
                </c:pt>
                <c:pt idx="284">
                  <c:v>61.72</c:v>
                </c:pt>
                <c:pt idx="285">
                  <c:v>225.81999999999996</c:v>
                </c:pt>
                <c:pt idx="286">
                  <c:v>196.42</c:v>
                </c:pt>
                <c:pt idx="287">
                  <c:v>266.47999999999996</c:v>
                </c:pt>
                <c:pt idx="288">
                  <c:v>334.56</c:v>
                </c:pt>
                <c:pt idx="289">
                  <c:v>107.28</c:v>
                </c:pt>
                <c:pt idx="290">
                  <c:v>276.27999999999997</c:v>
                </c:pt>
                <c:pt idx="291">
                  <c:v>225.81999999999996</c:v>
                </c:pt>
                <c:pt idx="292">
                  <c:v>138.13999999999999</c:v>
                </c:pt>
                <c:pt idx="293">
                  <c:v>333.09999999999997</c:v>
                </c:pt>
                <c:pt idx="294">
                  <c:v>267.94</c:v>
                </c:pt>
                <c:pt idx="295">
                  <c:v>477.59999999999985</c:v>
                </c:pt>
                <c:pt idx="296">
                  <c:v>240.51999999999998</c:v>
                </c:pt>
                <c:pt idx="297">
                  <c:v>313.5</c:v>
                </c:pt>
                <c:pt idx="298">
                  <c:v>220.92</c:v>
                </c:pt>
                <c:pt idx="299">
                  <c:v>394.82</c:v>
                </c:pt>
                <c:pt idx="300">
                  <c:v>56.819999999999993</c:v>
                </c:pt>
                <c:pt idx="301">
                  <c:v>237.07999999999998</c:v>
                </c:pt>
                <c:pt idx="302">
                  <c:v>261.58</c:v>
                </c:pt>
                <c:pt idx="303">
                  <c:v>217.48</c:v>
                </c:pt>
                <c:pt idx="304">
                  <c:v>287.54000000000002</c:v>
                </c:pt>
                <c:pt idx="305">
                  <c:v>508.46</c:v>
                </c:pt>
                <c:pt idx="306">
                  <c:v>395.54999999999995</c:v>
                </c:pt>
                <c:pt idx="307">
                  <c:v>282.64</c:v>
                </c:pt>
                <c:pt idx="308">
                  <c:v>211.12</c:v>
                </c:pt>
                <c:pt idx="309">
                  <c:v>313.5</c:v>
                </c:pt>
                <c:pt idx="310">
                  <c:v>97.48</c:v>
                </c:pt>
                <c:pt idx="311">
                  <c:v>25.96</c:v>
                </c:pt>
                <c:pt idx="312">
                  <c:v>107.28</c:v>
                </c:pt>
                <c:pt idx="313">
                  <c:v>128.34</c:v>
                </c:pt>
                <c:pt idx="314">
                  <c:v>272.83999999999997</c:v>
                </c:pt>
                <c:pt idx="315">
                  <c:v>164.09999999999997</c:v>
                </c:pt>
                <c:pt idx="316">
                  <c:v>487.39999999999992</c:v>
                </c:pt>
                <c:pt idx="317">
                  <c:v>154.30000000000001</c:v>
                </c:pt>
                <c:pt idx="318">
                  <c:v>251.77999999999997</c:v>
                </c:pt>
                <c:pt idx="319">
                  <c:v>261.58</c:v>
                </c:pt>
                <c:pt idx="320">
                  <c:v>342.9</c:v>
                </c:pt>
                <c:pt idx="321">
                  <c:v>328.19999999999993</c:v>
                </c:pt>
                <c:pt idx="322">
                  <c:v>312.03999999999996</c:v>
                </c:pt>
                <c:pt idx="323">
                  <c:v>138.13999999999999</c:v>
                </c:pt>
                <c:pt idx="324">
                  <c:v>225.82</c:v>
                </c:pt>
                <c:pt idx="325">
                  <c:v>313.5</c:v>
                </c:pt>
                <c:pt idx="326">
                  <c:v>251.77999999999997</c:v>
                </c:pt>
                <c:pt idx="327">
                  <c:v>220.92000000000002</c:v>
                </c:pt>
                <c:pt idx="328">
                  <c:v>225.82</c:v>
                </c:pt>
                <c:pt idx="329">
                  <c:v>230.71999999999997</c:v>
                </c:pt>
                <c:pt idx="330">
                  <c:v>97.47999999999999</c:v>
                </c:pt>
                <c:pt idx="331">
                  <c:v>47.019999999999996</c:v>
                </c:pt>
                <c:pt idx="332">
                  <c:v>313.5</c:v>
                </c:pt>
                <c:pt idx="333">
                  <c:v>277.74</c:v>
                </c:pt>
                <c:pt idx="334">
                  <c:v>103.84</c:v>
                </c:pt>
                <c:pt idx="335">
                  <c:v>272.83999999999997</c:v>
                </c:pt>
                <c:pt idx="336">
                  <c:v>389.91999999999996</c:v>
                </c:pt>
                <c:pt idx="337">
                  <c:v>349.26000000000005</c:v>
                </c:pt>
                <c:pt idx="338">
                  <c:v>245.41999999999996</c:v>
                </c:pt>
                <c:pt idx="339">
                  <c:v>795.99999999999989</c:v>
                </c:pt>
                <c:pt idx="340">
                  <c:v>360.52</c:v>
                </c:pt>
                <c:pt idx="341">
                  <c:v>760.24</c:v>
                </c:pt>
                <c:pt idx="342">
                  <c:v>394.81999999999994</c:v>
                </c:pt>
                <c:pt idx="343">
                  <c:v>508.45999999999992</c:v>
                </c:pt>
                <c:pt idx="344">
                  <c:v>212.58000000000004</c:v>
                </c:pt>
                <c:pt idx="345">
                  <c:v>297.33999999999997</c:v>
                </c:pt>
                <c:pt idx="346">
                  <c:v>662.76</c:v>
                </c:pt>
                <c:pt idx="347">
                  <c:v>432.03999999999996</c:v>
                </c:pt>
                <c:pt idx="348">
                  <c:v>570.17999999999995</c:v>
                </c:pt>
                <c:pt idx="349">
                  <c:v>396.28000000000003</c:v>
                </c:pt>
                <c:pt idx="350">
                  <c:v>457.99999999999994</c:v>
                </c:pt>
                <c:pt idx="351">
                  <c:v>292.44</c:v>
                </c:pt>
                <c:pt idx="352">
                  <c:v>313.5</c:v>
                </c:pt>
                <c:pt idx="353">
                  <c:v>592.70000000000005</c:v>
                </c:pt>
                <c:pt idx="354">
                  <c:v>555.48</c:v>
                </c:pt>
                <c:pt idx="355">
                  <c:v>646.59999999999991</c:v>
                </c:pt>
                <c:pt idx="356">
                  <c:v>581.43999999999994</c:v>
                </c:pt>
                <c:pt idx="357">
                  <c:v>695.07999999999993</c:v>
                </c:pt>
                <c:pt idx="358">
                  <c:v>139.60000000000002</c:v>
                </c:pt>
                <c:pt idx="359">
                  <c:v>190.06</c:v>
                </c:pt>
                <c:pt idx="360">
                  <c:v>723.01999999999987</c:v>
                </c:pt>
                <c:pt idx="361">
                  <c:v>355.61999999999995</c:v>
                </c:pt>
                <c:pt idx="362">
                  <c:v>570.17999999999995</c:v>
                </c:pt>
                <c:pt idx="363">
                  <c:v>610.83999999999992</c:v>
                </c:pt>
                <c:pt idx="364">
                  <c:v>505.01999999999992</c:v>
                </c:pt>
                <c:pt idx="365">
                  <c:v>241.98</c:v>
                </c:pt>
                <c:pt idx="366">
                  <c:v>185.16000000000003</c:v>
                </c:pt>
                <c:pt idx="367">
                  <c:v>737.71999999999991</c:v>
                </c:pt>
                <c:pt idx="368">
                  <c:v>474.15999999999991</c:v>
                </c:pt>
                <c:pt idx="369">
                  <c:v>591.2399999999999</c:v>
                </c:pt>
                <c:pt idx="370">
                  <c:v>370.32</c:v>
                </c:pt>
                <c:pt idx="371">
                  <c:v>554.02</c:v>
                </c:pt>
                <c:pt idx="372">
                  <c:v>232.18000000000004</c:v>
                </c:pt>
                <c:pt idx="373">
                  <c:v>241.98000000000002</c:v>
                </c:pt>
                <c:pt idx="374">
                  <c:v>554.02</c:v>
                </c:pt>
                <c:pt idx="375">
                  <c:v>420.78</c:v>
                </c:pt>
                <c:pt idx="376">
                  <c:v>544.22</c:v>
                </c:pt>
                <c:pt idx="377">
                  <c:v>365.42</c:v>
                </c:pt>
                <c:pt idx="378">
                  <c:v>704.88000000000011</c:v>
                </c:pt>
                <c:pt idx="379">
                  <c:v>225.82</c:v>
                </c:pt>
                <c:pt idx="380">
                  <c:v>164.1</c:v>
                </c:pt>
                <c:pt idx="381">
                  <c:v>401.17999999999995</c:v>
                </c:pt>
                <c:pt idx="382">
                  <c:v>549.11999999999989</c:v>
                </c:pt>
                <c:pt idx="383">
                  <c:v>623.55999999999983</c:v>
                </c:pt>
                <c:pt idx="384">
                  <c:v>597.59999999999991</c:v>
                </c:pt>
                <c:pt idx="385">
                  <c:v>636.79999999999995</c:v>
                </c:pt>
                <c:pt idx="386">
                  <c:v>365.42</c:v>
                </c:pt>
                <c:pt idx="387">
                  <c:v>204.76</c:v>
                </c:pt>
              </c:numCache>
            </c:numRef>
          </c:val>
          <c:smooth val="0"/>
          <c:extLst>
            <c:ext xmlns:c16="http://schemas.microsoft.com/office/drawing/2014/chart" uri="{C3380CC4-5D6E-409C-BE32-E72D297353CC}">
              <c16:uniqueId val="{00000000-DD93-45C8-91E4-2C512E033A29}"/>
            </c:ext>
          </c:extLst>
        </c:ser>
        <c:ser>
          <c:idx val="1"/>
          <c:order val="1"/>
          <c:tx>
            <c:strRef>
              <c:f>'Forecast Sheet'!$C$1</c:f>
              <c:strCache>
                <c:ptCount val="1"/>
                <c:pt idx="0">
                  <c:v>Forecast(Sum of money)</c:v>
                </c:pt>
              </c:strCache>
            </c:strRef>
          </c:tx>
          <c:spPr>
            <a:ln w="25400" cap="rnd">
              <a:solidFill>
                <a:schemeClr val="accent2"/>
              </a:solidFill>
              <a:round/>
            </a:ln>
            <a:effectLst/>
          </c:spPr>
          <c:marker>
            <c:symbol val="none"/>
          </c:marker>
          <c:cat>
            <c:numRef>
              <c:f>'Forecast Sheet'!$A$2:$A$647</c:f>
              <c:numCache>
                <c:formatCode>m/d/yyyy</c:formatCode>
                <c:ptCount val="646"/>
                <c:pt idx="0">
                  <c:v>45352</c:v>
                </c:pt>
                <c:pt idx="1">
                  <c:v>45353</c:v>
                </c:pt>
                <c:pt idx="2">
                  <c:v>45354</c:v>
                </c:pt>
                <c:pt idx="3">
                  <c:v>45355</c:v>
                </c:pt>
                <c:pt idx="4">
                  <c:v>45356</c:v>
                </c:pt>
                <c:pt idx="5">
                  <c:v>45357</c:v>
                </c:pt>
                <c:pt idx="6">
                  <c:v>45358</c:v>
                </c:pt>
                <c:pt idx="7">
                  <c:v>45359</c:v>
                </c:pt>
                <c:pt idx="8">
                  <c:v>45360</c:v>
                </c:pt>
                <c:pt idx="9">
                  <c:v>45361</c:v>
                </c:pt>
                <c:pt idx="10">
                  <c:v>45362</c:v>
                </c:pt>
                <c:pt idx="11">
                  <c:v>45363</c:v>
                </c:pt>
                <c:pt idx="12">
                  <c:v>45364</c:v>
                </c:pt>
                <c:pt idx="13">
                  <c:v>45365</c:v>
                </c:pt>
                <c:pt idx="14">
                  <c:v>45366</c:v>
                </c:pt>
                <c:pt idx="15">
                  <c:v>45367</c:v>
                </c:pt>
                <c:pt idx="16">
                  <c:v>45368</c:v>
                </c:pt>
                <c:pt idx="17">
                  <c:v>45369</c:v>
                </c:pt>
                <c:pt idx="18">
                  <c:v>45370</c:v>
                </c:pt>
                <c:pt idx="19">
                  <c:v>45371</c:v>
                </c:pt>
                <c:pt idx="20">
                  <c:v>45372</c:v>
                </c:pt>
                <c:pt idx="21">
                  <c:v>45373</c:v>
                </c:pt>
                <c:pt idx="22">
                  <c:v>45374</c:v>
                </c:pt>
                <c:pt idx="23">
                  <c:v>45375</c:v>
                </c:pt>
                <c:pt idx="24">
                  <c:v>45376</c:v>
                </c:pt>
                <c:pt idx="25">
                  <c:v>45377</c:v>
                </c:pt>
                <c:pt idx="26">
                  <c:v>45378</c:v>
                </c:pt>
                <c:pt idx="27">
                  <c:v>45379</c:v>
                </c:pt>
                <c:pt idx="28">
                  <c:v>45380</c:v>
                </c:pt>
                <c:pt idx="29">
                  <c:v>45381</c:v>
                </c:pt>
                <c:pt idx="30">
                  <c:v>45382</c:v>
                </c:pt>
                <c:pt idx="31">
                  <c:v>45383</c:v>
                </c:pt>
                <c:pt idx="32">
                  <c:v>45384</c:v>
                </c:pt>
                <c:pt idx="33">
                  <c:v>45385</c:v>
                </c:pt>
                <c:pt idx="34">
                  <c:v>45386</c:v>
                </c:pt>
                <c:pt idx="35">
                  <c:v>45387</c:v>
                </c:pt>
                <c:pt idx="36">
                  <c:v>45388</c:v>
                </c:pt>
                <c:pt idx="37">
                  <c:v>45389</c:v>
                </c:pt>
                <c:pt idx="38">
                  <c:v>45390</c:v>
                </c:pt>
                <c:pt idx="39">
                  <c:v>45391</c:v>
                </c:pt>
                <c:pt idx="40">
                  <c:v>45392</c:v>
                </c:pt>
                <c:pt idx="41">
                  <c:v>45393</c:v>
                </c:pt>
                <c:pt idx="42">
                  <c:v>45394</c:v>
                </c:pt>
                <c:pt idx="43">
                  <c:v>45395</c:v>
                </c:pt>
                <c:pt idx="44">
                  <c:v>45396</c:v>
                </c:pt>
                <c:pt idx="45">
                  <c:v>45397</c:v>
                </c:pt>
                <c:pt idx="46">
                  <c:v>45398</c:v>
                </c:pt>
                <c:pt idx="47">
                  <c:v>45399</c:v>
                </c:pt>
                <c:pt idx="48">
                  <c:v>45400</c:v>
                </c:pt>
                <c:pt idx="49">
                  <c:v>45401</c:v>
                </c:pt>
                <c:pt idx="50">
                  <c:v>45402</c:v>
                </c:pt>
                <c:pt idx="51">
                  <c:v>45403</c:v>
                </c:pt>
                <c:pt idx="52">
                  <c:v>45404</c:v>
                </c:pt>
                <c:pt idx="53">
                  <c:v>45405</c:v>
                </c:pt>
                <c:pt idx="54">
                  <c:v>45406</c:v>
                </c:pt>
                <c:pt idx="55">
                  <c:v>45407</c:v>
                </c:pt>
                <c:pt idx="56">
                  <c:v>45408</c:v>
                </c:pt>
                <c:pt idx="57">
                  <c:v>45409</c:v>
                </c:pt>
                <c:pt idx="58">
                  <c:v>45410</c:v>
                </c:pt>
                <c:pt idx="59">
                  <c:v>45411</c:v>
                </c:pt>
                <c:pt idx="60">
                  <c:v>45412</c:v>
                </c:pt>
                <c:pt idx="61">
                  <c:v>45413</c:v>
                </c:pt>
                <c:pt idx="62">
                  <c:v>45414</c:v>
                </c:pt>
                <c:pt idx="63">
                  <c:v>45415</c:v>
                </c:pt>
                <c:pt idx="64">
                  <c:v>45416</c:v>
                </c:pt>
                <c:pt idx="65">
                  <c:v>45417</c:v>
                </c:pt>
                <c:pt idx="66">
                  <c:v>45418</c:v>
                </c:pt>
                <c:pt idx="67">
                  <c:v>45419</c:v>
                </c:pt>
                <c:pt idx="68">
                  <c:v>45420</c:v>
                </c:pt>
                <c:pt idx="69">
                  <c:v>45421</c:v>
                </c:pt>
                <c:pt idx="70">
                  <c:v>45422</c:v>
                </c:pt>
                <c:pt idx="71">
                  <c:v>45423</c:v>
                </c:pt>
                <c:pt idx="72">
                  <c:v>45424</c:v>
                </c:pt>
                <c:pt idx="73">
                  <c:v>45425</c:v>
                </c:pt>
                <c:pt idx="74">
                  <c:v>45426</c:v>
                </c:pt>
                <c:pt idx="75">
                  <c:v>45427</c:v>
                </c:pt>
                <c:pt idx="76">
                  <c:v>45428</c:v>
                </c:pt>
                <c:pt idx="77">
                  <c:v>45429</c:v>
                </c:pt>
                <c:pt idx="78">
                  <c:v>45430</c:v>
                </c:pt>
                <c:pt idx="79">
                  <c:v>45431</c:v>
                </c:pt>
                <c:pt idx="80">
                  <c:v>45432</c:v>
                </c:pt>
                <c:pt idx="81">
                  <c:v>45433</c:v>
                </c:pt>
                <c:pt idx="82">
                  <c:v>45434</c:v>
                </c:pt>
                <c:pt idx="83">
                  <c:v>45435</c:v>
                </c:pt>
                <c:pt idx="84">
                  <c:v>45436</c:v>
                </c:pt>
                <c:pt idx="85">
                  <c:v>45437</c:v>
                </c:pt>
                <c:pt idx="86">
                  <c:v>45438</c:v>
                </c:pt>
                <c:pt idx="87">
                  <c:v>45439</c:v>
                </c:pt>
                <c:pt idx="88">
                  <c:v>45440</c:v>
                </c:pt>
                <c:pt idx="89">
                  <c:v>45441</c:v>
                </c:pt>
                <c:pt idx="90">
                  <c:v>45442</c:v>
                </c:pt>
                <c:pt idx="91">
                  <c:v>45443</c:v>
                </c:pt>
                <c:pt idx="92">
                  <c:v>45444</c:v>
                </c:pt>
                <c:pt idx="93">
                  <c:v>45445</c:v>
                </c:pt>
                <c:pt idx="94">
                  <c:v>45446</c:v>
                </c:pt>
                <c:pt idx="95">
                  <c:v>45447</c:v>
                </c:pt>
                <c:pt idx="96">
                  <c:v>45448</c:v>
                </c:pt>
                <c:pt idx="97">
                  <c:v>45449</c:v>
                </c:pt>
                <c:pt idx="98">
                  <c:v>45450</c:v>
                </c:pt>
                <c:pt idx="99">
                  <c:v>45451</c:v>
                </c:pt>
                <c:pt idx="100">
                  <c:v>45452</c:v>
                </c:pt>
                <c:pt idx="101">
                  <c:v>45453</c:v>
                </c:pt>
                <c:pt idx="102">
                  <c:v>45454</c:v>
                </c:pt>
                <c:pt idx="103">
                  <c:v>45455</c:v>
                </c:pt>
                <c:pt idx="104">
                  <c:v>45456</c:v>
                </c:pt>
                <c:pt idx="105">
                  <c:v>45457</c:v>
                </c:pt>
                <c:pt idx="106">
                  <c:v>45458</c:v>
                </c:pt>
                <c:pt idx="107">
                  <c:v>45459</c:v>
                </c:pt>
                <c:pt idx="108">
                  <c:v>45460</c:v>
                </c:pt>
                <c:pt idx="109">
                  <c:v>45461</c:v>
                </c:pt>
                <c:pt idx="110">
                  <c:v>45462</c:v>
                </c:pt>
                <c:pt idx="111">
                  <c:v>45463</c:v>
                </c:pt>
                <c:pt idx="112">
                  <c:v>45464</c:v>
                </c:pt>
                <c:pt idx="113">
                  <c:v>45465</c:v>
                </c:pt>
                <c:pt idx="114">
                  <c:v>45466</c:v>
                </c:pt>
                <c:pt idx="115">
                  <c:v>45467</c:v>
                </c:pt>
                <c:pt idx="116">
                  <c:v>45468</c:v>
                </c:pt>
                <c:pt idx="117">
                  <c:v>45469</c:v>
                </c:pt>
                <c:pt idx="118">
                  <c:v>45470</c:v>
                </c:pt>
                <c:pt idx="119">
                  <c:v>45471</c:v>
                </c:pt>
                <c:pt idx="120">
                  <c:v>45472</c:v>
                </c:pt>
                <c:pt idx="121">
                  <c:v>45473</c:v>
                </c:pt>
                <c:pt idx="122">
                  <c:v>45474</c:v>
                </c:pt>
                <c:pt idx="123">
                  <c:v>45475</c:v>
                </c:pt>
                <c:pt idx="124">
                  <c:v>45476</c:v>
                </c:pt>
                <c:pt idx="125">
                  <c:v>45477</c:v>
                </c:pt>
                <c:pt idx="126">
                  <c:v>45478</c:v>
                </c:pt>
                <c:pt idx="127">
                  <c:v>45479</c:v>
                </c:pt>
                <c:pt idx="128">
                  <c:v>45480</c:v>
                </c:pt>
                <c:pt idx="129">
                  <c:v>45481</c:v>
                </c:pt>
                <c:pt idx="130">
                  <c:v>45482</c:v>
                </c:pt>
                <c:pt idx="131">
                  <c:v>45483</c:v>
                </c:pt>
                <c:pt idx="132">
                  <c:v>45484</c:v>
                </c:pt>
                <c:pt idx="133">
                  <c:v>45485</c:v>
                </c:pt>
                <c:pt idx="134">
                  <c:v>45486</c:v>
                </c:pt>
                <c:pt idx="135">
                  <c:v>45487</c:v>
                </c:pt>
                <c:pt idx="136">
                  <c:v>45488</c:v>
                </c:pt>
                <c:pt idx="137">
                  <c:v>45489</c:v>
                </c:pt>
                <c:pt idx="138">
                  <c:v>45490</c:v>
                </c:pt>
                <c:pt idx="139">
                  <c:v>45491</c:v>
                </c:pt>
                <c:pt idx="140">
                  <c:v>45492</c:v>
                </c:pt>
                <c:pt idx="141">
                  <c:v>45493</c:v>
                </c:pt>
                <c:pt idx="142">
                  <c:v>45494</c:v>
                </c:pt>
                <c:pt idx="143">
                  <c:v>45495</c:v>
                </c:pt>
                <c:pt idx="144">
                  <c:v>45496</c:v>
                </c:pt>
                <c:pt idx="145">
                  <c:v>45497</c:v>
                </c:pt>
                <c:pt idx="146">
                  <c:v>45498</c:v>
                </c:pt>
                <c:pt idx="147">
                  <c:v>45499</c:v>
                </c:pt>
                <c:pt idx="148">
                  <c:v>45500</c:v>
                </c:pt>
                <c:pt idx="149">
                  <c:v>45501</c:v>
                </c:pt>
                <c:pt idx="150">
                  <c:v>45502</c:v>
                </c:pt>
                <c:pt idx="151">
                  <c:v>45503</c:v>
                </c:pt>
                <c:pt idx="152">
                  <c:v>45504</c:v>
                </c:pt>
                <c:pt idx="153">
                  <c:v>45505</c:v>
                </c:pt>
                <c:pt idx="154">
                  <c:v>45506</c:v>
                </c:pt>
                <c:pt idx="155">
                  <c:v>45507</c:v>
                </c:pt>
                <c:pt idx="156">
                  <c:v>45508</c:v>
                </c:pt>
                <c:pt idx="157">
                  <c:v>45509</c:v>
                </c:pt>
                <c:pt idx="158">
                  <c:v>45510</c:v>
                </c:pt>
                <c:pt idx="159">
                  <c:v>45511</c:v>
                </c:pt>
                <c:pt idx="160">
                  <c:v>45512</c:v>
                </c:pt>
                <c:pt idx="161">
                  <c:v>45513</c:v>
                </c:pt>
                <c:pt idx="162">
                  <c:v>45514</c:v>
                </c:pt>
                <c:pt idx="163">
                  <c:v>45515</c:v>
                </c:pt>
                <c:pt idx="164">
                  <c:v>45516</c:v>
                </c:pt>
                <c:pt idx="165">
                  <c:v>45517</c:v>
                </c:pt>
                <c:pt idx="166">
                  <c:v>45518</c:v>
                </c:pt>
                <c:pt idx="167">
                  <c:v>45519</c:v>
                </c:pt>
                <c:pt idx="168">
                  <c:v>45520</c:v>
                </c:pt>
                <c:pt idx="169">
                  <c:v>45521</c:v>
                </c:pt>
                <c:pt idx="170">
                  <c:v>45522</c:v>
                </c:pt>
                <c:pt idx="171">
                  <c:v>45523</c:v>
                </c:pt>
                <c:pt idx="172">
                  <c:v>45524</c:v>
                </c:pt>
                <c:pt idx="173">
                  <c:v>45525</c:v>
                </c:pt>
                <c:pt idx="174">
                  <c:v>45526</c:v>
                </c:pt>
                <c:pt idx="175">
                  <c:v>45527</c:v>
                </c:pt>
                <c:pt idx="176">
                  <c:v>45528</c:v>
                </c:pt>
                <c:pt idx="177">
                  <c:v>45529</c:v>
                </c:pt>
                <c:pt idx="178">
                  <c:v>45530</c:v>
                </c:pt>
                <c:pt idx="179">
                  <c:v>45531</c:v>
                </c:pt>
                <c:pt idx="180">
                  <c:v>45532</c:v>
                </c:pt>
                <c:pt idx="181">
                  <c:v>45533</c:v>
                </c:pt>
                <c:pt idx="182">
                  <c:v>45534</c:v>
                </c:pt>
                <c:pt idx="183">
                  <c:v>45535</c:v>
                </c:pt>
                <c:pt idx="184">
                  <c:v>45536</c:v>
                </c:pt>
                <c:pt idx="185">
                  <c:v>45537</c:v>
                </c:pt>
                <c:pt idx="186">
                  <c:v>45538</c:v>
                </c:pt>
                <c:pt idx="187">
                  <c:v>45539</c:v>
                </c:pt>
                <c:pt idx="188">
                  <c:v>45540</c:v>
                </c:pt>
                <c:pt idx="189">
                  <c:v>45541</c:v>
                </c:pt>
                <c:pt idx="190">
                  <c:v>45542</c:v>
                </c:pt>
                <c:pt idx="191">
                  <c:v>45543</c:v>
                </c:pt>
                <c:pt idx="192">
                  <c:v>45544</c:v>
                </c:pt>
                <c:pt idx="193">
                  <c:v>45545</c:v>
                </c:pt>
                <c:pt idx="194">
                  <c:v>45546</c:v>
                </c:pt>
                <c:pt idx="195">
                  <c:v>45547</c:v>
                </c:pt>
                <c:pt idx="196">
                  <c:v>45548</c:v>
                </c:pt>
                <c:pt idx="197">
                  <c:v>45549</c:v>
                </c:pt>
                <c:pt idx="198">
                  <c:v>45550</c:v>
                </c:pt>
                <c:pt idx="199">
                  <c:v>45551</c:v>
                </c:pt>
                <c:pt idx="200">
                  <c:v>45552</c:v>
                </c:pt>
                <c:pt idx="201">
                  <c:v>45553</c:v>
                </c:pt>
                <c:pt idx="202">
                  <c:v>45554</c:v>
                </c:pt>
                <c:pt idx="203">
                  <c:v>45555</c:v>
                </c:pt>
                <c:pt idx="204">
                  <c:v>45556</c:v>
                </c:pt>
                <c:pt idx="205">
                  <c:v>45557</c:v>
                </c:pt>
                <c:pt idx="206">
                  <c:v>45558</c:v>
                </c:pt>
                <c:pt idx="207">
                  <c:v>45559</c:v>
                </c:pt>
                <c:pt idx="208">
                  <c:v>45560</c:v>
                </c:pt>
                <c:pt idx="209">
                  <c:v>45561</c:v>
                </c:pt>
                <c:pt idx="210">
                  <c:v>45562</c:v>
                </c:pt>
                <c:pt idx="211">
                  <c:v>45563</c:v>
                </c:pt>
                <c:pt idx="212">
                  <c:v>45564</c:v>
                </c:pt>
                <c:pt idx="213">
                  <c:v>45565</c:v>
                </c:pt>
                <c:pt idx="214">
                  <c:v>45566</c:v>
                </c:pt>
                <c:pt idx="215">
                  <c:v>45567</c:v>
                </c:pt>
                <c:pt idx="216">
                  <c:v>45568</c:v>
                </c:pt>
                <c:pt idx="217">
                  <c:v>45569</c:v>
                </c:pt>
                <c:pt idx="218">
                  <c:v>45570</c:v>
                </c:pt>
                <c:pt idx="219">
                  <c:v>45571</c:v>
                </c:pt>
                <c:pt idx="220">
                  <c:v>45572</c:v>
                </c:pt>
                <c:pt idx="221">
                  <c:v>45573</c:v>
                </c:pt>
                <c:pt idx="222">
                  <c:v>45574</c:v>
                </c:pt>
                <c:pt idx="223">
                  <c:v>45575</c:v>
                </c:pt>
                <c:pt idx="224">
                  <c:v>45576</c:v>
                </c:pt>
                <c:pt idx="225">
                  <c:v>45577</c:v>
                </c:pt>
                <c:pt idx="226">
                  <c:v>45578</c:v>
                </c:pt>
                <c:pt idx="227">
                  <c:v>45579</c:v>
                </c:pt>
                <c:pt idx="228">
                  <c:v>45580</c:v>
                </c:pt>
                <c:pt idx="229">
                  <c:v>45581</c:v>
                </c:pt>
                <c:pt idx="230">
                  <c:v>45582</c:v>
                </c:pt>
                <c:pt idx="231">
                  <c:v>45583</c:v>
                </c:pt>
                <c:pt idx="232">
                  <c:v>45584</c:v>
                </c:pt>
                <c:pt idx="233">
                  <c:v>45585</c:v>
                </c:pt>
                <c:pt idx="234">
                  <c:v>45586</c:v>
                </c:pt>
                <c:pt idx="235">
                  <c:v>45587</c:v>
                </c:pt>
                <c:pt idx="236">
                  <c:v>45588</c:v>
                </c:pt>
                <c:pt idx="237">
                  <c:v>45589</c:v>
                </c:pt>
                <c:pt idx="238">
                  <c:v>45590</c:v>
                </c:pt>
                <c:pt idx="239">
                  <c:v>45591</c:v>
                </c:pt>
                <c:pt idx="240">
                  <c:v>45592</c:v>
                </c:pt>
                <c:pt idx="241">
                  <c:v>45593</c:v>
                </c:pt>
                <c:pt idx="242">
                  <c:v>45594</c:v>
                </c:pt>
                <c:pt idx="243">
                  <c:v>45595</c:v>
                </c:pt>
                <c:pt idx="244">
                  <c:v>45596</c:v>
                </c:pt>
                <c:pt idx="245">
                  <c:v>45597</c:v>
                </c:pt>
                <c:pt idx="246">
                  <c:v>45598</c:v>
                </c:pt>
                <c:pt idx="247">
                  <c:v>45599</c:v>
                </c:pt>
                <c:pt idx="248">
                  <c:v>45600</c:v>
                </c:pt>
                <c:pt idx="249">
                  <c:v>45601</c:v>
                </c:pt>
                <c:pt idx="250">
                  <c:v>45602</c:v>
                </c:pt>
                <c:pt idx="251">
                  <c:v>45603</c:v>
                </c:pt>
                <c:pt idx="252">
                  <c:v>45604</c:v>
                </c:pt>
                <c:pt idx="253">
                  <c:v>45605</c:v>
                </c:pt>
                <c:pt idx="254">
                  <c:v>45606</c:v>
                </c:pt>
                <c:pt idx="255">
                  <c:v>45607</c:v>
                </c:pt>
                <c:pt idx="256">
                  <c:v>45608</c:v>
                </c:pt>
                <c:pt idx="257">
                  <c:v>45609</c:v>
                </c:pt>
                <c:pt idx="258">
                  <c:v>45610</c:v>
                </c:pt>
                <c:pt idx="259">
                  <c:v>45611</c:v>
                </c:pt>
                <c:pt idx="260">
                  <c:v>45612</c:v>
                </c:pt>
                <c:pt idx="261">
                  <c:v>45613</c:v>
                </c:pt>
                <c:pt idx="262">
                  <c:v>45614</c:v>
                </c:pt>
                <c:pt idx="263">
                  <c:v>45615</c:v>
                </c:pt>
                <c:pt idx="264">
                  <c:v>45616</c:v>
                </c:pt>
                <c:pt idx="265">
                  <c:v>45617</c:v>
                </c:pt>
                <c:pt idx="266">
                  <c:v>45618</c:v>
                </c:pt>
                <c:pt idx="267">
                  <c:v>45619</c:v>
                </c:pt>
                <c:pt idx="268">
                  <c:v>45620</c:v>
                </c:pt>
                <c:pt idx="269">
                  <c:v>45621</c:v>
                </c:pt>
                <c:pt idx="270">
                  <c:v>45622</c:v>
                </c:pt>
                <c:pt idx="271">
                  <c:v>45623</c:v>
                </c:pt>
                <c:pt idx="272">
                  <c:v>45624</c:v>
                </c:pt>
                <c:pt idx="273">
                  <c:v>45625</c:v>
                </c:pt>
                <c:pt idx="274">
                  <c:v>45626</c:v>
                </c:pt>
                <c:pt idx="275">
                  <c:v>45627</c:v>
                </c:pt>
                <c:pt idx="276">
                  <c:v>45628</c:v>
                </c:pt>
                <c:pt idx="277">
                  <c:v>45629</c:v>
                </c:pt>
                <c:pt idx="278">
                  <c:v>45630</c:v>
                </c:pt>
                <c:pt idx="279">
                  <c:v>45631</c:v>
                </c:pt>
                <c:pt idx="280">
                  <c:v>45632</c:v>
                </c:pt>
                <c:pt idx="281">
                  <c:v>45633</c:v>
                </c:pt>
                <c:pt idx="282">
                  <c:v>45634</c:v>
                </c:pt>
                <c:pt idx="283">
                  <c:v>45635</c:v>
                </c:pt>
                <c:pt idx="284">
                  <c:v>45636</c:v>
                </c:pt>
                <c:pt idx="285">
                  <c:v>45637</c:v>
                </c:pt>
                <c:pt idx="286">
                  <c:v>45638</c:v>
                </c:pt>
                <c:pt idx="287">
                  <c:v>45639</c:v>
                </c:pt>
                <c:pt idx="288">
                  <c:v>45640</c:v>
                </c:pt>
                <c:pt idx="289">
                  <c:v>45641</c:v>
                </c:pt>
                <c:pt idx="290">
                  <c:v>45642</c:v>
                </c:pt>
                <c:pt idx="291">
                  <c:v>45643</c:v>
                </c:pt>
                <c:pt idx="292">
                  <c:v>45644</c:v>
                </c:pt>
                <c:pt idx="293">
                  <c:v>45645</c:v>
                </c:pt>
                <c:pt idx="294">
                  <c:v>45646</c:v>
                </c:pt>
                <c:pt idx="295">
                  <c:v>45647</c:v>
                </c:pt>
                <c:pt idx="296">
                  <c:v>45648</c:v>
                </c:pt>
                <c:pt idx="297">
                  <c:v>45649</c:v>
                </c:pt>
                <c:pt idx="298">
                  <c:v>45650</c:v>
                </c:pt>
                <c:pt idx="299">
                  <c:v>45651</c:v>
                </c:pt>
                <c:pt idx="300">
                  <c:v>45652</c:v>
                </c:pt>
                <c:pt idx="301">
                  <c:v>45653</c:v>
                </c:pt>
                <c:pt idx="302">
                  <c:v>45654</c:v>
                </c:pt>
                <c:pt idx="303">
                  <c:v>45655</c:v>
                </c:pt>
                <c:pt idx="304">
                  <c:v>45656</c:v>
                </c:pt>
                <c:pt idx="305">
                  <c:v>45657</c:v>
                </c:pt>
                <c:pt idx="306">
                  <c:v>45658</c:v>
                </c:pt>
                <c:pt idx="307">
                  <c:v>45659</c:v>
                </c:pt>
                <c:pt idx="308">
                  <c:v>45660</c:v>
                </c:pt>
                <c:pt idx="309">
                  <c:v>45661</c:v>
                </c:pt>
                <c:pt idx="310">
                  <c:v>45662</c:v>
                </c:pt>
                <c:pt idx="311">
                  <c:v>45663</c:v>
                </c:pt>
                <c:pt idx="312">
                  <c:v>45664</c:v>
                </c:pt>
                <c:pt idx="313">
                  <c:v>45665</c:v>
                </c:pt>
                <c:pt idx="314">
                  <c:v>45666</c:v>
                </c:pt>
                <c:pt idx="315">
                  <c:v>45667</c:v>
                </c:pt>
                <c:pt idx="316">
                  <c:v>45668</c:v>
                </c:pt>
                <c:pt idx="317">
                  <c:v>45669</c:v>
                </c:pt>
                <c:pt idx="318">
                  <c:v>45670</c:v>
                </c:pt>
                <c:pt idx="319">
                  <c:v>45671</c:v>
                </c:pt>
                <c:pt idx="320">
                  <c:v>45672</c:v>
                </c:pt>
                <c:pt idx="321">
                  <c:v>45673</c:v>
                </c:pt>
                <c:pt idx="322">
                  <c:v>45674</c:v>
                </c:pt>
                <c:pt idx="323">
                  <c:v>45675</c:v>
                </c:pt>
                <c:pt idx="324">
                  <c:v>45676</c:v>
                </c:pt>
                <c:pt idx="325">
                  <c:v>45677</c:v>
                </c:pt>
                <c:pt idx="326">
                  <c:v>45678</c:v>
                </c:pt>
                <c:pt idx="327">
                  <c:v>45679</c:v>
                </c:pt>
                <c:pt idx="328">
                  <c:v>45680</c:v>
                </c:pt>
                <c:pt idx="329">
                  <c:v>45681</c:v>
                </c:pt>
                <c:pt idx="330">
                  <c:v>45682</c:v>
                </c:pt>
                <c:pt idx="331">
                  <c:v>45683</c:v>
                </c:pt>
                <c:pt idx="332">
                  <c:v>45684</c:v>
                </c:pt>
                <c:pt idx="333">
                  <c:v>45685</c:v>
                </c:pt>
                <c:pt idx="334">
                  <c:v>45686</c:v>
                </c:pt>
                <c:pt idx="335">
                  <c:v>45687</c:v>
                </c:pt>
                <c:pt idx="336">
                  <c:v>45688</c:v>
                </c:pt>
                <c:pt idx="337">
                  <c:v>45689</c:v>
                </c:pt>
                <c:pt idx="338">
                  <c:v>45690</c:v>
                </c:pt>
                <c:pt idx="339">
                  <c:v>45691</c:v>
                </c:pt>
                <c:pt idx="340">
                  <c:v>45692</c:v>
                </c:pt>
                <c:pt idx="341">
                  <c:v>45693</c:v>
                </c:pt>
                <c:pt idx="342">
                  <c:v>45694</c:v>
                </c:pt>
                <c:pt idx="343">
                  <c:v>45695</c:v>
                </c:pt>
                <c:pt idx="344">
                  <c:v>45696</c:v>
                </c:pt>
                <c:pt idx="345">
                  <c:v>45697</c:v>
                </c:pt>
                <c:pt idx="346">
                  <c:v>45698</c:v>
                </c:pt>
                <c:pt idx="347">
                  <c:v>45699</c:v>
                </c:pt>
                <c:pt idx="348">
                  <c:v>45700</c:v>
                </c:pt>
                <c:pt idx="349">
                  <c:v>45701</c:v>
                </c:pt>
                <c:pt idx="350">
                  <c:v>45702</c:v>
                </c:pt>
                <c:pt idx="351">
                  <c:v>45703</c:v>
                </c:pt>
                <c:pt idx="352">
                  <c:v>45704</c:v>
                </c:pt>
                <c:pt idx="353">
                  <c:v>45705</c:v>
                </c:pt>
                <c:pt idx="354">
                  <c:v>45706</c:v>
                </c:pt>
                <c:pt idx="355">
                  <c:v>45707</c:v>
                </c:pt>
                <c:pt idx="356">
                  <c:v>45708</c:v>
                </c:pt>
                <c:pt idx="357">
                  <c:v>45709</c:v>
                </c:pt>
                <c:pt idx="358">
                  <c:v>45710</c:v>
                </c:pt>
                <c:pt idx="359">
                  <c:v>45711</c:v>
                </c:pt>
                <c:pt idx="360">
                  <c:v>45712</c:v>
                </c:pt>
                <c:pt idx="361">
                  <c:v>45713</c:v>
                </c:pt>
                <c:pt idx="362">
                  <c:v>45714</c:v>
                </c:pt>
                <c:pt idx="363">
                  <c:v>45715</c:v>
                </c:pt>
                <c:pt idx="364">
                  <c:v>45716</c:v>
                </c:pt>
                <c:pt idx="365">
                  <c:v>45717</c:v>
                </c:pt>
                <c:pt idx="366">
                  <c:v>45718</c:v>
                </c:pt>
                <c:pt idx="367">
                  <c:v>45719</c:v>
                </c:pt>
                <c:pt idx="368">
                  <c:v>45720</c:v>
                </c:pt>
                <c:pt idx="369">
                  <c:v>45721</c:v>
                </c:pt>
                <c:pt idx="370">
                  <c:v>45722</c:v>
                </c:pt>
                <c:pt idx="371">
                  <c:v>45723</c:v>
                </c:pt>
                <c:pt idx="372">
                  <c:v>45724</c:v>
                </c:pt>
                <c:pt idx="373">
                  <c:v>45725</c:v>
                </c:pt>
                <c:pt idx="374">
                  <c:v>45726</c:v>
                </c:pt>
                <c:pt idx="375">
                  <c:v>45727</c:v>
                </c:pt>
                <c:pt idx="376">
                  <c:v>45728</c:v>
                </c:pt>
                <c:pt idx="377">
                  <c:v>45729</c:v>
                </c:pt>
                <c:pt idx="378">
                  <c:v>45730</c:v>
                </c:pt>
                <c:pt idx="379">
                  <c:v>45731</c:v>
                </c:pt>
                <c:pt idx="380">
                  <c:v>45732</c:v>
                </c:pt>
                <c:pt idx="381">
                  <c:v>45733</c:v>
                </c:pt>
                <c:pt idx="382">
                  <c:v>45734</c:v>
                </c:pt>
                <c:pt idx="383">
                  <c:v>45735</c:v>
                </c:pt>
                <c:pt idx="384">
                  <c:v>45736</c:v>
                </c:pt>
                <c:pt idx="385">
                  <c:v>45737</c:v>
                </c:pt>
                <c:pt idx="386">
                  <c:v>45738</c:v>
                </c:pt>
                <c:pt idx="387">
                  <c:v>45739</c:v>
                </c:pt>
                <c:pt idx="388">
                  <c:v>45740</c:v>
                </c:pt>
                <c:pt idx="389">
                  <c:v>45741</c:v>
                </c:pt>
                <c:pt idx="390">
                  <c:v>45742</c:v>
                </c:pt>
                <c:pt idx="391">
                  <c:v>45743</c:v>
                </c:pt>
                <c:pt idx="392">
                  <c:v>45744</c:v>
                </c:pt>
                <c:pt idx="393">
                  <c:v>45745</c:v>
                </c:pt>
                <c:pt idx="394">
                  <c:v>45746</c:v>
                </c:pt>
                <c:pt idx="395">
                  <c:v>45747</c:v>
                </c:pt>
                <c:pt idx="396">
                  <c:v>45748</c:v>
                </c:pt>
                <c:pt idx="397">
                  <c:v>45749</c:v>
                </c:pt>
                <c:pt idx="398">
                  <c:v>45750</c:v>
                </c:pt>
                <c:pt idx="399">
                  <c:v>45751</c:v>
                </c:pt>
                <c:pt idx="400">
                  <c:v>45752</c:v>
                </c:pt>
                <c:pt idx="401">
                  <c:v>45753</c:v>
                </c:pt>
                <c:pt idx="402">
                  <c:v>45754</c:v>
                </c:pt>
                <c:pt idx="403">
                  <c:v>45755</c:v>
                </c:pt>
                <c:pt idx="404">
                  <c:v>45756</c:v>
                </c:pt>
                <c:pt idx="405">
                  <c:v>45757</c:v>
                </c:pt>
                <c:pt idx="406">
                  <c:v>45758</c:v>
                </c:pt>
                <c:pt idx="407">
                  <c:v>45759</c:v>
                </c:pt>
                <c:pt idx="408">
                  <c:v>45760</c:v>
                </c:pt>
                <c:pt idx="409">
                  <c:v>45761</c:v>
                </c:pt>
                <c:pt idx="410">
                  <c:v>45762</c:v>
                </c:pt>
                <c:pt idx="411">
                  <c:v>45763</c:v>
                </c:pt>
                <c:pt idx="412">
                  <c:v>45764</c:v>
                </c:pt>
                <c:pt idx="413">
                  <c:v>45765</c:v>
                </c:pt>
                <c:pt idx="414">
                  <c:v>45766</c:v>
                </c:pt>
                <c:pt idx="415">
                  <c:v>45767</c:v>
                </c:pt>
                <c:pt idx="416">
                  <c:v>45768</c:v>
                </c:pt>
                <c:pt idx="417">
                  <c:v>45769</c:v>
                </c:pt>
                <c:pt idx="418">
                  <c:v>45770</c:v>
                </c:pt>
                <c:pt idx="419">
                  <c:v>45771</c:v>
                </c:pt>
                <c:pt idx="420">
                  <c:v>45772</c:v>
                </c:pt>
                <c:pt idx="421">
                  <c:v>45773</c:v>
                </c:pt>
                <c:pt idx="422">
                  <c:v>45774</c:v>
                </c:pt>
                <c:pt idx="423">
                  <c:v>45775</c:v>
                </c:pt>
                <c:pt idx="424">
                  <c:v>45776</c:v>
                </c:pt>
                <c:pt idx="425">
                  <c:v>45777</c:v>
                </c:pt>
                <c:pt idx="426">
                  <c:v>45778</c:v>
                </c:pt>
                <c:pt idx="427">
                  <c:v>45779</c:v>
                </c:pt>
                <c:pt idx="428">
                  <c:v>45780</c:v>
                </c:pt>
                <c:pt idx="429">
                  <c:v>45781</c:v>
                </c:pt>
                <c:pt idx="430">
                  <c:v>45782</c:v>
                </c:pt>
                <c:pt idx="431">
                  <c:v>45783</c:v>
                </c:pt>
                <c:pt idx="432">
                  <c:v>45784</c:v>
                </c:pt>
                <c:pt idx="433">
                  <c:v>45785</c:v>
                </c:pt>
                <c:pt idx="434">
                  <c:v>45786</c:v>
                </c:pt>
                <c:pt idx="435">
                  <c:v>45787</c:v>
                </c:pt>
                <c:pt idx="436">
                  <c:v>45788</c:v>
                </c:pt>
                <c:pt idx="437">
                  <c:v>45789</c:v>
                </c:pt>
                <c:pt idx="438">
                  <c:v>45790</c:v>
                </c:pt>
                <c:pt idx="439">
                  <c:v>45791</c:v>
                </c:pt>
                <c:pt idx="440">
                  <c:v>45792</c:v>
                </c:pt>
                <c:pt idx="441">
                  <c:v>45793</c:v>
                </c:pt>
                <c:pt idx="442">
                  <c:v>45794</c:v>
                </c:pt>
                <c:pt idx="443">
                  <c:v>45795</c:v>
                </c:pt>
                <c:pt idx="444">
                  <c:v>45796</c:v>
                </c:pt>
                <c:pt idx="445">
                  <c:v>45797</c:v>
                </c:pt>
                <c:pt idx="446">
                  <c:v>45798</c:v>
                </c:pt>
                <c:pt idx="447">
                  <c:v>45799</c:v>
                </c:pt>
                <c:pt idx="448">
                  <c:v>45800</c:v>
                </c:pt>
                <c:pt idx="449">
                  <c:v>45801</c:v>
                </c:pt>
                <c:pt idx="450">
                  <c:v>45802</c:v>
                </c:pt>
                <c:pt idx="451">
                  <c:v>45803</c:v>
                </c:pt>
                <c:pt idx="452">
                  <c:v>45804</c:v>
                </c:pt>
                <c:pt idx="453">
                  <c:v>45805</c:v>
                </c:pt>
                <c:pt idx="454">
                  <c:v>45806</c:v>
                </c:pt>
                <c:pt idx="455">
                  <c:v>45807</c:v>
                </c:pt>
                <c:pt idx="456">
                  <c:v>45808</c:v>
                </c:pt>
                <c:pt idx="457">
                  <c:v>45809</c:v>
                </c:pt>
                <c:pt idx="458">
                  <c:v>45810</c:v>
                </c:pt>
                <c:pt idx="459">
                  <c:v>45811</c:v>
                </c:pt>
                <c:pt idx="460">
                  <c:v>45812</c:v>
                </c:pt>
                <c:pt idx="461">
                  <c:v>45813</c:v>
                </c:pt>
                <c:pt idx="462">
                  <c:v>45814</c:v>
                </c:pt>
                <c:pt idx="463">
                  <c:v>45815</c:v>
                </c:pt>
                <c:pt idx="464">
                  <c:v>45816</c:v>
                </c:pt>
                <c:pt idx="465">
                  <c:v>45817</c:v>
                </c:pt>
                <c:pt idx="466">
                  <c:v>45818</c:v>
                </c:pt>
                <c:pt idx="467">
                  <c:v>45819</c:v>
                </c:pt>
                <c:pt idx="468">
                  <c:v>45820</c:v>
                </c:pt>
                <c:pt idx="469">
                  <c:v>45821</c:v>
                </c:pt>
                <c:pt idx="470">
                  <c:v>45822</c:v>
                </c:pt>
                <c:pt idx="471">
                  <c:v>45823</c:v>
                </c:pt>
                <c:pt idx="472">
                  <c:v>45824</c:v>
                </c:pt>
                <c:pt idx="473">
                  <c:v>45825</c:v>
                </c:pt>
                <c:pt idx="474">
                  <c:v>45826</c:v>
                </c:pt>
                <c:pt idx="475">
                  <c:v>45827</c:v>
                </c:pt>
                <c:pt idx="476">
                  <c:v>45828</c:v>
                </c:pt>
                <c:pt idx="477">
                  <c:v>45829</c:v>
                </c:pt>
                <c:pt idx="478">
                  <c:v>45830</c:v>
                </c:pt>
                <c:pt idx="479">
                  <c:v>45831</c:v>
                </c:pt>
                <c:pt idx="480">
                  <c:v>45832</c:v>
                </c:pt>
                <c:pt idx="481">
                  <c:v>45833</c:v>
                </c:pt>
                <c:pt idx="482">
                  <c:v>45834</c:v>
                </c:pt>
                <c:pt idx="483">
                  <c:v>45835</c:v>
                </c:pt>
                <c:pt idx="484">
                  <c:v>45836</c:v>
                </c:pt>
                <c:pt idx="485">
                  <c:v>45837</c:v>
                </c:pt>
                <c:pt idx="486">
                  <c:v>45838</c:v>
                </c:pt>
                <c:pt idx="487">
                  <c:v>45839</c:v>
                </c:pt>
                <c:pt idx="488">
                  <c:v>45840</c:v>
                </c:pt>
                <c:pt idx="489">
                  <c:v>45841</c:v>
                </c:pt>
                <c:pt idx="490">
                  <c:v>45842</c:v>
                </c:pt>
                <c:pt idx="491">
                  <c:v>45843</c:v>
                </c:pt>
                <c:pt idx="492">
                  <c:v>45844</c:v>
                </c:pt>
                <c:pt idx="493">
                  <c:v>45845</c:v>
                </c:pt>
                <c:pt idx="494">
                  <c:v>45846</c:v>
                </c:pt>
                <c:pt idx="495">
                  <c:v>45847</c:v>
                </c:pt>
                <c:pt idx="496">
                  <c:v>45848</c:v>
                </c:pt>
                <c:pt idx="497">
                  <c:v>45849</c:v>
                </c:pt>
                <c:pt idx="498">
                  <c:v>45850</c:v>
                </c:pt>
                <c:pt idx="499">
                  <c:v>45851</c:v>
                </c:pt>
                <c:pt idx="500">
                  <c:v>45852</c:v>
                </c:pt>
                <c:pt idx="501">
                  <c:v>45853</c:v>
                </c:pt>
                <c:pt idx="502">
                  <c:v>45854</c:v>
                </c:pt>
                <c:pt idx="503">
                  <c:v>45855</c:v>
                </c:pt>
                <c:pt idx="504">
                  <c:v>45856</c:v>
                </c:pt>
                <c:pt idx="505">
                  <c:v>45857</c:v>
                </c:pt>
                <c:pt idx="506">
                  <c:v>45858</c:v>
                </c:pt>
                <c:pt idx="507">
                  <c:v>45859</c:v>
                </c:pt>
                <c:pt idx="508">
                  <c:v>45860</c:v>
                </c:pt>
                <c:pt idx="509">
                  <c:v>45861</c:v>
                </c:pt>
                <c:pt idx="510">
                  <c:v>45862</c:v>
                </c:pt>
                <c:pt idx="511">
                  <c:v>45863</c:v>
                </c:pt>
                <c:pt idx="512">
                  <c:v>45864</c:v>
                </c:pt>
                <c:pt idx="513">
                  <c:v>45865</c:v>
                </c:pt>
                <c:pt idx="514">
                  <c:v>45866</c:v>
                </c:pt>
                <c:pt idx="515">
                  <c:v>45867</c:v>
                </c:pt>
                <c:pt idx="516">
                  <c:v>45868</c:v>
                </c:pt>
                <c:pt idx="517">
                  <c:v>45869</c:v>
                </c:pt>
                <c:pt idx="518">
                  <c:v>45870</c:v>
                </c:pt>
                <c:pt idx="519">
                  <c:v>45871</c:v>
                </c:pt>
                <c:pt idx="520">
                  <c:v>45872</c:v>
                </c:pt>
                <c:pt idx="521">
                  <c:v>45873</c:v>
                </c:pt>
                <c:pt idx="522">
                  <c:v>45874</c:v>
                </c:pt>
                <c:pt idx="523">
                  <c:v>45875</c:v>
                </c:pt>
                <c:pt idx="524">
                  <c:v>45876</c:v>
                </c:pt>
                <c:pt idx="525">
                  <c:v>45877</c:v>
                </c:pt>
                <c:pt idx="526">
                  <c:v>45878</c:v>
                </c:pt>
                <c:pt idx="527">
                  <c:v>45879</c:v>
                </c:pt>
                <c:pt idx="528">
                  <c:v>45880</c:v>
                </c:pt>
                <c:pt idx="529">
                  <c:v>45881</c:v>
                </c:pt>
                <c:pt idx="530">
                  <c:v>45882</c:v>
                </c:pt>
                <c:pt idx="531">
                  <c:v>45883</c:v>
                </c:pt>
                <c:pt idx="532">
                  <c:v>45884</c:v>
                </c:pt>
                <c:pt idx="533">
                  <c:v>45885</c:v>
                </c:pt>
                <c:pt idx="534">
                  <c:v>45886</c:v>
                </c:pt>
                <c:pt idx="535">
                  <c:v>45887</c:v>
                </c:pt>
                <c:pt idx="536">
                  <c:v>45888</c:v>
                </c:pt>
                <c:pt idx="537">
                  <c:v>45889</c:v>
                </c:pt>
                <c:pt idx="538">
                  <c:v>45890</c:v>
                </c:pt>
                <c:pt idx="539">
                  <c:v>45891</c:v>
                </c:pt>
                <c:pt idx="540">
                  <c:v>45892</c:v>
                </c:pt>
                <c:pt idx="541">
                  <c:v>45893</c:v>
                </c:pt>
                <c:pt idx="542">
                  <c:v>45894</c:v>
                </c:pt>
                <c:pt idx="543">
                  <c:v>45895</c:v>
                </c:pt>
                <c:pt idx="544">
                  <c:v>45896</c:v>
                </c:pt>
                <c:pt idx="545">
                  <c:v>45897</c:v>
                </c:pt>
                <c:pt idx="546">
                  <c:v>45898</c:v>
                </c:pt>
                <c:pt idx="547">
                  <c:v>45899</c:v>
                </c:pt>
                <c:pt idx="548">
                  <c:v>45900</c:v>
                </c:pt>
                <c:pt idx="549">
                  <c:v>45901</c:v>
                </c:pt>
                <c:pt idx="550">
                  <c:v>45902</c:v>
                </c:pt>
                <c:pt idx="551">
                  <c:v>45903</c:v>
                </c:pt>
                <c:pt idx="552">
                  <c:v>45904</c:v>
                </c:pt>
                <c:pt idx="553">
                  <c:v>45905</c:v>
                </c:pt>
                <c:pt idx="554">
                  <c:v>45906</c:v>
                </c:pt>
                <c:pt idx="555">
                  <c:v>45907</c:v>
                </c:pt>
                <c:pt idx="556">
                  <c:v>45908</c:v>
                </c:pt>
                <c:pt idx="557">
                  <c:v>45909</c:v>
                </c:pt>
                <c:pt idx="558">
                  <c:v>45910</c:v>
                </c:pt>
                <c:pt idx="559">
                  <c:v>45911</c:v>
                </c:pt>
                <c:pt idx="560">
                  <c:v>45912</c:v>
                </c:pt>
                <c:pt idx="561">
                  <c:v>45913</c:v>
                </c:pt>
                <c:pt idx="562">
                  <c:v>45914</c:v>
                </c:pt>
                <c:pt idx="563">
                  <c:v>45915</c:v>
                </c:pt>
                <c:pt idx="564">
                  <c:v>45916</c:v>
                </c:pt>
                <c:pt idx="565">
                  <c:v>45917</c:v>
                </c:pt>
                <c:pt idx="566">
                  <c:v>45918</c:v>
                </c:pt>
                <c:pt idx="567">
                  <c:v>45919</c:v>
                </c:pt>
                <c:pt idx="568">
                  <c:v>45920</c:v>
                </c:pt>
                <c:pt idx="569">
                  <c:v>45921</c:v>
                </c:pt>
                <c:pt idx="570">
                  <c:v>45922</c:v>
                </c:pt>
                <c:pt idx="571">
                  <c:v>45923</c:v>
                </c:pt>
                <c:pt idx="572">
                  <c:v>45924</c:v>
                </c:pt>
                <c:pt idx="573">
                  <c:v>45925</c:v>
                </c:pt>
                <c:pt idx="574">
                  <c:v>45926</c:v>
                </c:pt>
                <c:pt idx="575">
                  <c:v>45927</c:v>
                </c:pt>
                <c:pt idx="576">
                  <c:v>45928</c:v>
                </c:pt>
                <c:pt idx="577">
                  <c:v>45929</c:v>
                </c:pt>
                <c:pt idx="578">
                  <c:v>45930</c:v>
                </c:pt>
                <c:pt idx="579">
                  <c:v>45931</c:v>
                </c:pt>
                <c:pt idx="580">
                  <c:v>45932</c:v>
                </c:pt>
                <c:pt idx="581">
                  <c:v>45933</c:v>
                </c:pt>
                <c:pt idx="582">
                  <c:v>45934</c:v>
                </c:pt>
                <c:pt idx="583">
                  <c:v>45935</c:v>
                </c:pt>
                <c:pt idx="584">
                  <c:v>45936</c:v>
                </c:pt>
                <c:pt idx="585">
                  <c:v>45937</c:v>
                </c:pt>
                <c:pt idx="586">
                  <c:v>45938</c:v>
                </c:pt>
                <c:pt idx="587">
                  <c:v>45939</c:v>
                </c:pt>
                <c:pt idx="588">
                  <c:v>45940</c:v>
                </c:pt>
                <c:pt idx="589">
                  <c:v>45941</c:v>
                </c:pt>
                <c:pt idx="590">
                  <c:v>45942</c:v>
                </c:pt>
                <c:pt idx="591">
                  <c:v>45943</c:v>
                </c:pt>
                <c:pt idx="592">
                  <c:v>45944</c:v>
                </c:pt>
                <c:pt idx="593">
                  <c:v>45945</c:v>
                </c:pt>
                <c:pt idx="594">
                  <c:v>45946</c:v>
                </c:pt>
                <c:pt idx="595">
                  <c:v>45947</c:v>
                </c:pt>
                <c:pt idx="596">
                  <c:v>45948</c:v>
                </c:pt>
                <c:pt idx="597">
                  <c:v>45949</c:v>
                </c:pt>
                <c:pt idx="598">
                  <c:v>45950</c:v>
                </c:pt>
                <c:pt idx="599">
                  <c:v>45951</c:v>
                </c:pt>
                <c:pt idx="600">
                  <c:v>45952</c:v>
                </c:pt>
                <c:pt idx="601">
                  <c:v>45953</c:v>
                </c:pt>
                <c:pt idx="602">
                  <c:v>45954</c:v>
                </c:pt>
                <c:pt idx="603">
                  <c:v>45955</c:v>
                </c:pt>
                <c:pt idx="604">
                  <c:v>45956</c:v>
                </c:pt>
                <c:pt idx="605">
                  <c:v>45957</c:v>
                </c:pt>
                <c:pt idx="606">
                  <c:v>45958</c:v>
                </c:pt>
                <c:pt idx="607">
                  <c:v>45959</c:v>
                </c:pt>
                <c:pt idx="608">
                  <c:v>45960</c:v>
                </c:pt>
                <c:pt idx="609">
                  <c:v>45961</c:v>
                </c:pt>
                <c:pt idx="610">
                  <c:v>45962</c:v>
                </c:pt>
                <c:pt idx="611">
                  <c:v>45963</c:v>
                </c:pt>
                <c:pt idx="612">
                  <c:v>45964</c:v>
                </c:pt>
                <c:pt idx="613">
                  <c:v>45965</c:v>
                </c:pt>
                <c:pt idx="614">
                  <c:v>45966</c:v>
                </c:pt>
                <c:pt idx="615">
                  <c:v>45967</c:v>
                </c:pt>
                <c:pt idx="616">
                  <c:v>45968</c:v>
                </c:pt>
                <c:pt idx="617">
                  <c:v>45969</c:v>
                </c:pt>
                <c:pt idx="618">
                  <c:v>45970</c:v>
                </c:pt>
                <c:pt idx="619">
                  <c:v>45971</c:v>
                </c:pt>
                <c:pt idx="620">
                  <c:v>45972</c:v>
                </c:pt>
                <c:pt idx="621">
                  <c:v>45973</c:v>
                </c:pt>
                <c:pt idx="622">
                  <c:v>45974</c:v>
                </c:pt>
                <c:pt idx="623">
                  <c:v>45975</c:v>
                </c:pt>
                <c:pt idx="624">
                  <c:v>45976</c:v>
                </c:pt>
                <c:pt idx="625">
                  <c:v>45977</c:v>
                </c:pt>
                <c:pt idx="626">
                  <c:v>45978</c:v>
                </c:pt>
                <c:pt idx="627">
                  <c:v>45979</c:v>
                </c:pt>
                <c:pt idx="628">
                  <c:v>45980</c:v>
                </c:pt>
                <c:pt idx="629">
                  <c:v>45981</c:v>
                </c:pt>
                <c:pt idx="630">
                  <c:v>45982</c:v>
                </c:pt>
                <c:pt idx="631">
                  <c:v>45983</c:v>
                </c:pt>
                <c:pt idx="632">
                  <c:v>45984</c:v>
                </c:pt>
                <c:pt idx="633">
                  <c:v>45985</c:v>
                </c:pt>
                <c:pt idx="634">
                  <c:v>45986</c:v>
                </c:pt>
                <c:pt idx="635">
                  <c:v>45987</c:v>
                </c:pt>
                <c:pt idx="636">
                  <c:v>45988</c:v>
                </c:pt>
                <c:pt idx="637">
                  <c:v>45989</c:v>
                </c:pt>
                <c:pt idx="638">
                  <c:v>45990</c:v>
                </c:pt>
                <c:pt idx="639">
                  <c:v>45991</c:v>
                </c:pt>
                <c:pt idx="640">
                  <c:v>45992</c:v>
                </c:pt>
                <c:pt idx="641">
                  <c:v>45993</c:v>
                </c:pt>
                <c:pt idx="642">
                  <c:v>45994</c:v>
                </c:pt>
                <c:pt idx="643">
                  <c:v>45995</c:v>
                </c:pt>
                <c:pt idx="644">
                  <c:v>45996</c:v>
                </c:pt>
                <c:pt idx="645">
                  <c:v>45997</c:v>
                </c:pt>
              </c:numCache>
            </c:numRef>
          </c:cat>
          <c:val>
            <c:numRef>
              <c:f>'Forecast Sheet'!$C$2:$C$647</c:f>
              <c:numCache>
                <c:formatCode>General</c:formatCode>
                <c:ptCount val="646"/>
                <c:pt idx="387" formatCode="#\ ##0.00\ &quot;zł&quot;">
                  <c:v>204.76</c:v>
                </c:pt>
                <c:pt idx="388" formatCode="#\ ##0.00\ &quot;zł&quot;">
                  <c:v>195.69959866001028</c:v>
                </c:pt>
                <c:pt idx="389" formatCode="#\ ##0.00\ &quot;zł&quot;">
                  <c:v>186.31289360931282</c:v>
                </c:pt>
                <c:pt idx="390" formatCode="#\ ##0.00\ &quot;zł&quot;">
                  <c:v>138.21588121241473</c:v>
                </c:pt>
                <c:pt idx="391" formatCode="#\ ##0.00\ &quot;zł&quot;">
                  <c:v>169.58321867544325</c:v>
                </c:pt>
                <c:pt idx="392" formatCode="#\ ##0.00\ &quot;zł&quot;">
                  <c:v>137.15958362992009</c:v>
                </c:pt>
                <c:pt idx="393" formatCode="#\ ##0.00\ &quot;zł&quot;">
                  <c:v>137.73775452049711</c:v>
                </c:pt>
                <c:pt idx="394" formatCode="#\ ##0.00\ &quot;zł&quot;">
                  <c:v>118.84988409907635</c:v>
                </c:pt>
                <c:pt idx="395" formatCode="#\ ##0.00\ &quot;zł&quot;">
                  <c:v>142.99678630865236</c:v>
                </c:pt>
                <c:pt idx="396" formatCode="#\ ##0.00\ &quot;zł&quot;">
                  <c:v>80.650675720755572</c:v>
                </c:pt>
                <c:pt idx="397" formatCode="#\ ##0.00\ &quot;zł&quot;">
                  <c:v>204.50058189473586</c:v>
                </c:pt>
                <c:pt idx="398" formatCode="#\ ##0.00\ &quot;zł&quot;">
                  <c:v>287.32668089441245</c:v>
                </c:pt>
                <c:pt idx="399" formatCode="#\ ##0.00\ &quot;zł&quot;">
                  <c:v>256.61919303125467</c:v>
                </c:pt>
                <c:pt idx="400" formatCode="#\ ##0.00\ &quot;zł&quot;">
                  <c:v>209.22534396005761</c:v>
                </c:pt>
                <c:pt idx="401" formatCode="#\ ##0.00\ &quot;zł&quot;">
                  <c:v>139.87964462726146</c:v>
                </c:pt>
                <c:pt idx="402" formatCode="#\ ##0.00\ &quot;zł&quot;">
                  <c:v>309.20222335046145</c:v>
                </c:pt>
                <c:pt idx="403" formatCode="#\ ##0.00\ &quot;zł&quot;">
                  <c:v>287.45675615438876</c:v>
                </c:pt>
                <c:pt idx="404" formatCode="#\ ##0.00\ &quot;zł&quot;">
                  <c:v>347.96831295884414</c:v>
                </c:pt>
                <c:pt idx="405" formatCode="#\ ##0.00\ &quot;zł&quot;">
                  <c:v>413.22488025489679</c:v>
                </c:pt>
                <c:pt idx="406" formatCode="#\ ##0.00\ &quot;zł&quot;">
                  <c:v>421.28194896521853</c:v>
                </c:pt>
                <c:pt idx="407" formatCode="#\ ##0.00\ &quot;zł&quot;">
                  <c:v>209.73398407536007</c:v>
                </c:pt>
                <c:pt idx="408" formatCode="#\ ##0.00\ &quot;zł&quot;">
                  <c:v>337.18782007581245</c:v>
                </c:pt>
                <c:pt idx="409" formatCode="#\ ##0.00\ &quot;zł&quot;">
                  <c:v>530.62396524783958</c:v>
                </c:pt>
                <c:pt idx="410" formatCode="#\ ##0.00\ &quot;zł&quot;">
                  <c:v>534.75900228484841</c:v>
                </c:pt>
                <c:pt idx="411" formatCode="#\ ##0.00\ &quot;zł&quot;">
                  <c:v>441.71120136557141</c:v>
                </c:pt>
                <c:pt idx="412" formatCode="#\ ##0.00\ &quot;zł&quot;">
                  <c:v>292.98366774032399</c:v>
                </c:pt>
                <c:pt idx="413" formatCode="#\ ##0.00\ &quot;zł&quot;">
                  <c:v>369.8705547385465</c:v>
                </c:pt>
                <c:pt idx="414" formatCode="#\ ##0.00\ &quot;zł&quot;">
                  <c:v>303.6428626910004</c:v>
                </c:pt>
                <c:pt idx="415" formatCode="#\ ##0.00\ &quot;zł&quot;">
                  <c:v>407.02778096521558</c:v>
                </c:pt>
                <c:pt idx="416" formatCode="#\ ##0.00\ &quot;zł&quot;">
                  <c:v>348.35836062323398</c:v>
                </c:pt>
                <c:pt idx="417" formatCode="#\ ##0.00\ &quot;zł&quot;">
                  <c:v>359.33265382943307</c:v>
                </c:pt>
                <c:pt idx="418" formatCode="#\ ##0.00\ &quot;zł&quot;">
                  <c:v>274.337900477689</c:v>
                </c:pt>
                <c:pt idx="419" formatCode="#\ ##0.00\ &quot;zł&quot;">
                  <c:v>308.84838723546085</c:v>
                </c:pt>
                <c:pt idx="420" formatCode="#\ ##0.00\ &quot;zł&quot;">
                  <c:v>350.3074961908074</c:v>
                </c:pt>
                <c:pt idx="421" formatCode="#\ ##0.00\ &quot;zł&quot;">
                  <c:v>412.91724884836469</c:v>
                </c:pt>
                <c:pt idx="422" formatCode="#\ ##0.00\ &quot;zł&quot;">
                  <c:v>449.38976358495688</c:v>
                </c:pt>
                <c:pt idx="423" formatCode="#\ ##0.00\ &quot;zł&quot;">
                  <c:v>422.35097304513528</c:v>
                </c:pt>
                <c:pt idx="424" formatCode="#\ ##0.00\ &quot;zł&quot;">
                  <c:v>469.88025291159857</c:v>
                </c:pt>
                <c:pt idx="425" formatCode="#\ ##0.00\ &quot;zł&quot;">
                  <c:v>461.01085032014606</c:v>
                </c:pt>
                <c:pt idx="426" formatCode="#\ ##0.00\ &quot;zł&quot;">
                  <c:v>267.0747925186007</c:v>
                </c:pt>
                <c:pt idx="427" formatCode="#\ ##0.00\ &quot;zł&quot;">
                  <c:v>338.68556970287119</c:v>
                </c:pt>
                <c:pt idx="428" formatCode="#\ ##0.00\ &quot;zł&quot;">
                  <c:v>376.09223345857856</c:v>
                </c:pt>
                <c:pt idx="429" formatCode="#\ ##0.00\ &quot;zł&quot;">
                  <c:v>171.22654788434579</c:v>
                </c:pt>
                <c:pt idx="430" formatCode="#\ ##0.00\ &quot;zł&quot;">
                  <c:v>385.34133013873725</c:v>
                </c:pt>
                <c:pt idx="431" formatCode="#\ ##0.00\ &quot;zł&quot;">
                  <c:v>305.74568857473662</c:v>
                </c:pt>
                <c:pt idx="432" formatCode="#\ ##0.00\ &quot;zł&quot;">
                  <c:v>265.81554751437091</c:v>
                </c:pt>
                <c:pt idx="433" formatCode="#\ ##0.00\ &quot;zł&quot;">
                  <c:v>388.87947036382212</c:v>
                </c:pt>
                <c:pt idx="434" formatCode="#\ ##0.00\ &quot;zł&quot;">
                  <c:v>298.63926096284695</c:v>
                </c:pt>
                <c:pt idx="435" formatCode="#\ ##0.00\ &quot;zł&quot;">
                  <c:v>293.65878151333015</c:v>
                </c:pt>
                <c:pt idx="436" formatCode="#\ ##0.00\ &quot;zł&quot;">
                  <c:v>318.19250141987669</c:v>
                </c:pt>
                <c:pt idx="437" formatCode="#\ ##0.00\ &quot;zł&quot;">
                  <c:v>168.16213811064182</c:v>
                </c:pt>
                <c:pt idx="438" formatCode="#\ ##0.00\ &quot;zł&quot;">
                  <c:v>179.30317929562153</c:v>
                </c:pt>
                <c:pt idx="439" formatCode="#\ ##0.00\ &quot;zł&quot;">
                  <c:v>68.071771505544802</c:v>
                </c:pt>
                <c:pt idx="440" formatCode="#\ ##0.00\ &quot;zł&quot;">
                  <c:v>101.63642544341531</c:v>
                </c:pt>
                <c:pt idx="441" formatCode="#\ ##0.00\ &quot;zł&quot;">
                  <c:v>178.00475090582583</c:v>
                </c:pt>
                <c:pt idx="442" formatCode="#\ ##0.00\ &quot;zł&quot;">
                  <c:v>257.96940290041107</c:v>
                </c:pt>
                <c:pt idx="443" formatCode="#\ ##0.00\ &quot;zł&quot;">
                  <c:v>296.85374343659072</c:v>
                </c:pt>
                <c:pt idx="444" formatCode="#\ ##0.00\ &quot;zł&quot;">
                  <c:v>400.26959213766924</c:v>
                </c:pt>
                <c:pt idx="445" formatCode="#\ ##0.00\ &quot;zł&quot;">
                  <c:v>396.38714555509944</c:v>
                </c:pt>
                <c:pt idx="446" formatCode="#\ ##0.00\ &quot;zł&quot;">
                  <c:v>375.9756474060556</c:v>
                </c:pt>
                <c:pt idx="447" formatCode="#\ ##0.00\ &quot;zł&quot;">
                  <c:v>338.95784266026044</c:v>
                </c:pt>
                <c:pt idx="448" formatCode="#\ ##0.00\ &quot;zł&quot;">
                  <c:v>519.72291490512123</c:v>
                </c:pt>
                <c:pt idx="449" formatCode="#\ ##0.00\ &quot;zł&quot;">
                  <c:v>285.40091131149228</c:v>
                </c:pt>
                <c:pt idx="450" formatCode="#\ ##0.00\ &quot;zł&quot;">
                  <c:v>391.19643302317866</c:v>
                </c:pt>
                <c:pt idx="451" formatCode="#\ ##0.00\ &quot;zł&quot;">
                  <c:v>313.1284936664897</c:v>
                </c:pt>
                <c:pt idx="452" formatCode="#\ ##0.00\ &quot;zł&quot;">
                  <c:v>269.33413898434071</c:v>
                </c:pt>
                <c:pt idx="453" formatCode="#\ ##0.00\ &quot;zł&quot;">
                  <c:v>350.39965077941736</c:v>
                </c:pt>
                <c:pt idx="454" formatCode="#\ ##0.00\ &quot;zł&quot;">
                  <c:v>336.14609027019645</c:v>
                </c:pt>
                <c:pt idx="455" formatCode="#\ ##0.00\ &quot;zł&quot;">
                  <c:v>172.57729487543915</c:v>
                </c:pt>
                <c:pt idx="456" formatCode="#\ ##0.00\ &quot;zł&quot;">
                  <c:v>274.81434773849253</c:v>
                </c:pt>
                <c:pt idx="457" formatCode="#\ ##0.00\ &quot;zł&quot;">
                  <c:v>278.21204016670822</c:v>
                </c:pt>
                <c:pt idx="458" formatCode="#\ ##0.00\ &quot;zł&quot;">
                  <c:v>469.47593242430565</c:v>
                </c:pt>
                <c:pt idx="459" formatCode="#\ ##0.00\ &quot;zł&quot;">
                  <c:v>239.61473451504037</c:v>
                </c:pt>
                <c:pt idx="460" formatCode="#\ ##0.00\ &quot;zł&quot;">
                  <c:v>163.98988969409353</c:v>
                </c:pt>
                <c:pt idx="461" formatCode="#\ ##0.00\ &quot;zł&quot;">
                  <c:v>375.35076077338755</c:v>
                </c:pt>
                <c:pt idx="462" formatCode="#\ ##0.00\ &quot;zł&quot;">
                  <c:v>429.20596665059969</c:v>
                </c:pt>
                <c:pt idx="463" formatCode="#\ ##0.00\ &quot;zł&quot;">
                  <c:v>463.08662476434762</c:v>
                </c:pt>
                <c:pt idx="464" formatCode="#\ ##0.00\ &quot;zł&quot;">
                  <c:v>369.17929707170384</c:v>
                </c:pt>
                <c:pt idx="465" formatCode="#\ ##0.00\ &quot;zł&quot;">
                  <c:v>449.34279020679946</c:v>
                </c:pt>
                <c:pt idx="466" formatCode="#\ ##0.00\ &quot;zł&quot;">
                  <c:v>414.62034756206799</c:v>
                </c:pt>
                <c:pt idx="467" formatCode="#\ ##0.00\ &quot;zł&quot;">
                  <c:v>427.20779257925625</c:v>
                </c:pt>
                <c:pt idx="468" formatCode="#\ ##0.00\ &quot;zł&quot;">
                  <c:v>537.18132233430117</c:v>
                </c:pt>
                <c:pt idx="469" formatCode="#\ ##0.00\ &quot;zł&quot;">
                  <c:v>413.37627353894817</c:v>
                </c:pt>
                <c:pt idx="470" formatCode="#\ ##0.00\ &quot;zł&quot;">
                  <c:v>578.96218344768704</c:v>
                </c:pt>
                <c:pt idx="471" formatCode="#\ ##0.00\ &quot;zł&quot;">
                  <c:v>381.56688476705699</c:v>
                </c:pt>
                <c:pt idx="472" formatCode="#\ ##0.00\ &quot;zł&quot;">
                  <c:v>427.26923883728421</c:v>
                </c:pt>
                <c:pt idx="473" formatCode="#\ ##0.00\ &quot;zł&quot;">
                  <c:v>419.77557056508675</c:v>
                </c:pt>
                <c:pt idx="474" formatCode="#\ ##0.00\ &quot;zł&quot;">
                  <c:v>369.31250885809089</c:v>
                </c:pt>
                <c:pt idx="475" formatCode="#\ ##0.00\ &quot;zł&quot;">
                  <c:v>452.57521594429181</c:v>
                </c:pt>
                <c:pt idx="476" formatCode="#\ ##0.00\ &quot;zł&quot;">
                  <c:v>345.73893493451004</c:v>
                </c:pt>
                <c:pt idx="477" formatCode="#\ ##0.00\ &quot;zł&quot;">
                  <c:v>574.64731675833241</c:v>
                </c:pt>
                <c:pt idx="478" formatCode="#\ ##0.00\ &quot;zł&quot;">
                  <c:v>461.15998532459946</c:v>
                </c:pt>
                <c:pt idx="479" formatCode="#\ ##0.00\ &quot;zł&quot;">
                  <c:v>520.4693717756079</c:v>
                </c:pt>
                <c:pt idx="480" formatCode="#\ ##0.00\ &quot;zł&quot;">
                  <c:v>335.00309579789774</c:v>
                </c:pt>
                <c:pt idx="481" formatCode="#\ ##0.00\ &quot;zł&quot;">
                  <c:v>391.47738621616293</c:v>
                </c:pt>
                <c:pt idx="482" formatCode="#\ ##0.00\ &quot;zł&quot;">
                  <c:v>704.96274654030003</c:v>
                </c:pt>
                <c:pt idx="483" formatCode="#\ ##0.00\ &quot;zł&quot;">
                  <c:v>394.54956928931404</c:v>
                </c:pt>
                <c:pt idx="484" formatCode="#\ ##0.00\ &quot;zł&quot;">
                  <c:v>451.80977843644092</c:v>
                </c:pt>
                <c:pt idx="485" formatCode="#\ ##0.00\ &quot;zł&quot;">
                  <c:v>441.92409171869872</c:v>
                </c:pt>
                <c:pt idx="486" formatCode="#\ ##0.00\ &quot;zł&quot;">
                  <c:v>476.84686981606774</c:v>
                </c:pt>
                <c:pt idx="487" formatCode="#\ ##0.00\ &quot;zł&quot;">
                  <c:v>375.00039374742721</c:v>
                </c:pt>
                <c:pt idx="488" formatCode="#\ ##0.00\ &quot;zł&quot;">
                  <c:v>461.45596432695328</c:v>
                </c:pt>
                <c:pt idx="489" formatCode="#\ ##0.00\ &quot;zł&quot;">
                  <c:v>528.24664392372449</c:v>
                </c:pt>
                <c:pt idx="490" formatCode="#\ ##0.00\ &quot;zł&quot;">
                  <c:v>334.8716095301329</c:v>
                </c:pt>
                <c:pt idx="491" formatCode="#\ ##0.00\ &quot;zł&quot;">
                  <c:v>537.68532366175214</c:v>
                </c:pt>
                <c:pt idx="492" formatCode="#\ ##0.00\ &quot;zł&quot;">
                  <c:v>485.32415343559956</c:v>
                </c:pt>
                <c:pt idx="493" formatCode="#\ ##0.00\ &quot;zł&quot;">
                  <c:v>358.10322508456494</c:v>
                </c:pt>
                <c:pt idx="494" formatCode="#\ ##0.00\ &quot;zł&quot;">
                  <c:v>396.73063140486101</c:v>
                </c:pt>
                <c:pt idx="495" formatCode="#\ ##0.00\ &quot;zł&quot;">
                  <c:v>407.53432178390739</c:v>
                </c:pt>
                <c:pt idx="496" formatCode="#\ ##0.00\ &quot;zł&quot;">
                  <c:v>523.47099050581642</c:v>
                </c:pt>
                <c:pt idx="497" formatCode="#\ ##0.00\ &quot;zł&quot;">
                  <c:v>500.24041350344908</c:v>
                </c:pt>
                <c:pt idx="498" formatCode="#\ ##0.00\ &quot;zł&quot;">
                  <c:v>340.86279188064179</c:v>
                </c:pt>
                <c:pt idx="499" formatCode="#\ ##0.00\ &quot;zł&quot;">
                  <c:v>503.20576397724085</c:v>
                </c:pt>
                <c:pt idx="500" formatCode="#\ ##0.00\ &quot;zł&quot;">
                  <c:v>479.94246020606226</c:v>
                </c:pt>
                <c:pt idx="501" formatCode="#\ ##0.00\ &quot;zł&quot;">
                  <c:v>367.7048857248916</c:v>
                </c:pt>
                <c:pt idx="502" formatCode="#\ ##0.00\ &quot;zł&quot;">
                  <c:v>256.79007258591923</c:v>
                </c:pt>
                <c:pt idx="503" formatCode="#\ ##0.00\ &quot;zł&quot;">
                  <c:v>332.39561551307025</c:v>
                </c:pt>
                <c:pt idx="504" formatCode="#\ ##0.00\ &quot;zł&quot;">
                  <c:v>323.95081954696417</c:v>
                </c:pt>
                <c:pt idx="505" formatCode="#\ ##0.00\ &quot;zł&quot;">
                  <c:v>376.41470039771298</c:v>
                </c:pt>
                <c:pt idx="506" formatCode="#\ ##0.00\ &quot;zł&quot;">
                  <c:v>261.91163020724701</c:v>
                </c:pt>
                <c:pt idx="507" formatCode="#\ ##0.00\ &quot;zł&quot;">
                  <c:v>535.46838773547245</c:v>
                </c:pt>
                <c:pt idx="508" formatCode="#\ ##0.00\ &quot;zł&quot;">
                  <c:v>223.6234180677838</c:v>
                </c:pt>
                <c:pt idx="509" formatCode="#\ ##0.00\ &quot;zł&quot;">
                  <c:v>195.45696485329961</c:v>
                </c:pt>
                <c:pt idx="510" formatCode="#\ ##0.00\ &quot;zł&quot;">
                  <c:v>363.50852427091564</c:v>
                </c:pt>
                <c:pt idx="511" formatCode="#\ ##0.00\ &quot;zł&quot;">
                  <c:v>499.88317292682751</c:v>
                </c:pt>
                <c:pt idx="512" formatCode="#\ ##0.00\ &quot;zł&quot;">
                  <c:v>296.75437568223265</c:v>
                </c:pt>
                <c:pt idx="513" formatCode="#\ ##0.00\ &quot;zł&quot;">
                  <c:v>407.6531215783948</c:v>
                </c:pt>
                <c:pt idx="514" formatCode="#\ ##0.00\ &quot;zł&quot;">
                  <c:v>357.57129079016983</c:v>
                </c:pt>
                <c:pt idx="515" formatCode="#\ ##0.00\ &quot;zł&quot;">
                  <c:v>336.34266258168799</c:v>
                </c:pt>
                <c:pt idx="516" formatCode="#\ ##0.00\ &quot;zł&quot;">
                  <c:v>256.89062138007188</c:v>
                </c:pt>
                <c:pt idx="517" formatCode="#\ ##0.00\ &quot;zł&quot;">
                  <c:v>247.83022004008217</c:v>
                </c:pt>
                <c:pt idx="518" formatCode="#\ ##0.00\ &quot;zł&quot;">
                  <c:v>238.44351498938471</c:v>
                </c:pt>
                <c:pt idx="519" formatCode="#\ ##0.00\ &quot;zł&quot;">
                  <c:v>190.34650259248662</c:v>
                </c:pt>
                <c:pt idx="520" formatCode="#\ ##0.00\ &quot;zł&quot;">
                  <c:v>221.71384005551508</c:v>
                </c:pt>
                <c:pt idx="521" formatCode="#\ ##0.00\ &quot;zł&quot;">
                  <c:v>189.29020500999198</c:v>
                </c:pt>
                <c:pt idx="522" formatCode="#\ ##0.00\ &quot;zł&quot;">
                  <c:v>189.86837590056899</c:v>
                </c:pt>
                <c:pt idx="523" formatCode="#\ ##0.00\ &quot;zł&quot;">
                  <c:v>170.98050547914823</c:v>
                </c:pt>
                <c:pt idx="524" formatCode="#\ ##0.00\ &quot;zł&quot;">
                  <c:v>195.12740768872425</c:v>
                </c:pt>
                <c:pt idx="525" formatCode="#\ ##0.00\ &quot;zł&quot;">
                  <c:v>132.78129710082746</c:v>
                </c:pt>
                <c:pt idx="526" formatCode="#\ ##0.00\ &quot;zł&quot;">
                  <c:v>256.63120327480772</c:v>
                </c:pt>
                <c:pt idx="527" formatCode="#\ ##0.00\ &quot;zł&quot;">
                  <c:v>339.45730227448428</c:v>
                </c:pt>
                <c:pt idx="528" formatCode="#\ ##0.00\ &quot;zł&quot;">
                  <c:v>308.7498144113265</c:v>
                </c:pt>
                <c:pt idx="529" formatCode="#\ ##0.00\ &quot;zł&quot;">
                  <c:v>261.3559653401295</c:v>
                </c:pt>
                <c:pt idx="530" formatCode="#\ ##0.00\ &quot;zł&quot;">
                  <c:v>192.01026600733334</c:v>
                </c:pt>
                <c:pt idx="531" formatCode="#\ ##0.00\ &quot;zł&quot;">
                  <c:v>361.33284473053328</c:v>
                </c:pt>
                <c:pt idx="532" formatCode="#\ ##0.00\ &quot;zł&quot;">
                  <c:v>339.58737753446064</c:v>
                </c:pt>
                <c:pt idx="533" formatCode="#\ ##0.00\ &quot;zł&quot;">
                  <c:v>400.09893433891602</c:v>
                </c:pt>
                <c:pt idx="534" formatCode="#\ ##0.00\ &quot;zł&quot;">
                  <c:v>465.35550163496873</c:v>
                </c:pt>
                <c:pt idx="535" formatCode="#\ ##0.00\ &quot;zł&quot;">
                  <c:v>473.41257034529042</c:v>
                </c:pt>
                <c:pt idx="536" formatCode="#\ ##0.00\ &quot;zł&quot;">
                  <c:v>261.8646054554319</c:v>
                </c:pt>
                <c:pt idx="537" formatCode="#\ ##0.00\ &quot;zł&quot;">
                  <c:v>389.31844145588434</c:v>
                </c:pt>
                <c:pt idx="538" formatCode="#\ ##0.00\ &quot;zł&quot;">
                  <c:v>582.75458662791152</c:v>
                </c:pt>
                <c:pt idx="539" formatCode="#\ ##0.00\ &quot;zł&quot;">
                  <c:v>586.88962366492024</c:v>
                </c:pt>
                <c:pt idx="540" formatCode="#\ ##0.00\ &quot;zł&quot;">
                  <c:v>493.8418227456433</c:v>
                </c:pt>
                <c:pt idx="541" formatCode="#\ ##0.00\ &quot;zł&quot;">
                  <c:v>345.11428912039588</c:v>
                </c:pt>
                <c:pt idx="542" formatCode="#\ ##0.00\ &quot;zł&quot;">
                  <c:v>422.00117611861839</c:v>
                </c:pt>
                <c:pt idx="543" formatCode="#\ ##0.00\ &quot;zł&quot;">
                  <c:v>355.77348407107229</c:v>
                </c:pt>
                <c:pt idx="544" formatCode="#\ ##0.00\ &quot;zł&quot;">
                  <c:v>459.15840234528753</c:v>
                </c:pt>
                <c:pt idx="545" formatCode="#\ ##0.00\ &quot;zł&quot;">
                  <c:v>400.48898200330586</c:v>
                </c:pt>
                <c:pt idx="546" formatCode="#\ ##0.00\ &quot;zł&quot;">
                  <c:v>411.46327520950496</c:v>
                </c:pt>
                <c:pt idx="547" formatCode="#\ ##0.00\ &quot;zł&quot;">
                  <c:v>326.46852185776083</c:v>
                </c:pt>
                <c:pt idx="548" formatCode="#\ ##0.00\ &quot;zł&quot;">
                  <c:v>360.97900861553273</c:v>
                </c:pt>
                <c:pt idx="549" formatCode="#\ ##0.00\ &quot;zł&quot;">
                  <c:v>402.43811757087934</c:v>
                </c:pt>
                <c:pt idx="550" formatCode="#\ ##0.00\ &quot;zł&quot;">
                  <c:v>465.04787022843658</c:v>
                </c:pt>
                <c:pt idx="551" formatCode="#\ ##0.00\ &quot;zł&quot;">
                  <c:v>501.52038496502877</c:v>
                </c:pt>
                <c:pt idx="552" formatCode="#\ ##0.00\ &quot;zł&quot;">
                  <c:v>474.48159442520711</c:v>
                </c:pt>
                <c:pt idx="553" formatCode="#\ ##0.00\ &quot;zł&quot;">
                  <c:v>522.01087429167046</c:v>
                </c:pt>
                <c:pt idx="554" formatCode="#\ ##0.00\ &quot;zł&quot;">
                  <c:v>513.14147170021795</c:v>
                </c:pt>
                <c:pt idx="555" formatCode="#\ ##0.00\ &quot;zł&quot;">
                  <c:v>319.20541389867259</c:v>
                </c:pt>
                <c:pt idx="556" formatCode="#\ ##0.00\ &quot;zł&quot;">
                  <c:v>390.81619108294308</c:v>
                </c:pt>
                <c:pt idx="557" formatCode="#\ ##0.00\ &quot;zł&quot;">
                  <c:v>428.22285483865039</c:v>
                </c:pt>
                <c:pt idx="558" formatCode="#\ ##0.00\ &quot;zł&quot;">
                  <c:v>223.35716926441768</c:v>
                </c:pt>
                <c:pt idx="559" formatCode="#\ ##0.00\ &quot;zł&quot;">
                  <c:v>437.47195151880913</c:v>
                </c:pt>
                <c:pt idx="560" formatCode="#\ ##0.00\ &quot;zł&quot;">
                  <c:v>357.87630995480845</c:v>
                </c:pt>
                <c:pt idx="561" formatCode="#\ ##0.00\ &quot;zł&quot;">
                  <c:v>317.94616889444274</c:v>
                </c:pt>
                <c:pt idx="562" formatCode="#\ ##0.00\ &quot;zł&quot;">
                  <c:v>441.01009174389401</c:v>
                </c:pt>
                <c:pt idx="563" formatCode="#\ ##0.00\ &quot;zł&quot;">
                  <c:v>350.76988234291883</c:v>
                </c:pt>
                <c:pt idx="564" formatCode="#\ ##0.00\ &quot;zł&quot;">
                  <c:v>345.78940289340204</c:v>
                </c:pt>
                <c:pt idx="565" formatCode="#\ ##0.00\ &quot;zł&quot;">
                  <c:v>370.32312279994858</c:v>
                </c:pt>
                <c:pt idx="566" formatCode="#\ ##0.00\ &quot;zł&quot;">
                  <c:v>220.29275949071371</c:v>
                </c:pt>
                <c:pt idx="567" formatCode="#\ ##0.00\ &quot;zł&quot;">
                  <c:v>231.43380067569342</c:v>
                </c:pt>
                <c:pt idx="568" formatCode="#\ ##0.00\ &quot;zł&quot;">
                  <c:v>120.20239288561663</c:v>
                </c:pt>
                <c:pt idx="569" formatCode="#\ ##0.00\ &quot;zł&quot;">
                  <c:v>153.76704682348719</c:v>
                </c:pt>
                <c:pt idx="570" formatCode="#\ ##0.00\ &quot;zł&quot;">
                  <c:v>230.13537228589772</c:v>
                </c:pt>
                <c:pt idx="571" formatCode="#\ ##0.00\ &quot;zł&quot;">
                  <c:v>310.10002428048301</c:v>
                </c:pt>
                <c:pt idx="572" formatCode="#\ ##0.00\ &quot;zł&quot;">
                  <c:v>348.98436481666261</c:v>
                </c:pt>
                <c:pt idx="573" formatCode="#\ ##0.00\ &quot;zł&quot;">
                  <c:v>452.40021351774107</c:v>
                </c:pt>
                <c:pt idx="574" formatCode="#\ ##0.00\ &quot;zł&quot;">
                  <c:v>448.51776693517132</c:v>
                </c:pt>
                <c:pt idx="575" formatCode="#\ ##0.00\ &quot;zł&quot;">
                  <c:v>428.10626878612749</c:v>
                </c:pt>
                <c:pt idx="576" formatCode="#\ ##0.00\ &quot;zł&quot;">
                  <c:v>391.08846404033233</c:v>
                </c:pt>
                <c:pt idx="577" formatCode="#\ ##0.00\ &quot;zł&quot;">
                  <c:v>571.85353628519306</c:v>
                </c:pt>
                <c:pt idx="578" formatCode="#\ ##0.00\ &quot;zł&quot;">
                  <c:v>337.53153269156411</c:v>
                </c:pt>
                <c:pt idx="579" formatCode="#\ ##0.00\ &quot;zł&quot;">
                  <c:v>443.32705440325054</c:v>
                </c:pt>
                <c:pt idx="580" formatCode="#\ ##0.00\ &quot;zł&quot;">
                  <c:v>365.25911504656159</c:v>
                </c:pt>
                <c:pt idx="581" formatCode="#\ ##0.00\ &quot;zł&quot;">
                  <c:v>321.4647603644126</c:v>
                </c:pt>
                <c:pt idx="582" formatCode="#\ ##0.00\ &quot;zł&quot;">
                  <c:v>402.53027215948924</c:v>
                </c:pt>
                <c:pt idx="583" formatCode="#\ ##0.00\ &quot;zł&quot;">
                  <c:v>388.27671165026834</c:v>
                </c:pt>
                <c:pt idx="584" formatCode="#\ ##0.00\ &quot;zł&quot;">
                  <c:v>224.70791625551104</c:v>
                </c:pt>
                <c:pt idx="585" formatCode="#\ ##0.00\ &quot;zł&quot;">
                  <c:v>326.94496911856442</c:v>
                </c:pt>
                <c:pt idx="586" formatCode="#\ ##0.00\ &quot;zł&quot;">
                  <c:v>330.34266154678016</c:v>
                </c:pt>
                <c:pt idx="587" formatCode="#\ ##0.00\ &quot;zł&quot;">
                  <c:v>521.60655380437754</c:v>
                </c:pt>
                <c:pt idx="588" formatCode="#\ ##0.00\ &quot;zł&quot;">
                  <c:v>291.74535589511225</c:v>
                </c:pt>
                <c:pt idx="589" formatCode="#\ ##0.00\ &quot;zł&quot;">
                  <c:v>216.12051107416536</c:v>
                </c:pt>
                <c:pt idx="590" formatCode="#\ ##0.00\ &quot;zł&quot;">
                  <c:v>427.48138215345944</c:v>
                </c:pt>
                <c:pt idx="591" formatCode="#\ ##0.00\ &quot;zł&quot;">
                  <c:v>481.33658803067158</c:v>
                </c:pt>
                <c:pt idx="592" formatCode="#\ ##0.00\ &quot;zł&quot;">
                  <c:v>515.21724614441951</c:v>
                </c:pt>
                <c:pt idx="593" formatCode="#\ ##0.00\ &quot;zł&quot;">
                  <c:v>421.30991845177573</c:v>
                </c:pt>
                <c:pt idx="594" formatCode="#\ ##0.00\ &quot;zł&quot;">
                  <c:v>501.47341158687129</c:v>
                </c:pt>
                <c:pt idx="595" formatCode="#\ ##0.00\ &quot;zł&quot;">
                  <c:v>466.75096894213988</c:v>
                </c:pt>
                <c:pt idx="596" formatCode="#\ ##0.00\ &quot;zł&quot;">
                  <c:v>479.33841395932814</c:v>
                </c:pt>
                <c:pt idx="597" formatCode="#\ ##0.00\ &quot;zł&quot;">
                  <c:v>589.311943714373</c:v>
                </c:pt>
                <c:pt idx="598" formatCode="#\ ##0.00\ &quot;zł&quot;">
                  <c:v>465.50689491902006</c:v>
                </c:pt>
                <c:pt idx="599" formatCode="#\ ##0.00\ &quot;zł&quot;">
                  <c:v>631.09280482775898</c:v>
                </c:pt>
                <c:pt idx="600" formatCode="#\ ##0.00\ &quot;zł&quot;">
                  <c:v>433.69750614712888</c:v>
                </c:pt>
                <c:pt idx="601" formatCode="#\ ##0.00\ &quot;zł&quot;">
                  <c:v>479.39986021735609</c:v>
                </c:pt>
                <c:pt idx="602" formatCode="#\ ##0.00\ &quot;zł&quot;">
                  <c:v>471.90619194515864</c:v>
                </c:pt>
                <c:pt idx="603" formatCode="#\ ##0.00\ &quot;zł&quot;">
                  <c:v>421.44313023816278</c:v>
                </c:pt>
                <c:pt idx="604" formatCode="#\ ##0.00\ &quot;zł&quot;">
                  <c:v>504.70583732436376</c:v>
                </c:pt>
                <c:pt idx="605" formatCode="#\ ##0.00\ &quot;zł&quot;">
                  <c:v>397.86955631458187</c:v>
                </c:pt>
                <c:pt idx="606" formatCode="#\ ##0.00\ &quot;zł&quot;">
                  <c:v>626.77793813840435</c:v>
                </c:pt>
                <c:pt idx="607" formatCode="#\ ##0.00\ &quot;zł&quot;">
                  <c:v>513.2906067046714</c:v>
                </c:pt>
                <c:pt idx="608" formatCode="#\ ##0.00\ &quot;zł&quot;">
                  <c:v>572.59999315567973</c:v>
                </c:pt>
                <c:pt idx="609" formatCode="#\ ##0.00\ &quot;zł&quot;">
                  <c:v>387.13371717796963</c:v>
                </c:pt>
                <c:pt idx="610" formatCode="#\ ##0.00\ &quot;zł&quot;">
                  <c:v>443.60800759623476</c:v>
                </c:pt>
                <c:pt idx="611" formatCode="#\ ##0.00\ &quot;zł&quot;">
                  <c:v>757.09336792037197</c:v>
                </c:pt>
                <c:pt idx="612" formatCode="#\ ##0.00\ &quot;zł&quot;">
                  <c:v>446.68019066938592</c:v>
                </c:pt>
                <c:pt idx="613" formatCode="#\ ##0.00\ &quot;zł&quot;">
                  <c:v>503.94039981651281</c:v>
                </c:pt>
                <c:pt idx="614" formatCode="#\ ##0.00\ &quot;zł&quot;">
                  <c:v>494.05471309877066</c:v>
                </c:pt>
                <c:pt idx="615" formatCode="#\ ##0.00\ &quot;zł&quot;">
                  <c:v>528.97749119613957</c:v>
                </c:pt>
                <c:pt idx="616" formatCode="#\ ##0.00\ &quot;zł&quot;">
                  <c:v>427.1310151274991</c:v>
                </c:pt>
                <c:pt idx="617" formatCode="#\ ##0.00\ &quot;zł&quot;">
                  <c:v>513.58658570702516</c:v>
                </c:pt>
                <c:pt idx="618" formatCode="#\ ##0.00\ &quot;zł&quot;">
                  <c:v>580.37726530379643</c:v>
                </c:pt>
                <c:pt idx="619" formatCode="#\ ##0.00\ &quot;zł&quot;">
                  <c:v>387.00223091020479</c:v>
                </c:pt>
                <c:pt idx="620" formatCode="#\ ##0.00\ &quot;zł&quot;">
                  <c:v>589.81594504182408</c:v>
                </c:pt>
                <c:pt idx="621" formatCode="#\ ##0.00\ &quot;zł&quot;">
                  <c:v>537.4547748156715</c:v>
                </c:pt>
                <c:pt idx="622" formatCode="#\ ##0.00\ &quot;zł&quot;">
                  <c:v>410.23384646463683</c:v>
                </c:pt>
                <c:pt idx="623" formatCode="#\ ##0.00\ &quot;zł&quot;">
                  <c:v>448.86125278493296</c:v>
                </c:pt>
                <c:pt idx="624" formatCode="#\ ##0.00\ &quot;zł&quot;">
                  <c:v>459.66494316397927</c:v>
                </c:pt>
                <c:pt idx="625" formatCode="#\ ##0.00\ &quot;zł&quot;">
                  <c:v>575.60161188588836</c:v>
                </c:pt>
                <c:pt idx="626" formatCode="#\ ##0.00\ &quot;zł&quot;">
                  <c:v>552.37103488352091</c:v>
                </c:pt>
                <c:pt idx="627" formatCode="#\ ##0.00\ &quot;zł&quot;">
                  <c:v>392.99341326071368</c:v>
                </c:pt>
                <c:pt idx="628" formatCode="#\ ##0.00\ &quot;zł&quot;">
                  <c:v>555.33638535731279</c:v>
                </c:pt>
                <c:pt idx="629" formatCode="#\ ##0.00\ &quot;zł&quot;">
                  <c:v>532.07308158613421</c:v>
                </c:pt>
                <c:pt idx="630" formatCode="#\ ##0.00\ &quot;zł&quot;">
                  <c:v>419.83550710496348</c:v>
                </c:pt>
                <c:pt idx="631" formatCode="#\ ##0.00\ &quot;zł&quot;">
                  <c:v>308.92069396599106</c:v>
                </c:pt>
                <c:pt idx="632" formatCode="#\ ##0.00\ &quot;zł&quot;">
                  <c:v>384.52623689314214</c:v>
                </c:pt>
                <c:pt idx="633" formatCode="#\ ##0.00\ &quot;zł&quot;">
                  <c:v>376.08144092703606</c:v>
                </c:pt>
                <c:pt idx="634" formatCode="#\ ##0.00\ &quot;zł&quot;">
                  <c:v>428.54532177778486</c:v>
                </c:pt>
                <c:pt idx="635" formatCode="#\ ##0.00\ &quot;zł&quot;">
                  <c:v>314.0422515873189</c:v>
                </c:pt>
                <c:pt idx="636" formatCode="#\ ##0.00\ &quot;zł&quot;">
                  <c:v>587.59900911554428</c:v>
                </c:pt>
                <c:pt idx="637" formatCode="#\ ##0.00\ &quot;zł&quot;">
                  <c:v>275.75403944785569</c:v>
                </c:pt>
                <c:pt idx="638" formatCode="#\ ##0.00\ &quot;zł&quot;">
                  <c:v>247.5875862333715</c:v>
                </c:pt>
                <c:pt idx="639" formatCode="#\ ##0.00\ &quot;zł&quot;">
                  <c:v>415.63914565098753</c:v>
                </c:pt>
                <c:pt idx="640" formatCode="#\ ##0.00\ &quot;zł&quot;">
                  <c:v>552.0137943068994</c:v>
                </c:pt>
                <c:pt idx="641" formatCode="#\ ##0.00\ &quot;zł&quot;">
                  <c:v>348.88499706230454</c:v>
                </c:pt>
                <c:pt idx="642" formatCode="#\ ##0.00\ &quot;zł&quot;">
                  <c:v>459.78374295846663</c:v>
                </c:pt>
                <c:pt idx="643" formatCode="#\ ##0.00\ &quot;zł&quot;">
                  <c:v>409.70191217024171</c:v>
                </c:pt>
                <c:pt idx="644" formatCode="#\ ##0.00\ &quot;zł&quot;">
                  <c:v>388.47328396175993</c:v>
                </c:pt>
                <c:pt idx="645" formatCode="#\ ##0.00\ &quot;zł&quot;">
                  <c:v>309.02124276014376</c:v>
                </c:pt>
              </c:numCache>
            </c:numRef>
          </c:val>
          <c:smooth val="0"/>
          <c:extLst>
            <c:ext xmlns:c16="http://schemas.microsoft.com/office/drawing/2014/chart" uri="{C3380CC4-5D6E-409C-BE32-E72D297353CC}">
              <c16:uniqueId val="{00000001-DD93-45C8-91E4-2C512E033A29}"/>
            </c:ext>
          </c:extLst>
        </c:ser>
        <c:ser>
          <c:idx val="2"/>
          <c:order val="2"/>
          <c:tx>
            <c:strRef>
              <c:f>'Forecast Sheet'!$D$1</c:f>
              <c:strCache>
                <c:ptCount val="1"/>
                <c:pt idx="0">
                  <c:v>Lower Confidence Bound(Sum of money)</c:v>
                </c:pt>
              </c:strCache>
            </c:strRef>
          </c:tx>
          <c:spPr>
            <a:ln w="12700" cap="rnd">
              <a:solidFill>
                <a:srgbClr val="E97132"/>
              </a:solidFill>
              <a:prstDash val="solid"/>
              <a:round/>
            </a:ln>
            <a:effectLst/>
          </c:spPr>
          <c:marker>
            <c:symbol val="none"/>
          </c:marker>
          <c:cat>
            <c:numRef>
              <c:f>'Forecast Sheet'!$A$2:$A$647</c:f>
              <c:numCache>
                <c:formatCode>m/d/yyyy</c:formatCode>
                <c:ptCount val="646"/>
                <c:pt idx="0">
                  <c:v>45352</c:v>
                </c:pt>
                <c:pt idx="1">
                  <c:v>45353</c:v>
                </c:pt>
                <c:pt idx="2">
                  <c:v>45354</c:v>
                </c:pt>
                <c:pt idx="3">
                  <c:v>45355</c:v>
                </c:pt>
                <c:pt idx="4">
                  <c:v>45356</c:v>
                </c:pt>
                <c:pt idx="5">
                  <c:v>45357</c:v>
                </c:pt>
                <c:pt idx="6">
                  <c:v>45358</c:v>
                </c:pt>
                <c:pt idx="7">
                  <c:v>45359</c:v>
                </c:pt>
                <c:pt idx="8">
                  <c:v>45360</c:v>
                </c:pt>
                <c:pt idx="9">
                  <c:v>45361</c:v>
                </c:pt>
                <c:pt idx="10">
                  <c:v>45362</c:v>
                </c:pt>
                <c:pt idx="11">
                  <c:v>45363</c:v>
                </c:pt>
                <c:pt idx="12">
                  <c:v>45364</c:v>
                </c:pt>
                <c:pt idx="13">
                  <c:v>45365</c:v>
                </c:pt>
                <c:pt idx="14">
                  <c:v>45366</c:v>
                </c:pt>
                <c:pt idx="15">
                  <c:v>45367</c:v>
                </c:pt>
                <c:pt idx="16">
                  <c:v>45368</c:v>
                </c:pt>
                <c:pt idx="17">
                  <c:v>45369</c:v>
                </c:pt>
                <c:pt idx="18">
                  <c:v>45370</c:v>
                </c:pt>
                <c:pt idx="19">
                  <c:v>45371</c:v>
                </c:pt>
                <c:pt idx="20">
                  <c:v>45372</c:v>
                </c:pt>
                <c:pt idx="21">
                  <c:v>45373</c:v>
                </c:pt>
                <c:pt idx="22">
                  <c:v>45374</c:v>
                </c:pt>
                <c:pt idx="23">
                  <c:v>45375</c:v>
                </c:pt>
                <c:pt idx="24">
                  <c:v>45376</c:v>
                </c:pt>
                <c:pt idx="25">
                  <c:v>45377</c:v>
                </c:pt>
                <c:pt idx="26">
                  <c:v>45378</c:v>
                </c:pt>
                <c:pt idx="27">
                  <c:v>45379</c:v>
                </c:pt>
                <c:pt idx="28">
                  <c:v>45380</c:v>
                </c:pt>
                <c:pt idx="29">
                  <c:v>45381</c:v>
                </c:pt>
                <c:pt idx="30">
                  <c:v>45382</c:v>
                </c:pt>
                <c:pt idx="31">
                  <c:v>45383</c:v>
                </c:pt>
                <c:pt idx="32">
                  <c:v>45384</c:v>
                </c:pt>
                <c:pt idx="33">
                  <c:v>45385</c:v>
                </c:pt>
                <c:pt idx="34">
                  <c:v>45386</c:v>
                </c:pt>
                <c:pt idx="35">
                  <c:v>45387</c:v>
                </c:pt>
                <c:pt idx="36">
                  <c:v>45388</c:v>
                </c:pt>
                <c:pt idx="37">
                  <c:v>45389</c:v>
                </c:pt>
                <c:pt idx="38">
                  <c:v>45390</c:v>
                </c:pt>
                <c:pt idx="39">
                  <c:v>45391</c:v>
                </c:pt>
                <c:pt idx="40">
                  <c:v>45392</c:v>
                </c:pt>
                <c:pt idx="41">
                  <c:v>45393</c:v>
                </c:pt>
                <c:pt idx="42">
                  <c:v>45394</c:v>
                </c:pt>
                <c:pt idx="43">
                  <c:v>45395</c:v>
                </c:pt>
                <c:pt idx="44">
                  <c:v>45396</c:v>
                </c:pt>
                <c:pt idx="45">
                  <c:v>45397</c:v>
                </c:pt>
                <c:pt idx="46">
                  <c:v>45398</c:v>
                </c:pt>
                <c:pt idx="47">
                  <c:v>45399</c:v>
                </c:pt>
                <c:pt idx="48">
                  <c:v>45400</c:v>
                </c:pt>
                <c:pt idx="49">
                  <c:v>45401</c:v>
                </c:pt>
                <c:pt idx="50">
                  <c:v>45402</c:v>
                </c:pt>
                <c:pt idx="51">
                  <c:v>45403</c:v>
                </c:pt>
                <c:pt idx="52">
                  <c:v>45404</c:v>
                </c:pt>
                <c:pt idx="53">
                  <c:v>45405</c:v>
                </c:pt>
                <c:pt idx="54">
                  <c:v>45406</c:v>
                </c:pt>
                <c:pt idx="55">
                  <c:v>45407</c:v>
                </c:pt>
                <c:pt idx="56">
                  <c:v>45408</c:v>
                </c:pt>
                <c:pt idx="57">
                  <c:v>45409</c:v>
                </c:pt>
                <c:pt idx="58">
                  <c:v>45410</c:v>
                </c:pt>
                <c:pt idx="59">
                  <c:v>45411</c:v>
                </c:pt>
                <c:pt idx="60">
                  <c:v>45412</c:v>
                </c:pt>
                <c:pt idx="61">
                  <c:v>45413</c:v>
                </c:pt>
                <c:pt idx="62">
                  <c:v>45414</c:v>
                </c:pt>
                <c:pt idx="63">
                  <c:v>45415</c:v>
                </c:pt>
                <c:pt idx="64">
                  <c:v>45416</c:v>
                </c:pt>
                <c:pt idx="65">
                  <c:v>45417</c:v>
                </c:pt>
                <c:pt idx="66">
                  <c:v>45418</c:v>
                </c:pt>
                <c:pt idx="67">
                  <c:v>45419</c:v>
                </c:pt>
                <c:pt idx="68">
                  <c:v>45420</c:v>
                </c:pt>
                <c:pt idx="69">
                  <c:v>45421</c:v>
                </c:pt>
                <c:pt idx="70">
                  <c:v>45422</c:v>
                </c:pt>
                <c:pt idx="71">
                  <c:v>45423</c:v>
                </c:pt>
                <c:pt idx="72">
                  <c:v>45424</c:v>
                </c:pt>
                <c:pt idx="73">
                  <c:v>45425</c:v>
                </c:pt>
                <c:pt idx="74">
                  <c:v>45426</c:v>
                </c:pt>
                <c:pt idx="75">
                  <c:v>45427</c:v>
                </c:pt>
                <c:pt idx="76">
                  <c:v>45428</c:v>
                </c:pt>
                <c:pt idx="77">
                  <c:v>45429</c:v>
                </c:pt>
                <c:pt idx="78">
                  <c:v>45430</c:v>
                </c:pt>
                <c:pt idx="79">
                  <c:v>45431</c:v>
                </c:pt>
                <c:pt idx="80">
                  <c:v>45432</c:v>
                </c:pt>
                <c:pt idx="81">
                  <c:v>45433</c:v>
                </c:pt>
                <c:pt idx="82">
                  <c:v>45434</c:v>
                </c:pt>
                <c:pt idx="83">
                  <c:v>45435</c:v>
                </c:pt>
                <c:pt idx="84">
                  <c:v>45436</c:v>
                </c:pt>
                <c:pt idx="85">
                  <c:v>45437</c:v>
                </c:pt>
                <c:pt idx="86">
                  <c:v>45438</c:v>
                </c:pt>
                <c:pt idx="87">
                  <c:v>45439</c:v>
                </c:pt>
                <c:pt idx="88">
                  <c:v>45440</c:v>
                </c:pt>
                <c:pt idx="89">
                  <c:v>45441</c:v>
                </c:pt>
                <c:pt idx="90">
                  <c:v>45442</c:v>
                </c:pt>
                <c:pt idx="91">
                  <c:v>45443</c:v>
                </c:pt>
                <c:pt idx="92">
                  <c:v>45444</c:v>
                </c:pt>
                <c:pt idx="93">
                  <c:v>45445</c:v>
                </c:pt>
                <c:pt idx="94">
                  <c:v>45446</c:v>
                </c:pt>
                <c:pt idx="95">
                  <c:v>45447</c:v>
                </c:pt>
                <c:pt idx="96">
                  <c:v>45448</c:v>
                </c:pt>
                <c:pt idx="97">
                  <c:v>45449</c:v>
                </c:pt>
                <c:pt idx="98">
                  <c:v>45450</c:v>
                </c:pt>
                <c:pt idx="99">
                  <c:v>45451</c:v>
                </c:pt>
                <c:pt idx="100">
                  <c:v>45452</c:v>
                </c:pt>
                <c:pt idx="101">
                  <c:v>45453</c:v>
                </c:pt>
                <c:pt idx="102">
                  <c:v>45454</c:v>
                </c:pt>
                <c:pt idx="103">
                  <c:v>45455</c:v>
                </c:pt>
                <c:pt idx="104">
                  <c:v>45456</c:v>
                </c:pt>
                <c:pt idx="105">
                  <c:v>45457</c:v>
                </c:pt>
                <c:pt idx="106">
                  <c:v>45458</c:v>
                </c:pt>
                <c:pt idx="107">
                  <c:v>45459</c:v>
                </c:pt>
                <c:pt idx="108">
                  <c:v>45460</c:v>
                </c:pt>
                <c:pt idx="109">
                  <c:v>45461</c:v>
                </c:pt>
                <c:pt idx="110">
                  <c:v>45462</c:v>
                </c:pt>
                <c:pt idx="111">
                  <c:v>45463</c:v>
                </c:pt>
                <c:pt idx="112">
                  <c:v>45464</c:v>
                </c:pt>
                <c:pt idx="113">
                  <c:v>45465</c:v>
                </c:pt>
                <c:pt idx="114">
                  <c:v>45466</c:v>
                </c:pt>
                <c:pt idx="115">
                  <c:v>45467</c:v>
                </c:pt>
                <c:pt idx="116">
                  <c:v>45468</c:v>
                </c:pt>
                <c:pt idx="117">
                  <c:v>45469</c:v>
                </c:pt>
                <c:pt idx="118">
                  <c:v>45470</c:v>
                </c:pt>
                <c:pt idx="119">
                  <c:v>45471</c:v>
                </c:pt>
                <c:pt idx="120">
                  <c:v>45472</c:v>
                </c:pt>
                <c:pt idx="121">
                  <c:v>45473</c:v>
                </c:pt>
                <c:pt idx="122">
                  <c:v>45474</c:v>
                </c:pt>
                <c:pt idx="123">
                  <c:v>45475</c:v>
                </c:pt>
                <c:pt idx="124">
                  <c:v>45476</c:v>
                </c:pt>
                <c:pt idx="125">
                  <c:v>45477</c:v>
                </c:pt>
                <c:pt idx="126">
                  <c:v>45478</c:v>
                </c:pt>
                <c:pt idx="127">
                  <c:v>45479</c:v>
                </c:pt>
                <c:pt idx="128">
                  <c:v>45480</c:v>
                </c:pt>
                <c:pt idx="129">
                  <c:v>45481</c:v>
                </c:pt>
                <c:pt idx="130">
                  <c:v>45482</c:v>
                </c:pt>
                <c:pt idx="131">
                  <c:v>45483</c:v>
                </c:pt>
                <c:pt idx="132">
                  <c:v>45484</c:v>
                </c:pt>
                <c:pt idx="133">
                  <c:v>45485</c:v>
                </c:pt>
                <c:pt idx="134">
                  <c:v>45486</c:v>
                </c:pt>
                <c:pt idx="135">
                  <c:v>45487</c:v>
                </c:pt>
                <c:pt idx="136">
                  <c:v>45488</c:v>
                </c:pt>
                <c:pt idx="137">
                  <c:v>45489</c:v>
                </c:pt>
                <c:pt idx="138">
                  <c:v>45490</c:v>
                </c:pt>
                <c:pt idx="139">
                  <c:v>45491</c:v>
                </c:pt>
                <c:pt idx="140">
                  <c:v>45492</c:v>
                </c:pt>
                <c:pt idx="141">
                  <c:v>45493</c:v>
                </c:pt>
                <c:pt idx="142">
                  <c:v>45494</c:v>
                </c:pt>
                <c:pt idx="143">
                  <c:v>45495</c:v>
                </c:pt>
                <c:pt idx="144">
                  <c:v>45496</c:v>
                </c:pt>
                <c:pt idx="145">
                  <c:v>45497</c:v>
                </c:pt>
                <c:pt idx="146">
                  <c:v>45498</c:v>
                </c:pt>
                <c:pt idx="147">
                  <c:v>45499</c:v>
                </c:pt>
                <c:pt idx="148">
                  <c:v>45500</c:v>
                </c:pt>
                <c:pt idx="149">
                  <c:v>45501</c:v>
                </c:pt>
                <c:pt idx="150">
                  <c:v>45502</c:v>
                </c:pt>
                <c:pt idx="151">
                  <c:v>45503</c:v>
                </c:pt>
                <c:pt idx="152">
                  <c:v>45504</c:v>
                </c:pt>
                <c:pt idx="153">
                  <c:v>45505</c:v>
                </c:pt>
                <c:pt idx="154">
                  <c:v>45506</c:v>
                </c:pt>
                <c:pt idx="155">
                  <c:v>45507</c:v>
                </c:pt>
                <c:pt idx="156">
                  <c:v>45508</c:v>
                </c:pt>
                <c:pt idx="157">
                  <c:v>45509</c:v>
                </c:pt>
                <c:pt idx="158">
                  <c:v>45510</c:v>
                </c:pt>
                <c:pt idx="159">
                  <c:v>45511</c:v>
                </c:pt>
                <c:pt idx="160">
                  <c:v>45512</c:v>
                </c:pt>
                <c:pt idx="161">
                  <c:v>45513</c:v>
                </c:pt>
                <c:pt idx="162">
                  <c:v>45514</c:v>
                </c:pt>
                <c:pt idx="163">
                  <c:v>45515</c:v>
                </c:pt>
                <c:pt idx="164">
                  <c:v>45516</c:v>
                </c:pt>
                <c:pt idx="165">
                  <c:v>45517</c:v>
                </c:pt>
                <c:pt idx="166">
                  <c:v>45518</c:v>
                </c:pt>
                <c:pt idx="167">
                  <c:v>45519</c:v>
                </c:pt>
                <c:pt idx="168">
                  <c:v>45520</c:v>
                </c:pt>
                <c:pt idx="169">
                  <c:v>45521</c:v>
                </c:pt>
                <c:pt idx="170">
                  <c:v>45522</c:v>
                </c:pt>
                <c:pt idx="171">
                  <c:v>45523</c:v>
                </c:pt>
                <c:pt idx="172">
                  <c:v>45524</c:v>
                </c:pt>
                <c:pt idx="173">
                  <c:v>45525</c:v>
                </c:pt>
                <c:pt idx="174">
                  <c:v>45526</c:v>
                </c:pt>
                <c:pt idx="175">
                  <c:v>45527</c:v>
                </c:pt>
                <c:pt idx="176">
                  <c:v>45528</c:v>
                </c:pt>
                <c:pt idx="177">
                  <c:v>45529</c:v>
                </c:pt>
                <c:pt idx="178">
                  <c:v>45530</c:v>
                </c:pt>
                <c:pt idx="179">
                  <c:v>45531</c:v>
                </c:pt>
                <c:pt idx="180">
                  <c:v>45532</c:v>
                </c:pt>
                <c:pt idx="181">
                  <c:v>45533</c:v>
                </c:pt>
                <c:pt idx="182">
                  <c:v>45534</c:v>
                </c:pt>
                <c:pt idx="183">
                  <c:v>45535</c:v>
                </c:pt>
                <c:pt idx="184">
                  <c:v>45536</c:v>
                </c:pt>
                <c:pt idx="185">
                  <c:v>45537</c:v>
                </c:pt>
                <c:pt idx="186">
                  <c:v>45538</c:v>
                </c:pt>
                <c:pt idx="187">
                  <c:v>45539</c:v>
                </c:pt>
                <c:pt idx="188">
                  <c:v>45540</c:v>
                </c:pt>
                <c:pt idx="189">
                  <c:v>45541</c:v>
                </c:pt>
                <c:pt idx="190">
                  <c:v>45542</c:v>
                </c:pt>
                <c:pt idx="191">
                  <c:v>45543</c:v>
                </c:pt>
                <c:pt idx="192">
                  <c:v>45544</c:v>
                </c:pt>
                <c:pt idx="193">
                  <c:v>45545</c:v>
                </c:pt>
                <c:pt idx="194">
                  <c:v>45546</c:v>
                </c:pt>
                <c:pt idx="195">
                  <c:v>45547</c:v>
                </c:pt>
                <c:pt idx="196">
                  <c:v>45548</c:v>
                </c:pt>
                <c:pt idx="197">
                  <c:v>45549</c:v>
                </c:pt>
                <c:pt idx="198">
                  <c:v>45550</c:v>
                </c:pt>
                <c:pt idx="199">
                  <c:v>45551</c:v>
                </c:pt>
                <c:pt idx="200">
                  <c:v>45552</c:v>
                </c:pt>
                <c:pt idx="201">
                  <c:v>45553</c:v>
                </c:pt>
                <c:pt idx="202">
                  <c:v>45554</c:v>
                </c:pt>
                <c:pt idx="203">
                  <c:v>45555</c:v>
                </c:pt>
                <c:pt idx="204">
                  <c:v>45556</c:v>
                </c:pt>
                <c:pt idx="205">
                  <c:v>45557</c:v>
                </c:pt>
                <c:pt idx="206">
                  <c:v>45558</c:v>
                </c:pt>
                <c:pt idx="207">
                  <c:v>45559</c:v>
                </c:pt>
                <c:pt idx="208">
                  <c:v>45560</c:v>
                </c:pt>
                <c:pt idx="209">
                  <c:v>45561</c:v>
                </c:pt>
                <c:pt idx="210">
                  <c:v>45562</c:v>
                </c:pt>
                <c:pt idx="211">
                  <c:v>45563</c:v>
                </c:pt>
                <c:pt idx="212">
                  <c:v>45564</c:v>
                </c:pt>
                <c:pt idx="213">
                  <c:v>45565</c:v>
                </c:pt>
                <c:pt idx="214">
                  <c:v>45566</c:v>
                </c:pt>
                <c:pt idx="215">
                  <c:v>45567</c:v>
                </c:pt>
                <c:pt idx="216">
                  <c:v>45568</c:v>
                </c:pt>
                <c:pt idx="217">
                  <c:v>45569</c:v>
                </c:pt>
                <c:pt idx="218">
                  <c:v>45570</c:v>
                </c:pt>
                <c:pt idx="219">
                  <c:v>45571</c:v>
                </c:pt>
                <c:pt idx="220">
                  <c:v>45572</c:v>
                </c:pt>
                <c:pt idx="221">
                  <c:v>45573</c:v>
                </c:pt>
                <c:pt idx="222">
                  <c:v>45574</c:v>
                </c:pt>
                <c:pt idx="223">
                  <c:v>45575</c:v>
                </c:pt>
                <c:pt idx="224">
                  <c:v>45576</c:v>
                </c:pt>
                <c:pt idx="225">
                  <c:v>45577</c:v>
                </c:pt>
                <c:pt idx="226">
                  <c:v>45578</c:v>
                </c:pt>
                <c:pt idx="227">
                  <c:v>45579</c:v>
                </c:pt>
                <c:pt idx="228">
                  <c:v>45580</c:v>
                </c:pt>
                <c:pt idx="229">
                  <c:v>45581</c:v>
                </c:pt>
                <c:pt idx="230">
                  <c:v>45582</c:v>
                </c:pt>
                <c:pt idx="231">
                  <c:v>45583</c:v>
                </c:pt>
                <c:pt idx="232">
                  <c:v>45584</c:v>
                </c:pt>
                <c:pt idx="233">
                  <c:v>45585</c:v>
                </c:pt>
                <c:pt idx="234">
                  <c:v>45586</c:v>
                </c:pt>
                <c:pt idx="235">
                  <c:v>45587</c:v>
                </c:pt>
                <c:pt idx="236">
                  <c:v>45588</c:v>
                </c:pt>
                <c:pt idx="237">
                  <c:v>45589</c:v>
                </c:pt>
                <c:pt idx="238">
                  <c:v>45590</c:v>
                </c:pt>
                <c:pt idx="239">
                  <c:v>45591</c:v>
                </c:pt>
                <c:pt idx="240">
                  <c:v>45592</c:v>
                </c:pt>
                <c:pt idx="241">
                  <c:v>45593</c:v>
                </c:pt>
                <c:pt idx="242">
                  <c:v>45594</c:v>
                </c:pt>
                <c:pt idx="243">
                  <c:v>45595</c:v>
                </c:pt>
                <c:pt idx="244">
                  <c:v>45596</c:v>
                </c:pt>
                <c:pt idx="245">
                  <c:v>45597</c:v>
                </c:pt>
                <c:pt idx="246">
                  <c:v>45598</c:v>
                </c:pt>
                <c:pt idx="247">
                  <c:v>45599</c:v>
                </c:pt>
                <c:pt idx="248">
                  <c:v>45600</c:v>
                </c:pt>
                <c:pt idx="249">
                  <c:v>45601</c:v>
                </c:pt>
                <c:pt idx="250">
                  <c:v>45602</c:v>
                </c:pt>
                <c:pt idx="251">
                  <c:v>45603</c:v>
                </c:pt>
                <c:pt idx="252">
                  <c:v>45604</c:v>
                </c:pt>
                <c:pt idx="253">
                  <c:v>45605</c:v>
                </c:pt>
                <c:pt idx="254">
                  <c:v>45606</c:v>
                </c:pt>
                <c:pt idx="255">
                  <c:v>45607</c:v>
                </c:pt>
                <c:pt idx="256">
                  <c:v>45608</c:v>
                </c:pt>
                <c:pt idx="257">
                  <c:v>45609</c:v>
                </c:pt>
                <c:pt idx="258">
                  <c:v>45610</c:v>
                </c:pt>
                <c:pt idx="259">
                  <c:v>45611</c:v>
                </c:pt>
                <c:pt idx="260">
                  <c:v>45612</c:v>
                </c:pt>
                <c:pt idx="261">
                  <c:v>45613</c:v>
                </c:pt>
                <c:pt idx="262">
                  <c:v>45614</c:v>
                </c:pt>
                <c:pt idx="263">
                  <c:v>45615</c:v>
                </c:pt>
                <c:pt idx="264">
                  <c:v>45616</c:v>
                </c:pt>
                <c:pt idx="265">
                  <c:v>45617</c:v>
                </c:pt>
                <c:pt idx="266">
                  <c:v>45618</c:v>
                </c:pt>
                <c:pt idx="267">
                  <c:v>45619</c:v>
                </c:pt>
                <c:pt idx="268">
                  <c:v>45620</c:v>
                </c:pt>
                <c:pt idx="269">
                  <c:v>45621</c:v>
                </c:pt>
                <c:pt idx="270">
                  <c:v>45622</c:v>
                </c:pt>
                <c:pt idx="271">
                  <c:v>45623</c:v>
                </c:pt>
                <c:pt idx="272">
                  <c:v>45624</c:v>
                </c:pt>
                <c:pt idx="273">
                  <c:v>45625</c:v>
                </c:pt>
                <c:pt idx="274">
                  <c:v>45626</c:v>
                </c:pt>
                <c:pt idx="275">
                  <c:v>45627</c:v>
                </c:pt>
                <c:pt idx="276">
                  <c:v>45628</c:v>
                </c:pt>
                <c:pt idx="277">
                  <c:v>45629</c:v>
                </c:pt>
                <c:pt idx="278">
                  <c:v>45630</c:v>
                </c:pt>
                <c:pt idx="279">
                  <c:v>45631</c:v>
                </c:pt>
                <c:pt idx="280">
                  <c:v>45632</c:v>
                </c:pt>
                <c:pt idx="281">
                  <c:v>45633</c:v>
                </c:pt>
                <c:pt idx="282">
                  <c:v>45634</c:v>
                </c:pt>
                <c:pt idx="283">
                  <c:v>45635</c:v>
                </c:pt>
                <c:pt idx="284">
                  <c:v>45636</c:v>
                </c:pt>
                <c:pt idx="285">
                  <c:v>45637</c:v>
                </c:pt>
                <c:pt idx="286">
                  <c:v>45638</c:v>
                </c:pt>
                <c:pt idx="287">
                  <c:v>45639</c:v>
                </c:pt>
                <c:pt idx="288">
                  <c:v>45640</c:v>
                </c:pt>
                <c:pt idx="289">
                  <c:v>45641</c:v>
                </c:pt>
                <c:pt idx="290">
                  <c:v>45642</c:v>
                </c:pt>
                <c:pt idx="291">
                  <c:v>45643</c:v>
                </c:pt>
                <c:pt idx="292">
                  <c:v>45644</c:v>
                </c:pt>
                <c:pt idx="293">
                  <c:v>45645</c:v>
                </c:pt>
                <c:pt idx="294">
                  <c:v>45646</c:v>
                </c:pt>
                <c:pt idx="295">
                  <c:v>45647</c:v>
                </c:pt>
                <c:pt idx="296">
                  <c:v>45648</c:v>
                </c:pt>
                <c:pt idx="297">
                  <c:v>45649</c:v>
                </c:pt>
                <c:pt idx="298">
                  <c:v>45650</c:v>
                </c:pt>
                <c:pt idx="299">
                  <c:v>45651</c:v>
                </c:pt>
                <c:pt idx="300">
                  <c:v>45652</c:v>
                </c:pt>
                <c:pt idx="301">
                  <c:v>45653</c:v>
                </c:pt>
                <c:pt idx="302">
                  <c:v>45654</c:v>
                </c:pt>
                <c:pt idx="303">
                  <c:v>45655</c:v>
                </c:pt>
                <c:pt idx="304">
                  <c:v>45656</c:v>
                </c:pt>
                <c:pt idx="305">
                  <c:v>45657</c:v>
                </c:pt>
                <c:pt idx="306">
                  <c:v>45658</c:v>
                </c:pt>
                <c:pt idx="307">
                  <c:v>45659</c:v>
                </c:pt>
                <c:pt idx="308">
                  <c:v>45660</c:v>
                </c:pt>
                <c:pt idx="309">
                  <c:v>45661</c:v>
                </c:pt>
                <c:pt idx="310">
                  <c:v>45662</c:v>
                </c:pt>
                <c:pt idx="311">
                  <c:v>45663</c:v>
                </c:pt>
                <c:pt idx="312">
                  <c:v>45664</c:v>
                </c:pt>
                <c:pt idx="313">
                  <c:v>45665</c:v>
                </c:pt>
                <c:pt idx="314">
                  <c:v>45666</c:v>
                </c:pt>
                <c:pt idx="315">
                  <c:v>45667</c:v>
                </c:pt>
                <c:pt idx="316">
                  <c:v>45668</c:v>
                </c:pt>
                <c:pt idx="317">
                  <c:v>45669</c:v>
                </c:pt>
                <c:pt idx="318">
                  <c:v>45670</c:v>
                </c:pt>
                <c:pt idx="319">
                  <c:v>45671</c:v>
                </c:pt>
                <c:pt idx="320">
                  <c:v>45672</c:v>
                </c:pt>
                <c:pt idx="321">
                  <c:v>45673</c:v>
                </c:pt>
                <c:pt idx="322">
                  <c:v>45674</c:v>
                </c:pt>
                <c:pt idx="323">
                  <c:v>45675</c:v>
                </c:pt>
                <c:pt idx="324">
                  <c:v>45676</c:v>
                </c:pt>
                <c:pt idx="325">
                  <c:v>45677</c:v>
                </c:pt>
                <c:pt idx="326">
                  <c:v>45678</c:v>
                </c:pt>
                <c:pt idx="327">
                  <c:v>45679</c:v>
                </c:pt>
                <c:pt idx="328">
                  <c:v>45680</c:v>
                </c:pt>
                <c:pt idx="329">
                  <c:v>45681</c:v>
                </c:pt>
                <c:pt idx="330">
                  <c:v>45682</c:v>
                </c:pt>
                <c:pt idx="331">
                  <c:v>45683</c:v>
                </c:pt>
                <c:pt idx="332">
                  <c:v>45684</c:v>
                </c:pt>
                <c:pt idx="333">
                  <c:v>45685</c:v>
                </c:pt>
                <c:pt idx="334">
                  <c:v>45686</c:v>
                </c:pt>
                <c:pt idx="335">
                  <c:v>45687</c:v>
                </c:pt>
                <c:pt idx="336">
                  <c:v>45688</c:v>
                </c:pt>
                <c:pt idx="337">
                  <c:v>45689</c:v>
                </c:pt>
                <c:pt idx="338">
                  <c:v>45690</c:v>
                </c:pt>
                <c:pt idx="339">
                  <c:v>45691</c:v>
                </c:pt>
                <c:pt idx="340">
                  <c:v>45692</c:v>
                </c:pt>
                <c:pt idx="341">
                  <c:v>45693</c:v>
                </c:pt>
                <c:pt idx="342">
                  <c:v>45694</c:v>
                </c:pt>
                <c:pt idx="343">
                  <c:v>45695</c:v>
                </c:pt>
                <c:pt idx="344">
                  <c:v>45696</c:v>
                </c:pt>
                <c:pt idx="345">
                  <c:v>45697</c:v>
                </c:pt>
                <c:pt idx="346">
                  <c:v>45698</c:v>
                </c:pt>
                <c:pt idx="347">
                  <c:v>45699</c:v>
                </c:pt>
                <c:pt idx="348">
                  <c:v>45700</c:v>
                </c:pt>
                <c:pt idx="349">
                  <c:v>45701</c:v>
                </c:pt>
                <c:pt idx="350">
                  <c:v>45702</c:v>
                </c:pt>
                <c:pt idx="351">
                  <c:v>45703</c:v>
                </c:pt>
                <c:pt idx="352">
                  <c:v>45704</c:v>
                </c:pt>
                <c:pt idx="353">
                  <c:v>45705</c:v>
                </c:pt>
                <c:pt idx="354">
                  <c:v>45706</c:v>
                </c:pt>
                <c:pt idx="355">
                  <c:v>45707</c:v>
                </c:pt>
                <c:pt idx="356">
                  <c:v>45708</c:v>
                </c:pt>
                <c:pt idx="357">
                  <c:v>45709</c:v>
                </c:pt>
                <c:pt idx="358">
                  <c:v>45710</c:v>
                </c:pt>
                <c:pt idx="359">
                  <c:v>45711</c:v>
                </c:pt>
                <c:pt idx="360">
                  <c:v>45712</c:v>
                </c:pt>
                <c:pt idx="361">
                  <c:v>45713</c:v>
                </c:pt>
                <c:pt idx="362">
                  <c:v>45714</c:v>
                </c:pt>
                <c:pt idx="363">
                  <c:v>45715</c:v>
                </c:pt>
                <c:pt idx="364">
                  <c:v>45716</c:v>
                </c:pt>
                <c:pt idx="365">
                  <c:v>45717</c:v>
                </c:pt>
                <c:pt idx="366">
                  <c:v>45718</c:v>
                </c:pt>
                <c:pt idx="367">
                  <c:v>45719</c:v>
                </c:pt>
                <c:pt idx="368">
                  <c:v>45720</c:v>
                </c:pt>
                <c:pt idx="369">
                  <c:v>45721</c:v>
                </c:pt>
                <c:pt idx="370">
                  <c:v>45722</c:v>
                </c:pt>
                <c:pt idx="371">
                  <c:v>45723</c:v>
                </c:pt>
                <c:pt idx="372">
                  <c:v>45724</c:v>
                </c:pt>
                <c:pt idx="373">
                  <c:v>45725</c:v>
                </c:pt>
                <c:pt idx="374">
                  <c:v>45726</c:v>
                </c:pt>
                <c:pt idx="375">
                  <c:v>45727</c:v>
                </c:pt>
                <c:pt idx="376">
                  <c:v>45728</c:v>
                </c:pt>
                <c:pt idx="377">
                  <c:v>45729</c:v>
                </c:pt>
                <c:pt idx="378">
                  <c:v>45730</c:v>
                </c:pt>
                <c:pt idx="379">
                  <c:v>45731</c:v>
                </c:pt>
                <c:pt idx="380">
                  <c:v>45732</c:v>
                </c:pt>
                <c:pt idx="381">
                  <c:v>45733</c:v>
                </c:pt>
                <c:pt idx="382">
                  <c:v>45734</c:v>
                </c:pt>
                <c:pt idx="383">
                  <c:v>45735</c:v>
                </c:pt>
                <c:pt idx="384">
                  <c:v>45736</c:v>
                </c:pt>
                <c:pt idx="385">
                  <c:v>45737</c:v>
                </c:pt>
                <c:pt idx="386">
                  <c:v>45738</c:v>
                </c:pt>
                <c:pt idx="387">
                  <c:v>45739</c:v>
                </c:pt>
                <c:pt idx="388">
                  <c:v>45740</c:v>
                </c:pt>
                <c:pt idx="389">
                  <c:v>45741</c:v>
                </c:pt>
                <c:pt idx="390">
                  <c:v>45742</c:v>
                </c:pt>
                <c:pt idx="391">
                  <c:v>45743</c:v>
                </c:pt>
                <c:pt idx="392">
                  <c:v>45744</c:v>
                </c:pt>
                <c:pt idx="393">
                  <c:v>45745</c:v>
                </c:pt>
                <c:pt idx="394">
                  <c:v>45746</c:v>
                </c:pt>
                <c:pt idx="395">
                  <c:v>45747</c:v>
                </c:pt>
                <c:pt idx="396">
                  <c:v>45748</c:v>
                </c:pt>
                <c:pt idx="397">
                  <c:v>45749</c:v>
                </c:pt>
                <c:pt idx="398">
                  <c:v>45750</c:v>
                </c:pt>
                <c:pt idx="399">
                  <c:v>45751</c:v>
                </c:pt>
                <c:pt idx="400">
                  <c:v>45752</c:v>
                </c:pt>
                <c:pt idx="401">
                  <c:v>45753</c:v>
                </c:pt>
                <c:pt idx="402">
                  <c:v>45754</c:v>
                </c:pt>
                <c:pt idx="403">
                  <c:v>45755</c:v>
                </c:pt>
                <c:pt idx="404">
                  <c:v>45756</c:v>
                </c:pt>
                <c:pt idx="405">
                  <c:v>45757</c:v>
                </c:pt>
                <c:pt idx="406">
                  <c:v>45758</c:v>
                </c:pt>
                <c:pt idx="407">
                  <c:v>45759</c:v>
                </c:pt>
                <c:pt idx="408">
                  <c:v>45760</c:v>
                </c:pt>
                <c:pt idx="409">
                  <c:v>45761</c:v>
                </c:pt>
                <c:pt idx="410">
                  <c:v>45762</c:v>
                </c:pt>
                <c:pt idx="411">
                  <c:v>45763</c:v>
                </c:pt>
                <c:pt idx="412">
                  <c:v>45764</c:v>
                </c:pt>
                <c:pt idx="413">
                  <c:v>45765</c:v>
                </c:pt>
                <c:pt idx="414">
                  <c:v>45766</c:v>
                </c:pt>
                <c:pt idx="415">
                  <c:v>45767</c:v>
                </c:pt>
                <c:pt idx="416">
                  <c:v>45768</c:v>
                </c:pt>
                <c:pt idx="417">
                  <c:v>45769</c:v>
                </c:pt>
                <c:pt idx="418">
                  <c:v>45770</c:v>
                </c:pt>
                <c:pt idx="419">
                  <c:v>45771</c:v>
                </c:pt>
                <c:pt idx="420">
                  <c:v>45772</c:v>
                </c:pt>
                <c:pt idx="421">
                  <c:v>45773</c:v>
                </c:pt>
                <c:pt idx="422">
                  <c:v>45774</c:v>
                </c:pt>
                <c:pt idx="423">
                  <c:v>45775</c:v>
                </c:pt>
                <c:pt idx="424">
                  <c:v>45776</c:v>
                </c:pt>
                <c:pt idx="425">
                  <c:v>45777</c:v>
                </c:pt>
                <c:pt idx="426">
                  <c:v>45778</c:v>
                </c:pt>
                <c:pt idx="427">
                  <c:v>45779</c:v>
                </c:pt>
                <c:pt idx="428">
                  <c:v>45780</c:v>
                </c:pt>
                <c:pt idx="429">
                  <c:v>45781</c:v>
                </c:pt>
                <c:pt idx="430">
                  <c:v>45782</c:v>
                </c:pt>
                <c:pt idx="431">
                  <c:v>45783</c:v>
                </c:pt>
                <c:pt idx="432">
                  <c:v>45784</c:v>
                </c:pt>
                <c:pt idx="433">
                  <c:v>45785</c:v>
                </c:pt>
                <c:pt idx="434">
                  <c:v>45786</c:v>
                </c:pt>
                <c:pt idx="435">
                  <c:v>45787</c:v>
                </c:pt>
                <c:pt idx="436">
                  <c:v>45788</c:v>
                </c:pt>
                <c:pt idx="437">
                  <c:v>45789</c:v>
                </c:pt>
                <c:pt idx="438">
                  <c:v>45790</c:v>
                </c:pt>
                <c:pt idx="439">
                  <c:v>45791</c:v>
                </c:pt>
                <c:pt idx="440">
                  <c:v>45792</c:v>
                </c:pt>
                <c:pt idx="441">
                  <c:v>45793</c:v>
                </c:pt>
                <c:pt idx="442">
                  <c:v>45794</c:v>
                </c:pt>
                <c:pt idx="443">
                  <c:v>45795</c:v>
                </c:pt>
                <c:pt idx="444">
                  <c:v>45796</c:v>
                </c:pt>
                <c:pt idx="445">
                  <c:v>45797</c:v>
                </c:pt>
                <c:pt idx="446">
                  <c:v>45798</c:v>
                </c:pt>
                <c:pt idx="447">
                  <c:v>45799</c:v>
                </c:pt>
                <c:pt idx="448">
                  <c:v>45800</c:v>
                </c:pt>
                <c:pt idx="449">
                  <c:v>45801</c:v>
                </c:pt>
                <c:pt idx="450">
                  <c:v>45802</c:v>
                </c:pt>
                <c:pt idx="451">
                  <c:v>45803</c:v>
                </c:pt>
                <c:pt idx="452">
                  <c:v>45804</c:v>
                </c:pt>
                <c:pt idx="453">
                  <c:v>45805</c:v>
                </c:pt>
                <c:pt idx="454">
                  <c:v>45806</c:v>
                </c:pt>
                <c:pt idx="455">
                  <c:v>45807</c:v>
                </c:pt>
                <c:pt idx="456">
                  <c:v>45808</c:v>
                </c:pt>
                <c:pt idx="457">
                  <c:v>45809</c:v>
                </c:pt>
                <c:pt idx="458">
                  <c:v>45810</c:v>
                </c:pt>
                <c:pt idx="459">
                  <c:v>45811</c:v>
                </c:pt>
                <c:pt idx="460">
                  <c:v>45812</c:v>
                </c:pt>
                <c:pt idx="461">
                  <c:v>45813</c:v>
                </c:pt>
                <c:pt idx="462">
                  <c:v>45814</c:v>
                </c:pt>
                <c:pt idx="463">
                  <c:v>45815</c:v>
                </c:pt>
                <c:pt idx="464">
                  <c:v>45816</c:v>
                </c:pt>
                <c:pt idx="465">
                  <c:v>45817</c:v>
                </c:pt>
                <c:pt idx="466">
                  <c:v>45818</c:v>
                </c:pt>
                <c:pt idx="467">
                  <c:v>45819</c:v>
                </c:pt>
                <c:pt idx="468">
                  <c:v>45820</c:v>
                </c:pt>
                <c:pt idx="469">
                  <c:v>45821</c:v>
                </c:pt>
                <c:pt idx="470">
                  <c:v>45822</c:v>
                </c:pt>
                <c:pt idx="471">
                  <c:v>45823</c:v>
                </c:pt>
                <c:pt idx="472">
                  <c:v>45824</c:v>
                </c:pt>
                <c:pt idx="473">
                  <c:v>45825</c:v>
                </c:pt>
                <c:pt idx="474">
                  <c:v>45826</c:v>
                </c:pt>
                <c:pt idx="475">
                  <c:v>45827</c:v>
                </c:pt>
                <c:pt idx="476">
                  <c:v>45828</c:v>
                </c:pt>
                <c:pt idx="477">
                  <c:v>45829</c:v>
                </c:pt>
                <c:pt idx="478">
                  <c:v>45830</c:v>
                </c:pt>
                <c:pt idx="479">
                  <c:v>45831</c:v>
                </c:pt>
                <c:pt idx="480">
                  <c:v>45832</c:v>
                </c:pt>
                <c:pt idx="481">
                  <c:v>45833</c:v>
                </c:pt>
                <c:pt idx="482">
                  <c:v>45834</c:v>
                </c:pt>
                <c:pt idx="483">
                  <c:v>45835</c:v>
                </c:pt>
                <c:pt idx="484">
                  <c:v>45836</c:v>
                </c:pt>
                <c:pt idx="485">
                  <c:v>45837</c:v>
                </c:pt>
                <c:pt idx="486">
                  <c:v>45838</c:v>
                </c:pt>
                <c:pt idx="487">
                  <c:v>45839</c:v>
                </c:pt>
                <c:pt idx="488">
                  <c:v>45840</c:v>
                </c:pt>
                <c:pt idx="489">
                  <c:v>45841</c:v>
                </c:pt>
                <c:pt idx="490">
                  <c:v>45842</c:v>
                </c:pt>
                <c:pt idx="491">
                  <c:v>45843</c:v>
                </c:pt>
                <c:pt idx="492">
                  <c:v>45844</c:v>
                </c:pt>
                <c:pt idx="493">
                  <c:v>45845</c:v>
                </c:pt>
                <c:pt idx="494">
                  <c:v>45846</c:v>
                </c:pt>
                <c:pt idx="495">
                  <c:v>45847</c:v>
                </c:pt>
                <c:pt idx="496">
                  <c:v>45848</c:v>
                </c:pt>
                <c:pt idx="497">
                  <c:v>45849</c:v>
                </c:pt>
                <c:pt idx="498">
                  <c:v>45850</c:v>
                </c:pt>
                <c:pt idx="499">
                  <c:v>45851</c:v>
                </c:pt>
                <c:pt idx="500">
                  <c:v>45852</c:v>
                </c:pt>
                <c:pt idx="501">
                  <c:v>45853</c:v>
                </c:pt>
                <c:pt idx="502">
                  <c:v>45854</c:v>
                </c:pt>
                <c:pt idx="503">
                  <c:v>45855</c:v>
                </c:pt>
                <c:pt idx="504">
                  <c:v>45856</c:v>
                </c:pt>
                <c:pt idx="505">
                  <c:v>45857</c:v>
                </c:pt>
                <c:pt idx="506">
                  <c:v>45858</c:v>
                </c:pt>
                <c:pt idx="507">
                  <c:v>45859</c:v>
                </c:pt>
                <c:pt idx="508">
                  <c:v>45860</c:v>
                </c:pt>
                <c:pt idx="509">
                  <c:v>45861</c:v>
                </c:pt>
                <c:pt idx="510">
                  <c:v>45862</c:v>
                </c:pt>
                <c:pt idx="511">
                  <c:v>45863</c:v>
                </c:pt>
                <c:pt idx="512">
                  <c:v>45864</c:v>
                </c:pt>
                <c:pt idx="513">
                  <c:v>45865</c:v>
                </c:pt>
                <c:pt idx="514">
                  <c:v>45866</c:v>
                </c:pt>
                <c:pt idx="515">
                  <c:v>45867</c:v>
                </c:pt>
                <c:pt idx="516">
                  <c:v>45868</c:v>
                </c:pt>
                <c:pt idx="517">
                  <c:v>45869</c:v>
                </c:pt>
                <c:pt idx="518">
                  <c:v>45870</c:v>
                </c:pt>
                <c:pt idx="519">
                  <c:v>45871</c:v>
                </c:pt>
                <c:pt idx="520">
                  <c:v>45872</c:v>
                </c:pt>
                <c:pt idx="521">
                  <c:v>45873</c:v>
                </c:pt>
                <c:pt idx="522">
                  <c:v>45874</c:v>
                </c:pt>
                <c:pt idx="523">
                  <c:v>45875</c:v>
                </c:pt>
                <c:pt idx="524">
                  <c:v>45876</c:v>
                </c:pt>
                <c:pt idx="525">
                  <c:v>45877</c:v>
                </c:pt>
                <c:pt idx="526">
                  <c:v>45878</c:v>
                </c:pt>
                <c:pt idx="527">
                  <c:v>45879</c:v>
                </c:pt>
                <c:pt idx="528">
                  <c:v>45880</c:v>
                </c:pt>
                <c:pt idx="529">
                  <c:v>45881</c:v>
                </c:pt>
                <c:pt idx="530">
                  <c:v>45882</c:v>
                </c:pt>
                <c:pt idx="531">
                  <c:v>45883</c:v>
                </c:pt>
                <c:pt idx="532">
                  <c:v>45884</c:v>
                </c:pt>
                <c:pt idx="533">
                  <c:v>45885</c:v>
                </c:pt>
                <c:pt idx="534">
                  <c:v>45886</c:v>
                </c:pt>
                <c:pt idx="535">
                  <c:v>45887</c:v>
                </c:pt>
                <c:pt idx="536">
                  <c:v>45888</c:v>
                </c:pt>
                <c:pt idx="537">
                  <c:v>45889</c:v>
                </c:pt>
                <c:pt idx="538">
                  <c:v>45890</c:v>
                </c:pt>
                <c:pt idx="539">
                  <c:v>45891</c:v>
                </c:pt>
                <c:pt idx="540">
                  <c:v>45892</c:v>
                </c:pt>
                <c:pt idx="541">
                  <c:v>45893</c:v>
                </c:pt>
                <c:pt idx="542">
                  <c:v>45894</c:v>
                </c:pt>
                <c:pt idx="543">
                  <c:v>45895</c:v>
                </c:pt>
                <c:pt idx="544">
                  <c:v>45896</c:v>
                </c:pt>
                <c:pt idx="545">
                  <c:v>45897</c:v>
                </c:pt>
                <c:pt idx="546">
                  <c:v>45898</c:v>
                </c:pt>
                <c:pt idx="547">
                  <c:v>45899</c:v>
                </c:pt>
                <c:pt idx="548">
                  <c:v>45900</c:v>
                </c:pt>
                <c:pt idx="549">
                  <c:v>45901</c:v>
                </c:pt>
                <c:pt idx="550">
                  <c:v>45902</c:v>
                </c:pt>
                <c:pt idx="551">
                  <c:v>45903</c:v>
                </c:pt>
                <c:pt idx="552">
                  <c:v>45904</c:v>
                </c:pt>
                <c:pt idx="553">
                  <c:v>45905</c:v>
                </c:pt>
                <c:pt idx="554">
                  <c:v>45906</c:v>
                </c:pt>
                <c:pt idx="555">
                  <c:v>45907</c:v>
                </c:pt>
                <c:pt idx="556">
                  <c:v>45908</c:v>
                </c:pt>
                <c:pt idx="557">
                  <c:v>45909</c:v>
                </c:pt>
                <c:pt idx="558">
                  <c:v>45910</c:v>
                </c:pt>
                <c:pt idx="559">
                  <c:v>45911</c:v>
                </c:pt>
                <c:pt idx="560">
                  <c:v>45912</c:v>
                </c:pt>
                <c:pt idx="561">
                  <c:v>45913</c:v>
                </c:pt>
                <c:pt idx="562">
                  <c:v>45914</c:v>
                </c:pt>
                <c:pt idx="563">
                  <c:v>45915</c:v>
                </c:pt>
                <c:pt idx="564">
                  <c:v>45916</c:v>
                </c:pt>
                <c:pt idx="565">
                  <c:v>45917</c:v>
                </c:pt>
                <c:pt idx="566">
                  <c:v>45918</c:v>
                </c:pt>
                <c:pt idx="567">
                  <c:v>45919</c:v>
                </c:pt>
                <c:pt idx="568">
                  <c:v>45920</c:v>
                </c:pt>
                <c:pt idx="569">
                  <c:v>45921</c:v>
                </c:pt>
                <c:pt idx="570">
                  <c:v>45922</c:v>
                </c:pt>
                <c:pt idx="571">
                  <c:v>45923</c:v>
                </c:pt>
                <c:pt idx="572">
                  <c:v>45924</c:v>
                </c:pt>
                <c:pt idx="573">
                  <c:v>45925</c:v>
                </c:pt>
                <c:pt idx="574">
                  <c:v>45926</c:v>
                </c:pt>
                <c:pt idx="575">
                  <c:v>45927</c:v>
                </c:pt>
                <c:pt idx="576">
                  <c:v>45928</c:v>
                </c:pt>
                <c:pt idx="577">
                  <c:v>45929</c:v>
                </c:pt>
                <c:pt idx="578">
                  <c:v>45930</c:v>
                </c:pt>
                <c:pt idx="579">
                  <c:v>45931</c:v>
                </c:pt>
                <c:pt idx="580">
                  <c:v>45932</c:v>
                </c:pt>
                <c:pt idx="581">
                  <c:v>45933</c:v>
                </c:pt>
                <c:pt idx="582">
                  <c:v>45934</c:v>
                </c:pt>
                <c:pt idx="583">
                  <c:v>45935</c:v>
                </c:pt>
                <c:pt idx="584">
                  <c:v>45936</c:v>
                </c:pt>
                <c:pt idx="585">
                  <c:v>45937</c:v>
                </c:pt>
                <c:pt idx="586">
                  <c:v>45938</c:v>
                </c:pt>
                <c:pt idx="587">
                  <c:v>45939</c:v>
                </c:pt>
                <c:pt idx="588">
                  <c:v>45940</c:v>
                </c:pt>
                <c:pt idx="589">
                  <c:v>45941</c:v>
                </c:pt>
                <c:pt idx="590">
                  <c:v>45942</c:v>
                </c:pt>
                <c:pt idx="591">
                  <c:v>45943</c:v>
                </c:pt>
                <c:pt idx="592">
                  <c:v>45944</c:v>
                </c:pt>
                <c:pt idx="593">
                  <c:v>45945</c:v>
                </c:pt>
                <c:pt idx="594">
                  <c:v>45946</c:v>
                </c:pt>
                <c:pt idx="595">
                  <c:v>45947</c:v>
                </c:pt>
                <c:pt idx="596">
                  <c:v>45948</c:v>
                </c:pt>
                <c:pt idx="597">
                  <c:v>45949</c:v>
                </c:pt>
                <c:pt idx="598">
                  <c:v>45950</c:v>
                </c:pt>
                <c:pt idx="599">
                  <c:v>45951</c:v>
                </c:pt>
                <c:pt idx="600">
                  <c:v>45952</c:v>
                </c:pt>
                <c:pt idx="601">
                  <c:v>45953</c:v>
                </c:pt>
                <c:pt idx="602">
                  <c:v>45954</c:v>
                </c:pt>
                <c:pt idx="603">
                  <c:v>45955</c:v>
                </c:pt>
                <c:pt idx="604">
                  <c:v>45956</c:v>
                </c:pt>
                <c:pt idx="605">
                  <c:v>45957</c:v>
                </c:pt>
                <c:pt idx="606">
                  <c:v>45958</c:v>
                </c:pt>
                <c:pt idx="607">
                  <c:v>45959</c:v>
                </c:pt>
                <c:pt idx="608">
                  <c:v>45960</c:v>
                </c:pt>
                <c:pt idx="609">
                  <c:v>45961</c:v>
                </c:pt>
                <c:pt idx="610">
                  <c:v>45962</c:v>
                </c:pt>
                <c:pt idx="611">
                  <c:v>45963</c:v>
                </c:pt>
                <c:pt idx="612">
                  <c:v>45964</c:v>
                </c:pt>
                <c:pt idx="613">
                  <c:v>45965</c:v>
                </c:pt>
                <c:pt idx="614">
                  <c:v>45966</c:v>
                </c:pt>
                <c:pt idx="615">
                  <c:v>45967</c:v>
                </c:pt>
                <c:pt idx="616">
                  <c:v>45968</c:v>
                </c:pt>
                <c:pt idx="617">
                  <c:v>45969</c:v>
                </c:pt>
                <c:pt idx="618">
                  <c:v>45970</c:v>
                </c:pt>
                <c:pt idx="619">
                  <c:v>45971</c:v>
                </c:pt>
                <c:pt idx="620">
                  <c:v>45972</c:v>
                </c:pt>
                <c:pt idx="621">
                  <c:v>45973</c:v>
                </c:pt>
                <c:pt idx="622">
                  <c:v>45974</c:v>
                </c:pt>
                <c:pt idx="623">
                  <c:v>45975</c:v>
                </c:pt>
                <c:pt idx="624">
                  <c:v>45976</c:v>
                </c:pt>
                <c:pt idx="625">
                  <c:v>45977</c:v>
                </c:pt>
                <c:pt idx="626">
                  <c:v>45978</c:v>
                </c:pt>
                <c:pt idx="627">
                  <c:v>45979</c:v>
                </c:pt>
                <c:pt idx="628">
                  <c:v>45980</c:v>
                </c:pt>
                <c:pt idx="629">
                  <c:v>45981</c:v>
                </c:pt>
                <c:pt idx="630">
                  <c:v>45982</c:v>
                </c:pt>
                <c:pt idx="631">
                  <c:v>45983</c:v>
                </c:pt>
                <c:pt idx="632">
                  <c:v>45984</c:v>
                </c:pt>
                <c:pt idx="633">
                  <c:v>45985</c:v>
                </c:pt>
                <c:pt idx="634">
                  <c:v>45986</c:v>
                </c:pt>
                <c:pt idx="635">
                  <c:v>45987</c:v>
                </c:pt>
                <c:pt idx="636">
                  <c:v>45988</c:v>
                </c:pt>
                <c:pt idx="637">
                  <c:v>45989</c:v>
                </c:pt>
                <c:pt idx="638">
                  <c:v>45990</c:v>
                </c:pt>
                <c:pt idx="639">
                  <c:v>45991</c:v>
                </c:pt>
                <c:pt idx="640">
                  <c:v>45992</c:v>
                </c:pt>
                <c:pt idx="641">
                  <c:v>45993</c:v>
                </c:pt>
                <c:pt idx="642">
                  <c:v>45994</c:v>
                </c:pt>
                <c:pt idx="643">
                  <c:v>45995</c:v>
                </c:pt>
                <c:pt idx="644">
                  <c:v>45996</c:v>
                </c:pt>
                <c:pt idx="645">
                  <c:v>45997</c:v>
                </c:pt>
              </c:numCache>
            </c:numRef>
          </c:cat>
          <c:val>
            <c:numRef>
              <c:f>'Forecast Sheet'!$D$2:$D$647</c:f>
              <c:numCache>
                <c:formatCode>General</c:formatCode>
                <c:ptCount val="646"/>
                <c:pt idx="387" formatCode="#\ ##0.00\ &quot;zł&quot;">
                  <c:v>204.76</c:v>
                </c:pt>
                <c:pt idx="388" formatCode="#\ ##0.00\ &quot;zł&quot;">
                  <c:v>-98.689069650778436</c:v>
                </c:pt>
                <c:pt idx="389" formatCode="#\ ##0.00\ &quot;zł&quot;">
                  <c:v>-117.27933682230412</c:v>
                </c:pt>
                <c:pt idx="390" formatCode="#\ ##0.00\ &quot;zł&quot;">
                  <c:v>-174.37900421366425</c:v>
                </c:pt>
                <c:pt idx="391" formatCode="#\ ##0.00\ &quot;zł&quot;">
                  <c:v>-151.83056666593561</c:v>
                </c:pt>
                <c:pt idx="392" formatCode="#\ ##0.00\ &quot;zł&quot;">
                  <c:v>-192.90433858305326</c:v>
                </c:pt>
                <c:pt idx="393" formatCode="#\ ##0.00\ &quot;zł&quot;">
                  <c:v>-200.82073339751781</c:v>
                </c:pt>
                <c:pt idx="394" formatCode="#\ ##0.00\ &quot;zł&quot;">
                  <c:v>-228.05927651939578</c:v>
                </c:pt>
                <c:pt idx="395" formatCode="#\ ##0.00\ &quot;zł&quot;">
                  <c:v>-212.12954897926807</c:v>
                </c:pt>
                <c:pt idx="396" formatCode="#\ ##0.00\ &quot;zł&quot;">
                  <c:v>-282.56863537483503</c:v>
                </c:pt>
                <c:pt idx="397" formatCode="#\ ##0.00\ &quot;zł&quot;">
                  <c:v>-166.69586321697304</c:v>
                </c:pt>
                <c:pt idx="398" formatCode="#\ ##0.00\ &quot;zł&quot;">
                  <c:v>-91.738598545485445</c:v>
                </c:pt>
                <c:pt idx="399" formatCode="#\ ##0.00\ &quot;zł&quot;">
                  <c:v>-130.21345414574546</c:v>
                </c:pt>
                <c:pt idx="400" formatCode="#\ ##0.00\ &quot;zł&quot;">
                  <c:v>-185.27941739054847</c:v>
                </c:pt>
                <c:pt idx="401" formatCode="#\ ##0.00\ &quot;zł&quot;">
                  <c:v>-262.20764542954146</c:v>
                </c:pt>
                <c:pt idx="402" formatCode="#\ ##0.00\ &quot;zł&quot;">
                  <c:v>-100.38319697369542</c:v>
                </c:pt>
                <c:pt idx="403" formatCode="#\ ##0.00\ &quot;zł&quot;">
                  <c:v>-129.5471565471023</c:v>
                </c:pt>
                <c:pt idx="404" formatCode="#\ ##0.00\ &quot;zł&quot;">
                  <c:v>-76.37883520325812</c:v>
                </c:pt>
                <c:pt idx="405" formatCode="#\ ##0.00\ &quot;zł&quot;">
                  <c:v>-18.394288349049077</c:v>
                </c:pt>
                <c:pt idx="406" formatCode="#\ ##0.00\ &quot;zł&quot;">
                  <c:v>-17.541763015897857</c:v>
                </c:pt>
                <c:pt idx="407" formatCode="#\ ##0.00\ &quot;zł&quot;">
                  <c:v>-236.23025883460485</c:v>
                </c:pt>
                <c:pt idx="408" formatCode="#\ ##0.00\ &quot;zł&quot;">
                  <c:v>-115.85615936531724</c:v>
                </c:pt>
                <c:pt idx="409" formatCode="#\ ##0.00\ &quot;zł&quot;">
                  <c:v>70.558048680385696</c:v>
                </c:pt>
                <c:pt idx="410" formatCode="#\ ##0.00\ &quot;zł&quot;">
                  <c:v>67.726155344481413</c:v>
                </c:pt>
                <c:pt idx="411" formatCode="#\ ##0.00\ &quot;zł&quot;">
                  <c:v>-32.236177823035916</c:v>
                </c:pt>
                <c:pt idx="412" formatCode="#\ ##0.00\ &quot;zł&quot;">
                  <c:v>-187.82828642887415</c:v>
                </c:pt>
                <c:pt idx="413" formatCode="#\ ##0.00\ &quot;zł&quot;">
                  <c:v>-117.75830468977034</c:v>
                </c:pt>
                <c:pt idx="414" formatCode="#\ ##0.00\ &quot;zł&quot;">
                  <c:v>-190.75737941573607</c:v>
                </c:pt>
                <c:pt idx="415" formatCode="#\ ##0.00\ &quot;zł&quot;">
                  <c:v>-94.100339523841342</c:v>
                </c:pt>
                <c:pt idx="416" formatCode="#\ ##0.00\ &quot;zł&quot;">
                  <c:v>-159.45603374327311</c:v>
                </c:pt>
                <c:pt idx="417" formatCode="#\ ##0.00\ &quot;zł&quot;">
                  <c:v>-155.12820052914549</c:v>
                </c:pt>
                <c:pt idx="418" formatCode="#\ ##0.00\ &quot;zł&quot;">
                  <c:v>-246.73128984052551</c:v>
                </c:pt>
                <c:pt idx="419" formatCode="#\ ##0.00\ &quot;zł&quot;">
                  <c:v>-218.79261169256159</c:v>
                </c:pt>
                <c:pt idx="420" formatCode="#\ ##0.00\ &quot;zł&quot;">
                  <c:v>-183.87029438961355</c:v>
                </c:pt>
                <c:pt idx="421" formatCode="#\ ##0.00\ &quot;zł&quot;">
                  <c:v>-127.76374677392607</c:v>
                </c:pt>
                <c:pt idx="422" formatCode="#\ ##0.00\ &quot;zł&quot;">
                  <c:v>-97.762206449266841</c:v>
                </c:pt>
                <c:pt idx="423" formatCode="#\ ##0.00\ &quot;zł&quot;">
                  <c:v>-131.24102756038059</c:v>
                </c:pt>
                <c:pt idx="424" formatCode="#\ ##0.00\ &quot;zł&quot;">
                  <c:v>-90.122056746802798</c:v>
                </c:pt>
                <c:pt idx="425" formatCode="#\ ##0.00\ &quot;zł&quot;">
                  <c:v>-105.37320904830727</c:v>
                </c:pt>
                <c:pt idx="426" formatCode="#\ ##0.00\ &quot;zł&quot;">
                  <c:v>-305.66356320382215</c:v>
                </c:pt>
                <c:pt idx="427" formatCode="#\ ##0.00\ &quot;zł&quot;">
                  <c:v>-240.38068244702816</c:v>
                </c:pt>
                <c:pt idx="428" formatCode="#\ ##0.00\ &quot;zł&quot;">
                  <c:v>-209.27651940237013</c:v>
                </c:pt>
                <c:pt idx="429" formatCode="#\ ##0.00\ &quot;zł&quot;">
                  <c:v>-420.42026803386329</c:v>
                </c:pt>
                <c:pt idx="430" formatCode="#\ ##0.00\ &quot;zł&quot;">
                  <c:v>-212.56002592999198</c:v>
                </c:pt>
                <c:pt idx="431" formatCode="#\ ##0.00\ &quot;zł&quot;">
                  <c:v>-298.3875587833021</c:v>
                </c:pt>
                <c:pt idx="432" formatCode="#\ ##0.00\ &quot;zł&quot;">
                  <c:v>-344.5277780321303</c:v>
                </c:pt>
                <c:pt idx="433" formatCode="#\ ##0.00\ &quot;zł&quot;">
                  <c:v>-227.65291998203901</c:v>
                </c:pt>
                <c:pt idx="434" formatCode="#\ ##0.00\ &quot;zł&quot;">
                  <c:v>-324.06194652915883</c:v>
                </c:pt>
                <c:pt idx="435" formatCode="#\ ##0.00\ &quot;zł&quot;">
                  <c:v>-335.19172915498461</c:v>
                </c:pt>
                <c:pt idx="436" formatCode="#\ ##0.00\ &quot;zł&quot;">
                  <c:v>-316.7885018726252</c:v>
                </c:pt>
                <c:pt idx="437" formatCode="#\ ##0.00\ &quot;zł&quot;">
                  <c:v>-472.93122206791617</c:v>
                </c:pt>
                <c:pt idx="438" formatCode="#\ ##0.00\ &quot;zł&quot;">
                  <c:v>-467.88504978863972</c:v>
                </c:pt>
                <c:pt idx="439" formatCode="#\ ##0.00\ &quot;zł&quot;">
                  <c:v>-585.19446064815531</c:v>
                </c:pt>
                <c:pt idx="440" formatCode="#\ ##0.00\ &quot;zł&quot;">
                  <c:v>-557.69154181993383</c:v>
                </c:pt>
                <c:pt idx="441" formatCode="#\ ##0.00\ &quot;zł&quot;">
                  <c:v>-487.36925837360332</c:v>
                </c:pt>
                <c:pt idx="442" formatCode="#\ ##0.00\ &quot;zł&quot;">
                  <c:v>-413.43550833315601</c:v>
                </c:pt>
                <c:pt idx="443" formatCode="#\ ##0.00\ &quot;zł&quot;">
                  <c:v>-380.56746198652883</c:v>
                </c:pt>
                <c:pt idx="444" formatCode="#\ ##0.00\ &quot;zł&quot;">
                  <c:v>-283.15381230428642</c:v>
                </c:pt>
                <c:pt idx="445" formatCode="#\ ##0.00\ &quot;zł&quot;">
                  <c:v>-293.02485659186914</c:v>
                </c:pt>
                <c:pt idx="446" formatCode="#\ ##0.00\ &quot;zł&quot;">
                  <c:v>-319.41182715907144</c:v>
                </c:pt>
                <c:pt idx="447" formatCode="#\ ##0.00\ &quot;zł&quot;">
                  <c:v>-362.39243808519473</c:v>
                </c:pt>
                <c:pt idx="448" formatCode="#\ ##0.00\ &quot;zł&quot;">
                  <c:v>-187.57794865483447</c:v>
                </c:pt>
                <c:pt idx="449" formatCode="#\ ##0.00\ &quot;zł&quot;">
                  <c:v>-427.83873914565385</c:v>
                </c:pt>
                <c:pt idx="450" formatCode="#\ ##0.00\ &quot;zł&quot;">
                  <c:v>-327.97062114839798</c:v>
                </c:pt>
                <c:pt idx="451" formatCode="#\ ##0.00\ &quot;zł&quot;">
                  <c:v>-411.95497972592568</c:v>
                </c:pt>
                <c:pt idx="452" formatCode="#\ ##0.00\ &quot;zł&quot;">
                  <c:v>-461.65515440959564</c:v>
                </c:pt>
                <c:pt idx="453" formatCode="#\ ##0.00\ &quot;zł&quot;">
                  <c:v>-386.48523585109967</c:v>
                </c:pt>
                <c:pt idx="454" formatCode="#\ ##0.00\ &quot;zł&quot;">
                  <c:v>-406.62452302834851</c:v>
                </c:pt>
                <c:pt idx="455" formatCode="#\ ##0.00\ &quot;zł&quot;">
                  <c:v>-576.06952699200326</c:v>
                </c:pt>
                <c:pt idx="456" formatCode="#\ ##0.00\ &quot;zł&quot;">
                  <c:v>-479.69950184335733</c:v>
                </c:pt>
                <c:pt idx="457" formatCode="#\ ##0.00\ &quot;zł&quot;">
                  <c:v>-482.15998277013944</c:v>
                </c:pt>
                <c:pt idx="458" formatCode="#\ ##0.00\ &quot;zł&quot;">
                  <c:v>-296.74572570364927</c:v>
                </c:pt>
                <c:pt idx="459" formatCode="#\ ##0.00\ &quot;zł&quot;">
                  <c:v>-532.44832696247533</c:v>
                </c:pt>
                <c:pt idx="460" formatCode="#\ ##0.00\ &quot;zł&quot;">
                  <c:v>-613.90664014486595</c:v>
                </c:pt>
                <c:pt idx="461" formatCode="#\ ##0.00\ &quot;zł&quot;">
                  <c:v>-408.37159020692712</c:v>
                </c:pt>
                <c:pt idx="462" formatCode="#\ ##0.00\ &quot;zł&quot;">
                  <c:v>-360.33483729765675</c:v>
                </c:pt>
                <c:pt idx="463" formatCode="#\ ##0.00\ &quot;zł&quot;">
                  <c:v>-332.26553464952741</c:v>
                </c:pt>
                <c:pt idx="464" formatCode="#\ ##0.00\ &quot;zł&quot;">
                  <c:v>-431.97738292956325</c:v>
                </c:pt>
                <c:pt idx="465" formatCode="#\ ##0.00\ &quot;zł&quot;">
                  <c:v>-357.61183039317598</c:v>
                </c:pt>
                <c:pt idx="466" formatCode="#\ ##0.00\ &quot;zł&quot;">
                  <c:v>-398.12588110016577</c:v>
                </c:pt>
                <c:pt idx="467" formatCode="#\ ##0.00\ &quot;zł&quot;">
                  <c:v>-391.32395190664278</c:v>
                </c:pt>
                <c:pt idx="468" formatCode="#\ ##0.00\ &quot;zł&quot;">
                  <c:v>-287.13007914960531</c:v>
                </c:pt>
                <c:pt idx="469" formatCode="#\ ##0.00\ &quot;zł&quot;">
                  <c:v>-416.709152902065</c:v>
                </c:pt>
                <c:pt idx="470" formatCode="#\ ##0.00\ &quot;zł&quot;">
                  <c:v>-256.89185631086741</c:v>
                </c:pt>
                <c:pt idx="471" formatCode="#\ ##0.00\ &quot;zł&quot;">
                  <c:v>-460.050570920827</c:v>
                </c:pt>
                <c:pt idx="472" formatCode="#\ ##0.00\ &quot;zł&quot;">
                  <c:v>-420.10664371584312</c:v>
                </c:pt>
                <c:pt idx="473" formatCode="#\ ##0.00\ &quot;zł&quot;">
                  <c:v>-433.35395239875021</c:v>
                </c:pt>
                <c:pt idx="474" formatCode="#\ ##0.00\ &quot;zł&quot;">
                  <c:v>-489.56606516000642</c:v>
                </c:pt>
                <c:pt idx="475" formatCode="#\ ##0.00\ &quot;zł&quot;">
                  <c:v>-412.0480115523078</c:v>
                </c:pt>
                <c:pt idx="476" formatCode="#\ ##0.00\ &quot;zł&quot;">
                  <c:v>-524.62473511365397</c:v>
                </c:pt>
                <c:pt idx="477" formatCode="#\ ##0.00\ &quot;zł&quot;">
                  <c:v>-301.45276660883292</c:v>
                </c:pt>
                <c:pt idx="478" formatCode="#\ ##0.00\ &quot;zł&quot;">
                  <c:v>-420.67265903868736</c:v>
                </c:pt>
                <c:pt idx="479" formatCode="#\ ##0.00\ &quot;zł&quot;">
                  <c:v>-367.09215354839171</c:v>
                </c:pt>
                <c:pt idx="480" formatCode="#\ ##0.00\ &quot;zł&quot;">
                  <c:v>-558.28379827224512</c:v>
                </c:pt>
                <c:pt idx="481" formatCode="#\ ##0.00\ &quot;zł&quot;">
                  <c:v>-507.53152788879572</c:v>
                </c:pt>
                <c:pt idx="482" formatCode="#\ ##0.00\ &quot;zł&quot;">
                  <c:v>-199.76499821660968</c:v>
                </c:pt>
                <c:pt idx="483" formatCode="#\ ##0.00\ &quot;zł&quot;">
                  <c:v>-515.89397202727923</c:v>
                </c:pt>
                <c:pt idx="484" formatCode="#\ ##0.00\ &quot;zł&quot;">
                  <c:v>-464.34667673160487</c:v>
                </c:pt>
                <c:pt idx="485" formatCode="#\ ##0.00\ &quot;zł&quot;">
                  <c:v>-479.9425421960126</c:v>
                </c:pt>
                <c:pt idx="486" formatCode="#\ ##0.00\ &quot;zł&quot;">
                  <c:v>-450.72735168427016</c:v>
                </c:pt>
                <c:pt idx="487" formatCode="#\ ##0.00\ &quot;zł&quot;">
                  <c:v>-558.27896457761813</c:v>
                </c:pt>
                <c:pt idx="488" formatCode="#\ ##0.00\ &quot;zł&quot;">
                  <c:v>-477.52621702984328</c:v>
                </c:pt>
                <c:pt idx="489" formatCode="#\ ##0.00\ &quot;zł&quot;">
                  <c:v>-416.43618031476672</c:v>
                </c:pt>
                <c:pt idx="490" formatCode="#\ ##0.00\ &quot;zł&quot;">
                  <c:v>-615.50980786075741</c:v>
                </c:pt>
                <c:pt idx="491" formatCode="#\ ##0.00\ &quot;zł&quot;">
                  <c:v>-418.39276444980987</c:v>
                </c:pt>
                <c:pt idx="492" formatCode="#\ ##0.00\ &quot;zł&quot;">
                  <c:v>-476.44880723444089</c:v>
                </c:pt>
                <c:pt idx="493" formatCode="#\ ##0.00\ &quot;zł&quot;">
                  <c:v>-609.36293131479988</c:v>
                </c:pt>
                <c:pt idx="494" formatCode="#\ ##0.00\ &quot;zł&quot;">
                  <c:v>-576.42716237930733</c:v>
                </c:pt>
                <c:pt idx="495" formatCode="#\ ##0.00\ &quot;zł&quot;">
                  <c:v>-571.31366676156699</c:v>
                </c:pt>
                <c:pt idx="496" formatCode="#\ ##0.00\ &quot;zł&quot;">
                  <c:v>-461.06586321652628</c:v>
                </c:pt>
                <c:pt idx="497" formatCode="#\ ##0.00\ &quot;zł&quot;">
                  <c:v>-489.98408624706292</c:v>
                </c:pt>
                <c:pt idx="498" formatCode="#\ ##0.00\ &quot;zł&quot;">
                  <c:v>-655.04824265752575</c:v>
                </c:pt>
                <c:pt idx="499" formatCode="#\ ##0.00\ &quot;zł&quot;">
                  <c:v>-498.39079956172236</c:v>
                </c:pt>
                <c:pt idx="500" formatCode="#\ ##0.00\ &quot;zł&quot;">
                  <c:v>-527.33872961635234</c:v>
                </c:pt>
                <c:pt idx="501" formatCode="#\ ##0.00\ &quot;zł&quot;">
                  <c:v>-645.26012841688782</c:v>
                </c:pt>
                <c:pt idx="502" formatCode="#\ ##0.00\ &quot;zł&quot;">
                  <c:v>-761.85806241361308</c:v>
                </c:pt>
                <c:pt idx="503" formatCode="#\ ##0.00\ &quot;zł&quot;">
                  <c:v>-691.93503319746469</c:v>
                </c:pt>
                <c:pt idx="504" formatCode="#\ ##0.00\ &quot;zł&quot;">
                  <c:v>-706.06182991603691</c:v>
                </c:pt>
                <c:pt idx="505" formatCode="#\ ##0.00\ &quot;zł&quot;">
                  <c:v>-659.27952897963473</c:v>
                </c:pt>
                <c:pt idx="506" formatCode="#\ ##0.00\ &quot;zł&quot;">
                  <c:v>-779.46384835577533</c:v>
                </c:pt>
                <c:pt idx="507" formatCode="#\ ##0.00\ &quot;zł&quot;">
                  <c:v>-511.58809743791278</c:v>
                </c:pt>
                <c:pt idx="508" formatCode="#\ ##0.00\ &quot;zł&quot;">
                  <c:v>-829.11391739094938</c:v>
                </c:pt>
                <c:pt idx="509" formatCode="#\ ##0.00\ &quot;zł&quot;">
                  <c:v>-862.96114896423558</c:v>
                </c:pt>
                <c:pt idx="510" formatCode="#\ ##0.00\ &quot;zł&quot;">
                  <c:v>-700.59037857504018</c:v>
                </c:pt>
                <c:pt idx="511" formatCode="#\ ##0.00\ &quot;zł&quot;">
                  <c:v>-569.89661045890421</c:v>
                </c:pt>
                <c:pt idx="512" formatCode="#\ ##0.00\ &quot;zł&quot;">
                  <c:v>-778.70645888823833</c:v>
                </c:pt>
                <c:pt idx="513" formatCode="#\ ##0.00\ &quot;zł&quot;">
                  <c:v>-673.48901229203875</c:v>
                </c:pt>
                <c:pt idx="514" formatCode="#\ ##0.00\ &quot;zł&quot;">
                  <c:v>-729.25246634568816</c:v>
                </c:pt>
                <c:pt idx="515" formatCode="#\ ##0.00\ &quot;zł&quot;">
                  <c:v>-756.16311605719488</c:v>
                </c:pt>
                <c:pt idx="516" formatCode="#\ ##0.00\ &quot;zł&quot;">
                  <c:v>-841.29764973405759</c:v>
                </c:pt>
                <c:pt idx="517" formatCode="#\ ##0.00\ &quot;zł&quot;">
                  <c:v>-865.90883983510594</c:v>
                </c:pt>
                <c:pt idx="518" formatCode="#\ ##0.00\ &quot;zł&quot;">
                  <c:v>-880.92908886992086</c:v>
                </c:pt>
                <c:pt idx="519" formatCode="#\ ##0.00\ &quot;zł&quot;">
                  <c:v>-934.66082369780133</c:v>
                </c:pt>
                <c:pt idx="520" formatCode="#\ ##0.00\ &quot;zł&quot;">
                  <c:v>-908.92944614452483</c:v>
                </c:pt>
                <c:pt idx="521" formatCode="#\ ##0.00\ &quot;zł&quot;">
                  <c:v>-946.99033643536222</c:v>
                </c:pt>
                <c:pt idx="522" formatCode="#\ ##0.00\ &quot;zł&quot;">
                  <c:v>-952.05077283569995</c:v>
                </c:pt>
                <c:pt idx="523" formatCode="#\ ##0.00\ &quot;zł&quot;">
                  <c:v>-976.57865818443065</c:v>
                </c:pt>
                <c:pt idx="524" formatCode="#\ ##0.00\ &quot;zł&quot;">
                  <c:v>-958.07323303681221</c:v>
                </c:pt>
                <c:pt idx="525" formatCode="#\ ##0.00\ &quot;zł&quot;">
                  <c:v>-1026.0623362529334</c:v>
                </c:pt>
                <c:pt idx="526" formatCode="#\ ##0.00\ &quot;zł&quot;">
                  <c:v>-907.85699066358632</c:v>
                </c:pt>
                <c:pt idx="527" formatCode="#\ ##0.00\ &quot;zł&quot;">
                  <c:v>-830.67707157803864</c:v>
                </c:pt>
                <c:pt idx="528" formatCode="#\ ##0.00\ &quot;zł&quot;">
                  <c:v>-867.03240906456858</c:v>
                </c:pt>
                <c:pt idx="529" formatCode="#\ ##0.00\ &quot;zł&quot;">
                  <c:v>-920.07582687782599</c:v>
                </c:pt>
                <c:pt idx="530" formatCode="#\ ##0.00\ &quot;zł&quot;">
                  <c:v>-995.07286253289033</c:v>
                </c:pt>
                <c:pt idx="531" formatCode="#\ ##0.00\ &quot;zł&quot;">
                  <c:v>-831.40343524750097</c:v>
                </c:pt>
                <c:pt idx="532" formatCode="#\ ##0.00\ &quot;zł&quot;">
                  <c:v>-858.80391562720467</c:v>
                </c:pt>
                <c:pt idx="533" formatCode="#\ ##0.00\ &quot;zł&quot;">
                  <c:v>-803.9492794979592</c:v>
                </c:pt>
                <c:pt idx="534" formatCode="#\ ##0.00\ &quot;zł&quot;">
                  <c:v>-744.35158524989288</c:v>
                </c:pt>
                <c:pt idx="535" formatCode="#\ ##0.00\ &quot;zł&quot;">
                  <c:v>-741.95538599638087</c:v>
                </c:pt>
                <c:pt idx="536" formatCode="#\ ##0.00\ &quot;zł&quot;">
                  <c:v>-959.16625996163975</c:v>
                </c:pt>
                <c:pt idx="537" formatCode="#\ ##0.00\ &quot;zł&quot;">
                  <c:v>-837.37741505702115</c:v>
                </c:pt>
                <c:pt idx="538" formatCode="#\ ##0.00\ &quot;zł&quot;">
                  <c:v>-649.60838461303365</c:v>
                </c:pt>
                <c:pt idx="539" formatCode="#\ ##0.00\ &quot;zł&quot;">
                  <c:v>-651.14262677534134</c:v>
                </c:pt>
                <c:pt idx="540" formatCode="#\ ##0.00\ &quot;zł&quot;">
                  <c:v>-749.86191144848146</c:v>
                </c:pt>
                <c:pt idx="541" formatCode="#\ ##0.00\ &quot;zł&quot;">
                  <c:v>-904.26317272605593</c:v>
                </c:pt>
                <c:pt idx="542" formatCode="#\ ##0.00\ &quot;zł&quot;">
                  <c:v>-833.05229589919554</c:v>
                </c:pt>
                <c:pt idx="543" formatCode="#\ ##0.00\ &quot;zł&quot;">
                  <c:v>-904.9583185499489</c:v>
                </c:pt>
                <c:pt idx="544" formatCode="#\ ##0.00\ &quot;zł&quot;">
                  <c:v>-807.254088531006</c:v>
                </c:pt>
                <c:pt idx="545" formatCode="#\ ##0.00\ &quot;zł&quot;">
                  <c:v>-871.60659132272781</c:v>
                </c:pt>
                <c:pt idx="546" formatCode="#\ ##0.00\ &quot;zł&quot;">
                  <c:v>-866.31781063971175</c:v>
                </c:pt>
                <c:pt idx="547" formatCode="#\ ##0.00\ &quot;zł&quot;">
                  <c:v>-957.00054181764108</c:v>
                </c:pt>
                <c:pt idx="548" formatCode="#\ ##0.00\ &quot;zł&quot;">
                  <c:v>-928.18053278285231</c:v>
                </c:pt>
                <c:pt idx="549" formatCode="#\ ##0.00\ &quot;zł&quot;">
                  <c:v>-892.41443541862031</c:v>
                </c:pt>
                <c:pt idx="550" formatCode="#\ ##0.00\ &quot;zł&quot;">
                  <c:v>-835.5002615821395</c:v>
                </c:pt>
                <c:pt idx="551" formatCode="#\ ##0.00\ &quot;zł&quot;">
                  <c:v>-804.72592566154481</c:v>
                </c:pt>
                <c:pt idx="552" formatCode="#\ ##0.00\ &quot;zł&quot;">
                  <c:v>-837.46552719268334</c:v>
                </c:pt>
                <c:pt idx="553" formatCode="#\ ##0.00\ &quot;zł&quot;">
                  <c:v>-795.63972210069369</c:v>
                </c:pt>
                <c:pt idx="554" formatCode="#\ ##0.00\ &quot;zł&quot;">
                  <c:v>-810.21529429675468</c:v>
                </c:pt>
                <c:pt idx="555" formatCode="#\ ##0.00\ &quot;zł&quot;">
                  <c:v>-1009.8602470305702</c:v>
                </c:pt>
                <c:pt idx="556" formatCode="#\ ##0.00\ &quot;zł&quot;">
                  <c:v>-943.96112006543149</c:v>
                </c:pt>
                <c:pt idx="557" formatCode="#\ ##0.00\ &quot;zł&quot;">
                  <c:v>-912.2688912474423</c:v>
                </c:pt>
                <c:pt idx="558" formatCode="#\ ##0.00\ &quot;zł&quot;">
                  <c:v>-1122.8518253928128</c:v>
                </c:pt>
                <c:pt idx="559" formatCode="#\ ##0.00\ &quot;zł&quot;">
                  <c:v>-914.4571337512466</c:v>
                </c:pt>
                <c:pt idx="560" formatCode="#\ ##0.00\ &quot;zł&quot;">
                  <c:v>-999.775735881537</c:v>
                </c:pt>
                <c:pt idx="561" formatCode="#\ ##0.00\ &quot;zł&quot;">
                  <c:v>-1045.4317348867719</c:v>
                </c:pt>
                <c:pt idx="562" formatCode="#\ ##0.00\ &quot;zł&quot;">
                  <c:v>-928.09659430881902</c:v>
                </c:pt>
                <c:pt idx="563" formatCode="#\ ##0.00\ &quot;zł&quot;">
                  <c:v>-1024.0685367882668</c:v>
                </c:pt>
                <c:pt idx="564" formatCode="#\ ##0.00\ &quot;zł&quot;">
                  <c:v>-1034.783726145014</c:v>
                </c:pt>
                <c:pt idx="565" formatCode="#\ ##0.00\ &quot;zł&quot;">
                  <c:v>-1015.9877185465994</c:v>
                </c:pt>
                <c:pt idx="566" formatCode="#\ ##0.00\ &quot;zł&quot;">
                  <c:v>-1171.7588216960849</c:v>
                </c:pt>
                <c:pt idx="567" formatCode="#\ ##0.00\ &quot;zł&quot;">
                  <c:v>-1166.3615725822724</c:v>
                </c:pt>
                <c:pt idx="568" formatCode="#\ ##0.00\ &quot;zł&quot;">
                  <c:v>-1283.3398489491206</c:v>
                </c:pt>
                <c:pt idx="569" formatCode="#\ ##0.00\ &quot;zł&quot;">
                  <c:v>-1255.5251639523169</c:v>
                </c:pt>
                <c:pt idx="570" formatCode="#\ ##0.00\ &quot;zł&quot;">
                  <c:v>-1184.9099312458909</c:v>
                </c:pt>
                <c:pt idx="571" formatCode="#\ ##0.00\ &quot;zł&quot;">
                  <c:v>-1110.7015188725054</c:v>
                </c:pt>
                <c:pt idx="572" formatCode="#\ ##0.00\ &quot;zł&quot;">
                  <c:v>-1077.5765874802773</c:v>
                </c:pt>
                <c:pt idx="573" formatCode="#\ ##0.00\ &quot;zł&quot;">
                  <c:v>-979.9233397180717</c:v>
                </c:pt>
                <c:pt idx="574" formatCode="#\ ##0.00\ &quot;zł&quot;">
                  <c:v>-989.57160092846311</c:v>
                </c:pt>
                <c:pt idx="575" formatCode="#\ ##0.00\ &quot;zł&quot;">
                  <c:v>-1015.7521489172209</c:v>
                </c:pt>
                <c:pt idx="576" formatCode="#\ ##0.00\ &quot;zł&quot;">
                  <c:v>-1058.5422598733849</c:v>
                </c:pt>
                <c:pt idx="577" formatCode="#\ ##0.00\ &quot;zł&quot;">
                  <c:v>-883.55277101087495</c:v>
                </c:pt>
                <c:pt idx="578" formatCode="#\ ##0.00\ &quot;zł&quot;">
                  <c:v>-1123.6536556093236</c:v>
                </c:pt>
                <c:pt idx="579" formatCode="#\ ##0.00\ &quot;zł&quot;">
                  <c:v>-1023.6403326310196</c:v>
                </c:pt>
                <c:pt idx="580" formatCode="#\ ##0.00\ &quot;zł&quot;">
                  <c:v>-1107.4938082176614</c:v>
                </c:pt>
                <c:pt idx="581" formatCode="#\ ##0.00\ &quot;zł&quot;">
                  <c:v>-1157.0770560624198</c:v>
                </c:pt>
                <c:pt idx="582" formatCode="#\ ##0.00\ &quot;zł&quot;">
                  <c:v>-1081.8038134728047</c:v>
                </c:pt>
                <c:pt idx="583" formatCode="#\ ##0.00\ &quot;zł&quot;">
                  <c:v>-1101.8530380205425</c:v>
                </c:pt>
                <c:pt idx="584" formatCode="#\ ##0.00\ &quot;zł&quot;">
                  <c:v>-1271.2209107628535</c:v>
                </c:pt>
                <c:pt idx="585" formatCode="#\ ##0.00\ &quot;zł&quot;">
                  <c:v>-1174.7863667237934</c:v>
                </c:pt>
                <c:pt idx="586" formatCode="#\ ##0.00\ &quot;zł&quot;">
                  <c:v>-1177.1946324603591</c:v>
                </c:pt>
                <c:pt idx="587" formatCode="#\ ##0.00\ &quot;zł&quot;">
                  <c:v>-991.74016527502852</c:v>
                </c:pt>
                <c:pt idx="588" formatCode="#\ ##0.00\ &quot;zł&quot;">
                  <c:v>-1227.4142724383794</c:v>
                </c:pt>
                <c:pt idx="589" formatCode="#\ ##0.00\ &quot;zł&quot;">
                  <c:v>-1308.8555276823761</c:v>
                </c:pt>
                <c:pt idx="590" formatCode="#\ ##0.00\ &quot;zł&quot;">
                  <c:v>-1103.3145849001187</c:v>
                </c:pt>
                <c:pt idx="591" formatCode="#\ ##0.00\ &quot;zł&quot;">
                  <c:v>-1055.2828416217876</c:v>
                </c:pt>
                <c:pt idx="592" formatCode="#\ ##0.00\ &quot;zł&quot;">
                  <c:v>-1027.2291965643115</c:v>
                </c:pt>
                <c:pt idx="593" formatCode="#\ ##0.00\ &quot;zł&quot;">
                  <c:v>-1126.967103658603</c:v>
                </c:pt>
                <c:pt idx="594" formatCode="#\ ##0.00\ &quot;zł&quot;">
                  <c:v>-1052.6377718956101</c:v>
                </c:pt>
                <c:pt idx="595" formatCode="#\ ##0.00\ &quot;zł&quot;">
                  <c:v>-1093.1979732496234</c:v>
                </c:pt>
                <c:pt idx="596" formatCode="#\ ##0.00\ &quot;zł&quot;">
                  <c:v>-1086.4518993917309</c:v>
                </c:pt>
                <c:pt idx="597" formatCode="#\ ##0.00\ &quot;zł&quot;">
                  <c:v>-982.3233681093061</c:v>
                </c:pt>
                <c:pt idx="598" formatCode="#\ ##0.00\ &quot;zł&quot;">
                  <c:v>-1111.9770573086703</c:v>
                </c:pt>
                <c:pt idx="599" formatCode="#\ ##0.00\ &quot;zł&quot;">
                  <c:v>-952.24344411234733</c:v>
                </c:pt>
                <c:pt idx="600" formatCode="#\ ##0.00\ &quot;zł&quot;">
                  <c:v>-1155.4947099538645</c:v>
                </c:pt>
                <c:pt idx="601" formatCode="#\ ##0.00\ &quot;zł&quot;">
                  <c:v>-1115.6520074001364</c:v>
                </c:pt>
                <c:pt idx="602" formatCode="#\ ##0.00\ &quot;zł&quot;">
                  <c:v>-1129.0090252226009</c:v>
                </c:pt>
                <c:pt idx="603" formatCode="#\ ##0.00\ &quot;zł&quot;">
                  <c:v>-1185.3391479666639</c:v>
                </c:pt>
                <c:pt idx="604" formatCode="#\ ##0.00\ &quot;zł&quot;">
                  <c:v>-1107.9472266360233</c:v>
                </c:pt>
                <c:pt idx="605" formatCode="#\ ##0.00\ &quot;zł&quot;">
                  <c:v>-1220.6580311339185</c:v>
                </c:pt>
                <c:pt idx="606" formatCode="#\ ##0.00\ &quot;zł&quot;">
                  <c:v>-997.62792333082393</c:v>
                </c:pt>
                <c:pt idx="607" formatCode="#\ ##0.00\ &quot;zł&quot;">
                  <c:v>-1116.997291907524</c:v>
                </c:pt>
                <c:pt idx="608" formatCode="#\ ##0.00\ &quot;zł&quot;">
                  <c:v>-1063.5737181044015</c:v>
                </c:pt>
                <c:pt idx="609" formatCode="#\ ##0.00\ &quot;zł&quot;">
                  <c:v>-1254.9295944140708</c:v>
                </c:pt>
                <c:pt idx="610" formatCode="#\ ##0.00\ &quot;zł&quot;">
                  <c:v>-1204.3487039908257</c:v>
                </c:pt>
                <c:pt idx="611" formatCode="#\ ##0.00\ &quot;zł&quot;">
                  <c:v>-896.76055510687661</c:v>
                </c:pt>
                <c:pt idx="612" formatCode="#\ ##0.00\ &quot;zł&quot;">
                  <c:v>-1213.0747668316737</c:v>
                </c:pt>
                <c:pt idx="613" formatCode="#\ ##0.00\ &quot;zł&quot;">
                  <c:v>-1161.7194265899427</c:v>
                </c:pt>
                <c:pt idx="614" formatCode="#\ ##0.00\ &quot;zł&quot;">
                  <c:v>-1177.5138278552386</c:v>
                </c:pt>
                <c:pt idx="615" formatCode="#\ ##0.00\ &quot;zł&quot;">
                  <c:v>-1148.5036209738059</c:v>
                </c:pt>
                <c:pt idx="616" formatCode="#\ ##0.00\ &quot;zł&quot;">
                  <c:v>-1256.2665357716228</c:v>
                </c:pt>
                <c:pt idx="617" formatCode="#\ ##0.00\ &quot;zł&quot;">
                  <c:v>-1175.7312821009336</c:v>
                </c:pt>
                <c:pt idx="618" formatCode="#\ ##0.00\ &quot;zł&quot;">
                  <c:v>-1114.8648080835092</c:v>
                </c:pt>
                <c:pt idx="619" formatCode="#\ ##0.00\ &quot;zł&quot;">
                  <c:v>-1314.1679470450533</c:v>
                </c:pt>
                <c:pt idx="620" formatCode="#\ ##0.00\ &quot;zł&quot;">
                  <c:v>-1117.2862466180979</c:v>
                </c:pt>
                <c:pt idx="621" formatCode="#\ ##0.00\ &quot;zł&quot;">
                  <c:v>-1175.5833496664482</c:v>
                </c:pt>
                <c:pt idx="622" formatCode="#\ ##0.00\ &quot;zł&quot;">
                  <c:v>-1308.7441397734146</c:v>
                </c:pt>
                <c:pt idx="623" formatCode="#\ ##0.00\ &quot;zł&quot;">
                  <c:v>-1276.060533796973</c:v>
                </c:pt>
                <c:pt idx="624" formatCode="#\ ##0.00\ &quot;zł&quot;">
                  <c:v>-1271.2045918444378</c:v>
                </c:pt>
                <c:pt idx="625" formatCode="#\ ##0.00\ &quot;zł&quot;">
                  <c:v>-1161.2196289694914</c:v>
                </c:pt>
                <c:pt idx="626" formatCode="#\ ##0.00\ &quot;zł&quot;">
                  <c:v>-1190.4058784225958</c:v>
                </c:pt>
                <c:pt idx="627" formatCode="#\ ##0.00\ &quot;zł&quot;">
                  <c:v>-1355.7431481311819</c:v>
                </c:pt>
                <c:pt idx="628" formatCode="#\ ##0.00\ &quot;zł&quot;">
                  <c:v>-1199.3638086369954</c:v>
                </c:pt>
                <c:pt idx="629" formatCode="#\ ##0.00\ &quot;zł&quot;">
                  <c:v>-1228.5947382614681</c:v>
                </c:pt>
                <c:pt idx="630" formatCode="#\ ##0.00\ &quot;zł&quot;">
                  <c:v>-1346.8039404360063</c:v>
                </c:pt>
                <c:pt idx="631" formatCode="#\ ##0.00\ &quot;zł&quot;">
                  <c:v>-1463.6943915548063</c:v>
                </c:pt>
                <c:pt idx="632" formatCode="#\ ##0.00\ &quot;zł&quot;">
                  <c:v>-1394.0685051997286</c:v>
                </c:pt>
                <c:pt idx="633" formatCode="#\ ##0.00\ &quot;zł&quot;">
                  <c:v>-1408.496984497508</c:v>
                </c:pt>
                <c:pt idx="634" formatCode="#\ ##0.00\ &quot;zł&quot;">
                  <c:v>-1362.0208217690815</c:v>
                </c:pt>
                <c:pt idx="635" formatCode="#\ ##0.00\ &quot;zł&quot;">
                  <c:v>-1482.5156527693539</c:v>
                </c:pt>
                <c:pt idx="636" formatCode="#\ ##0.00\ &quot;zł&quot;">
                  <c:v>-1214.9547065030908</c:v>
                </c:pt>
                <c:pt idx="637" formatCode="#\ ##0.00\ &quot;zł&quot;">
                  <c:v>-1532.7995455194232</c:v>
                </c:pt>
                <c:pt idx="638" formatCode="#\ ##0.00\ &quot;zł&quot;">
                  <c:v>-1566.9699336755912</c:v>
                </c:pt>
                <c:pt idx="639" formatCode="#\ ##0.00\ &quot;zł&quot;">
                  <c:v>-1404.9263821728332</c:v>
                </c:pt>
                <c:pt idx="640" formatCode="#\ ##0.00\ &quot;zł&quot;">
                  <c:v>-1274.5638216607765</c:v>
                </c:pt>
                <c:pt idx="641" formatCode="#\ ##0.00\ &quot;zł&quot;">
                  <c:v>-1483.7087944116097</c:v>
                </c:pt>
                <c:pt idx="642" formatCode="#\ ##0.00\ &quot;zł&quot;">
                  <c:v>-1378.8303183968615</c:v>
                </c:pt>
                <c:pt idx="643" formatCode="#\ ##0.00\ &quot;zł&quot;">
                  <c:v>-1434.9365203356881</c:v>
                </c:pt>
                <c:pt idx="644" formatCode="#\ ##0.00\ &quot;zł&quot;">
                  <c:v>-1462.1936277409659</c:v>
                </c:pt>
                <c:pt idx="645" formatCode="#\ ##0.00\ &quot;zł&quot;">
                  <c:v>-1547.678262847327</c:v>
                </c:pt>
              </c:numCache>
            </c:numRef>
          </c:val>
          <c:smooth val="0"/>
          <c:extLst>
            <c:ext xmlns:c16="http://schemas.microsoft.com/office/drawing/2014/chart" uri="{C3380CC4-5D6E-409C-BE32-E72D297353CC}">
              <c16:uniqueId val="{00000002-DD93-45C8-91E4-2C512E033A29}"/>
            </c:ext>
          </c:extLst>
        </c:ser>
        <c:ser>
          <c:idx val="3"/>
          <c:order val="3"/>
          <c:tx>
            <c:strRef>
              <c:f>'Forecast Sheet'!$E$1</c:f>
              <c:strCache>
                <c:ptCount val="1"/>
                <c:pt idx="0">
                  <c:v>Upper Confidence Bound(Sum of money)</c:v>
                </c:pt>
              </c:strCache>
            </c:strRef>
          </c:tx>
          <c:spPr>
            <a:ln w="12700" cap="rnd">
              <a:solidFill>
                <a:srgbClr val="E97132"/>
              </a:solidFill>
              <a:prstDash val="solid"/>
              <a:round/>
            </a:ln>
            <a:effectLst/>
          </c:spPr>
          <c:marker>
            <c:symbol val="none"/>
          </c:marker>
          <c:cat>
            <c:numRef>
              <c:f>'Forecast Sheet'!$A$2:$A$647</c:f>
              <c:numCache>
                <c:formatCode>m/d/yyyy</c:formatCode>
                <c:ptCount val="646"/>
                <c:pt idx="0">
                  <c:v>45352</c:v>
                </c:pt>
                <c:pt idx="1">
                  <c:v>45353</c:v>
                </c:pt>
                <c:pt idx="2">
                  <c:v>45354</c:v>
                </c:pt>
                <c:pt idx="3">
                  <c:v>45355</c:v>
                </c:pt>
                <c:pt idx="4">
                  <c:v>45356</c:v>
                </c:pt>
                <c:pt idx="5">
                  <c:v>45357</c:v>
                </c:pt>
                <c:pt idx="6">
                  <c:v>45358</c:v>
                </c:pt>
                <c:pt idx="7">
                  <c:v>45359</c:v>
                </c:pt>
                <c:pt idx="8">
                  <c:v>45360</c:v>
                </c:pt>
                <c:pt idx="9">
                  <c:v>45361</c:v>
                </c:pt>
                <c:pt idx="10">
                  <c:v>45362</c:v>
                </c:pt>
                <c:pt idx="11">
                  <c:v>45363</c:v>
                </c:pt>
                <c:pt idx="12">
                  <c:v>45364</c:v>
                </c:pt>
                <c:pt idx="13">
                  <c:v>45365</c:v>
                </c:pt>
                <c:pt idx="14">
                  <c:v>45366</c:v>
                </c:pt>
                <c:pt idx="15">
                  <c:v>45367</c:v>
                </c:pt>
                <c:pt idx="16">
                  <c:v>45368</c:v>
                </c:pt>
                <c:pt idx="17">
                  <c:v>45369</c:v>
                </c:pt>
                <c:pt idx="18">
                  <c:v>45370</c:v>
                </c:pt>
                <c:pt idx="19">
                  <c:v>45371</c:v>
                </c:pt>
                <c:pt idx="20">
                  <c:v>45372</c:v>
                </c:pt>
                <c:pt idx="21">
                  <c:v>45373</c:v>
                </c:pt>
                <c:pt idx="22">
                  <c:v>45374</c:v>
                </c:pt>
                <c:pt idx="23">
                  <c:v>45375</c:v>
                </c:pt>
                <c:pt idx="24">
                  <c:v>45376</c:v>
                </c:pt>
                <c:pt idx="25">
                  <c:v>45377</c:v>
                </c:pt>
                <c:pt idx="26">
                  <c:v>45378</c:v>
                </c:pt>
                <c:pt idx="27">
                  <c:v>45379</c:v>
                </c:pt>
                <c:pt idx="28">
                  <c:v>45380</c:v>
                </c:pt>
                <c:pt idx="29">
                  <c:v>45381</c:v>
                </c:pt>
                <c:pt idx="30">
                  <c:v>45382</c:v>
                </c:pt>
                <c:pt idx="31">
                  <c:v>45383</c:v>
                </c:pt>
                <c:pt idx="32">
                  <c:v>45384</c:v>
                </c:pt>
                <c:pt idx="33">
                  <c:v>45385</c:v>
                </c:pt>
                <c:pt idx="34">
                  <c:v>45386</c:v>
                </c:pt>
                <c:pt idx="35">
                  <c:v>45387</c:v>
                </c:pt>
                <c:pt idx="36">
                  <c:v>45388</c:v>
                </c:pt>
                <c:pt idx="37">
                  <c:v>45389</c:v>
                </c:pt>
                <c:pt idx="38">
                  <c:v>45390</c:v>
                </c:pt>
                <c:pt idx="39">
                  <c:v>45391</c:v>
                </c:pt>
                <c:pt idx="40">
                  <c:v>45392</c:v>
                </c:pt>
                <c:pt idx="41">
                  <c:v>45393</c:v>
                </c:pt>
                <c:pt idx="42">
                  <c:v>45394</c:v>
                </c:pt>
                <c:pt idx="43">
                  <c:v>45395</c:v>
                </c:pt>
                <c:pt idx="44">
                  <c:v>45396</c:v>
                </c:pt>
                <c:pt idx="45">
                  <c:v>45397</c:v>
                </c:pt>
                <c:pt idx="46">
                  <c:v>45398</c:v>
                </c:pt>
                <c:pt idx="47">
                  <c:v>45399</c:v>
                </c:pt>
                <c:pt idx="48">
                  <c:v>45400</c:v>
                </c:pt>
                <c:pt idx="49">
                  <c:v>45401</c:v>
                </c:pt>
                <c:pt idx="50">
                  <c:v>45402</c:v>
                </c:pt>
                <c:pt idx="51">
                  <c:v>45403</c:v>
                </c:pt>
                <c:pt idx="52">
                  <c:v>45404</c:v>
                </c:pt>
                <c:pt idx="53">
                  <c:v>45405</c:v>
                </c:pt>
                <c:pt idx="54">
                  <c:v>45406</c:v>
                </c:pt>
                <c:pt idx="55">
                  <c:v>45407</c:v>
                </c:pt>
                <c:pt idx="56">
                  <c:v>45408</c:v>
                </c:pt>
                <c:pt idx="57">
                  <c:v>45409</c:v>
                </c:pt>
                <c:pt idx="58">
                  <c:v>45410</c:v>
                </c:pt>
                <c:pt idx="59">
                  <c:v>45411</c:v>
                </c:pt>
                <c:pt idx="60">
                  <c:v>45412</c:v>
                </c:pt>
                <c:pt idx="61">
                  <c:v>45413</c:v>
                </c:pt>
                <c:pt idx="62">
                  <c:v>45414</c:v>
                </c:pt>
                <c:pt idx="63">
                  <c:v>45415</c:v>
                </c:pt>
                <c:pt idx="64">
                  <c:v>45416</c:v>
                </c:pt>
                <c:pt idx="65">
                  <c:v>45417</c:v>
                </c:pt>
                <c:pt idx="66">
                  <c:v>45418</c:v>
                </c:pt>
                <c:pt idx="67">
                  <c:v>45419</c:v>
                </c:pt>
                <c:pt idx="68">
                  <c:v>45420</c:v>
                </c:pt>
                <c:pt idx="69">
                  <c:v>45421</c:v>
                </c:pt>
                <c:pt idx="70">
                  <c:v>45422</c:v>
                </c:pt>
                <c:pt idx="71">
                  <c:v>45423</c:v>
                </c:pt>
                <c:pt idx="72">
                  <c:v>45424</c:v>
                </c:pt>
                <c:pt idx="73">
                  <c:v>45425</c:v>
                </c:pt>
                <c:pt idx="74">
                  <c:v>45426</c:v>
                </c:pt>
                <c:pt idx="75">
                  <c:v>45427</c:v>
                </c:pt>
                <c:pt idx="76">
                  <c:v>45428</c:v>
                </c:pt>
                <c:pt idx="77">
                  <c:v>45429</c:v>
                </c:pt>
                <c:pt idx="78">
                  <c:v>45430</c:v>
                </c:pt>
                <c:pt idx="79">
                  <c:v>45431</c:v>
                </c:pt>
                <c:pt idx="80">
                  <c:v>45432</c:v>
                </c:pt>
                <c:pt idx="81">
                  <c:v>45433</c:v>
                </c:pt>
                <c:pt idx="82">
                  <c:v>45434</c:v>
                </c:pt>
                <c:pt idx="83">
                  <c:v>45435</c:v>
                </c:pt>
                <c:pt idx="84">
                  <c:v>45436</c:v>
                </c:pt>
                <c:pt idx="85">
                  <c:v>45437</c:v>
                </c:pt>
                <c:pt idx="86">
                  <c:v>45438</c:v>
                </c:pt>
                <c:pt idx="87">
                  <c:v>45439</c:v>
                </c:pt>
                <c:pt idx="88">
                  <c:v>45440</c:v>
                </c:pt>
                <c:pt idx="89">
                  <c:v>45441</c:v>
                </c:pt>
                <c:pt idx="90">
                  <c:v>45442</c:v>
                </c:pt>
                <c:pt idx="91">
                  <c:v>45443</c:v>
                </c:pt>
                <c:pt idx="92">
                  <c:v>45444</c:v>
                </c:pt>
                <c:pt idx="93">
                  <c:v>45445</c:v>
                </c:pt>
                <c:pt idx="94">
                  <c:v>45446</c:v>
                </c:pt>
                <c:pt idx="95">
                  <c:v>45447</c:v>
                </c:pt>
                <c:pt idx="96">
                  <c:v>45448</c:v>
                </c:pt>
                <c:pt idx="97">
                  <c:v>45449</c:v>
                </c:pt>
                <c:pt idx="98">
                  <c:v>45450</c:v>
                </c:pt>
                <c:pt idx="99">
                  <c:v>45451</c:v>
                </c:pt>
                <c:pt idx="100">
                  <c:v>45452</c:v>
                </c:pt>
                <c:pt idx="101">
                  <c:v>45453</c:v>
                </c:pt>
                <c:pt idx="102">
                  <c:v>45454</c:v>
                </c:pt>
                <c:pt idx="103">
                  <c:v>45455</c:v>
                </c:pt>
                <c:pt idx="104">
                  <c:v>45456</c:v>
                </c:pt>
                <c:pt idx="105">
                  <c:v>45457</c:v>
                </c:pt>
                <c:pt idx="106">
                  <c:v>45458</c:v>
                </c:pt>
                <c:pt idx="107">
                  <c:v>45459</c:v>
                </c:pt>
                <c:pt idx="108">
                  <c:v>45460</c:v>
                </c:pt>
                <c:pt idx="109">
                  <c:v>45461</c:v>
                </c:pt>
                <c:pt idx="110">
                  <c:v>45462</c:v>
                </c:pt>
                <c:pt idx="111">
                  <c:v>45463</c:v>
                </c:pt>
                <c:pt idx="112">
                  <c:v>45464</c:v>
                </c:pt>
                <c:pt idx="113">
                  <c:v>45465</c:v>
                </c:pt>
                <c:pt idx="114">
                  <c:v>45466</c:v>
                </c:pt>
                <c:pt idx="115">
                  <c:v>45467</c:v>
                </c:pt>
                <c:pt idx="116">
                  <c:v>45468</c:v>
                </c:pt>
                <c:pt idx="117">
                  <c:v>45469</c:v>
                </c:pt>
                <c:pt idx="118">
                  <c:v>45470</c:v>
                </c:pt>
                <c:pt idx="119">
                  <c:v>45471</c:v>
                </c:pt>
                <c:pt idx="120">
                  <c:v>45472</c:v>
                </c:pt>
                <c:pt idx="121">
                  <c:v>45473</c:v>
                </c:pt>
                <c:pt idx="122">
                  <c:v>45474</c:v>
                </c:pt>
                <c:pt idx="123">
                  <c:v>45475</c:v>
                </c:pt>
                <c:pt idx="124">
                  <c:v>45476</c:v>
                </c:pt>
                <c:pt idx="125">
                  <c:v>45477</c:v>
                </c:pt>
                <c:pt idx="126">
                  <c:v>45478</c:v>
                </c:pt>
                <c:pt idx="127">
                  <c:v>45479</c:v>
                </c:pt>
                <c:pt idx="128">
                  <c:v>45480</c:v>
                </c:pt>
                <c:pt idx="129">
                  <c:v>45481</c:v>
                </c:pt>
                <c:pt idx="130">
                  <c:v>45482</c:v>
                </c:pt>
                <c:pt idx="131">
                  <c:v>45483</c:v>
                </c:pt>
                <c:pt idx="132">
                  <c:v>45484</c:v>
                </c:pt>
                <c:pt idx="133">
                  <c:v>45485</c:v>
                </c:pt>
                <c:pt idx="134">
                  <c:v>45486</c:v>
                </c:pt>
                <c:pt idx="135">
                  <c:v>45487</c:v>
                </c:pt>
                <c:pt idx="136">
                  <c:v>45488</c:v>
                </c:pt>
                <c:pt idx="137">
                  <c:v>45489</c:v>
                </c:pt>
                <c:pt idx="138">
                  <c:v>45490</c:v>
                </c:pt>
                <c:pt idx="139">
                  <c:v>45491</c:v>
                </c:pt>
                <c:pt idx="140">
                  <c:v>45492</c:v>
                </c:pt>
                <c:pt idx="141">
                  <c:v>45493</c:v>
                </c:pt>
                <c:pt idx="142">
                  <c:v>45494</c:v>
                </c:pt>
                <c:pt idx="143">
                  <c:v>45495</c:v>
                </c:pt>
                <c:pt idx="144">
                  <c:v>45496</c:v>
                </c:pt>
                <c:pt idx="145">
                  <c:v>45497</c:v>
                </c:pt>
                <c:pt idx="146">
                  <c:v>45498</c:v>
                </c:pt>
                <c:pt idx="147">
                  <c:v>45499</c:v>
                </c:pt>
                <c:pt idx="148">
                  <c:v>45500</c:v>
                </c:pt>
                <c:pt idx="149">
                  <c:v>45501</c:v>
                </c:pt>
                <c:pt idx="150">
                  <c:v>45502</c:v>
                </c:pt>
                <c:pt idx="151">
                  <c:v>45503</c:v>
                </c:pt>
                <c:pt idx="152">
                  <c:v>45504</c:v>
                </c:pt>
                <c:pt idx="153">
                  <c:v>45505</c:v>
                </c:pt>
                <c:pt idx="154">
                  <c:v>45506</c:v>
                </c:pt>
                <c:pt idx="155">
                  <c:v>45507</c:v>
                </c:pt>
                <c:pt idx="156">
                  <c:v>45508</c:v>
                </c:pt>
                <c:pt idx="157">
                  <c:v>45509</c:v>
                </c:pt>
                <c:pt idx="158">
                  <c:v>45510</c:v>
                </c:pt>
                <c:pt idx="159">
                  <c:v>45511</c:v>
                </c:pt>
                <c:pt idx="160">
                  <c:v>45512</c:v>
                </c:pt>
                <c:pt idx="161">
                  <c:v>45513</c:v>
                </c:pt>
                <c:pt idx="162">
                  <c:v>45514</c:v>
                </c:pt>
                <c:pt idx="163">
                  <c:v>45515</c:v>
                </c:pt>
                <c:pt idx="164">
                  <c:v>45516</c:v>
                </c:pt>
                <c:pt idx="165">
                  <c:v>45517</c:v>
                </c:pt>
                <c:pt idx="166">
                  <c:v>45518</c:v>
                </c:pt>
                <c:pt idx="167">
                  <c:v>45519</c:v>
                </c:pt>
                <c:pt idx="168">
                  <c:v>45520</c:v>
                </c:pt>
                <c:pt idx="169">
                  <c:v>45521</c:v>
                </c:pt>
                <c:pt idx="170">
                  <c:v>45522</c:v>
                </c:pt>
                <c:pt idx="171">
                  <c:v>45523</c:v>
                </c:pt>
                <c:pt idx="172">
                  <c:v>45524</c:v>
                </c:pt>
                <c:pt idx="173">
                  <c:v>45525</c:v>
                </c:pt>
                <c:pt idx="174">
                  <c:v>45526</c:v>
                </c:pt>
                <c:pt idx="175">
                  <c:v>45527</c:v>
                </c:pt>
                <c:pt idx="176">
                  <c:v>45528</c:v>
                </c:pt>
                <c:pt idx="177">
                  <c:v>45529</c:v>
                </c:pt>
                <c:pt idx="178">
                  <c:v>45530</c:v>
                </c:pt>
                <c:pt idx="179">
                  <c:v>45531</c:v>
                </c:pt>
                <c:pt idx="180">
                  <c:v>45532</c:v>
                </c:pt>
                <c:pt idx="181">
                  <c:v>45533</c:v>
                </c:pt>
                <c:pt idx="182">
                  <c:v>45534</c:v>
                </c:pt>
                <c:pt idx="183">
                  <c:v>45535</c:v>
                </c:pt>
                <c:pt idx="184">
                  <c:v>45536</c:v>
                </c:pt>
                <c:pt idx="185">
                  <c:v>45537</c:v>
                </c:pt>
                <c:pt idx="186">
                  <c:v>45538</c:v>
                </c:pt>
                <c:pt idx="187">
                  <c:v>45539</c:v>
                </c:pt>
                <c:pt idx="188">
                  <c:v>45540</c:v>
                </c:pt>
                <c:pt idx="189">
                  <c:v>45541</c:v>
                </c:pt>
                <c:pt idx="190">
                  <c:v>45542</c:v>
                </c:pt>
                <c:pt idx="191">
                  <c:v>45543</c:v>
                </c:pt>
                <c:pt idx="192">
                  <c:v>45544</c:v>
                </c:pt>
                <c:pt idx="193">
                  <c:v>45545</c:v>
                </c:pt>
                <c:pt idx="194">
                  <c:v>45546</c:v>
                </c:pt>
                <c:pt idx="195">
                  <c:v>45547</c:v>
                </c:pt>
                <c:pt idx="196">
                  <c:v>45548</c:v>
                </c:pt>
                <c:pt idx="197">
                  <c:v>45549</c:v>
                </c:pt>
                <c:pt idx="198">
                  <c:v>45550</c:v>
                </c:pt>
                <c:pt idx="199">
                  <c:v>45551</c:v>
                </c:pt>
                <c:pt idx="200">
                  <c:v>45552</c:v>
                </c:pt>
                <c:pt idx="201">
                  <c:v>45553</c:v>
                </c:pt>
                <c:pt idx="202">
                  <c:v>45554</c:v>
                </c:pt>
                <c:pt idx="203">
                  <c:v>45555</c:v>
                </c:pt>
                <c:pt idx="204">
                  <c:v>45556</c:v>
                </c:pt>
                <c:pt idx="205">
                  <c:v>45557</c:v>
                </c:pt>
                <c:pt idx="206">
                  <c:v>45558</c:v>
                </c:pt>
                <c:pt idx="207">
                  <c:v>45559</c:v>
                </c:pt>
                <c:pt idx="208">
                  <c:v>45560</c:v>
                </c:pt>
                <c:pt idx="209">
                  <c:v>45561</c:v>
                </c:pt>
                <c:pt idx="210">
                  <c:v>45562</c:v>
                </c:pt>
                <c:pt idx="211">
                  <c:v>45563</c:v>
                </c:pt>
                <c:pt idx="212">
                  <c:v>45564</c:v>
                </c:pt>
                <c:pt idx="213">
                  <c:v>45565</c:v>
                </c:pt>
                <c:pt idx="214">
                  <c:v>45566</c:v>
                </c:pt>
                <c:pt idx="215">
                  <c:v>45567</c:v>
                </c:pt>
                <c:pt idx="216">
                  <c:v>45568</c:v>
                </c:pt>
                <c:pt idx="217">
                  <c:v>45569</c:v>
                </c:pt>
                <c:pt idx="218">
                  <c:v>45570</c:v>
                </c:pt>
                <c:pt idx="219">
                  <c:v>45571</c:v>
                </c:pt>
                <c:pt idx="220">
                  <c:v>45572</c:v>
                </c:pt>
                <c:pt idx="221">
                  <c:v>45573</c:v>
                </c:pt>
                <c:pt idx="222">
                  <c:v>45574</c:v>
                </c:pt>
                <c:pt idx="223">
                  <c:v>45575</c:v>
                </c:pt>
                <c:pt idx="224">
                  <c:v>45576</c:v>
                </c:pt>
                <c:pt idx="225">
                  <c:v>45577</c:v>
                </c:pt>
                <c:pt idx="226">
                  <c:v>45578</c:v>
                </c:pt>
                <c:pt idx="227">
                  <c:v>45579</c:v>
                </c:pt>
                <c:pt idx="228">
                  <c:v>45580</c:v>
                </c:pt>
                <c:pt idx="229">
                  <c:v>45581</c:v>
                </c:pt>
                <c:pt idx="230">
                  <c:v>45582</c:v>
                </c:pt>
                <c:pt idx="231">
                  <c:v>45583</c:v>
                </c:pt>
                <c:pt idx="232">
                  <c:v>45584</c:v>
                </c:pt>
                <c:pt idx="233">
                  <c:v>45585</c:v>
                </c:pt>
                <c:pt idx="234">
                  <c:v>45586</c:v>
                </c:pt>
                <c:pt idx="235">
                  <c:v>45587</c:v>
                </c:pt>
                <c:pt idx="236">
                  <c:v>45588</c:v>
                </c:pt>
                <c:pt idx="237">
                  <c:v>45589</c:v>
                </c:pt>
                <c:pt idx="238">
                  <c:v>45590</c:v>
                </c:pt>
                <c:pt idx="239">
                  <c:v>45591</c:v>
                </c:pt>
                <c:pt idx="240">
                  <c:v>45592</c:v>
                </c:pt>
                <c:pt idx="241">
                  <c:v>45593</c:v>
                </c:pt>
                <c:pt idx="242">
                  <c:v>45594</c:v>
                </c:pt>
                <c:pt idx="243">
                  <c:v>45595</c:v>
                </c:pt>
                <c:pt idx="244">
                  <c:v>45596</c:v>
                </c:pt>
                <c:pt idx="245">
                  <c:v>45597</c:v>
                </c:pt>
                <c:pt idx="246">
                  <c:v>45598</c:v>
                </c:pt>
                <c:pt idx="247">
                  <c:v>45599</c:v>
                </c:pt>
                <c:pt idx="248">
                  <c:v>45600</c:v>
                </c:pt>
                <c:pt idx="249">
                  <c:v>45601</c:v>
                </c:pt>
                <c:pt idx="250">
                  <c:v>45602</c:v>
                </c:pt>
                <c:pt idx="251">
                  <c:v>45603</c:v>
                </c:pt>
                <c:pt idx="252">
                  <c:v>45604</c:v>
                </c:pt>
                <c:pt idx="253">
                  <c:v>45605</c:v>
                </c:pt>
                <c:pt idx="254">
                  <c:v>45606</c:v>
                </c:pt>
                <c:pt idx="255">
                  <c:v>45607</c:v>
                </c:pt>
                <c:pt idx="256">
                  <c:v>45608</c:v>
                </c:pt>
                <c:pt idx="257">
                  <c:v>45609</c:v>
                </c:pt>
                <c:pt idx="258">
                  <c:v>45610</c:v>
                </c:pt>
                <c:pt idx="259">
                  <c:v>45611</c:v>
                </c:pt>
                <c:pt idx="260">
                  <c:v>45612</c:v>
                </c:pt>
                <c:pt idx="261">
                  <c:v>45613</c:v>
                </c:pt>
                <c:pt idx="262">
                  <c:v>45614</c:v>
                </c:pt>
                <c:pt idx="263">
                  <c:v>45615</c:v>
                </c:pt>
                <c:pt idx="264">
                  <c:v>45616</c:v>
                </c:pt>
                <c:pt idx="265">
                  <c:v>45617</c:v>
                </c:pt>
                <c:pt idx="266">
                  <c:v>45618</c:v>
                </c:pt>
                <c:pt idx="267">
                  <c:v>45619</c:v>
                </c:pt>
                <c:pt idx="268">
                  <c:v>45620</c:v>
                </c:pt>
                <c:pt idx="269">
                  <c:v>45621</c:v>
                </c:pt>
                <c:pt idx="270">
                  <c:v>45622</c:v>
                </c:pt>
                <c:pt idx="271">
                  <c:v>45623</c:v>
                </c:pt>
                <c:pt idx="272">
                  <c:v>45624</c:v>
                </c:pt>
                <c:pt idx="273">
                  <c:v>45625</c:v>
                </c:pt>
                <c:pt idx="274">
                  <c:v>45626</c:v>
                </c:pt>
                <c:pt idx="275">
                  <c:v>45627</c:v>
                </c:pt>
                <c:pt idx="276">
                  <c:v>45628</c:v>
                </c:pt>
                <c:pt idx="277">
                  <c:v>45629</c:v>
                </c:pt>
                <c:pt idx="278">
                  <c:v>45630</c:v>
                </c:pt>
                <c:pt idx="279">
                  <c:v>45631</c:v>
                </c:pt>
                <c:pt idx="280">
                  <c:v>45632</c:v>
                </c:pt>
                <c:pt idx="281">
                  <c:v>45633</c:v>
                </c:pt>
                <c:pt idx="282">
                  <c:v>45634</c:v>
                </c:pt>
                <c:pt idx="283">
                  <c:v>45635</c:v>
                </c:pt>
                <c:pt idx="284">
                  <c:v>45636</c:v>
                </c:pt>
                <c:pt idx="285">
                  <c:v>45637</c:v>
                </c:pt>
                <c:pt idx="286">
                  <c:v>45638</c:v>
                </c:pt>
                <c:pt idx="287">
                  <c:v>45639</c:v>
                </c:pt>
                <c:pt idx="288">
                  <c:v>45640</c:v>
                </c:pt>
                <c:pt idx="289">
                  <c:v>45641</c:v>
                </c:pt>
                <c:pt idx="290">
                  <c:v>45642</c:v>
                </c:pt>
                <c:pt idx="291">
                  <c:v>45643</c:v>
                </c:pt>
                <c:pt idx="292">
                  <c:v>45644</c:v>
                </c:pt>
                <c:pt idx="293">
                  <c:v>45645</c:v>
                </c:pt>
                <c:pt idx="294">
                  <c:v>45646</c:v>
                </c:pt>
                <c:pt idx="295">
                  <c:v>45647</c:v>
                </c:pt>
                <c:pt idx="296">
                  <c:v>45648</c:v>
                </c:pt>
                <c:pt idx="297">
                  <c:v>45649</c:v>
                </c:pt>
                <c:pt idx="298">
                  <c:v>45650</c:v>
                </c:pt>
                <c:pt idx="299">
                  <c:v>45651</c:v>
                </c:pt>
                <c:pt idx="300">
                  <c:v>45652</c:v>
                </c:pt>
                <c:pt idx="301">
                  <c:v>45653</c:v>
                </c:pt>
                <c:pt idx="302">
                  <c:v>45654</c:v>
                </c:pt>
                <c:pt idx="303">
                  <c:v>45655</c:v>
                </c:pt>
                <c:pt idx="304">
                  <c:v>45656</c:v>
                </c:pt>
                <c:pt idx="305">
                  <c:v>45657</c:v>
                </c:pt>
                <c:pt idx="306">
                  <c:v>45658</c:v>
                </c:pt>
                <c:pt idx="307">
                  <c:v>45659</c:v>
                </c:pt>
                <c:pt idx="308">
                  <c:v>45660</c:v>
                </c:pt>
                <c:pt idx="309">
                  <c:v>45661</c:v>
                </c:pt>
                <c:pt idx="310">
                  <c:v>45662</c:v>
                </c:pt>
                <c:pt idx="311">
                  <c:v>45663</c:v>
                </c:pt>
                <c:pt idx="312">
                  <c:v>45664</c:v>
                </c:pt>
                <c:pt idx="313">
                  <c:v>45665</c:v>
                </c:pt>
                <c:pt idx="314">
                  <c:v>45666</c:v>
                </c:pt>
                <c:pt idx="315">
                  <c:v>45667</c:v>
                </c:pt>
                <c:pt idx="316">
                  <c:v>45668</c:v>
                </c:pt>
                <c:pt idx="317">
                  <c:v>45669</c:v>
                </c:pt>
                <c:pt idx="318">
                  <c:v>45670</c:v>
                </c:pt>
                <c:pt idx="319">
                  <c:v>45671</c:v>
                </c:pt>
                <c:pt idx="320">
                  <c:v>45672</c:v>
                </c:pt>
                <c:pt idx="321">
                  <c:v>45673</c:v>
                </c:pt>
                <c:pt idx="322">
                  <c:v>45674</c:v>
                </c:pt>
                <c:pt idx="323">
                  <c:v>45675</c:v>
                </c:pt>
                <c:pt idx="324">
                  <c:v>45676</c:v>
                </c:pt>
                <c:pt idx="325">
                  <c:v>45677</c:v>
                </c:pt>
                <c:pt idx="326">
                  <c:v>45678</c:v>
                </c:pt>
                <c:pt idx="327">
                  <c:v>45679</c:v>
                </c:pt>
                <c:pt idx="328">
                  <c:v>45680</c:v>
                </c:pt>
                <c:pt idx="329">
                  <c:v>45681</c:v>
                </c:pt>
                <c:pt idx="330">
                  <c:v>45682</c:v>
                </c:pt>
                <c:pt idx="331">
                  <c:v>45683</c:v>
                </c:pt>
                <c:pt idx="332">
                  <c:v>45684</c:v>
                </c:pt>
                <c:pt idx="333">
                  <c:v>45685</c:v>
                </c:pt>
                <c:pt idx="334">
                  <c:v>45686</c:v>
                </c:pt>
                <c:pt idx="335">
                  <c:v>45687</c:v>
                </c:pt>
                <c:pt idx="336">
                  <c:v>45688</c:v>
                </c:pt>
                <c:pt idx="337">
                  <c:v>45689</c:v>
                </c:pt>
                <c:pt idx="338">
                  <c:v>45690</c:v>
                </c:pt>
                <c:pt idx="339">
                  <c:v>45691</c:v>
                </c:pt>
                <c:pt idx="340">
                  <c:v>45692</c:v>
                </c:pt>
                <c:pt idx="341">
                  <c:v>45693</c:v>
                </c:pt>
                <c:pt idx="342">
                  <c:v>45694</c:v>
                </c:pt>
                <c:pt idx="343">
                  <c:v>45695</c:v>
                </c:pt>
                <c:pt idx="344">
                  <c:v>45696</c:v>
                </c:pt>
                <c:pt idx="345">
                  <c:v>45697</c:v>
                </c:pt>
                <c:pt idx="346">
                  <c:v>45698</c:v>
                </c:pt>
                <c:pt idx="347">
                  <c:v>45699</c:v>
                </c:pt>
                <c:pt idx="348">
                  <c:v>45700</c:v>
                </c:pt>
                <c:pt idx="349">
                  <c:v>45701</c:v>
                </c:pt>
                <c:pt idx="350">
                  <c:v>45702</c:v>
                </c:pt>
                <c:pt idx="351">
                  <c:v>45703</c:v>
                </c:pt>
                <c:pt idx="352">
                  <c:v>45704</c:v>
                </c:pt>
                <c:pt idx="353">
                  <c:v>45705</c:v>
                </c:pt>
                <c:pt idx="354">
                  <c:v>45706</c:v>
                </c:pt>
                <c:pt idx="355">
                  <c:v>45707</c:v>
                </c:pt>
                <c:pt idx="356">
                  <c:v>45708</c:v>
                </c:pt>
                <c:pt idx="357">
                  <c:v>45709</c:v>
                </c:pt>
                <c:pt idx="358">
                  <c:v>45710</c:v>
                </c:pt>
                <c:pt idx="359">
                  <c:v>45711</c:v>
                </c:pt>
                <c:pt idx="360">
                  <c:v>45712</c:v>
                </c:pt>
                <c:pt idx="361">
                  <c:v>45713</c:v>
                </c:pt>
                <c:pt idx="362">
                  <c:v>45714</c:v>
                </c:pt>
                <c:pt idx="363">
                  <c:v>45715</c:v>
                </c:pt>
                <c:pt idx="364">
                  <c:v>45716</c:v>
                </c:pt>
                <c:pt idx="365">
                  <c:v>45717</c:v>
                </c:pt>
                <c:pt idx="366">
                  <c:v>45718</c:v>
                </c:pt>
                <c:pt idx="367">
                  <c:v>45719</c:v>
                </c:pt>
                <c:pt idx="368">
                  <c:v>45720</c:v>
                </c:pt>
                <c:pt idx="369">
                  <c:v>45721</c:v>
                </c:pt>
                <c:pt idx="370">
                  <c:v>45722</c:v>
                </c:pt>
                <c:pt idx="371">
                  <c:v>45723</c:v>
                </c:pt>
                <c:pt idx="372">
                  <c:v>45724</c:v>
                </c:pt>
                <c:pt idx="373">
                  <c:v>45725</c:v>
                </c:pt>
                <c:pt idx="374">
                  <c:v>45726</c:v>
                </c:pt>
                <c:pt idx="375">
                  <c:v>45727</c:v>
                </c:pt>
                <c:pt idx="376">
                  <c:v>45728</c:v>
                </c:pt>
                <c:pt idx="377">
                  <c:v>45729</c:v>
                </c:pt>
                <c:pt idx="378">
                  <c:v>45730</c:v>
                </c:pt>
                <c:pt idx="379">
                  <c:v>45731</c:v>
                </c:pt>
                <c:pt idx="380">
                  <c:v>45732</c:v>
                </c:pt>
                <c:pt idx="381">
                  <c:v>45733</c:v>
                </c:pt>
                <c:pt idx="382">
                  <c:v>45734</c:v>
                </c:pt>
                <c:pt idx="383">
                  <c:v>45735</c:v>
                </c:pt>
                <c:pt idx="384">
                  <c:v>45736</c:v>
                </c:pt>
                <c:pt idx="385">
                  <c:v>45737</c:v>
                </c:pt>
                <c:pt idx="386">
                  <c:v>45738</c:v>
                </c:pt>
                <c:pt idx="387">
                  <c:v>45739</c:v>
                </c:pt>
                <c:pt idx="388">
                  <c:v>45740</c:v>
                </c:pt>
                <c:pt idx="389">
                  <c:v>45741</c:v>
                </c:pt>
                <c:pt idx="390">
                  <c:v>45742</c:v>
                </c:pt>
                <c:pt idx="391">
                  <c:v>45743</c:v>
                </c:pt>
                <c:pt idx="392">
                  <c:v>45744</c:v>
                </c:pt>
                <c:pt idx="393">
                  <c:v>45745</c:v>
                </c:pt>
                <c:pt idx="394">
                  <c:v>45746</c:v>
                </c:pt>
                <c:pt idx="395">
                  <c:v>45747</c:v>
                </c:pt>
                <c:pt idx="396">
                  <c:v>45748</c:v>
                </c:pt>
                <c:pt idx="397">
                  <c:v>45749</c:v>
                </c:pt>
                <c:pt idx="398">
                  <c:v>45750</c:v>
                </c:pt>
                <c:pt idx="399">
                  <c:v>45751</c:v>
                </c:pt>
                <c:pt idx="400">
                  <c:v>45752</c:v>
                </c:pt>
                <c:pt idx="401">
                  <c:v>45753</c:v>
                </c:pt>
                <c:pt idx="402">
                  <c:v>45754</c:v>
                </c:pt>
                <c:pt idx="403">
                  <c:v>45755</c:v>
                </c:pt>
                <c:pt idx="404">
                  <c:v>45756</c:v>
                </c:pt>
                <c:pt idx="405">
                  <c:v>45757</c:v>
                </c:pt>
                <c:pt idx="406">
                  <c:v>45758</c:v>
                </c:pt>
                <c:pt idx="407">
                  <c:v>45759</c:v>
                </c:pt>
                <c:pt idx="408">
                  <c:v>45760</c:v>
                </c:pt>
                <c:pt idx="409">
                  <c:v>45761</c:v>
                </c:pt>
                <c:pt idx="410">
                  <c:v>45762</c:v>
                </c:pt>
                <c:pt idx="411">
                  <c:v>45763</c:v>
                </c:pt>
                <c:pt idx="412">
                  <c:v>45764</c:v>
                </c:pt>
                <c:pt idx="413">
                  <c:v>45765</c:v>
                </c:pt>
                <c:pt idx="414">
                  <c:v>45766</c:v>
                </c:pt>
                <c:pt idx="415">
                  <c:v>45767</c:v>
                </c:pt>
                <c:pt idx="416">
                  <c:v>45768</c:v>
                </c:pt>
                <c:pt idx="417">
                  <c:v>45769</c:v>
                </c:pt>
                <c:pt idx="418">
                  <c:v>45770</c:v>
                </c:pt>
                <c:pt idx="419">
                  <c:v>45771</c:v>
                </c:pt>
                <c:pt idx="420">
                  <c:v>45772</c:v>
                </c:pt>
                <c:pt idx="421">
                  <c:v>45773</c:v>
                </c:pt>
                <c:pt idx="422">
                  <c:v>45774</c:v>
                </c:pt>
                <c:pt idx="423">
                  <c:v>45775</c:v>
                </c:pt>
                <c:pt idx="424">
                  <c:v>45776</c:v>
                </c:pt>
                <c:pt idx="425">
                  <c:v>45777</c:v>
                </c:pt>
                <c:pt idx="426">
                  <c:v>45778</c:v>
                </c:pt>
                <c:pt idx="427">
                  <c:v>45779</c:v>
                </c:pt>
                <c:pt idx="428">
                  <c:v>45780</c:v>
                </c:pt>
                <c:pt idx="429">
                  <c:v>45781</c:v>
                </c:pt>
                <c:pt idx="430">
                  <c:v>45782</c:v>
                </c:pt>
                <c:pt idx="431">
                  <c:v>45783</c:v>
                </c:pt>
                <c:pt idx="432">
                  <c:v>45784</c:v>
                </c:pt>
                <c:pt idx="433">
                  <c:v>45785</c:v>
                </c:pt>
                <c:pt idx="434">
                  <c:v>45786</c:v>
                </c:pt>
                <c:pt idx="435">
                  <c:v>45787</c:v>
                </c:pt>
                <c:pt idx="436">
                  <c:v>45788</c:v>
                </c:pt>
                <c:pt idx="437">
                  <c:v>45789</c:v>
                </c:pt>
                <c:pt idx="438">
                  <c:v>45790</c:v>
                </c:pt>
                <c:pt idx="439">
                  <c:v>45791</c:v>
                </c:pt>
                <c:pt idx="440">
                  <c:v>45792</c:v>
                </c:pt>
                <c:pt idx="441">
                  <c:v>45793</c:v>
                </c:pt>
                <c:pt idx="442">
                  <c:v>45794</c:v>
                </c:pt>
                <c:pt idx="443">
                  <c:v>45795</c:v>
                </c:pt>
                <c:pt idx="444">
                  <c:v>45796</c:v>
                </c:pt>
                <c:pt idx="445">
                  <c:v>45797</c:v>
                </c:pt>
                <c:pt idx="446">
                  <c:v>45798</c:v>
                </c:pt>
                <c:pt idx="447">
                  <c:v>45799</c:v>
                </c:pt>
                <c:pt idx="448">
                  <c:v>45800</c:v>
                </c:pt>
                <c:pt idx="449">
                  <c:v>45801</c:v>
                </c:pt>
                <c:pt idx="450">
                  <c:v>45802</c:v>
                </c:pt>
                <c:pt idx="451">
                  <c:v>45803</c:v>
                </c:pt>
                <c:pt idx="452">
                  <c:v>45804</c:v>
                </c:pt>
                <c:pt idx="453">
                  <c:v>45805</c:v>
                </c:pt>
                <c:pt idx="454">
                  <c:v>45806</c:v>
                </c:pt>
                <c:pt idx="455">
                  <c:v>45807</c:v>
                </c:pt>
                <c:pt idx="456">
                  <c:v>45808</c:v>
                </c:pt>
                <c:pt idx="457">
                  <c:v>45809</c:v>
                </c:pt>
                <c:pt idx="458">
                  <c:v>45810</c:v>
                </c:pt>
                <c:pt idx="459">
                  <c:v>45811</c:v>
                </c:pt>
                <c:pt idx="460">
                  <c:v>45812</c:v>
                </c:pt>
                <c:pt idx="461">
                  <c:v>45813</c:v>
                </c:pt>
                <c:pt idx="462">
                  <c:v>45814</c:v>
                </c:pt>
                <c:pt idx="463">
                  <c:v>45815</c:v>
                </c:pt>
                <c:pt idx="464">
                  <c:v>45816</c:v>
                </c:pt>
                <c:pt idx="465">
                  <c:v>45817</c:v>
                </c:pt>
                <c:pt idx="466">
                  <c:v>45818</c:v>
                </c:pt>
                <c:pt idx="467">
                  <c:v>45819</c:v>
                </c:pt>
                <c:pt idx="468">
                  <c:v>45820</c:v>
                </c:pt>
                <c:pt idx="469">
                  <c:v>45821</c:v>
                </c:pt>
                <c:pt idx="470">
                  <c:v>45822</c:v>
                </c:pt>
                <c:pt idx="471">
                  <c:v>45823</c:v>
                </c:pt>
                <c:pt idx="472">
                  <c:v>45824</c:v>
                </c:pt>
                <c:pt idx="473">
                  <c:v>45825</c:v>
                </c:pt>
                <c:pt idx="474">
                  <c:v>45826</c:v>
                </c:pt>
                <c:pt idx="475">
                  <c:v>45827</c:v>
                </c:pt>
                <c:pt idx="476">
                  <c:v>45828</c:v>
                </c:pt>
                <c:pt idx="477">
                  <c:v>45829</c:v>
                </c:pt>
                <c:pt idx="478">
                  <c:v>45830</c:v>
                </c:pt>
                <c:pt idx="479">
                  <c:v>45831</c:v>
                </c:pt>
                <c:pt idx="480">
                  <c:v>45832</c:v>
                </c:pt>
                <c:pt idx="481">
                  <c:v>45833</c:v>
                </c:pt>
                <c:pt idx="482">
                  <c:v>45834</c:v>
                </c:pt>
                <c:pt idx="483">
                  <c:v>45835</c:v>
                </c:pt>
                <c:pt idx="484">
                  <c:v>45836</c:v>
                </c:pt>
                <c:pt idx="485">
                  <c:v>45837</c:v>
                </c:pt>
                <c:pt idx="486">
                  <c:v>45838</c:v>
                </c:pt>
                <c:pt idx="487">
                  <c:v>45839</c:v>
                </c:pt>
                <c:pt idx="488">
                  <c:v>45840</c:v>
                </c:pt>
                <c:pt idx="489">
                  <c:v>45841</c:v>
                </c:pt>
                <c:pt idx="490">
                  <c:v>45842</c:v>
                </c:pt>
                <c:pt idx="491">
                  <c:v>45843</c:v>
                </c:pt>
                <c:pt idx="492">
                  <c:v>45844</c:v>
                </c:pt>
                <c:pt idx="493">
                  <c:v>45845</c:v>
                </c:pt>
                <c:pt idx="494">
                  <c:v>45846</c:v>
                </c:pt>
                <c:pt idx="495">
                  <c:v>45847</c:v>
                </c:pt>
                <c:pt idx="496">
                  <c:v>45848</c:v>
                </c:pt>
                <c:pt idx="497">
                  <c:v>45849</c:v>
                </c:pt>
                <c:pt idx="498">
                  <c:v>45850</c:v>
                </c:pt>
                <c:pt idx="499">
                  <c:v>45851</c:v>
                </c:pt>
                <c:pt idx="500">
                  <c:v>45852</c:v>
                </c:pt>
                <c:pt idx="501">
                  <c:v>45853</c:v>
                </c:pt>
                <c:pt idx="502">
                  <c:v>45854</c:v>
                </c:pt>
                <c:pt idx="503">
                  <c:v>45855</c:v>
                </c:pt>
                <c:pt idx="504">
                  <c:v>45856</c:v>
                </c:pt>
                <c:pt idx="505">
                  <c:v>45857</c:v>
                </c:pt>
                <c:pt idx="506">
                  <c:v>45858</c:v>
                </c:pt>
                <c:pt idx="507">
                  <c:v>45859</c:v>
                </c:pt>
                <c:pt idx="508">
                  <c:v>45860</c:v>
                </c:pt>
                <c:pt idx="509">
                  <c:v>45861</c:v>
                </c:pt>
                <c:pt idx="510">
                  <c:v>45862</c:v>
                </c:pt>
                <c:pt idx="511">
                  <c:v>45863</c:v>
                </c:pt>
                <c:pt idx="512">
                  <c:v>45864</c:v>
                </c:pt>
                <c:pt idx="513">
                  <c:v>45865</c:v>
                </c:pt>
                <c:pt idx="514">
                  <c:v>45866</c:v>
                </c:pt>
                <c:pt idx="515">
                  <c:v>45867</c:v>
                </c:pt>
                <c:pt idx="516">
                  <c:v>45868</c:v>
                </c:pt>
                <c:pt idx="517">
                  <c:v>45869</c:v>
                </c:pt>
                <c:pt idx="518">
                  <c:v>45870</c:v>
                </c:pt>
                <c:pt idx="519">
                  <c:v>45871</c:v>
                </c:pt>
                <c:pt idx="520">
                  <c:v>45872</c:v>
                </c:pt>
                <c:pt idx="521">
                  <c:v>45873</c:v>
                </c:pt>
                <c:pt idx="522">
                  <c:v>45874</c:v>
                </c:pt>
                <c:pt idx="523">
                  <c:v>45875</c:v>
                </c:pt>
                <c:pt idx="524">
                  <c:v>45876</c:v>
                </c:pt>
                <c:pt idx="525">
                  <c:v>45877</c:v>
                </c:pt>
                <c:pt idx="526">
                  <c:v>45878</c:v>
                </c:pt>
                <c:pt idx="527">
                  <c:v>45879</c:v>
                </c:pt>
                <c:pt idx="528">
                  <c:v>45880</c:v>
                </c:pt>
                <c:pt idx="529">
                  <c:v>45881</c:v>
                </c:pt>
                <c:pt idx="530">
                  <c:v>45882</c:v>
                </c:pt>
                <c:pt idx="531">
                  <c:v>45883</c:v>
                </c:pt>
                <c:pt idx="532">
                  <c:v>45884</c:v>
                </c:pt>
                <c:pt idx="533">
                  <c:v>45885</c:v>
                </c:pt>
                <c:pt idx="534">
                  <c:v>45886</c:v>
                </c:pt>
                <c:pt idx="535">
                  <c:v>45887</c:v>
                </c:pt>
                <c:pt idx="536">
                  <c:v>45888</c:v>
                </c:pt>
                <c:pt idx="537">
                  <c:v>45889</c:v>
                </c:pt>
                <c:pt idx="538">
                  <c:v>45890</c:v>
                </c:pt>
                <c:pt idx="539">
                  <c:v>45891</c:v>
                </c:pt>
                <c:pt idx="540">
                  <c:v>45892</c:v>
                </c:pt>
                <c:pt idx="541">
                  <c:v>45893</c:v>
                </c:pt>
                <c:pt idx="542">
                  <c:v>45894</c:v>
                </c:pt>
                <c:pt idx="543">
                  <c:v>45895</c:v>
                </c:pt>
                <c:pt idx="544">
                  <c:v>45896</c:v>
                </c:pt>
                <c:pt idx="545">
                  <c:v>45897</c:v>
                </c:pt>
                <c:pt idx="546">
                  <c:v>45898</c:v>
                </c:pt>
                <c:pt idx="547">
                  <c:v>45899</c:v>
                </c:pt>
                <c:pt idx="548">
                  <c:v>45900</c:v>
                </c:pt>
                <c:pt idx="549">
                  <c:v>45901</c:v>
                </c:pt>
                <c:pt idx="550">
                  <c:v>45902</c:v>
                </c:pt>
                <c:pt idx="551">
                  <c:v>45903</c:v>
                </c:pt>
                <c:pt idx="552">
                  <c:v>45904</c:v>
                </c:pt>
                <c:pt idx="553">
                  <c:v>45905</c:v>
                </c:pt>
                <c:pt idx="554">
                  <c:v>45906</c:v>
                </c:pt>
                <c:pt idx="555">
                  <c:v>45907</c:v>
                </c:pt>
                <c:pt idx="556">
                  <c:v>45908</c:v>
                </c:pt>
                <c:pt idx="557">
                  <c:v>45909</c:v>
                </c:pt>
                <c:pt idx="558">
                  <c:v>45910</c:v>
                </c:pt>
                <c:pt idx="559">
                  <c:v>45911</c:v>
                </c:pt>
                <c:pt idx="560">
                  <c:v>45912</c:v>
                </c:pt>
                <c:pt idx="561">
                  <c:v>45913</c:v>
                </c:pt>
                <c:pt idx="562">
                  <c:v>45914</c:v>
                </c:pt>
                <c:pt idx="563">
                  <c:v>45915</c:v>
                </c:pt>
                <c:pt idx="564">
                  <c:v>45916</c:v>
                </c:pt>
                <c:pt idx="565">
                  <c:v>45917</c:v>
                </c:pt>
                <c:pt idx="566">
                  <c:v>45918</c:v>
                </c:pt>
                <c:pt idx="567">
                  <c:v>45919</c:v>
                </c:pt>
                <c:pt idx="568">
                  <c:v>45920</c:v>
                </c:pt>
                <c:pt idx="569">
                  <c:v>45921</c:v>
                </c:pt>
                <c:pt idx="570">
                  <c:v>45922</c:v>
                </c:pt>
                <c:pt idx="571">
                  <c:v>45923</c:v>
                </c:pt>
                <c:pt idx="572">
                  <c:v>45924</c:v>
                </c:pt>
                <c:pt idx="573">
                  <c:v>45925</c:v>
                </c:pt>
                <c:pt idx="574">
                  <c:v>45926</c:v>
                </c:pt>
                <c:pt idx="575">
                  <c:v>45927</c:v>
                </c:pt>
                <c:pt idx="576">
                  <c:v>45928</c:v>
                </c:pt>
                <c:pt idx="577">
                  <c:v>45929</c:v>
                </c:pt>
                <c:pt idx="578">
                  <c:v>45930</c:v>
                </c:pt>
                <c:pt idx="579">
                  <c:v>45931</c:v>
                </c:pt>
                <c:pt idx="580">
                  <c:v>45932</c:v>
                </c:pt>
                <c:pt idx="581">
                  <c:v>45933</c:v>
                </c:pt>
                <c:pt idx="582">
                  <c:v>45934</c:v>
                </c:pt>
                <c:pt idx="583">
                  <c:v>45935</c:v>
                </c:pt>
                <c:pt idx="584">
                  <c:v>45936</c:v>
                </c:pt>
                <c:pt idx="585">
                  <c:v>45937</c:v>
                </c:pt>
                <c:pt idx="586">
                  <c:v>45938</c:v>
                </c:pt>
                <c:pt idx="587">
                  <c:v>45939</c:v>
                </c:pt>
                <c:pt idx="588">
                  <c:v>45940</c:v>
                </c:pt>
                <c:pt idx="589">
                  <c:v>45941</c:v>
                </c:pt>
                <c:pt idx="590">
                  <c:v>45942</c:v>
                </c:pt>
                <c:pt idx="591">
                  <c:v>45943</c:v>
                </c:pt>
                <c:pt idx="592">
                  <c:v>45944</c:v>
                </c:pt>
                <c:pt idx="593">
                  <c:v>45945</c:v>
                </c:pt>
                <c:pt idx="594">
                  <c:v>45946</c:v>
                </c:pt>
                <c:pt idx="595">
                  <c:v>45947</c:v>
                </c:pt>
                <c:pt idx="596">
                  <c:v>45948</c:v>
                </c:pt>
                <c:pt idx="597">
                  <c:v>45949</c:v>
                </c:pt>
                <c:pt idx="598">
                  <c:v>45950</c:v>
                </c:pt>
                <c:pt idx="599">
                  <c:v>45951</c:v>
                </c:pt>
                <c:pt idx="600">
                  <c:v>45952</c:v>
                </c:pt>
                <c:pt idx="601">
                  <c:v>45953</c:v>
                </c:pt>
                <c:pt idx="602">
                  <c:v>45954</c:v>
                </c:pt>
                <c:pt idx="603">
                  <c:v>45955</c:v>
                </c:pt>
                <c:pt idx="604">
                  <c:v>45956</c:v>
                </c:pt>
                <c:pt idx="605">
                  <c:v>45957</c:v>
                </c:pt>
                <c:pt idx="606">
                  <c:v>45958</c:v>
                </c:pt>
                <c:pt idx="607">
                  <c:v>45959</c:v>
                </c:pt>
                <c:pt idx="608">
                  <c:v>45960</c:v>
                </c:pt>
                <c:pt idx="609">
                  <c:v>45961</c:v>
                </c:pt>
                <c:pt idx="610">
                  <c:v>45962</c:v>
                </c:pt>
                <c:pt idx="611">
                  <c:v>45963</c:v>
                </c:pt>
                <c:pt idx="612">
                  <c:v>45964</c:v>
                </c:pt>
                <c:pt idx="613">
                  <c:v>45965</c:v>
                </c:pt>
                <c:pt idx="614">
                  <c:v>45966</c:v>
                </c:pt>
                <c:pt idx="615">
                  <c:v>45967</c:v>
                </c:pt>
                <c:pt idx="616">
                  <c:v>45968</c:v>
                </c:pt>
                <c:pt idx="617">
                  <c:v>45969</c:v>
                </c:pt>
                <c:pt idx="618">
                  <c:v>45970</c:v>
                </c:pt>
                <c:pt idx="619">
                  <c:v>45971</c:v>
                </c:pt>
                <c:pt idx="620">
                  <c:v>45972</c:v>
                </c:pt>
                <c:pt idx="621">
                  <c:v>45973</c:v>
                </c:pt>
                <c:pt idx="622">
                  <c:v>45974</c:v>
                </c:pt>
                <c:pt idx="623">
                  <c:v>45975</c:v>
                </c:pt>
                <c:pt idx="624">
                  <c:v>45976</c:v>
                </c:pt>
                <c:pt idx="625">
                  <c:v>45977</c:v>
                </c:pt>
                <c:pt idx="626">
                  <c:v>45978</c:v>
                </c:pt>
                <c:pt idx="627">
                  <c:v>45979</c:v>
                </c:pt>
                <c:pt idx="628">
                  <c:v>45980</c:v>
                </c:pt>
                <c:pt idx="629">
                  <c:v>45981</c:v>
                </c:pt>
                <c:pt idx="630">
                  <c:v>45982</c:v>
                </c:pt>
                <c:pt idx="631">
                  <c:v>45983</c:v>
                </c:pt>
                <c:pt idx="632">
                  <c:v>45984</c:v>
                </c:pt>
                <c:pt idx="633">
                  <c:v>45985</c:v>
                </c:pt>
                <c:pt idx="634">
                  <c:v>45986</c:v>
                </c:pt>
                <c:pt idx="635">
                  <c:v>45987</c:v>
                </c:pt>
                <c:pt idx="636">
                  <c:v>45988</c:v>
                </c:pt>
                <c:pt idx="637">
                  <c:v>45989</c:v>
                </c:pt>
                <c:pt idx="638">
                  <c:v>45990</c:v>
                </c:pt>
                <c:pt idx="639">
                  <c:v>45991</c:v>
                </c:pt>
                <c:pt idx="640">
                  <c:v>45992</c:v>
                </c:pt>
                <c:pt idx="641">
                  <c:v>45993</c:v>
                </c:pt>
                <c:pt idx="642">
                  <c:v>45994</c:v>
                </c:pt>
                <c:pt idx="643">
                  <c:v>45995</c:v>
                </c:pt>
                <c:pt idx="644">
                  <c:v>45996</c:v>
                </c:pt>
                <c:pt idx="645">
                  <c:v>45997</c:v>
                </c:pt>
              </c:numCache>
            </c:numRef>
          </c:cat>
          <c:val>
            <c:numRef>
              <c:f>'Forecast Sheet'!$E$2:$E$647</c:f>
              <c:numCache>
                <c:formatCode>General</c:formatCode>
                <c:ptCount val="646"/>
                <c:pt idx="387" formatCode="#\ ##0.00\ &quot;zł&quot;">
                  <c:v>204.76</c:v>
                </c:pt>
                <c:pt idx="388" formatCode="#\ ##0.00\ &quot;zł&quot;">
                  <c:v>490.088266970799</c:v>
                </c:pt>
                <c:pt idx="389" formatCode="#\ ##0.00\ &quot;zł&quot;">
                  <c:v>489.90512404092976</c:v>
                </c:pt>
                <c:pt idx="390" formatCode="#\ ##0.00\ &quot;zł&quot;">
                  <c:v>450.8107666384937</c:v>
                </c:pt>
                <c:pt idx="391" formatCode="#\ ##0.00\ &quot;zł&quot;">
                  <c:v>490.99700401682207</c:v>
                </c:pt>
                <c:pt idx="392" formatCode="#\ ##0.00\ &quot;zł&quot;">
                  <c:v>467.22350584289347</c:v>
                </c:pt>
                <c:pt idx="393" formatCode="#\ ##0.00\ &quot;zł&quot;">
                  <c:v>476.29624243851202</c:v>
                </c:pt>
                <c:pt idx="394" formatCode="#\ ##0.00\ &quot;zł&quot;">
                  <c:v>465.75904471754848</c:v>
                </c:pt>
                <c:pt idx="395" formatCode="#\ ##0.00\ &quot;zł&quot;">
                  <c:v>498.12312159657279</c:v>
                </c:pt>
                <c:pt idx="396" formatCode="#\ ##0.00\ &quot;zł&quot;">
                  <c:v>443.86998681634623</c:v>
                </c:pt>
                <c:pt idx="397" formatCode="#\ ##0.00\ &quot;zł&quot;">
                  <c:v>575.69702700644473</c:v>
                </c:pt>
                <c:pt idx="398" formatCode="#\ ##0.00\ &quot;zł&quot;">
                  <c:v>666.3919603343104</c:v>
                </c:pt>
                <c:pt idx="399" formatCode="#\ ##0.00\ &quot;zł&quot;">
                  <c:v>643.45184020825479</c:v>
                </c:pt>
                <c:pt idx="400" formatCode="#\ ##0.00\ &quot;zł&quot;">
                  <c:v>603.7301053106637</c:v>
                </c:pt>
                <c:pt idx="401" formatCode="#\ ##0.00\ &quot;zł&quot;">
                  <c:v>541.96693468406443</c:v>
                </c:pt>
                <c:pt idx="402" formatCode="#\ ##0.00\ &quot;zł&quot;">
                  <c:v>718.78764367461827</c:v>
                </c:pt>
                <c:pt idx="403" formatCode="#\ ##0.00\ &quot;zł&quot;">
                  <c:v>704.46066885587982</c:v>
                </c:pt>
                <c:pt idx="404" formatCode="#\ ##0.00\ &quot;zł&quot;">
                  <c:v>772.31546112094634</c:v>
                </c:pt>
                <c:pt idx="405" formatCode="#\ ##0.00\ &quot;zł&quot;">
                  <c:v>844.8440488588426</c:v>
                </c:pt>
                <c:pt idx="406" formatCode="#\ ##0.00\ &quot;zł&quot;">
                  <c:v>860.10566094633487</c:v>
                </c:pt>
                <c:pt idx="407" formatCode="#\ ##0.00\ &quot;zł&quot;">
                  <c:v>655.69822698532494</c:v>
                </c:pt>
                <c:pt idx="408" formatCode="#\ ##0.00\ &quot;zł&quot;">
                  <c:v>790.23179951694215</c:v>
                </c:pt>
                <c:pt idx="409" formatCode="#\ ##0.00\ &quot;zł&quot;">
                  <c:v>990.68988181529346</c:v>
                </c:pt>
                <c:pt idx="410" formatCode="#\ ##0.00\ &quot;zł&quot;">
                  <c:v>1001.7918492252154</c:v>
                </c:pt>
                <c:pt idx="411" formatCode="#\ ##0.00\ &quot;zł&quot;">
                  <c:v>915.6585805541788</c:v>
                </c:pt>
                <c:pt idx="412" formatCode="#\ ##0.00\ &quot;zł&quot;">
                  <c:v>773.7956219095222</c:v>
                </c:pt>
                <c:pt idx="413" formatCode="#\ ##0.00\ &quot;zł&quot;">
                  <c:v>857.49941416686329</c:v>
                </c:pt>
                <c:pt idx="414" formatCode="#\ ##0.00\ &quot;zł&quot;">
                  <c:v>798.04310479773687</c:v>
                </c:pt>
                <c:pt idx="415" formatCode="#\ ##0.00\ &quot;zł&quot;">
                  <c:v>908.15590145427245</c:v>
                </c:pt>
                <c:pt idx="416" formatCode="#\ ##0.00\ &quot;zł&quot;">
                  <c:v>856.17275498974107</c:v>
                </c:pt>
                <c:pt idx="417" formatCode="#\ ##0.00\ &quot;zł&quot;">
                  <c:v>873.79350818801163</c:v>
                </c:pt>
                <c:pt idx="418" formatCode="#\ ##0.00\ &quot;zł&quot;">
                  <c:v>795.40709079590351</c:v>
                </c:pt>
                <c:pt idx="419" formatCode="#\ ##0.00\ &quot;zł&quot;">
                  <c:v>836.48938616348323</c:v>
                </c:pt>
                <c:pt idx="420" formatCode="#\ ##0.00\ &quot;zł&quot;">
                  <c:v>884.4852867712284</c:v>
                </c:pt>
                <c:pt idx="421" formatCode="#\ ##0.00\ &quot;zł&quot;">
                  <c:v>953.59824447065546</c:v>
                </c:pt>
                <c:pt idx="422" formatCode="#\ ##0.00\ &quot;zł&quot;">
                  <c:v>996.5417336191806</c:v>
                </c:pt>
                <c:pt idx="423" formatCode="#\ ##0.00\ &quot;zł&quot;">
                  <c:v>975.94297365065108</c:v>
                </c:pt>
                <c:pt idx="424" formatCode="#\ ##0.00\ &quot;zł&quot;">
                  <c:v>1029.8825625699999</c:v>
                </c:pt>
                <c:pt idx="425" formatCode="#\ ##0.00\ &quot;zł&quot;">
                  <c:v>1027.3949096885995</c:v>
                </c:pt>
                <c:pt idx="426" formatCode="#\ ##0.00\ &quot;zł&quot;">
                  <c:v>839.81314824102355</c:v>
                </c:pt>
                <c:pt idx="427" formatCode="#\ ##0.00\ &quot;zł&quot;">
                  <c:v>917.75182185277049</c:v>
                </c:pt>
                <c:pt idx="428" formatCode="#\ ##0.00\ &quot;zł&quot;">
                  <c:v>961.46098631952725</c:v>
                </c:pt>
                <c:pt idx="429" formatCode="#\ ##0.00\ &quot;zł&quot;">
                  <c:v>762.87336380255488</c:v>
                </c:pt>
                <c:pt idx="430" formatCode="#\ ##0.00\ &quot;zł&quot;">
                  <c:v>983.24268620746648</c:v>
                </c:pt>
                <c:pt idx="431" formatCode="#\ ##0.00\ &quot;zł&quot;">
                  <c:v>909.87893593277533</c:v>
                </c:pt>
                <c:pt idx="432" formatCode="#\ ##0.00\ &quot;zł&quot;">
                  <c:v>876.15887306087211</c:v>
                </c:pt>
                <c:pt idx="433" formatCode="#\ ##0.00\ &quot;zł&quot;">
                  <c:v>1005.4118607096832</c:v>
                </c:pt>
                <c:pt idx="434" formatCode="#\ ##0.00\ &quot;zł&quot;">
                  <c:v>921.34046845485273</c:v>
                </c:pt>
                <c:pt idx="435" formatCode="#\ ##0.00\ &quot;zł&quot;">
                  <c:v>922.50929218164492</c:v>
                </c:pt>
                <c:pt idx="436" formatCode="#\ ##0.00\ &quot;zł&quot;">
                  <c:v>953.17350471237864</c:v>
                </c:pt>
                <c:pt idx="437" formatCode="#\ ##0.00\ &quot;zł&quot;">
                  <c:v>809.25549828919975</c:v>
                </c:pt>
                <c:pt idx="438" formatCode="#\ ##0.00\ &quot;zł&quot;">
                  <c:v>826.49140837988284</c:v>
                </c:pt>
                <c:pt idx="439" formatCode="#\ ##0.00\ &quot;zł&quot;">
                  <c:v>721.33800365924492</c:v>
                </c:pt>
                <c:pt idx="440" formatCode="#\ ##0.00\ &quot;zł&quot;">
                  <c:v>760.96439270676444</c:v>
                </c:pt>
                <c:pt idx="441" formatCode="#\ ##0.00\ &quot;zł&quot;">
                  <c:v>843.37876018525503</c:v>
                </c:pt>
                <c:pt idx="442" formatCode="#\ ##0.00\ &quot;zł&quot;">
                  <c:v>929.37431413397815</c:v>
                </c:pt>
                <c:pt idx="443" formatCode="#\ ##0.00\ &quot;zł&quot;">
                  <c:v>974.27494885971032</c:v>
                </c:pt>
                <c:pt idx="444" formatCode="#\ ##0.00\ &quot;zł&quot;">
                  <c:v>1083.6929965796248</c:v>
                </c:pt>
                <c:pt idx="445" formatCode="#\ ##0.00\ &quot;zł&quot;">
                  <c:v>1085.799147702068</c:v>
                </c:pt>
                <c:pt idx="446" formatCode="#\ ##0.00\ &quot;zł&quot;">
                  <c:v>1071.3631219711826</c:v>
                </c:pt>
                <c:pt idx="447" formatCode="#\ ##0.00\ &quot;zł&quot;">
                  <c:v>1040.3081234057156</c:v>
                </c:pt>
                <c:pt idx="448" formatCode="#\ ##0.00\ &quot;zł&quot;">
                  <c:v>1227.0237784650769</c:v>
                </c:pt>
                <c:pt idx="449" formatCode="#\ ##0.00\ &quot;zł&quot;">
                  <c:v>998.64056176863846</c:v>
                </c:pt>
                <c:pt idx="450" formatCode="#\ ##0.00\ &quot;zł&quot;">
                  <c:v>1110.3634871947552</c:v>
                </c:pt>
                <c:pt idx="451" formatCode="#\ ##0.00\ &quot;zł&quot;">
                  <c:v>1038.211967058905</c:v>
                </c:pt>
                <c:pt idx="452" formatCode="#\ ##0.00\ &quot;zł&quot;">
                  <c:v>1000.3234323782771</c:v>
                </c:pt>
                <c:pt idx="453" formatCode="#\ ##0.00\ &quot;zł&quot;">
                  <c:v>1087.2845374099343</c:v>
                </c:pt>
                <c:pt idx="454" formatCode="#\ ##0.00\ &quot;zł&quot;">
                  <c:v>1078.9167035687415</c:v>
                </c:pt>
                <c:pt idx="455" formatCode="#\ ##0.00\ &quot;zł&quot;">
                  <c:v>921.22411674288162</c:v>
                </c:pt>
                <c:pt idx="456" formatCode="#\ ##0.00\ &quot;zł&quot;">
                  <c:v>1029.3281973203425</c:v>
                </c:pt>
                <c:pt idx="457" formatCode="#\ ##0.00\ &quot;zł&quot;">
                  <c:v>1038.5840631035558</c:v>
                </c:pt>
                <c:pt idx="458" formatCode="#\ ##0.00\ &quot;zł&quot;">
                  <c:v>1235.6975905522606</c:v>
                </c:pt>
                <c:pt idx="459" formatCode="#\ ##0.00\ &quot;zł&quot;">
                  <c:v>1011.6777959925561</c:v>
                </c:pt>
                <c:pt idx="460" formatCode="#\ ##0.00\ &quot;zł&quot;">
                  <c:v>941.88641953305307</c:v>
                </c:pt>
                <c:pt idx="461" formatCode="#\ ##0.00\ &quot;zł&quot;">
                  <c:v>1159.0731117537023</c:v>
                </c:pt>
                <c:pt idx="462" formatCode="#\ ##0.00\ &quot;zł&quot;">
                  <c:v>1218.7467705988561</c:v>
                </c:pt>
                <c:pt idx="463" formatCode="#\ ##0.00\ &quot;zł&quot;">
                  <c:v>1258.4387841782227</c:v>
                </c:pt>
                <c:pt idx="464" formatCode="#\ ##0.00\ &quot;zł&quot;">
                  <c:v>1170.335977072971</c:v>
                </c:pt>
                <c:pt idx="465" formatCode="#\ ##0.00\ &quot;zł&quot;">
                  <c:v>1256.2974108067749</c:v>
                </c:pt>
                <c:pt idx="466" formatCode="#\ ##0.00\ &quot;zł&quot;">
                  <c:v>1227.3665762243018</c:v>
                </c:pt>
                <c:pt idx="467" formatCode="#\ ##0.00\ &quot;zł&quot;">
                  <c:v>1245.7395370651552</c:v>
                </c:pt>
                <c:pt idx="468" formatCode="#\ ##0.00\ &quot;zł&quot;">
                  <c:v>1361.4927238182077</c:v>
                </c:pt>
                <c:pt idx="469" formatCode="#\ ##0.00\ &quot;zł&quot;">
                  <c:v>1243.4616999799614</c:v>
                </c:pt>
                <c:pt idx="470" formatCode="#\ ##0.00\ &quot;zł&quot;">
                  <c:v>1414.8162232062414</c:v>
                </c:pt>
                <c:pt idx="471" formatCode="#\ ##0.00\ &quot;zł&quot;">
                  <c:v>1223.1843404549409</c:v>
                </c:pt>
                <c:pt idx="472" formatCode="#\ ##0.00\ &quot;zł&quot;">
                  <c:v>1274.6451213904115</c:v>
                </c:pt>
                <c:pt idx="473" formatCode="#\ ##0.00\ &quot;zł&quot;">
                  <c:v>1272.9050935289238</c:v>
                </c:pt>
                <c:pt idx="474" formatCode="#\ ##0.00\ &quot;zł&quot;">
                  <c:v>1228.1910828761881</c:v>
                </c:pt>
                <c:pt idx="475" formatCode="#\ ##0.00\ &quot;zł&quot;">
                  <c:v>1317.1984434408914</c:v>
                </c:pt>
                <c:pt idx="476" formatCode="#\ ##0.00\ &quot;zł&quot;">
                  <c:v>1216.1026049826739</c:v>
                </c:pt>
                <c:pt idx="477" formatCode="#\ ##0.00\ &quot;zł&quot;">
                  <c:v>1450.7474001254977</c:v>
                </c:pt>
                <c:pt idx="478" formatCode="#\ ##0.00\ &quot;zł&quot;">
                  <c:v>1342.9926296878862</c:v>
                </c:pt>
                <c:pt idx="479" formatCode="#\ ##0.00\ &quot;zł&quot;">
                  <c:v>1408.0308970996075</c:v>
                </c:pt>
                <c:pt idx="480" formatCode="#\ ##0.00\ &quot;zł&quot;">
                  <c:v>1228.2899898680405</c:v>
                </c:pt>
                <c:pt idx="481" formatCode="#\ ##0.00\ &quot;zł&quot;">
                  <c:v>1290.4863003211217</c:v>
                </c:pt>
                <c:pt idx="482" formatCode="#\ ##0.00\ &quot;zł&quot;">
                  <c:v>1609.6904912972097</c:v>
                </c:pt>
                <c:pt idx="483" formatCode="#\ ##0.00\ &quot;zł&quot;">
                  <c:v>1304.9931106059073</c:v>
                </c:pt>
                <c:pt idx="484" formatCode="#\ ##0.00\ &quot;zł&quot;">
                  <c:v>1367.9662336044867</c:v>
                </c:pt>
                <c:pt idx="485" formatCode="#\ ##0.00\ &quot;zł&quot;">
                  <c:v>1363.7907256334101</c:v>
                </c:pt>
                <c:pt idx="486" formatCode="#\ ##0.00\ &quot;zł&quot;">
                  <c:v>1404.4210913164056</c:v>
                </c:pt>
                <c:pt idx="487" formatCode="#\ ##0.00\ &quot;zł&quot;">
                  <c:v>1308.2797520724725</c:v>
                </c:pt>
                <c:pt idx="488" formatCode="#\ ##0.00\ &quot;zł&quot;">
                  <c:v>1400.4381456837498</c:v>
                </c:pt>
                <c:pt idx="489" formatCode="#\ ##0.00\ &quot;zł&quot;">
                  <c:v>1472.9294681622157</c:v>
                </c:pt>
                <c:pt idx="490" formatCode="#\ ##0.00\ &quot;zł&quot;">
                  <c:v>1285.2530269210233</c:v>
                </c:pt>
                <c:pt idx="491" formatCode="#\ ##0.00\ &quot;zł&quot;">
                  <c:v>1493.7634117733141</c:v>
                </c:pt>
                <c:pt idx="492" formatCode="#\ ##0.00\ &quot;zł&quot;">
                  <c:v>1447.09711410564</c:v>
                </c:pt>
                <c:pt idx="493" formatCode="#\ ##0.00\ &quot;zł&quot;">
                  <c:v>1325.5693814839296</c:v>
                </c:pt>
                <c:pt idx="494" formatCode="#\ ##0.00\ &quot;zł&quot;">
                  <c:v>1369.8884251890295</c:v>
                </c:pt>
                <c:pt idx="495" formatCode="#\ ##0.00\ &quot;zł&quot;">
                  <c:v>1386.3823103293817</c:v>
                </c:pt>
                <c:pt idx="496" formatCode="#\ ##0.00\ &quot;zł&quot;">
                  <c:v>1508.0078442281592</c:v>
                </c:pt>
                <c:pt idx="497" formatCode="#\ ##0.00\ &quot;zł&quot;">
                  <c:v>1490.4649132539612</c:v>
                </c:pt>
                <c:pt idx="498" formatCode="#\ ##0.00\ &quot;zł&quot;">
                  <c:v>1336.7738264188092</c:v>
                </c:pt>
                <c:pt idx="499" formatCode="#\ ##0.00\ &quot;zł&quot;">
                  <c:v>1504.8023275162041</c:v>
                </c:pt>
                <c:pt idx="500" formatCode="#\ ##0.00\ &quot;zł&quot;">
                  <c:v>1487.2236500284769</c:v>
                </c:pt>
                <c:pt idx="501" formatCode="#\ ##0.00\ &quot;zł&quot;">
                  <c:v>1380.6698998666711</c:v>
                </c:pt>
                <c:pt idx="502" formatCode="#\ ##0.00\ &quot;zł&quot;">
                  <c:v>1275.4382075854514</c:v>
                </c:pt>
                <c:pt idx="503" formatCode="#\ ##0.00\ &quot;zł&quot;">
                  <c:v>1356.7262642236051</c:v>
                </c:pt>
                <c:pt idx="504" formatCode="#\ ##0.00\ &quot;zł&quot;">
                  <c:v>1353.9634690099651</c:v>
                </c:pt>
                <c:pt idx="505" formatCode="#\ ##0.00\ &quot;zł&quot;">
                  <c:v>1412.1089297750607</c:v>
                </c:pt>
                <c:pt idx="506" formatCode="#\ ##0.00\ &quot;zł&quot;">
                  <c:v>1303.2871087702695</c:v>
                </c:pt>
                <c:pt idx="507" formatCode="#\ ##0.00\ &quot;zł&quot;">
                  <c:v>1582.5248729088576</c:v>
                </c:pt>
                <c:pt idx="508" formatCode="#\ ##0.00\ &quot;zł&quot;">
                  <c:v>1276.3607535265171</c:v>
                </c:pt>
                <c:pt idx="509" formatCode="#\ ##0.00\ &quot;zł&quot;">
                  <c:v>1253.8750786708347</c:v>
                </c:pt>
                <c:pt idx="510" formatCode="#\ ##0.00\ &quot;zł&quot;">
                  <c:v>1427.6074271168713</c:v>
                </c:pt>
                <c:pt idx="511" formatCode="#\ ##0.00\ &quot;zł&quot;">
                  <c:v>1569.6629563125591</c:v>
                </c:pt>
                <c:pt idx="512" formatCode="#\ ##0.00\ &quot;zł&quot;">
                  <c:v>1372.2152102527036</c:v>
                </c:pt>
                <c:pt idx="513" formatCode="#\ ##0.00\ &quot;zł&quot;">
                  <c:v>1488.7952554488284</c:v>
                </c:pt>
                <c:pt idx="514" formatCode="#\ ##0.00\ &quot;zł&quot;">
                  <c:v>1444.3950479260277</c:v>
                </c:pt>
                <c:pt idx="515" formatCode="#\ ##0.00\ &quot;zł&quot;">
                  <c:v>1428.848441220571</c:v>
                </c:pt>
                <c:pt idx="516" formatCode="#\ ##0.00\ &quot;zł&quot;">
                  <c:v>1355.0788924942015</c:v>
                </c:pt>
                <c:pt idx="517" formatCode="#\ ##0.00\ &quot;zł&quot;">
                  <c:v>1361.5692799152703</c:v>
                </c:pt>
                <c:pt idx="518" formatCode="#\ ##0.00\ &quot;zł&quot;">
                  <c:v>1357.8161188486904</c:v>
                </c:pt>
                <c:pt idx="519" formatCode="#\ ##0.00\ &quot;zł&quot;">
                  <c:v>1315.3538288827745</c:v>
                </c:pt>
                <c:pt idx="520" formatCode="#\ ##0.00\ &quot;zł&quot;">
                  <c:v>1352.3571262555549</c:v>
                </c:pt>
                <c:pt idx="521" formatCode="#\ ##0.00\ &quot;zł&quot;">
                  <c:v>1325.5707464553461</c:v>
                </c:pt>
                <c:pt idx="522" formatCode="#\ ##0.00\ &quot;zł&quot;">
                  <c:v>1331.7875246368378</c:v>
                </c:pt>
                <c:pt idx="523" formatCode="#\ ##0.00\ &quot;zł&quot;">
                  <c:v>1318.539669142727</c:v>
                </c:pt>
                <c:pt idx="524" formatCode="#\ ##0.00\ &quot;zł&quot;">
                  <c:v>1348.3280484142606</c:v>
                </c:pt>
                <c:pt idx="525" formatCode="#\ ##0.00\ &quot;zł&quot;">
                  <c:v>1291.6249304545884</c:v>
                </c:pt>
                <c:pt idx="526" formatCode="#\ ##0.00\ &quot;zł&quot;">
                  <c:v>1421.1193972132019</c:v>
                </c:pt>
                <c:pt idx="527" formatCode="#\ ##0.00\ &quot;zł&quot;">
                  <c:v>1509.5916761270073</c:v>
                </c:pt>
                <c:pt idx="528" formatCode="#\ ##0.00\ &quot;zł&quot;">
                  <c:v>1484.5320378872216</c:v>
                </c:pt>
                <c:pt idx="529" formatCode="#\ ##0.00\ &quot;zł&quot;">
                  <c:v>1442.7877575580851</c:v>
                </c:pt>
                <c:pt idx="530" formatCode="#\ ##0.00\ &quot;zł&quot;">
                  <c:v>1379.093394547557</c:v>
                </c:pt>
                <c:pt idx="531" formatCode="#\ ##0.00\ &quot;zł&quot;">
                  <c:v>1554.0691247085674</c:v>
                </c:pt>
                <c:pt idx="532" formatCode="#\ ##0.00\ &quot;zł&quot;">
                  <c:v>1537.9786706961258</c:v>
                </c:pt>
                <c:pt idx="533" formatCode="#\ ##0.00\ &quot;zł&quot;">
                  <c:v>1604.1471481757912</c:v>
                </c:pt>
                <c:pt idx="534" formatCode="#\ ##0.00\ &quot;zł&quot;">
                  <c:v>1675.0625885198303</c:v>
                </c:pt>
                <c:pt idx="535" formatCode="#\ ##0.00\ &quot;zł&quot;">
                  <c:v>1688.7805266869618</c:v>
                </c:pt>
                <c:pt idx="536" formatCode="#\ ##0.00\ &quot;zł&quot;">
                  <c:v>1482.8954708725037</c:v>
                </c:pt>
                <c:pt idx="537" formatCode="#\ ##0.00\ &quot;zł&quot;">
                  <c:v>1616.0142979687898</c:v>
                </c:pt>
                <c:pt idx="538" formatCode="#\ ##0.00\ &quot;zł&quot;">
                  <c:v>1815.1175578688567</c:v>
                </c:pt>
                <c:pt idx="539" formatCode="#\ ##0.00\ &quot;zł&quot;">
                  <c:v>1824.9218741051818</c:v>
                </c:pt>
                <c:pt idx="540" formatCode="#\ ##0.00\ &quot;zł&quot;">
                  <c:v>1737.5455569397682</c:v>
                </c:pt>
                <c:pt idx="541" formatCode="#\ ##0.00\ &quot;zł&quot;">
                  <c:v>1594.4917509668476</c:v>
                </c:pt>
                <c:pt idx="542" formatCode="#\ ##0.00\ &quot;zł&quot;">
                  <c:v>1677.0546481364322</c:v>
                </c:pt>
                <c:pt idx="543" formatCode="#\ ##0.00\ &quot;zł&quot;">
                  <c:v>1616.5052866920935</c:v>
                </c:pt>
                <c:pt idx="544" formatCode="#\ ##0.00\ &quot;zł&quot;">
                  <c:v>1725.5708932215812</c:v>
                </c:pt>
                <c:pt idx="545" formatCode="#\ ##0.00\ &quot;zł&quot;">
                  <c:v>1672.5845553293395</c:v>
                </c:pt>
                <c:pt idx="546" formatCode="#\ ##0.00\ &quot;zł&quot;">
                  <c:v>1689.2443610587216</c:v>
                </c:pt>
                <c:pt idx="547" formatCode="#\ ##0.00\ &quot;zł&quot;">
                  <c:v>1609.9375855331627</c:v>
                </c:pt>
                <c:pt idx="548" formatCode="#\ ##0.00\ &quot;zł&quot;">
                  <c:v>1650.1385500139177</c:v>
                </c:pt>
                <c:pt idx="549" formatCode="#\ ##0.00\ &quot;zł&quot;">
                  <c:v>1697.2906705603789</c:v>
                </c:pt>
                <c:pt idx="550" formatCode="#\ ##0.00\ &quot;zł&quot;">
                  <c:v>1765.5960020390125</c:v>
                </c:pt>
                <c:pt idx="551" formatCode="#\ ##0.00\ &quot;zł&quot;">
                  <c:v>1807.7666955916025</c:v>
                </c:pt>
                <c:pt idx="552" formatCode="#\ ##0.00\ &quot;zł&quot;">
                  <c:v>1786.4287160430974</c:v>
                </c:pt>
                <c:pt idx="553" formatCode="#\ ##0.00\ &quot;zł&quot;">
                  <c:v>1839.6614706840346</c:v>
                </c:pt>
                <c:pt idx="554" formatCode="#\ ##0.00\ &quot;zł&quot;">
                  <c:v>1836.4982376971907</c:v>
                </c:pt>
                <c:pt idx="555" formatCode="#\ ##0.00\ &quot;zł&quot;">
                  <c:v>1648.2710748279153</c:v>
                </c:pt>
                <c:pt idx="556" formatCode="#\ ##0.00\ &quot;zł&quot;">
                  <c:v>1725.5935022313176</c:v>
                </c:pt>
                <c:pt idx="557" formatCode="#\ ##0.00\ &quot;zł&quot;">
                  <c:v>1768.7146009247431</c:v>
                </c:pt>
                <c:pt idx="558" formatCode="#\ ##0.00\ &quot;zł&quot;">
                  <c:v>1569.5661639216482</c:v>
                </c:pt>
                <c:pt idx="559" formatCode="#\ ##0.00\ &quot;zł&quot;">
                  <c:v>1789.401036788865</c:v>
                </c:pt>
                <c:pt idx="560" formatCode="#\ ##0.00\ &quot;zł&quot;">
                  <c:v>1715.5283557911539</c:v>
                </c:pt>
                <c:pt idx="561" formatCode="#\ ##0.00\ &quot;zł&quot;">
                  <c:v>1681.3240726756574</c:v>
                </c:pt>
                <c:pt idx="562" formatCode="#\ ##0.00\ &quot;zł&quot;">
                  <c:v>1810.116777796607</c:v>
                </c:pt>
                <c:pt idx="563" formatCode="#\ ##0.00\ &quot;zł&quot;">
                  <c:v>1725.6083014741046</c:v>
                </c:pt>
                <c:pt idx="564" formatCode="#\ ##0.00\ &quot;zł&quot;">
                  <c:v>1726.362531931818</c:v>
                </c:pt>
                <c:pt idx="565" formatCode="#\ ##0.00\ &quot;zł&quot;">
                  <c:v>1756.6339641464965</c:v>
                </c:pt>
                <c:pt idx="566" formatCode="#\ ##0.00\ &quot;zł&quot;">
                  <c:v>1612.3443406775123</c:v>
                </c:pt>
                <c:pt idx="567" formatCode="#\ ##0.00\ &quot;zł&quot;">
                  <c:v>1629.2291739336592</c:v>
                </c:pt>
                <c:pt idx="568" formatCode="#\ ##0.00\ &quot;zł&quot;">
                  <c:v>1523.7446347203536</c:v>
                </c:pt>
                <c:pt idx="569" formatCode="#\ ##0.00\ &quot;zł&quot;">
                  <c:v>1563.0592575992912</c:v>
                </c:pt>
                <c:pt idx="570" formatCode="#\ ##0.00\ &quot;zł&quot;">
                  <c:v>1645.1806758176865</c:v>
                </c:pt>
                <c:pt idx="571" formatCode="#\ ##0.00\ &quot;zł&quot;">
                  <c:v>1730.9015674334714</c:v>
                </c:pt>
                <c:pt idx="572" formatCode="#\ ##0.00\ &quot;zł&quot;">
                  <c:v>1775.5453171136028</c:v>
                </c:pt>
                <c:pt idx="573" formatCode="#\ ##0.00\ &quot;zł&quot;">
                  <c:v>1884.7237667535539</c:v>
                </c:pt>
                <c:pt idx="574" formatCode="#\ ##0.00\ &quot;zł&quot;">
                  <c:v>1886.6071347988056</c:v>
                </c:pt>
                <c:pt idx="575" formatCode="#\ ##0.00\ &quot;zł&quot;">
                  <c:v>1871.9646864894758</c:v>
                </c:pt>
                <c:pt idx="576" formatCode="#\ ##0.00\ &quot;zł&quot;">
                  <c:v>1840.7191879540496</c:v>
                </c:pt>
                <c:pt idx="577" formatCode="#\ ##0.00\ &quot;zł&quot;">
                  <c:v>2027.2598435812611</c:v>
                </c:pt>
                <c:pt idx="578" formatCode="#\ ##0.00\ &quot;zł&quot;">
                  <c:v>1798.7167209924517</c:v>
                </c:pt>
                <c:pt idx="579" formatCode="#\ ##0.00\ &quot;zł&quot;">
                  <c:v>1910.2944414375206</c:v>
                </c:pt>
                <c:pt idx="580" formatCode="#\ ##0.00\ &quot;zł&quot;">
                  <c:v>1838.0120383107846</c:v>
                </c:pt>
                <c:pt idx="581" formatCode="#\ ##0.00\ &quot;zł&quot;">
                  <c:v>1800.0065767912449</c:v>
                </c:pt>
                <c:pt idx="582" formatCode="#\ ##0.00\ &quot;zł&quot;">
                  <c:v>1886.864357791783</c:v>
                </c:pt>
                <c:pt idx="583" formatCode="#\ ##0.00\ &quot;zł&quot;">
                  <c:v>1878.406461321079</c:v>
                </c:pt>
                <c:pt idx="584" formatCode="#\ ##0.00\ &quot;zł&quot;">
                  <c:v>1720.6367432738755</c:v>
                </c:pt>
                <c:pt idx="585" formatCode="#\ ##0.00\ &quot;zł&quot;">
                  <c:v>1828.6763049609222</c:v>
                </c:pt>
                <c:pt idx="586" formatCode="#\ ##0.00\ &quot;zł&quot;">
                  <c:v>1837.8799555539194</c:v>
                </c:pt>
                <c:pt idx="587" formatCode="#\ ##0.00\ &quot;zł&quot;">
                  <c:v>2034.9532728837835</c:v>
                </c:pt>
                <c:pt idx="588" formatCode="#\ ##0.00\ &quot;zł&quot;">
                  <c:v>1810.9049842286038</c:v>
                </c:pt>
                <c:pt idx="589" formatCode="#\ ##0.00\ &quot;zł&quot;">
                  <c:v>1741.0965498307066</c:v>
                </c:pt>
                <c:pt idx="590" formatCode="#\ ##0.00\ &quot;zł&quot;">
                  <c:v>1958.2773492070376</c:v>
                </c:pt>
                <c:pt idx="591" formatCode="#\ ##0.00\ &quot;zł&quot;">
                  <c:v>2017.956017683131</c:v>
                </c:pt>
                <c:pt idx="592" formatCode="#\ ##0.00\ &quot;zł&quot;">
                  <c:v>2057.6636888531502</c:v>
                </c:pt>
                <c:pt idx="593" formatCode="#\ ##0.00\ &quot;zł&quot;">
                  <c:v>1969.5869405621545</c:v>
                </c:pt>
                <c:pt idx="594" formatCode="#\ ##0.00\ &quot;zł&quot;">
                  <c:v>2055.5845950693524</c:v>
                </c:pt>
                <c:pt idx="595" formatCode="#\ ##0.00\ &quot;zł&quot;">
                  <c:v>2026.6999111339032</c:v>
                </c:pt>
                <c:pt idx="596" formatCode="#\ ##0.00\ &quot;zł&quot;">
                  <c:v>2045.1287273103871</c:v>
                </c:pt>
                <c:pt idx="597" formatCode="#\ ##0.00\ &quot;zł&quot;">
                  <c:v>2160.9472555380521</c:v>
                </c:pt>
                <c:pt idx="598" formatCode="#\ ##0.00\ &quot;zł&quot;">
                  <c:v>2042.9908471467102</c:v>
                </c:pt>
                <c:pt idx="599" formatCode="#\ ##0.00\ &quot;zł&quot;">
                  <c:v>2214.4290537678653</c:v>
                </c:pt>
                <c:pt idx="600" formatCode="#\ ##0.00\ &quot;zł&quot;">
                  <c:v>2022.8897222481223</c:v>
                </c:pt>
                <c:pt idx="601" formatCode="#\ ##0.00\ &quot;zł&quot;">
                  <c:v>2074.4517278348485</c:v>
                </c:pt>
                <c:pt idx="602" formatCode="#\ ##0.00\ &quot;zł&quot;">
                  <c:v>2072.821409112918</c:v>
                </c:pt>
                <c:pt idx="603" formatCode="#\ ##0.00\ &quot;zł&quot;">
                  <c:v>2028.2254084429892</c:v>
                </c:pt>
                <c:pt idx="604" formatCode="#\ ##0.00\ &quot;zł&quot;">
                  <c:v>2117.3589012847506</c:v>
                </c:pt>
                <c:pt idx="605" formatCode="#\ ##0.00\ &quot;zł&quot;">
                  <c:v>2016.3971437630821</c:v>
                </c:pt>
                <c:pt idx="606" formatCode="#\ ##0.00\ &quot;zł&quot;">
                  <c:v>2251.1837996076329</c:v>
                </c:pt>
                <c:pt idx="607" formatCode="#\ ##0.00\ &quot;zł&quot;">
                  <c:v>2143.578505316867</c:v>
                </c:pt>
                <c:pt idx="608" formatCode="#\ ##0.00\ &quot;zł&quot;">
                  <c:v>2208.7737044157607</c:v>
                </c:pt>
                <c:pt idx="609" formatCode="#\ ##0.00\ &quot;zł&quot;">
                  <c:v>2029.1970287700101</c:v>
                </c:pt>
                <c:pt idx="610" formatCode="#\ ##0.00\ &quot;zł&quot;">
                  <c:v>2091.564719183295</c:v>
                </c:pt>
                <c:pt idx="611" formatCode="#\ ##0.00\ &quot;zł&quot;">
                  <c:v>2410.9472909476208</c:v>
                </c:pt>
                <c:pt idx="612" formatCode="#\ ##0.00\ &quot;zł&quot;">
                  <c:v>2106.4351481704457</c:v>
                </c:pt>
                <c:pt idx="613" formatCode="#\ ##0.00\ &quot;zł&quot;">
                  <c:v>2169.6002262229686</c:v>
                </c:pt>
                <c:pt idx="614" formatCode="#\ ##0.00\ &quot;zł&quot;">
                  <c:v>2165.6232540527799</c:v>
                </c:pt>
                <c:pt idx="615" formatCode="#\ ##0.00\ &quot;zł&quot;">
                  <c:v>2206.4586033660848</c:v>
                </c:pt>
                <c:pt idx="616" formatCode="#\ ##0.00\ &quot;zł&quot;">
                  <c:v>2110.5285660266209</c:v>
                </c:pt>
                <c:pt idx="617" formatCode="#\ ##0.00\ &quot;zł&quot;">
                  <c:v>2202.9044535149837</c:v>
                </c:pt>
                <c:pt idx="618" formatCode="#\ ##0.00\ &quot;zł&quot;">
                  <c:v>2275.6193386911018</c:v>
                </c:pt>
                <c:pt idx="619" formatCode="#\ ##0.00\ &quot;zł&quot;">
                  <c:v>2088.1724088654628</c:v>
                </c:pt>
                <c:pt idx="620" formatCode="#\ ##0.00\ &quot;zł&quot;">
                  <c:v>2296.9181367017463</c:v>
                </c:pt>
                <c:pt idx="621" formatCode="#\ ##0.00\ &quot;zł&quot;">
                  <c:v>2250.4928992977912</c:v>
                </c:pt>
                <c:pt idx="622" formatCode="#\ ##0.00\ &quot;zł&quot;">
                  <c:v>2129.2118327026883</c:v>
                </c:pt>
                <c:pt idx="623" formatCode="#\ ##0.00\ &quot;zł&quot;">
                  <c:v>2173.7830393668391</c:v>
                </c:pt>
                <c:pt idx="624" formatCode="#\ ##0.00\ &quot;zł&quot;">
                  <c:v>2190.5344781723961</c:v>
                </c:pt>
                <c:pt idx="625" formatCode="#\ ##0.00\ &quot;zł&quot;">
                  <c:v>2312.4228527412679</c:v>
                </c:pt>
                <c:pt idx="626" formatCode="#\ ##0.00\ &quot;zł&quot;">
                  <c:v>2295.1479481896376</c:v>
                </c:pt>
                <c:pt idx="627" formatCode="#\ ##0.00\ &quot;zł&quot;">
                  <c:v>2141.7299746526091</c:v>
                </c:pt>
                <c:pt idx="628" formatCode="#\ ##0.00\ &quot;zł&quot;">
                  <c:v>2310.0365793516212</c:v>
                </c:pt>
                <c:pt idx="629" formatCode="#\ ##0.00\ &quot;zł&quot;">
                  <c:v>2292.7409014337368</c:v>
                </c:pt>
                <c:pt idx="630" formatCode="#\ ##0.00\ &quot;zł&quot;">
                  <c:v>2186.4749546459334</c:v>
                </c:pt>
                <c:pt idx="631" formatCode="#\ ##0.00\ &quot;zł&quot;">
                  <c:v>2081.5357794867887</c:v>
                </c:pt>
                <c:pt idx="632" formatCode="#\ ##0.00\ &quot;zł&quot;">
                  <c:v>2163.1209789860131</c:v>
                </c:pt>
                <c:pt idx="633" formatCode="#\ ##0.00\ &quot;zł&quot;">
                  <c:v>2160.6598663515801</c:v>
                </c:pt>
                <c:pt idx="634" formatCode="#\ ##0.00\ &quot;zł&quot;">
                  <c:v>2219.1114653246514</c:v>
                </c:pt>
                <c:pt idx="635" formatCode="#\ ##0.00\ &quot;zł&quot;">
                  <c:v>2110.6001559439915</c:v>
                </c:pt>
                <c:pt idx="636" formatCode="#\ ##0.00\ &quot;zł&quot;">
                  <c:v>2390.1527247341792</c:v>
                </c:pt>
                <c:pt idx="637" formatCode="#\ ##0.00\ &quot;zł&quot;">
                  <c:v>2084.3076244151348</c:v>
                </c:pt>
                <c:pt idx="638" formatCode="#\ ##0.00\ &quot;zł&quot;">
                  <c:v>2062.145106142334</c:v>
                </c:pt>
                <c:pt idx="639" formatCode="#\ ##0.00\ &quot;zł&quot;">
                  <c:v>2236.2046734748083</c:v>
                </c:pt>
                <c:pt idx="640" formatCode="#\ ##0.00\ &quot;zł&quot;">
                  <c:v>2378.5914102745755</c:v>
                </c:pt>
                <c:pt idx="641" formatCode="#\ ##0.00\ &quot;zł&quot;">
                  <c:v>2181.4787885362189</c:v>
                </c:pt>
                <c:pt idx="642" formatCode="#\ ##0.00\ &quot;zł&quot;">
                  <c:v>2298.3978043137949</c:v>
                </c:pt>
                <c:pt idx="643" formatCode="#\ ##0.00\ &quot;zł&quot;">
                  <c:v>2254.3403446761713</c:v>
                </c:pt>
                <c:pt idx="644" formatCode="#\ ##0.00\ &quot;zł&quot;">
                  <c:v>2239.1401956644859</c:v>
                </c:pt>
                <c:pt idx="645" formatCode="#\ ##0.00\ &quot;zł&quot;">
                  <c:v>2165.7207483676148</c:v>
                </c:pt>
              </c:numCache>
            </c:numRef>
          </c:val>
          <c:smooth val="0"/>
          <c:extLst>
            <c:ext xmlns:c16="http://schemas.microsoft.com/office/drawing/2014/chart" uri="{C3380CC4-5D6E-409C-BE32-E72D297353CC}">
              <c16:uniqueId val="{00000003-DD93-45C8-91E4-2C512E033A29}"/>
            </c:ext>
          </c:extLst>
        </c:ser>
        <c:dLbls>
          <c:showLegendKey val="0"/>
          <c:showVal val="0"/>
          <c:showCatName val="0"/>
          <c:showSerName val="0"/>
          <c:showPercent val="0"/>
          <c:showBubbleSize val="0"/>
        </c:dLbls>
        <c:smooth val="0"/>
        <c:axId val="230714703"/>
        <c:axId val="230716143"/>
      </c:lineChart>
      <c:catAx>
        <c:axId val="230714703"/>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716143"/>
        <c:crosses val="autoZero"/>
        <c:auto val="1"/>
        <c:lblAlgn val="ctr"/>
        <c:lblOffset val="100"/>
        <c:noMultiLvlLbl val="0"/>
      </c:catAx>
      <c:valAx>
        <c:axId val="230716143"/>
        <c:scaling>
          <c:orientation val="minMax"/>
        </c:scaling>
        <c:delete val="0"/>
        <c:axPos val="l"/>
        <c:majorGridlines>
          <c:spPr>
            <a:ln w="9525" cap="flat" cmpd="sng" algn="ctr">
              <a:solidFill>
                <a:schemeClr val="tx1">
                  <a:lumMod val="15000"/>
                  <a:lumOff val="85000"/>
                </a:schemeClr>
              </a:solidFill>
              <a:round/>
            </a:ln>
            <a:effectLst/>
          </c:spPr>
        </c:majorGridlines>
        <c:numFmt formatCode="#\ ##0.00\ &quot;zł&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7147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13607</xdr:rowOff>
    </xdr:from>
    <xdr:to>
      <xdr:col>11</xdr:col>
      <xdr:colOff>733424</xdr:colOff>
      <xdr:row>12</xdr:row>
      <xdr:rowOff>323850</xdr:rowOff>
    </xdr:to>
    <xdr:graphicFrame macro="">
      <xdr:nvGraphicFramePr>
        <xdr:cNvPr id="2" name="Chart 1">
          <a:extLst>
            <a:ext uri="{FF2B5EF4-FFF2-40B4-BE49-F238E27FC236}">
              <a16:creationId xmlns:a16="http://schemas.microsoft.com/office/drawing/2014/main" id="{C4F0B2B8-33E0-4E28-88F1-7314F227CA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9526</xdr:colOff>
      <xdr:row>13</xdr:row>
      <xdr:rowOff>11205</xdr:rowOff>
    </xdr:from>
    <xdr:to>
      <xdr:col>29</xdr:col>
      <xdr:colOff>361950</xdr:colOff>
      <xdr:row>22</xdr:row>
      <xdr:rowOff>323850</xdr:rowOff>
    </xdr:to>
    <xdr:graphicFrame macro="">
      <xdr:nvGraphicFramePr>
        <xdr:cNvPr id="6" name="Chart 5">
          <a:extLst>
            <a:ext uri="{FF2B5EF4-FFF2-40B4-BE49-F238E27FC236}">
              <a16:creationId xmlns:a16="http://schemas.microsoft.com/office/drawing/2014/main" id="{1E019248-7D62-49E4-B3AC-3329442BA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xdr:row>
      <xdr:rowOff>9524</xdr:rowOff>
    </xdr:from>
    <xdr:to>
      <xdr:col>12</xdr:col>
      <xdr:colOff>0</xdr:colOff>
      <xdr:row>22</xdr:row>
      <xdr:rowOff>333374</xdr:rowOff>
    </xdr:to>
    <xdr:graphicFrame macro="">
      <xdr:nvGraphicFramePr>
        <xdr:cNvPr id="17" name="Chart 16">
          <a:extLst>
            <a:ext uri="{FF2B5EF4-FFF2-40B4-BE49-F238E27FC236}">
              <a16:creationId xmlns:a16="http://schemas.microsoft.com/office/drawing/2014/main" id="{420FC165-BF05-4510-A482-9EB25B89D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19050</xdr:colOff>
      <xdr:row>0</xdr:row>
      <xdr:rowOff>9525</xdr:rowOff>
    </xdr:from>
    <xdr:to>
      <xdr:col>29</xdr:col>
      <xdr:colOff>361949</xdr:colOff>
      <xdr:row>3</xdr:row>
      <xdr:rowOff>323850</xdr:rowOff>
    </xdr:to>
    <xdr:graphicFrame macro="">
      <xdr:nvGraphicFramePr>
        <xdr:cNvPr id="28" name="Chart 27">
          <a:extLst>
            <a:ext uri="{FF2B5EF4-FFF2-40B4-BE49-F238E27FC236}">
              <a16:creationId xmlns:a16="http://schemas.microsoft.com/office/drawing/2014/main" id="{5B192F7D-32EE-4DBB-BEC9-F458E05C14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30</xdr:col>
      <xdr:colOff>9525</xdr:colOff>
      <xdr:row>7</xdr:row>
      <xdr:rowOff>228600</xdr:rowOff>
    </xdr:from>
    <xdr:to>
      <xdr:col>31</xdr:col>
      <xdr:colOff>247650</xdr:colOff>
      <xdr:row>15</xdr:row>
      <xdr:rowOff>247650</xdr:rowOff>
    </xdr:to>
    <mc:AlternateContent xmlns:mc="http://schemas.openxmlformats.org/markup-compatibility/2006" xmlns:a14="http://schemas.microsoft.com/office/drawing/2010/main">
      <mc:Choice Requires="a14">
        <xdr:graphicFrame macro="">
          <xdr:nvGraphicFramePr>
            <xdr:cNvPr id="29" name="hour_of_day">
              <a:extLst>
                <a:ext uri="{FF2B5EF4-FFF2-40B4-BE49-F238E27FC236}">
                  <a16:creationId xmlns:a16="http://schemas.microsoft.com/office/drawing/2014/main" id="{B15446CA-81DC-9C61-3BEF-85AAD6C87193}"/>
                </a:ext>
              </a:extLst>
            </xdr:cNvPr>
            <xdr:cNvGraphicFramePr/>
          </xdr:nvGraphicFramePr>
          <xdr:xfrm>
            <a:off x="0" y="0"/>
            <a:ext cx="0" cy="0"/>
          </xdr:xfrm>
          <a:graphic>
            <a:graphicData uri="http://schemas.microsoft.com/office/drawing/2010/slicer">
              <sle:slicer xmlns:sle="http://schemas.microsoft.com/office/drawing/2010/slicer" name="hour_of_day"/>
            </a:graphicData>
          </a:graphic>
        </xdr:graphicFrame>
      </mc:Choice>
      <mc:Fallback xmlns="">
        <xdr:sp macro="" textlink="">
          <xdr:nvSpPr>
            <xdr:cNvPr id="0" name=""/>
            <xdr:cNvSpPr>
              <a:spLocks noTextEdit="1"/>
            </xdr:cNvSpPr>
          </xdr:nvSpPr>
          <xdr:spPr>
            <a:xfrm>
              <a:off x="15982950" y="2562225"/>
              <a:ext cx="981075" cy="26860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30</xdr:col>
      <xdr:colOff>19048</xdr:colOff>
      <xdr:row>15</xdr:row>
      <xdr:rowOff>238125</xdr:rowOff>
    </xdr:from>
    <xdr:to>
      <xdr:col>32</xdr:col>
      <xdr:colOff>533399</xdr:colOff>
      <xdr:row>22</xdr:row>
      <xdr:rowOff>323850</xdr:rowOff>
    </xdr:to>
    <mc:AlternateContent xmlns:mc="http://schemas.openxmlformats.org/markup-compatibility/2006" xmlns:a14="http://schemas.microsoft.com/office/drawing/2010/main">
      <mc:Choice Requires="a14">
        <xdr:graphicFrame macro="">
          <xdr:nvGraphicFramePr>
            <xdr:cNvPr id="31" name="coffee_name">
              <a:extLst>
                <a:ext uri="{FF2B5EF4-FFF2-40B4-BE49-F238E27FC236}">
                  <a16:creationId xmlns:a16="http://schemas.microsoft.com/office/drawing/2014/main" id="{1BECF8EA-6DE5-C384-5EEF-D40423EDB8A2}"/>
                </a:ext>
              </a:extLst>
            </xdr:cNvPr>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mlns="">
        <xdr:sp macro="" textlink="">
          <xdr:nvSpPr>
            <xdr:cNvPr id="0" name=""/>
            <xdr:cNvSpPr>
              <a:spLocks noTextEdit="1"/>
            </xdr:cNvSpPr>
          </xdr:nvSpPr>
          <xdr:spPr>
            <a:xfrm>
              <a:off x="15992473" y="5238750"/>
              <a:ext cx="2000251" cy="24193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30</xdr:col>
      <xdr:colOff>0</xdr:colOff>
      <xdr:row>4</xdr:row>
      <xdr:rowOff>9525</xdr:rowOff>
    </xdr:from>
    <xdr:to>
      <xdr:col>32</xdr:col>
      <xdr:colOff>523875</xdr:colOff>
      <xdr:row>7</xdr:row>
      <xdr:rowOff>238125</xdr:rowOff>
    </xdr:to>
    <mc:AlternateContent xmlns:mc="http://schemas.openxmlformats.org/markup-compatibility/2006" xmlns:a14="http://schemas.microsoft.com/office/drawing/2010/main">
      <mc:Choice Requires="a14">
        <xdr:graphicFrame macro="">
          <xdr:nvGraphicFramePr>
            <xdr:cNvPr id="32" name="Time Of Day">
              <a:extLst>
                <a:ext uri="{FF2B5EF4-FFF2-40B4-BE49-F238E27FC236}">
                  <a16:creationId xmlns:a16="http://schemas.microsoft.com/office/drawing/2014/main" id="{DCA6E59D-79C5-C472-BE2C-720B5EBA7958}"/>
                </a:ext>
              </a:extLst>
            </xdr:cNvPr>
            <xdr:cNvGraphicFramePr/>
          </xdr:nvGraphicFramePr>
          <xdr:xfrm>
            <a:off x="0" y="0"/>
            <a:ext cx="0" cy="0"/>
          </xdr:xfrm>
          <a:graphic>
            <a:graphicData uri="http://schemas.microsoft.com/office/drawing/2010/slicer">
              <sle:slicer xmlns:sle="http://schemas.microsoft.com/office/drawing/2010/slicer" name="Time Of Day"/>
            </a:graphicData>
          </a:graphic>
        </xdr:graphicFrame>
      </mc:Choice>
      <mc:Fallback xmlns="">
        <xdr:sp macro="" textlink="">
          <xdr:nvSpPr>
            <xdr:cNvPr id="0" name=""/>
            <xdr:cNvSpPr>
              <a:spLocks noTextEdit="1"/>
            </xdr:cNvSpPr>
          </xdr:nvSpPr>
          <xdr:spPr>
            <a:xfrm>
              <a:off x="15992475" y="1343025"/>
              <a:ext cx="1990726" cy="12287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31</xdr:col>
      <xdr:colOff>238126</xdr:colOff>
      <xdr:row>7</xdr:row>
      <xdr:rowOff>228600</xdr:rowOff>
    </xdr:from>
    <xdr:to>
      <xdr:col>32</xdr:col>
      <xdr:colOff>533400</xdr:colOff>
      <xdr:row>15</xdr:row>
      <xdr:rowOff>247650</xdr:rowOff>
    </xdr:to>
    <mc:AlternateContent xmlns:mc="http://schemas.openxmlformats.org/markup-compatibility/2006" xmlns:a14="http://schemas.microsoft.com/office/drawing/2010/main">
      <mc:Choice Requires="a14">
        <xdr:graphicFrame macro="">
          <xdr:nvGraphicFramePr>
            <xdr:cNvPr id="33" name="Weekday">
              <a:extLst>
                <a:ext uri="{FF2B5EF4-FFF2-40B4-BE49-F238E27FC236}">
                  <a16:creationId xmlns:a16="http://schemas.microsoft.com/office/drawing/2014/main" id="{B7E2FAAE-98D3-66A1-C568-704F203D12D4}"/>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16954501" y="2562225"/>
              <a:ext cx="1038224" cy="26860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30</xdr:col>
      <xdr:colOff>9524</xdr:colOff>
      <xdr:row>0</xdr:row>
      <xdr:rowOff>19049</xdr:rowOff>
    </xdr:from>
    <xdr:to>
      <xdr:col>32</xdr:col>
      <xdr:colOff>523875</xdr:colOff>
      <xdr:row>4</xdr:row>
      <xdr:rowOff>9524</xdr:rowOff>
    </xdr:to>
    <mc:AlternateContent xmlns:mc="http://schemas.openxmlformats.org/markup-compatibility/2006" xmlns:a14="http://schemas.microsoft.com/office/drawing/2010/main">
      <mc:Choice Requires="a14">
        <xdr:graphicFrame macro="">
          <xdr:nvGraphicFramePr>
            <xdr:cNvPr id="3" name="Month_name">
              <a:extLst>
                <a:ext uri="{FF2B5EF4-FFF2-40B4-BE49-F238E27FC236}">
                  <a16:creationId xmlns:a16="http://schemas.microsoft.com/office/drawing/2014/main" id="{DB8491CC-BC32-4DAB-9738-9FA22F3377ED}"/>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15992475" y="19049"/>
              <a:ext cx="1990726" cy="1323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2.xml><?xml version="1.0" encoding="utf-8"?>
<xdr:wsDr xmlns:xdr="http://schemas.openxmlformats.org/drawingml/2006/spreadsheetDrawing" xmlns:a="http://schemas.openxmlformats.org/drawingml/2006/main">
  <xdr:twoCellAnchor>
    <xdr:from>
      <xdr:col>4</xdr:col>
      <xdr:colOff>2666999</xdr:colOff>
      <xdr:row>0</xdr:row>
      <xdr:rowOff>0</xdr:rowOff>
    </xdr:from>
    <xdr:to>
      <xdr:col>19</xdr:col>
      <xdr:colOff>590550</xdr:colOff>
      <xdr:row>27</xdr:row>
      <xdr:rowOff>0</xdr:rowOff>
    </xdr:to>
    <xdr:graphicFrame macro="">
      <xdr:nvGraphicFramePr>
        <xdr:cNvPr id="2" name="Chart 1">
          <a:extLst>
            <a:ext uri="{FF2B5EF4-FFF2-40B4-BE49-F238E27FC236}">
              <a16:creationId xmlns:a16="http://schemas.microsoft.com/office/drawing/2014/main" id="{B29B3B68-6B51-7BB6-4A3A-0178F28686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mian Sienny" refreshedDate="45996.622468518515" createdVersion="8" refreshedVersion="8" minRefreshableVersion="3" recordCount="3547" xr:uid="{BE9F5799-7B5B-4DE0-A238-DBFB4EF1BA13}">
  <cacheSource type="worksheet">
    <worksheetSource name="Table2"/>
  </cacheSource>
  <cacheFields count="13">
    <cacheField name="Index" numFmtId="0">
      <sharedItems containsSemiMixedTypes="0" containsString="0" containsNumber="1" containsInteger="1" minValue="1" maxValue="8" count="8">
        <n v="1"/>
        <n v="2"/>
        <n v="3"/>
        <n v="4"/>
        <n v="5"/>
        <n v="6"/>
        <n v="7"/>
        <n v="8"/>
      </sharedItems>
    </cacheField>
    <cacheField name="hour_of_day" numFmtId="0">
      <sharedItems containsSemiMixedTypes="0" containsString="0" containsNumber="1" containsInteger="1" minValue="6" maxValue="22" count="17">
        <n v="13"/>
        <n v="10"/>
        <n v="14"/>
        <n v="17"/>
        <n v="12"/>
        <n v="15"/>
        <n v="16"/>
        <n v="11"/>
        <n v="18"/>
        <n v="8"/>
        <n v="9"/>
        <n v="22"/>
        <n v="7"/>
        <n v="19"/>
        <n v="20"/>
        <n v="21"/>
        <n v="6"/>
      </sharedItems>
    </cacheField>
    <cacheField name="cash_type" numFmtId="0">
      <sharedItems count="1">
        <s v="card"/>
      </sharedItems>
    </cacheField>
    <cacheField name="money" numFmtId="44">
      <sharedItems containsSemiMixedTypes="0" containsString="0" containsNumber="1" minValue="18.12" maxValue="38.700000000000003" count="13">
        <n v="28.9"/>
        <n v="27.92"/>
        <n v="23.02"/>
        <n v="25.96"/>
        <n v="33.799999999999997"/>
        <n v="32.82"/>
        <n v="30.86"/>
        <n v="38.700000000000003"/>
        <n v="37.72"/>
        <n v="35.76"/>
        <n v="24"/>
        <n v="18.12"/>
        <n v="21.06"/>
      </sharedItems>
    </cacheField>
    <cacheField name="coffee_name" numFmtId="0">
      <sharedItems count="8">
        <s v="Americano"/>
        <s v="Americano with Milk"/>
        <s v="Cappuccino"/>
        <s v="Cocoa"/>
        <s v="Cortado"/>
        <s v="Espresso"/>
        <s v="Hot Chocolate"/>
        <s v="Latte"/>
      </sharedItems>
    </cacheField>
    <cacheField name="Time_of_Day" numFmtId="0">
      <sharedItems count="3">
        <s v="Afternoon"/>
        <s v="Morning"/>
        <s v="Night"/>
      </sharedItems>
    </cacheField>
    <cacheField name="Weekday" numFmtId="0">
      <sharedItems count="7">
        <s v="Friday"/>
        <s v="Saturday"/>
        <s v="Sunday"/>
        <s v="Wednesday"/>
        <s v="Thursday"/>
        <s v="Monday"/>
        <s v="Tuesday"/>
      </sharedItems>
    </cacheField>
    <cacheField name="Month_name" numFmtId="0">
      <sharedItems count="12">
        <s v="March"/>
        <s v="April"/>
        <s v="May"/>
        <s v="June"/>
        <s v="July"/>
        <s v="August"/>
        <s v="September"/>
        <s v="October"/>
        <s v="November"/>
        <s v="December"/>
        <s v="January"/>
        <s v="February"/>
      </sharedItems>
    </cacheField>
    <cacheField name="Date" numFmtId="14">
      <sharedItems containsSemiMixedTypes="0" containsNonDate="0" containsDate="1" containsString="0" minDate="2024-03-01T00:00:00" maxDate="2025-03-24T00:00:00" count="381">
        <d v="2024-03-01T00:00:00"/>
        <d v="2024-03-02T00:00:00"/>
        <d v="2024-03-03T00:00:00"/>
        <d v="2024-03-06T00:00:00"/>
        <d v="2024-03-07T00:00:00"/>
        <d v="2024-03-08T00:00:00"/>
        <d v="2024-03-09T00:00:00"/>
        <d v="2024-03-11T00:00:00"/>
        <d v="2024-03-12T00:00:00"/>
        <d v="2024-03-13T00:00:00"/>
        <d v="2024-03-14T00:00:00"/>
        <d v="2024-03-15T00:00:00"/>
        <d v="2024-03-16T00:00:00"/>
        <d v="2024-03-18T00:00:00"/>
        <d v="2024-03-22T00:00:00"/>
        <d v="2024-03-26T00:00:00"/>
        <d v="2024-03-27T00:00:00"/>
        <d v="2024-03-28T00:00:00"/>
        <d v="2024-04-01T00:00:00"/>
        <d v="2024-04-02T00:00:00"/>
        <d v="2024-04-03T00:00:00"/>
        <d v="2024-04-05T00:00:00"/>
        <d v="2024-04-06T00:00:00"/>
        <d v="2024-04-08T00:00:00"/>
        <d v="2024-04-11T00:00:00"/>
        <d v="2024-04-13T00:00:00"/>
        <d v="2024-04-14T00:00:00"/>
        <d v="2024-04-15T00:00:00"/>
        <d v="2024-04-16T00:00:00"/>
        <d v="2024-04-17T00:00:00"/>
        <d v="2024-04-18T00:00:00"/>
        <d v="2024-04-20T00:00:00"/>
        <d v="2024-04-21T00:00:00"/>
        <d v="2024-04-22T00:00:00"/>
        <d v="2024-04-25T00:00:00"/>
        <d v="2024-04-26T00:00:00"/>
        <d v="2024-04-28T00:00:00"/>
        <d v="2024-04-29T00:00:00"/>
        <d v="2024-04-30T00:00:00"/>
        <d v="2024-05-02T00:00:00"/>
        <d v="2024-05-06T00:00:00"/>
        <d v="2024-05-07T00:00:00"/>
        <d v="2024-05-09T00:00:00"/>
        <d v="2024-05-12T00:00:00"/>
        <d v="2024-05-14T00:00:00"/>
        <d v="2024-05-15T00:00:00"/>
        <d v="2024-05-17T00:00:00"/>
        <d v="2024-05-19T00:00:00"/>
        <d v="2024-05-20T00:00:00"/>
        <d v="2024-05-22T00:00:00"/>
        <d v="2024-05-24T00:00:00"/>
        <d v="2024-05-25T00:00:00"/>
        <d v="2024-05-26T00:00:00"/>
        <d v="2024-05-27T00:00:00"/>
        <d v="2024-05-28T00:00:00"/>
        <d v="2024-05-29T00:00:00"/>
        <d v="2024-06-05T00:00:00"/>
        <d v="2024-06-06T00:00:00"/>
        <d v="2024-06-09T00:00:00"/>
        <d v="2024-06-13T00:00:00"/>
        <d v="2024-06-14T00:00:00"/>
        <d v="2024-06-15T00:00:00"/>
        <d v="2024-06-17T00:00:00"/>
        <d v="2024-06-18T00:00:00"/>
        <d v="2024-06-19T00:00:00"/>
        <d v="2024-06-21T00:00:00"/>
        <d v="2024-06-26T00:00:00"/>
        <d v="2024-07-02T00:00:00"/>
        <d v="2024-07-04T00:00:00"/>
        <d v="2024-07-05T00:00:00"/>
        <d v="2024-07-08T00:00:00"/>
        <d v="2024-07-10T00:00:00"/>
        <d v="2024-07-11T00:00:00"/>
        <d v="2024-07-14T00:00:00"/>
        <d v="2024-07-18T00:00:00"/>
        <d v="2024-07-19T00:00:00"/>
        <d v="2024-07-20T00:00:00"/>
        <d v="2024-07-22T00:00:00"/>
        <d v="2024-07-23T00:00:00"/>
        <d v="2024-07-24T00:00:00"/>
        <d v="2024-07-25T00:00:00"/>
        <d v="2024-07-26T00:00:00"/>
        <d v="2024-07-29T00:00:00"/>
        <d v="2024-07-30T00:00:00"/>
        <d v="2024-07-31T00:00:00"/>
        <d v="2024-08-01T00:00:00"/>
        <d v="2024-08-07T00:00:00"/>
        <d v="2024-08-09T00:00:00"/>
        <d v="2024-08-10T00:00:00"/>
        <d v="2024-08-12T00:00:00"/>
        <d v="2024-08-14T00:00:00"/>
        <d v="2024-08-15T00:00:00"/>
        <d v="2024-08-16T00:00:00"/>
        <d v="2024-08-18T00:00:00"/>
        <d v="2024-08-20T00:00:00"/>
        <d v="2024-08-21T00:00:00"/>
        <d v="2024-08-22T00:00:00"/>
        <d v="2024-08-23T00:00:00"/>
        <d v="2024-08-24T00:00:00"/>
        <d v="2024-08-25T00:00:00"/>
        <d v="2024-08-26T00:00:00"/>
        <d v="2024-08-28T00:00:00"/>
        <d v="2024-08-29T00:00:00"/>
        <d v="2024-09-01T00:00:00"/>
        <d v="2024-09-02T00:00:00"/>
        <d v="2024-09-04T00:00:00"/>
        <d v="2024-09-05T00:00:00"/>
        <d v="2024-09-06T00:00:00"/>
        <d v="2024-09-07T00:00:00"/>
        <d v="2024-09-08T00:00:00"/>
        <d v="2024-09-09T00:00:00"/>
        <d v="2024-09-10T00:00:00"/>
        <d v="2024-09-12T00:00:00"/>
        <d v="2024-09-15T00:00:00"/>
        <d v="2024-09-19T00:00:00"/>
        <d v="2024-09-20T00:00:00"/>
        <d v="2024-09-21T00:00:00"/>
        <d v="2024-09-22T00:00:00"/>
        <d v="2024-09-23T00:00:00"/>
        <d v="2024-09-24T00:00:00"/>
        <d v="2024-09-25T00:00:00"/>
        <d v="2024-09-27T00:00:00"/>
        <d v="2024-09-29T00:00:00"/>
        <d v="2024-10-01T00:00:00"/>
        <d v="2024-10-04T00:00:00"/>
        <d v="2024-10-05T00:00:00"/>
        <d v="2024-10-06T00:00:00"/>
        <d v="2024-10-07T00:00:00"/>
        <d v="2024-10-08T00:00:00"/>
        <d v="2024-10-09T00:00:00"/>
        <d v="2024-10-10T00:00:00"/>
        <d v="2024-10-11T00:00:00"/>
        <d v="2024-10-14T00:00:00"/>
        <d v="2024-10-15T00:00:00"/>
        <d v="2024-10-16T00:00:00"/>
        <d v="2024-10-17T00:00:00"/>
        <d v="2024-10-18T00:00:00"/>
        <d v="2024-10-21T00:00:00"/>
        <d v="2024-10-22T00:00:00"/>
        <d v="2024-10-24T00:00:00"/>
        <d v="2024-10-25T00:00:00"/>
        <d v="2024-10-26T00:00:00"/>
        <d v="2024-10-28T00:00:00"/>
        <d v="2024-10-30T00:00:00"/>
        <d v="2024-11-01T00:00:00"/>
        <d v="2024-11-02T00:00:00"/>
        <d v="2024-11-03T00:00:00"/>
        <d v="2024-11-04T00:00:00"/>
        <d v="2024-11-06T00:00:00"/>
        <d v="2024-11-07T00:00:00"/>
        <d v="2024-11-08T00:00:00"/>
        <d v="2024-11-09T00:00:00"/>
        <d v="2024-11-10T00:00:00"/>
        <d v="2024-11-14T00:00:00"/>
        <d v="2024-11-15T00:00:00"/>
        <d v="2024-11-16T00:00:00"/>
        <d v="2024-11-17T00:00:00"/>
        <d v="2024-11-23T00:00:00"/>
        <d v="2024-11-26T00:00:00"/>
        <d v="2024-11-30T00:00:00"/>
        <d v="2024-12-02T00:00:00"/>
        <d v="2024-12-03T00:00:00"/>
        <d v="2024-12-04T00:00:00"/>
        <d v="2024-12-05T00:00:00"/>
        <d v="2024-12-07T00:00:00"/>
        <d v="2024-12-09T00:00:00"/>
        <d v="2024-12-12T00:00:00"/>
        <d v="2024-12-13T00:00:00"/>
        <d v="2024-12-14T00:00:00"/>
        <d v="2024-12-17T00:00:00"/>
        <d v="2024-12-21T00:00:00"/>
        <d v="2024-12-25T00:00:00"/>
        <d v="2024-12-27T00:00:00"/>
        <d v="2024-12-29T00:00:00"/>
        <d v="2024-12-30T00:00:00"/>
        <d v="2024-12-31T00:00:00"/>
        <d v="2025-01-02T00:00:00"/>
        <d v="2025-01-03T00:00:00"/>
        <d v="2025-01-04T00:00:00"/>
        <d v="2025-01-06T00:00:00"/>
        <d v="2025-01-09T00:00:00"/>
        <d v="2025-01-11T00:00:00"/>
        <d v="2025-01-12T00:00:00"/>
        <d v="2025-01-15T00:00:00"/>
        <d v="2025-01-20T00:00:00"/>
        <d v="2025-01-21T00:00:00"/>
        <d v="2025-01-24T00:00:00"/>
        <d v="2025-01-25T00:00:00"/>
        <d v="2025-01-26T00:00:00"/>
        <d v="2025-01-27T00:00:00"/>
        <d v="2025-01-28T00:00:00"/>
        <d v="2025-01-29T00:00:00"/>
        <d v="2025-01-30T00:00:00"/>
        <d v="2025-01-31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4-03-04T00:00:00"/>
        <d v="2024-03-19T00:00:00"/>
        <d v="2024-03-23T00:00:00"/>
        <d v="2024-03-25T00:00:00"/>
        <d v="2024-03-30T00:00:00"/>
        <d v="2024-04-07T00:00:00"/>
        <d v="2024-04-19T00:00:00"/>
        <d v="2024-04-23T00:00:00"/>
        <d v="2024-04-24T00:00:00"/>
        <d v="2024-05-11T00:00:00"/>
        <d v="2024-05-13T00:00:00"/>
        <d v="2024-05-16T00:00:00"/>
        <d v="2024-05-18T00:00:00"/>
        <d v="2024-05-23T00:00:00"/>
        <d v="2024-05-30T00:00:00"/>
        <d v="2024-05-31T00:00:00"/>
        <d v="2024-06-01T00:00:00"/>
        <d v="2024-06-02T00:00:00"/>
        <d v="2024-06-03T00:00:00"/>
        <d v="2024-06-04T00:00:00"/>
        <d v="2024-06-07T00:00:00"/>
        <d v="2024-06-08T00:00:00"/>
        <d v="2024-06-11T00:00:00"/>
        <d v="2024-06-12T00:00:00"/>
        <d v="2024-06-16T00:00:00"/>
        <d v="2024-06-20T00:00:00"/>
        <d v="2024-06-22T00:00:00"/>
        <d v="2024-06-23T00:00:00"/>
        <d v="2024-06-24T00:00:00"/>
        <d v="2024-06-25T00:00:00"/>
        <d v="2024-06-27T00:00:00"/>
        <d v="2024-06-28T00:00:00"/>
        <d v="2024-06-29T00:00:00"/>
        <d v="2024-06-30T00:00:00"/>
        <d v="2024-07-03T00:00:00"/>
        <d v="2024-07-06T00:00:00"/>
        <d v="2024-07-07T00:00:00"/>
        <d v="2024-07-09T00:00:00"/>
        <d v="2024-07-16T00:00:00"/>
        <d v="2024-07-17T00:00:00"/>
        <d v="2024-07-27T00:00:00"/>
        <d v="2024-07-28T00:00:00"/>
        <d v="2024-08-02T00:00:00"/>
        <d v="2024-08-03T00:00:00"/>
        <d v="2024-08-04T00:00:00"/>
        <d v="2024-08-05T00:00:00"/>
        <d v="2024-08-06T00:00:00"/>
        <d v="2024-08-08T00:00:00"/>
        <d v="2024-08-11T00:00:00"/>
        <d v="2024-08-13T00:00:00"/>
        <d v="2024-08-17T00:00:00"/>
        <d v="2024-08-19T00:00:00"/>
        <d v="2024-08-30T00:00:00"/>
        <d v="2024-08-31T00:00:00"/>
        <d v="2024-09-03T00:00:00"/>
        <d v="2024-09-11T00:00:00"/>
        <d v="2024-09-13T00:00:00"/>
        <d v="2024-09-16T00:00:00"/>
        <d v="2024-09-17T00:00:00"/>
        <d v="2024-09-18T00:00:00"/>
        <d v="2024-09-26T00:00:00"/>
        <d v="2024-09-28T00:00:00"/>
        <d v="2024-09-30T00:00:00"/>
        <d v="2024-10-02T00:00:00"/>
        <d v="2024-10-03T00:00:00"/>
        <d v="2024-10-12T00:00:00"/>
        <d v="2024-10-13T00:00:00"/>
        <d v="2024-10-19T00:00:00"/>
        <d v="2024-10-20T00:00:00"/>
        <d v="2024-10-23T00:00:00"/>
        <d v="2024-10-27T00:00:00"/>
        <d v="2024-10-29T00:00:00"/>
        <d v="2024-10-31T00:00:00"/>
        <d v="2024-11-05T00:00:00"/>
        <d v="2024-11-11T00:00:00"/>
        <d v="2024-11-13T00:00:00"/>
        <d v="2024-11-18T00:00:00"/>
        <d v="2024-11-19T00:00:00"/>
        <d v="2024-11-20T00:00:00"/>
        <d v="2024-11-21T00:00:00"/>
        <d v="2024-11-25T00:00:00"/>
        <d v="2024-11-28T00:00:00"/>
        <d v="2024-11-29T00:00:00"/>
        <d v="2024-12-01T00:00:00"/>
        <d v="2024-12-08T00:00:00"/>
        <d v="2024-12-16T00:00:00"/>
        <d v="2024-12-18T00:00:00"/>
        <d v="2024-12-19T00:00:00"/>
        <d v="2024-12-20T00:00:00"/>
        <d v="2024-12-23T00:00:00"/>
        <d v="2024-12-24T00:00:00"/>
        <d v="2024-12-28T00:00:00"/>
        <d v="2025-01-05T00:00:00"/>
        <d v="2025-01-08T00:00:00"/>
        <d v="2025-01-10T00:00:00"/>
        <d v="2025-01-13T00:00:00"/>
        <d v="2025-01-14T00:00:00"/>
        <d v="2025-01-16T00:00:00"/>
        <d v="2025-01-17T00:00:00"/>
        <d v="2025-01-18T00:00:00"/>
        <d v="2025-01-22T00:00:00"/>
        <d v="2025-02-01T00:00:00"/>
        <d v="2025-02-02T00:00:00"/>
        <d v="2024-03-20T00:00:00"/>
        <d v="2024-03-21T00:00:00"/>
        <d v="2024-03-29T00:00:00"/>
        <d v="2024-03-31T00:00:00"/>
        <d v="2024-04-04T00:00:00"/>
        <d v="2024-04-10T00:00:00"/>
        <d v="2024-04-27T00:00:00"/>
        <d v="2024-05-21T00:00:00"/>
        <d v="2024-06-10T00:00:00"/>
        <d v="2024-07-01T00:00:00"/>
        <d v="2024-07-15T00:00:00"/>
        <d v="2024-07-21T00:00:00"/>
        <d v="2024-09-14T00:00:00"/>
        <d v="2024-11-12T00:00:00"/>
        <d v="2024-11-22T00:00:00"/>
        <d v="2024-12-22T00:00:00"/>
        <d v="2024-12-26T00:00:00"/>
        <d v="2025-01-07T00:00:00"/>
        <d v="2024-03-05T00:00:00"/>
        <d v="2024-12-11T00:00:00"/>
        <d v="2024-12-15T00:00:00"/>
        <d v="2024-03-10T00:00:00"/>
        <d v="2024-03-17T00:00:00"/>
        <d v="2024-04-12T00:00:00"/>
        <d v="2024-07-12T00:00:00"/>
        <d v="2024-12-10T00:00:00"/>
        <d v="2024-04-09T00:00:00"/>
        <d v="2024-12-06T00:00:00"/>
        <d v="2024-03-24T00:00:00"/>
        <d v="2024-05-03T00:00:00"/>
        <d v="2024-05-08T00:00:00"/>
        <d v="2024-05-10T00:00:00"/>
        <d v="2024-07-13T00:00:00"/>
        <d v="2024-08-27T00:00:00"/>
        <d v="2024-11-24T00:00:00"/>
      </sharedItems>
      <fieldGroup par="12"/>
    </cacheField>
    <cacheField name="PricePeriodID" numFmtId="0">
      <sharedItems containsSemiMixedTypes="0" containsString="0" containsNumber="1" containsInteger="1" minValue="1" maxValue="32" count="32">
        <n v="1"/>
        <n v="2"/>
        <n v="3"/>
        <n v="4"/>
        <n v="5"/>
        <n v="6"/>
        <n v="7"/>
        <n v="8"/>
        <n v="9"/>
        <n v="10"/>
        <n v="11"/>
        <n v="12"/>
        <n v="13"/>
        <n v="14"/>
        <n v="15"/>
        <n v="16"/>
        <n v="17"/>
        <n v="18"/>
        <n v="19"/>
        <n v="20"/>
        <n v="21"/>
        <n v="22"/>
        <n v="23"/>
        <n v="24"/>
        <n v="25"/>
        <n v="26"/>
        <n v="27"/>
        <n v="28"/>
        <n v="29"/>
        <n v="30"/>
        <n v="31"/>
        <n v="32"/>
      </sharedItems>
    </cacheField>
    <cacheField name="Months (Date)" numFmtId="0" databaseField="0">
      <fieldGroup base="8">
        <rangePr groupBy="months" startDate="2024-03-01T00:00:00" endDate="2025-03-24T00:00:00"/>
        <groupItems count="14">
          <s v="&lt;01.03.2024"/>
          <s v="sty"/>
          <s v="lut"/>
          <s v="mar"/>
          <s v="kwi"/>
          <s v="maj"/>
          <s v="cze"/>
          <s v="lip"/>
          <s v="sie"/>
          <s v="wrz"/>
          <s v="paź"/>
          <s v="lis"/>
          <s v="gru"/>
          <s v="&gt;24.03.2025"/>
        </groupItems>
      </fieldGroup>
    </cacheField>
    <cacheField name="Quarters (Date)" numFmtId="0" databaseField="0">
      <fieldGroup base="8">
        <rangePr groupBy="quarters" startDate="2024-03-01T00:00:00" endDate="2025-03-24T00:00:00"/>
        <groupItems count="6">
          <s v="&lt;01.03.2024"/>
          <s v="Qtr1"/>
          <s v="Qtr2"/>
          <s v="Qtr3"/>
          <s v="Qtr4"/>
          <s v="&gt;24.03.2025"/>
        </groupItems>
      </fieldGroup>
    </cacheField>
    <cacheField name="Years (Date)" numFmtId="0" databaseField="0">
      <fieldGroup base="8">
        <rangePr groupBy="years" startDate="2024-03-01T00:00:00" endDate="2025-03-24T00:00:00"/>
        <groupItems count="4">
          <s v="&lt;01.03.2024"/>
          <s v="2024"/>
          <s v="2025"/>
          <s v="&gt;24.03.2025"/>
        </groupItems>
      </fieldGroup>
    </cacheField>
  </cacheFields>
  <extLst>
    <ext xmlns:x14="http://schemas.microsoft.com/office/spreadsheetml/2009/9/main" uri="{725AE2AE-9491-48be-B2B4-4EB974FC3084}">
      <x14:pivotCacheDefinition pivotCacheId="14432914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47">
  <r>
    <x v="0"/>
    <x v="0"/>
    <x v="0"/>
    <x v="0"/>
    <x v="0"/>
    <x v="0"/>
    <x v="0"/>
    <x v="0"/>
    <x v="0"/>
    <x v="0"/>
  </r>
  <r>
    <x v="0"/>
    <x v="1"/>
    <x v="0"/>
    <x v="0"/>
    <x v="0"/>
    <x v="1"/>
    <x v="1"/>
    <x v="0"/>
    <x v="1"/>
    <x v="0"/>
  </r>
  <r>
    <x v="0"/>
    <x v="2"/>
    <x v="0"/>
    <x v="0"/>
    <x v="0"/>
    <x v="0"/>
    <x v="1"/>
    <x v="0"/>
    <x v="1"/>
    <x v="0"/>
  </r>
  <r>
    <x v="0"/>
    <x v="3"/>
    <x v="0"/>
    <x v="0"/>
    <x v="0"/>
    <x v="2"/>
    <x v="1"/>
    <x v="0"/>
    <x v="1"/>
    <x v="0"/>
  </r>
  <r>
    <x v="0"/>
    <x v="4"/>
    <x v="0"/>
    <x v="0"/>
    <x v="0"/>
    <x v="0"/>
    <x v="2"/>
    <x v="0"/>
    <x v="2"/>
    <x v="0"/>
  </r>
  <r>
    <x v="0"/>
    <x v="0"/>
    <x v="0"/>
    <x v="0"/>
    <x v="0"/>
    <x v="0"/>
    <x v="3"/>
    <x v="0"/>
    <x v="3"/>
    <x v="0"/>
  </r>
  <r>
    <x v="0"/>
    <x v="5"/>
    <x v="0"/>
    <x v="0"/>
    <x v="0"/>
    <x v="0"/>
    <x v="4"/>
    <x v="0"/>
    <x v="4"/>
    <x v="0"/>
  </r>
  <r>
    <x v="0"/>
    <x v="0"/>
    <x v="0"/>
    <x v="0"/>
    <x v="0"/>
    <x v="0"/>
    <x v="0"/>
    <x v="0"/>
    <x v="5"/>
    <x v="0"/>
  </r>
  <r>
    <x v="0"/>
    <x v="2"/>
    <x v="0"/>
    <x v="0"/>
    <x v="0"/>
    <x v="0"/>
    <x v="0"/>
    <x v="0"/>
    <x v="5"/>
    <x v="0"/>
  </r>
  <r>
    <x v="0"/>
    <x v="2"/>
    <x v="0"/>
    <x v="0"/>
    <x v="0"/>
    <x v="0"/>
    <x v="0"/>
    <x v="0"/>
    <x v="5"/>
    <x v="0"/>
  </r>
  <r>
    <x v="0"/>
    <x v="4"/>
    <x v="0"/>
    <x v="0"/>
    <x v="0"/>
    <x v="0"/>
    <x v="1"/>
    <x v="0"/>
    <x v="6"/>
    <x v="0"/>
  </r>
  <r>
    <x v="0"/>
    <x v="4"/>
    <x v="0"/>
    <x v="0"/>
    <x v="0"/>
    <x v="0"/>
    <x v="1"/>
    <x v="0"/>
    <x v="6"/>
    <x v="0"/>
  </r>
  <r>
    <x v="0"/>
    <x v="4"/>
    <x v="0"/>
    <x v="0"/>
    <x v="0"/>
    <x v="0"/>
    <x v="1"/>
    <x v="0"/>
    <x v="6"/>
    <x v="0"/>
  </r>
  <r>
    <x v="0"/>
    <x v="6"/>
    <x v="0"/>
    <x v="0"/>
    <x v="0"/>
    <x v="0"/>
    <x v="5"/>
    <x v="0"/>
    <x v="7"/>
    <x v="0"/>
  </r>
  <r>
    <x v="0"/>
    <x v="1"/>
    <x v="0"/>
    <x v="0"/>
    <x v="0"/>
    <x v="1"/>
    <x v="6"/>
    <x v="0"/>
    <x v="8"/>
    <x v="0"/>
  </r>
  <r>
    <x v="0"/>
    <x v="4"/>
    <x v="0"/>
    <x v="0"/>
    <x v="0"/>
    <x v="0"/>
    <x v="6"/>
    <x v="0"/>
    <x v="8"/>
    <x v="0"/>
  </r>
  <r>
    <x v="0"/>
    <x v="6"/>
    <x v="0"/>
    <x v="0"/>
    <x v="0"/>
    <x v="0"/>
    <x v="6"/>
    <x v="0"/>
    <x v="8"/>
    <x v="0"/>
  </r>
  <r>
    <x v="0"/>
    <x v="7"/>
    <x v="0"/>
    <x v="0"/>
    <x v="0"/>
    <x v="1"/>
    <x v="3"/>
    <x v="0"/>
    <x v="9"/>
    <x v="0"/>
  </r>
  <r>
    <x v="0"/>
    <x v="4"/>
    <x v="0"/>
    <x v="0"/>
    <x v="0"/>
    <x v="0"/>
    <x v="3"/>
    <x v="0"/>
    <x v="9"/>
    <x v="0"/>
  </r>
  <r>
    <x v="0"/>
    <x v="4"/>
    <x v="0"/>
    <x v="0"/>
    <x v="0"/>
    <x v="0"/>
    <x v="3"/>
    <x v="0"/>
    <x v="9"/>
    <x v="0"/>
  </r>
  <r>
    <x v="0"/>
    <x v="0"/>
    <x v="0"/>
    <x v="0"/>
    <x v="0"/>
    <x v="0"/>
    <x v="4"/>
    <x v="0"/>
    <x v="10"/>
    <x v="0"/>
  </r>
  <r>
    <x v="0"/>
    <x v="8"/>
    <x v="0"/>
    <x v="0"/>
    <x v="0"/>
    <x v="2"/>
    <x v="0"/>
    <x v="0"/>
    <x v="11"/>
    <x v="0"/>
  </r>
  <r>
    <x v="0"/>
    <x v="4"/>
    <x v="0"/>
    <x v="0"/>
    <x v="0"/>
    <x v="0"/>
    <x v="1"/>
    <x v="0"/>
    <x v="12"/>
    <x v="0"/>
  </r>
  <r>
    <x v="0"/>
    <x v="5"/>
    <x v="0"/>
    <x v="0"/>
    <x v="0"/>
    <x v="0"/>
    <x v="5"/>
    <x v="0"/>
    <x v="13"/>
    <x v="0"/>
  </r>
  <r>
    <x v="0"/>
    <x v="5"/>
    <x v="0"/>
    <x v="0"/>
    <x v="0"/>
    <x v="0"/>
    <x v="5"/>
    <x v="0"/>
    <x v="13"/>
    <x v="0"/>
  </r>
  <r>
    <x v="0"/>
    <x v="5"/>
    <x v="0"/>
    <x v="0"/>
    <x v="0"/>
    <x v="0"/>
    <x v="5"/>
    <x v="0"/>
    <x v="13"/>
    <x v="0"/>
  </r>
  <r>
    <x v="0"/>
    <x v="3"/>
    <x v="0"/>
    <x v="0"/>
    <x v="0"/>
    <x v="2"/>
    <x v="0"/>
    <x v="0"/>
    <x v="14"/>
    <x v="0"/>
  </r>
  <r>
    <x v="0"/>
    <x v="3"/>
    <x v="0"/>
    <x v="0"/>
    <x v="0"/>
    <x v="2"/>
    <x v="0"/>
    <x v="0"/>
    <x v="14"/>
    <x v="0"/>
  </r>
  <r>
    <x v="0"/>
    <x v="0"/>
    <x v="0"/>
    <x v="0"/>
    <x v="0"/>
    <x v="0"/>
    <x v="6"/>
    <x v="0"/>
    <x v="15"/>
    <x v="0"/>
  </r>
  <r>
    <x v="0"/>
    <x v="0"/>
    <x v="0"/>
    <x v="0"/>
    <x v="0"/>
    <x v="0"/>
    <x v="6"/>
    <x v="0"/>
    <x v="15"/>
    <x v="0"/>
  </r>
  <r>
    <x v="0"/>
    <x v="2"/>
    <x v="0"/>
    <x v="0"/>
    <x v="0"/>
    <x v="0"/>
    <x v="3"/>
    <x v="0"/>
    <x v="16"/>
    <x v="0"/>
  </r>
  <r>
    <x v="0"/>
    <x v="3"/>
    <x v="0"/>
    <x v="0"/>
    <x v="0"/>
    <x v="2"/>
    <x v="4"/>
    <x v="0"/>
    <x v="17"/>
    <x v="0"/>
  </r>
  <r>
    <x v="0"/>
    <x v="1"/>
    <x v="0"/>
    <x v="0"/>
    <x v="0"/>
    <x v="1"/>
    <x v="5"/>
    <x v="1"/>
    <x v="18"/>
    <x v="0"/>
  </r>
  <r>
    <x v="0"/>
    <x v="6"/>
    <x v="0"/>
    <x v="0"/>
    <x v="0"/>
    <x v="0"/>
    <x v="6"/>
    <x v="1"/>
    <x v="19"/>
    <x v="0"/>
  </r>
  <r>
    <x v="0"/>
    <x v="1"/>
    <x v="0"/>
    <x v="0"/>
    <x v="0"/>
    <x v="1"/>
    <x v="3"/>
    <x v="1"/>
    <x v="20"/>
    <x v="0"/>
  </r>
  <r>
    <x v="0"/>
    <x v="1"/>
    <x v="0"/>
    <x v="0"/>
    <x v="0"/>
    <x v="1"/>
    <x v="0"/>
    <x v="1"/>
    <x v="21"/>
    <x v="0"/>
  </r>
  <r>
    <x v="0"/>
    <x v="1"/>
    <x v="0"/>
    <x v="0"/>
    <x v="0"/>
    <x v="1"/>
    <x v="0"/>
    <x v="1"/>
    <x v="21"/>
    <x v="0"/>
  </r>
  <r>
    <x v="0"/>
    <x v="2"/>
    <x v="0"/>
    <x v="0"/>
    <x v="0"/>
    <x v="0"/>
    <x v="1"/>
    <x v="1"/>
    <x v="22"/>
    <x v="0"/>
  </r>
  <r>
    <x v="0"/>
    <x v="7"/>
    <x v="0"/>
    <x v="0"/>
    <x v="0"/>
    <x v="1"/>
    <x v="5"/>
    <x v="1"/>
    <x v="23"/>
    <x v="0"/>
  </r>
  <r>
    <x v="0"/>
    <x v="8"/>
    <x v="0"/>
    <x v="0"/>
    <x v="0"/>
    <x v="2"/>
    <x v="5"/>
    <x v="1"/>
    <x v="23"/>
    <x v="0"/>
  </r>
  <r>
    <x v="0"/>
    <x v="1"/>
    <x v="0"/>
    <x v="0"/>
    <x v="0"/>
    <x v="1"/>
    <x v="4"/>
    <x v="1"/>
    <x v="24"/>
    <x v="0"/>
  </r>
  <r>
    <x v="0"/>
    <x v="1"/>
    <x v="0"/>
    <x v="0"/>
    <x v="0"/>
    <x v="1"/>
    <x v="4"/>
    <x v="1"/>
    <x v="24"/>
    <x v="0"/>
  </r>
  <r>
    <x v="0"/>
    <x v="4"/>
    <x v="0"/>
    <x v="0"/>
    <x v="0"/>
    <x v="0"/>
    <x v="1"/>
    <x v="1"/>
    <x v="25"/>
    <x v="0"/>
  </r>
  <r>
    <x v="0"/>
    <x v="2"/>
    <x v="0"/>
    <x v="0"/>
    <x v="0"/>
    <x v="0"/>
    <x v="2"/>
    <x v="1"/>
    <x v="26"/>
    <x v="0"/>
  </r>
  <r>
    <x v="0"/>
    <x v="2"/>
    <x v="0"/>
    <x v="0"/>
    <x v="0"/>
    <x v="0"/>
    <x v="2"/>
    <x v="1"/>
    <x v="26"/>
    <x v="0"/>
  </r>
  <r>
    <x v="0"/>
    <x v="2"/>
    <x v="0"/>
    <x v="0"/>
    <x v="0"/>
    <x v="0"/>
    <x v="2"/>
    <x v="1"/>
    <x v="26"/>
    <x v="0"/>
  </r>
  <r>
    <x v="0"/>
    <x v="7"/>
    <x v="0"/>
    <x v="0"/>
    <x v="0"/>
    <x v="1"/>
    <x v="5"/>
    <x v="1"/>
    <x v="27"/>
    <x v="0"/>
  </r>
  <r>
    <x v="0"/>
    <x v="3"/>
    <x v="0"/>
    <x v="0"/>
    <x v="0"/>
    <x v="2"/>
    <x v="5"/>
    <x v="1"/>
    <x v="27"/>
    <x v="0"/>
  </r>
  <r>
    <x v="0"/>
    <x v="5"/>
    <x v="0"/>
    <x v="0"/>
    <x v="0"/>
    <x v="0"/>
    <x v="6"/>
    <x v="1"/>
    <x v="28"/>
    <x v="0"/>
  </r>
  <r>
    <x v="0"/>
    <x v="0"/>
    <x v="0"/>
    <x v="0"/>
    <x v="0"/>
    <x v="0"/>
    <x v="3"/>
    <x v="1"/>
    <x v="29"/>
    <x v="0"/>
  </r>
  <r>
    <x v="0"/>
    <x v="7"/>
    <x v="0"/>
    <x v="0"/>
    <x v="0"/>
    <x v="1"/>
    <x v="4"/>
    <x v="1"/>
    <x v="30"/>
    <x v="0"/>
  </r>
  <r>
    <x v="0"/>
    <x v="7"/>
    <x v="0"/>
    <x v="0"/>
    <x v="0"/>
    <x v="1"/>
    <x v="4"/>
    <x v="1"/>
    <x v="30"/>
    <x v="0"/>
  </r>
  <r>
    <x v="0"/>
    <x v="0"/>
    <x v="0"/>
    <x v="0"/>
    <x v="0"/>
    <x v="0"/>
    <x v="1"/>
    <x v="1"/>
    <x v="31"/>
    <x v="0"/>
  </r>
  <r>
    <x v="0"/>
    <x v="2"/>
    <x v="0"/>
    <x v="1"/>
    <x v="0"/>
    <x v="0"/>
    <x v="2"/>
    <x v="1"/>
    <x v="32"/>
    <x v="1"/>
  </r>
  <r>
    <x v="0"/>
    <x v="7"/>
    <x v="0"/>
    <x v="1"/>
    <x v="0"/>
    <x v="1"/>
    <x v="5"/>
    <x v="1"/>
    <x v="33"/>
    <x v="1"/>
  </r>
  <r>
    <x v="0"/>
    <x v="1"/>
    <x v="0"/>
    <x v="1"/>
    <x v="0"/>
    <x v="1"/>
    <x v="4"/>
    <x v="1"/>
    <x v="34"/>
    <x v="1"/>
  </r>
  <r>
    <x v="0"/>
    <x v="3"/>
    <x v="0"/>
    <x v="1"/>
    <x v="0"/>
    <x v="2"/>
    <x v="4"/>
    <x v="1"/>
    <x v="34"/>
    <x v="1"/>
  </r>
  <r>
    <x v="0"/>
    <x v="3"/>
    <x v="0"/>
    <x v="1"/>
    <x v="0"/>
    <x v="2"/>
    <x v="4"/>
    <x v="1"/>
    <x v="34"/>
    <x v="1"/>
  </r>
  <r>
    <x v="0"/>
    <x v="5"/>
    <x v="0"/>
    <x v="1"/>
    <x v="0"/>
    <x v="0"/>
    <x v="0"/>
    <x v="1"/>
    <x v="35"/>
    <x v="1"/>
  </r>
  <r>
    <x v="0"/>
    <x v="5"/>
    <x v="0"/>
    <x v="1"/>
    <x v="0"/>
    <x v="0"/>
    <x v="0"/>
    <x v="1"/>
    <x v="35"/>
    <x v="1"/>
  </r>
  <r>
    <x v="0"/>
    <x v="6"/>
    <x v="0"/>
    <x v="1"/>
    <x v="0"/>
    <x v="0"/>
    <x v="0"/>
    <x v="1"/>
    <x v="35"/>
    <x v="1"/>
  </r>
  <r>
    <x v="0"/>
    <x v="8"/>
    <x v="0"/>
    <x v="1"/>
    <x v="0"/>
    <x v="2"/>
    <x v="2"/>
    <x v="1"/>
    <x v="36"/>
    <x v="1"/>
  </r>
  <r>
    <x v="0"/>
    <x v="8"/>
    <x v="0"/>
    <x v="1"/>
    <x v="0"/>
    <x v="2"/>
    <x v="2"/>
    <x v="1"/>
    <x v="36"/>
    <x v="1"/>
  </r>
  <r>
    <x v="0"/>
    <x v="0"/>
    <x v="0"/>
    <x v="1"/>
    <x v="0"/>
    <x v="0"/>
    <x v="5"/>
    <x v="1"/>
    <x v="37"/>
    <x v="1"/>
  </r>
  <r>
    <x v="0"/>
    <x v="0"/>
    <x v="0"/>
    <x v="1"/>
    <x v="0"/>
    <x v="0"/>
    <x v="6"/>
    <x v="1"/>
    <x v="38"/>
    <x v="1"/>
  </r>
  <r>
    <x v="0"/>
    <x v="1"/>
    <x v="0"/>
    <x v="1"/>
    <x v="0"/>
    <x v="1"/>
    <x v="4"/>
    <x v="2"/>
    <x v="39"/>
    <x v="1"/>
  </r>
  <r>
    <x v="0"/>
    <x v="1"/>
    <x v="0"/>
    <x v="1"/>
    <x v="0"/>
    <x v="1"/>
    <x v="5"/>
    <x v="2"/>
    <x v="40"/>
    <x v="1"/>
  </r>
  <r>
    <x v="0"/>
    <x v="1"/>
    <x v="0"/>
    <x v="1"/>
    <x v="0"/>
    <x v="1"/>
    <x v="5"/>
    <x v="2"/>
    <x v="40"/>
    <x v="1"/>
  </r>
  <r>
    <x v="0"/>
    <x v="0"/>
    <x v="0"/>
    <x v="1"/>
    <x v="0"/>
    <x v="0"/>
    <x v="5"/>
    <x v="2"/>
    <x v="40"/>
    <x v="1"/>
  </r>
  <r>
    <x v="0"/>
    <x v="6"/>
    <x v="0"/>
    <x v="1"/>
    <x v="0"/>
    <x v="0"/>
    <x v="6"/>
    <x v="2"/>
    <x v="41"/>
    <x v="1"/>
  </r>
  <r>
    <x v="0"/>
    <x v="0"/>
    <x v="0"/>
    <x v="1"/>
    <x v="0"/>
    <x v="0"/>
    <x v="4"/>
    <x v="2"/>
    <x v="42"/>
    <x v="1"/>
  </r>
  <r>
    <x v="0"/>
    <x v="6"/>
    <x v="0"/>
    <x v="1"/>
    <x v="0"/>
    <x v="0"/>
    <x v="4"/>
    <x v="2"/>
    <x v="42"/>
    <x v="1"/>
  </r>
  <r>
    <x v="0"/>
    <x v="6"/>
    <x v="0"/>
    <x v="1"/>
    <x v="0"/>
    <x v="0"/>
    <x v="4"/>
    <x v="2"/>
    <x v="42"/>
    <x v="1"/>
  </r>
  <r>
    <x v="0"/>
    <x v="8"/>
    <x v="0"/>
    <x v="1"/>
    <x v="0"/>
    <x v="2"/>
    <x v="4"/>
    <x v="2"/>
    <x v="42"/>
    <x v="1"/>
  </r>
  <r>
    <x v="0"/>
    <x v="0"/>
    <x v="0"/>
    <x v="1"/>
    <x v="0"/>
    <x v="0"/>
    <x v="2"/>
    <x v="2"/>
    <x v="43"/>
    <x v="1"/>
  </r>
  <r>
    <x v="0"/>
    <x v="9"/>
    <x v="0"/>
    <x v="1"/>
    <x v="0"/>
    <x v="1"/>
    <x v="6"/>
    <x v="2"/>
    <x v="44"/>
    <x v="1"/>
  </r>
  <r>
    <x v="0"/>
    <x v="9"/>
    <x v="0"/>
    <x v="1"/>
    <x v="0"/>
    <x v="1"/>
    <x v="6"/>
    <x v="2"/>
    <x v="44"/>
    <x v="1"/>
  </r>
  <r>
    <x v="0"/>
    <x v="9"/>
    <x v="0"/>
    <x v="1"/>
    <x v="0"/>
    <x v="1"/>
    <x v="6"/>
    <x v="2"/>
    <x v="44"/>
    <x v="1"/>
  </r>
  <r>
    <x v="0"/>
    <x v="5"/>
    <x v="0"/>
    <x v="1"/>
    <x v="0"/>
    <x v="0"/>
    <x v="6"/>
    <x v="2"/>
    <x v="44"/>
    <x v="1"/>
  </r>
  <r>
    <x v="0"/>
    <x v="7"/>
    <x v="0"/>
    <x v="1"/>
    <x v="0"/>
    <x v="1"/>
    <x v="3"/>
    <x v="2"/>
    <x v="45"/>
    <x v="1"/>
  </r>
  <r>
    <x v="0"/>
    <x v="0"/>
    <x v="0"/>
    <x v="1"/>
    <x v="0"/>
    <x v="0"/>
    <x v="3"/>
    <x v="2"/>
    <x v="45"/>
    <x v="1"/>
  </r>
  <r>
    <x v="0"/>
    <x v="0"/>
    <x v="0"/>
    <x v="1"/>
    <x v="0"/>
    <x v="0"/>
    <x v="3"/>
    <x v="2"/>
    <x v="45"/>
    <x v="1"/>
  </r>
  <r>
    <x v="0"/>
    <x v="0"/>
    <x v="0"/>
    <x v="1"/>
    <x v="0"/>
    <x v="0"/>
    <x v="3"/>
    <x v="2"/>
    <x v="45"/>
    <x v="1"/>
  </r>
  <r>
    <x v="0"/>
    <x v="10"/>
    <x v="0"/>
    <x v="1"/>
    <x v="0"/>
    <x v="1"/>
    <x v="0"/>
    <x v="2"/>
    <x v="46"/>
    <x v="1"/>
  </r>
  <r>
    <x v="0"/>
    <x v="11"/>
    <x v="0"/>
    <x v="1"/>
    <x v="0"/>
    <x v="2"/>
    <x v="0"/>
    <x v="2"/>
    <x v="46"/>
    <x v="1"/>
  </r>
  <r>
    <x v="0"/>
    <x v="12"/>
    <x v="0"/>
    <x v="1"/>
    <x v="0"/>
    <x v="1"/>
    <x v="2"/>
    <x v="2"/>
    <x v="47"/>
    <x v="1"/>
  </r>
  <r>
    <x v="0"/>
    <x v="12"/>
    <x v="0"/>
    <x v="1"/>
    <x v="0"/>
    <x v="1"/>
    <x v="2"/>
    <x v="2"/>
    <x v="47"/>
    <x v="1"/>
  </r>
  <r>
    <x v="0"/>
    <x v="2"/>
    <x v="0"/>
    <x v="1"/>
    <x v="0"/>
    <x v="0"/>
    <x v="2"/>
    <x v="2"/>
    <x v="47"/>
    <x v="1"/>
  </r>
  <r>
    <x v="0"/>
    <x v="7"/>
    <x v="0"/>
    <x v="1"/>
    <x v="0"/>
    <x v="1"/>
    <x v="5"/>
    <x v="2"/>
    <x v="48"/>
    <x v="1"/>
  </r>
  <r>
    <x v="0"/>
    <x v="7"/>
    <x v="0"/>
    <x v="1"/>
    <x v="0"/>
    <x v="1"/>
    <x v="5"/>
    <x v="2"/>
    <x v="48"/>
    <x v="1"/>
  </r>
  <r>
    <x v="0"/>
    <x v="0"/>
    <x v="0"/>
    <x v="1"/>
    <x v="0"/>
    <x v="0"/>
    <x v="5"/>
    <x v="2"/>
    <x v="48"/>
    <x v="1"/>
  </r>
  <r>
    <x v="0"/>
    <x v="0"/>
    <x v="0"/>
    <x v="1"/>
    <x v="0"/>
    <x v="0"/>
    <x v="5"/>
    <x v="2"/>
    <x v="48"/>
    <x v="1"/>
  </r>
  <r>
    <x v="0"/>
    <x v="4"/>
    <x v="0"/>
    <x v="1"/>
    <x v="0"/>
    <x v="0"/>
    <x v="3"/>
    <x v="2"/>
    <x v="49"/>
    <x v="1"/>
  </r>
  <r>
    <x v="0"/>
    <x v="4"/>
    <x v="0"/>
    <x v="1"/>
    <x v="0"/>
    <x v="0"/>
    <x v="3"/>
    <x v="2"/>
    <x v="49"/>
    <x v="1"/>
  </r>
  <r>
    <x v="0"/>
    <x v="7"/>
    <x v="0"/>
    <x v="1"/>
    <x v="0"/>
    <x v="1"/>
    <x v="0"/>
    <x v="2"/>
    <x v="50"/>
    <x v="1"/>
  </r>
  <r>
    <x v="0"/>
    <x v="7"/>
    <x v="0"/>
    <x v="1"/>
    <x v="0"/>
    <x v="1"/>
    <x v="0"/>
    <x v="2"/>
    <x v="50"/>
    <x v="1"/>
  </r>
  <r>
    <x v="0"/>
    <x v="6"/>
    <x v="0"/>
    <x v="1"/>
    <x v="0"/>
    <x v="0"/>
    <x v="1"/>
    <x v="2"/>
    <x v="51"/>
    <x v="1"/>
  </r>
  <r>
    <x v="0"/>
    <x v="8"/>
    <x v="0"/>
    <x v="1"/>
    <x v="0"/>
    <x v="2"/>
    <x v="2"/>
    <x v="2"/>
    <x v="52"/>
    <x v="1"/>
  </r>
  <r>
    <x v="0"/>
    <x v="7"/>
    <x v="0"/>
    <x v="1"/>
    <x v="0"/>
    <x v="1"/>
    <x v="5"/>
    <x v="2"/>
    <x v="53"/>
    <x v="1"/>
  </r>
  <r>
    <x v="0"/>
    <x v="5"/>
    <x v="0"/>
    <x v="1"/>
    <x v="0"/>
    <x v="0"/>
    <x v="5"/>
    <x v="2"/>
    <x v="53"/>
    <x v="1"/>
  </r>
  <r>
    <x v="0"/>
    <x v="5"/>
    <x v="0"/>
    <x v="1"/>
    <x v="0"/>
    <x v="0"/>
    <x v="5"/>
    <x v="2"/>
    <x v="53"/>
    <x v="1"/>
  </r>
  <r>
    <x v="0"/>
    <x v="8"/>
    <x v="0"/>
    <x v="1"/>
    <x v="0"/>
    <x v="2"/>
    <x v="5"/>
    <x v="2"/>
    <x v="53"/>
    <x v="1"/>
  </r>
  <r>
    <x v="0"/>
    <x v="13"/>
    <x v="0"/>
    <x v="1"/>
    <x v="0"/>
    <x v="2"/>
    <x v="6"/>
    <x v="2"/>
    <x v="54"/>
    <x v="1"/>
  </r>
  <r>
    <x v="0"/>
    <x v="14"/>
    <x v="0"/>
    <x v="1"/>
    <x v="0"/>
    <x v="2"/>
    <x v="6"/>
    <x v="2"/>
    <x v="54"/>
    <x v="1"/>
  </r>
  <r>
    <x v="0"/>
    <x v="5"/>
    <x v="0"/>
    <x v="1"/>
    <x v="0"/>
    <x v="0"/>
    <x v="3"/>
    <x v="2"/>
    <x v="55"/>
    <x v="1"/>
  </r>
  <r>
    <x v="0"/>
    <x v="10"/>
    <x v="0"/>
    <x v="1"/>
    <x v="0"/>
    <x v="1"/>
    <x v="3"/>
    <x v="3"/>
    <x v="56"/>
    <x v="1"/>
  </r>
  <r>
    <x v="0"/>
    <x v="4"/>
    <x v="0"/>
    <x v="1"/>
    <x v="0"/>
    <x v="0"/>
    <x v="4"/>
    <x v="3"/>
    <x v="57"/>
    <x v="1"/>
  </r>
  <r>
    <x v="0"/>
    <x v="15"/>
    <x v="0"/>
    <x v="1"/>
    <x v="0"/>
    <x v="2"/>
    <x v="2"/>
    <x v="3"/>
    <x v="58"/>
    <x v="1"/>
  </r>
  <r>
    <x v="0"/>
    <x v="9"/>
    <x v="0"/>
    <x v="1"/>
    <x v="0"/>
    <x v="1"/>
    <x v="4"/>
    <x v="3"/>
    <x v="59"/>
    <x v="1"/>
  </r>
  <r>
    <x v="0"/>
    <x v="1"/>
    <x v="0"/>
    <x v="1"/>
    <x v="0"/>
    <x v="1"/>
    <x v="0"/>
    <x v="3"/>
    <x v="60"/>
    <x v="1"/>
  </r>
  <r>
    <x v="0"/>
    <x v="8"/>
    <x v="0"/>
    <x v="1"/>
    <x v="0"/>
    <x v="2"/>
    <x v="1"/>
    <x v="3"/>
    <x v="61"/>
    <x v="1"/>
  </r>
  <r>
    <x v="0"/>
    <x v="9"/>
    <x v="0"/>
    <x v="1"/>
    <x v="0"/>
    <x v="1"/>
    <x v="5"/>
    <x v="3"/>
    <x v="62"/>
    <x v="1"/>
  </r>
  <r>
    <x v="0"/>
    <x v="6"/>
    <x v="0"/>
    <x v="1"/>
    <x v="0"/>
    <x v="0"/>
    <x v="5"/>
    <x v="3"/>
    <x v="62"/>
    <x v="1"/>
  </r>
  <r>
    <x v="0"/>
    <x v="8"/>
    <x v="0"/>
    <x v="1"/>
    <x v="0"/>
    <x v="2"/>
    <x v="5"/>
    <x v="3"/>
    <x v="62"/>
    <x v="1"/>
  </r>
  <r>
    <x v="0"/>
    <x v="2"/>
    <x v="0"/>
    <x v="1"/>
    <x v="0"/>
    <x v="0"/>
    <x v="6"/>
    <x v="3"/>
    <x v="63"/>
    <x v="1"/>
  </r>
  <r>
    <x v="0"/>
    <x v="1"/>
    <x v="0"/>
    <x v="1"/>
    <x v="0"/>
    <x v="1"/>
    <x v="3"/>
    <x v="3"/>
    <x v="64"/>
    <x v="1"/>
  </r>
  <r>
    <x v="0"/>
    <x v="1"/>
    <x v="0"/>
    <x v="1"/>
    <x v="0"/>
    <x v="1"/>
    <x v="0"/>
    <x v="3"/>
    <x v="65"/>
    <x v="1"/>
  </r>
  <r>
    <x v="0"/>
    <x v="13"/>
    <x v="0"/>
    <x v="1"/>
    <x v="0"/>
    <x v="2"/>
    <x v="0"/>
    <x v="3"/>
    <x v="65"/>
    <x v="1"/>
  </r>
  <r>
    <x v="0"/>
    <x v="6"/>
    <x v="0"/>
    <x v="1"/>
    <x v="0"/>
    <x v="0"/>
    <x v="3"/>
    <x v="3"/>
    <x v="66"/>
    <x v="1"/>
  </r>
  <r>
    <x v="0"/>
    <x v="1"/>
    <x v="0"/>
    <x v="1"/>
    <x v="0"/>
    <x v="1"/>
    <x v="6"/>
    <x v="4"/>
    <x v="67"/>
    <x v="1"/>
  </r>
  <r>
    <x v="0"/>
    <x v="2"/>
    <x v="0"/>
    <x v="1"/>
    <x v="0"/>
    <x v="0"/>
    <x v="6"/>
    <x v="4"/>
    <x v="67"/>
    <x v="1"/>
  </r>
  <r>
    <x v="0"/>
    <x v="1"/>
    <x v="0"/>
    <x v="1"/>
    <x v="0"/>
    <x v="1"/>
    <x v="4"/>
    <x v="4"/>
    <x v="68"/>
    <x v="1"/>
  </r>
  <r>
    <x v="0"/>
    <x v="13"/>
    <x v="0"/>
    <x v="1"/>
    <x v="0"/>
    <x v="2"/>
    <x v="0"/>
    <x v="4"/>
    <x v="69"/>
    <x v="1"/>
  </r>
  <r>
    <x v="0"/>
    <x v="11"/>
    <x v="0"/>
    <x v="1"/>
    <x v="0"/>
    <x v="2"/>
    <x v="0"/>
    <x v="4"/>
    <x v="69"/>
    <x v="1"/>
  </r>
  <r>
    <x v="0"/>
    <x v="11"/>
    <x v="0"/>
    <x v="1"/>
    <x v="0"/>
    <x v="2"/>
    <x v="0"/>
    <x v="4"/>
    <x v="69"/>
    <x v="1"/>
  </r>
  <r>
    <x v="0"/>
    <x v="4"/>
    <x v="0"/>
    <x v="2"/>
    <x v="0"/>
    <x v="0"/>
    <x v="5"/>
    <x v="4"/>
    <x v="70"/>
    <x v="2"/>
  </r>
  <r>
    <x v="0"/>
    <x v="2"/>
    <x v="0"/>
    <x v="2"/>
    <x v="0"/>
    <x v="0"/>
    <x v="5"/>
    <x v="4"/>
    <x v="70"/>
    <x v="2"/>
  </r>
  <r>
    <x v="0"/>
    <x v="7"/>
    <x v="0"/>
    <x v="2"/>
    <x v="0"/>
    <x v="1"/>
    <x v="3"/>
    <x v="4"/>
    <x v="71"/>
    <x v="2"/>
  </r>
  <r>
    <x v="0"/>
    <x v="11"/>
    <x v="0"/>
    <x v="2"/>
    <x v="0"/>
    <x v="2"/>
    <x v="4"/>
    <x v="4"/>
    <x v="72"/>
    <x v="2"/>
  </r>
  <r>
    <x v="0"/>
    <x v="1"/>
    <x v="0"/>
    <x v="2"/>
    <x v="0"/>
    <x v="1"/>
    <x v="2"/>
    <x v="4"/>
    <x v="73"/>
    <x v="2"/>
  </r>
  <r>
    <x v="0"/>
    <x v="7"/>
    <x v="0"/>
    <x v="2"/>
    <x v="0"/>
    <x v="1"/>
    <x v="2"/>
    <x v="4"/>
    <x v="73"/>
    <x v="2"/>
  </r>
  <r>
    <x v="0"/>
    <x v="7"/>
    <x v="0"/>
    <x v="2"/>
    <x v="0"/>
    <x v="1"/>
    <x v="4"/>
    <x v="4"/>
    <x v="74"/>
    <x v="2"/>
  </r>
  <r>
    <x v="0"/>
    <x v="7"/>
    <x v="0"/>
    <x v="2"/>
    <x v="0"/>
    <x v="1"/>
    <x v="4"/>
    <x v="4"/>
    <x v="74"/>
    <x v="2"/>
  </r>
  <r>
    <x v="0"/>
    <x v="7"/>
    <x v="0"/>
    <x v="2"/>
    <x v="0"/>
    <x v="1"/>
    <x v="0"/>
    <x v="4"/>
    <x v="75"/>
    <x v="2"/>
  </r>
  <r>
    <x v="0"/>
    <x v="9"/>
    <x v="0"/>
    <x v="2"/>
    <x v="0"/>
    <x v="1"/>
    <x v="1"/>
    <x v="4"/>
    <x v="76"/>
    <x v="2"/>
  </r>
  <r>
    <x v="0"/>
    <x v="9"/>
    <x v="0"/>
    <x v="2"/>
    <x v="0"/>
    <x v="1"/>
    <x v="1"/>
    <x v="4"/>
    <x v="76"/>
    <x v="2"/>
  </r>
  <r>
    <x v="0"/>
    <x v="1"/>
    <x v="0"/>
    <x v="2"/>
    <x v="0"/>
    <x v="1"/>
    <x v="1"/>
    <x v="4"/>
    <x v="76"/>
    <x v="2"/>
  </r>
  <r>
    <x v="0"/>
    <x v="9"/>
    <x v="0"/>
    <x v="2"/>
    <x v="0"/>
    <x v="1"/>
    <x v="5"/>
    <x v="4"/>
    <x v="77"/>
    <x v="2"/>
  </r>
  <r>
    <x v="0"/>
    <x v="9"/>
    <x v="0"/>
    <x v="2"/>
    <x v="0"/>
    <x v="1"/>
    <x v="5"/>
    <x v="4"/>
    <x v="77"/>
    <x v="2"/>
  </r>
  <r>
    <x v="0"/>
    <x v="9"/>
    <x v="0"/>
    <x v="2"/>
    <x v="0"/>
    <x v="1"/>
    <x v="6"/>
    <x v="4"/>
    <x v="78"/>
    <x v="2"/>
  </r>
  <r>
    <x v="0"/>
    <x v="10"/>
    <x v="0"/>
    <x v="2"/>
    <x v="0"/>
    <x v="1"/>
    <x v="6"/>
    <x v="4"/>
    <x v="78"/>
    <x v="2"/>
  </r>
  <r>
    <x v="0"/>
    <x v="15"/>
    <x v="0"/>
    <x v="2"/>
    <x v="0"/>
    <x v="2"/>
    <x v="6"/>
    <x v="4"/>
    <x v="78"/>
    <x v="2"/>
  </r>
  <r>
    <x v="0"/>
    <x v="15"/>
    <x v="0"/>
    <x v="2"/>
    <x v="0"/>
    <x v="2"/>
    <x v="6"/>
    <x v="4"/>
    <x v="78"/>
    <x v="2"/>
  </r>
  <r>
    <x v="0"/>
    <x v="15"/>
    <x v="0"/>
    <x v="2"/>
    <x v="0"/>
    <x v="2"/>
    <x v="3"/>
    <x v="4"/>
    <x v="79"/>
    <x v="2"/>
  </r>
  <r>
    <x v="0"/>
    <x v="15"/>
    <x v="0"/>
    <x v="2"/>
    <x v="0"/>
    <x v="2"/>
    <x v="3"/>
    <x v="4"/>
    <x v="79"/>
    <x v="2"/>
  </r>
  <r>
    <x v="0"/>
    <x v="12"/>
    <x v="0"/>
    <x v="2"/>
    <x v="0"/>
    <x v="1"/>
    <x v="4"/>
    <x v="4"/>
    <x v="80"/>
    <x v="2"/>
  </r>
  <r>
    <x v="0"/>
    <x v="7"/>
    <x v="0"/>
    <x v="2"/>
    <x v="0"/>
    <x v="1"/>
    <x v="4"/>
    <x v="4"/>
    <x v="80"/>
    <x v="2"/>
  </r>
  <r>
    <x v="0"/>
    <x v="3"/>
    <x v="0"/>
    <x v="2"/>
    <x v="0"/>
    <x v="2"/>
    <x v="0"/>
    <x v="4"/>
    <x v="81"/>
    <x v="2"/>
  </r>
  <r>
    <x v="0"/>
    <x v="10"/>
    <x v="0"/>
    <x v="2"/>
    <x v="0"/>
    <x v="1"/>
    <x v="5"/>
    <x v="4"/>
    <x v="82"/>
    <x v="2"/>
  </r>
  <r>
    <x v="0"/>
    <x v="10"/>
    <x v="0"/>
    <x v="2"/>
    <x v="0"/>
    <x v="1"/>
    <x v="5"/>
    <x v="4"/>
    <x v="82"/>
    <x v="2"/>
  </r>
  <r>
    <x v="0"/>
    <x v="13"/>
    <x v="0"/>
    <x v="2"/>
    <x v="0"/>
    <x v="2"/>
    <x v="5"/>
    <x v="4"/>
    <x v="82"/>
    <x v="2"/>
  </r>
  <r>
    <x v="0"/>
    <x v="7"/>
    <x v="0"/>
    <x v="2"/>
    <x v="0"/>
    <x v="1"/>
    <x v="6"/>
    <x v="4"/>
    <x v="83"/>
    <x v="2"/>
  </r>
  <r>
    <x v="0"/>
    <x v="11"/>
    <x v="0"/>
    <x v="2"/>
    <x v="0"/>
    <x v="2"/>
    <x v="6"/>
    <x v="4"/>
    <x v="83"/>
    <x v="2"/>
  </r>
  <r>
    <x v="0"/>
    <x v="10"/>
    <x v="0"/>
    <x v="2"/>
    <x v="0"/>
    <x v="1"/>
    <x v="3"/>
    <x v="4"/>
    <x v="84"/>
    <x v="2"/>
  </r>
  <r>
    <x v="0"/>
    <x v="10"/>
    <x v="0"/>
    <x v="2"/>
    <x v="0"/>
    <x v="1"/>
    <x v="3"/>
    <x v="4"/>
    <x v="84"/>
    <x v="2"/>
  </r>
  <r>
    <x v="0"/>
    <x v="6"/>
    <x v="0"/>
    <x v="2"/>
    <x v="0"/>
    <x v="0"/>
    <x v="4"/>
    <x v="5"/>
    <x v="85"/>
    <x v="2"/>
  </r>
  <r>
    <x v="0"/>
    <x v="3"/>
    <x v="0"/>
    <x v="2"/>
    <x v="0"/>
    <x v="2"/>
    <x v="4"/>
    <x v="5"/>
    <x v="85"/>
    <x v="2"/>
  </r>
  <r>
    <x v="0"/>
    <x v="4"/>
    <x v="0"/>
    <x v="2"/>
    <x v="0"/>
    <x v="0"/>
    <x v="3"/>
    <x v="5"/>
    <x v="86"/>
    <x v="2"/>
  </r>
  <r>
    <x v="0"/>
    <x v="4"/>
    <x v="0"/>
    <x v="2"/>
    <x v="0"/>
    <x v="0"/>
    <x v="3"/>
    <x v="5"/>
    <x v="86"/>
    <x v="2"/>
  </r>
  <r>
    <x v="0"/>
    <x v="6"/>
    <x v="0"/>
    <x v="2"/>
    <x v="0"/>
    <x v="0"/>
    <x v="3"/>
    <x v="5"/>
    <x v="86"/>
    <x v="2"/>
  </r>
  <r>
    <x v="0"/>
    <x v="10"/>
    <x v="0"/>
    <x v="2"/>
    <x v="0"/>
    <x v="1"/>
    <x v="0"/>
    <x v="5"/>
    <x v="87"/>
    <x v="2"/>
  </r>
  <r>
    <x v="0"/>
    <x v="7"/>
    <x v="0"/>
    <x v="2"/>
    <x v="0"/>
    <x v="1"/>
    <x v="0"/>
    <x v="5"/>
    <x v="87"/>
    <x v="2"/>
  </r>
  <r>
    <x v="0"/>
    <x v="8"/>
    <x v="0"/>
    <x v="2"/>
    <x v="0"/>
    <x v="2"/>
    <x v="0"/>
    <x v="5"/>
    <x v="87"/>
    <x v="2"/>
  </r>
  <r>
    <x v="0"/>
    <x v="7"/>
    <x v="0"/>
    <x v="2"/>
    <x v="0"/>
    <x v="1"/>
    <x v="1"/>
    <x v="5"/>
    <x v="88"/>
    <x v="2"/>
  </r>
  <r>
    <x v="0"/>
    <x v="7"/>
    <x v="0"/>
    <x v="2"/>
    <x v="0"/>
    <x v="1"/>
    <x v="5"/>
    <x v="5"/>
    <x v="89"/>
    <x v="2"/>
  </r>
  <r>
    <x v="0"/>
    <x v="4"/>
    <x v="0"/>
    <x v="2"/>
    <x v="0"/>
    <x v="0"/>
    <x v="3"/>
    <x v="5"/>
    <x v="90"/>
    <x v="2"/>
  </r>
  <r>
    <x v="0"/>
    <x v="4"/>
    <x v="0"/>
    <x v="2"/>
    <x v="0"/>
    <x v="0"/>
    <x v="3"/>
    <x v="5"/>
    <x v="90"/>
    <x v="2"/>
  </r>
  <r>
    <x v="0"/>
    <x v="3"/>
    <x v="0"/>
    <x v="2"/>
    <x v="0"/>
    <x v="2"/>
    <x v="3"/>
    <x v="5"/>
    <x v="90"/>
    <x v="2"/>
  </r>
  <r>
    <x v="0"/>
    <x v="2"/>
    <x v="0"/>
    <x v="2"/>
    <x v="0"/>
    <x v="0"/>
    <x v="4"/>
    <x v="5"/>
    <x v="91"/>
    <x v="2"/>
  </r>
  <r>
    <x v="0"/>
    <x v="13"/>
    <x v="0"/>
    <x v="2"/>
    <x v="0"/>
    <x v="2"/>
    <x v="4"/>
    <x v="5"/>
    <x v="91"/>
    <x v="2"/>
  </r>
  <r>
    <x v="0"/>
    <x v="4"/>
    <x v="0"/>
    <x v="2"/>
    <x v="0"/>
    <x v="0"/>
    <x v="0"/>
    <x v="5"/>
    <x v="92"/>
    <x v="2"/>
  </r>
  <r>
    <x v="0"/>
    <x v="8"/>
    <x v="0"/>
    <x v="2"/>
    <x v="0"/>
    <x v="2"/>
    <x v="2"/>
    <x v="5"/>
    <x v="93"/>
    <x v="2"/>
  </r>
  <r>
    <x v="0"/>
    <x v="8"/>
    <x v="0"/>
    <x v="2"/>
    <x v="0"/>
    <x v="2"/>
    <x v="2"/>
    <x v="5"/>
    <x v="93"/>
    <x v="2"/>
  </r>
  <r>
    <x v="0"/>
    <x v="7"/>
    <x v="0"/>
    <x v="2"/>
    <x v="0"/>
    <x v="1"/>
    <x v="6"/>
    <x v="5"/>
    <x v="94"/>
    <x v="2"/>
  </r>
  <r>
    <x v="0"/>
    <x v="7"/>
    <x v="0"/>
    <x v="2"/>
    <x v="0"/>
    <x v="1"/>
    <x v="6"/>
    <x v="5"/>
    <x v="94"/>
    <x v="2"/>
  </r>
  <r>
    <x v="0"/>
    <x v="7"/>
    <x v="0"/>
    <x v="2"/>
    <x v="0"/>
    <x v="1"/>
    <x v="6"/>
    <x v="5"/>
    <x v="94"/>
    <x v="2"/>
  </r>
  <r>
    <x v="0"/>
    <x v="1"/>
    <x v="0"/>
    <x v="2"/>
    <x v="0"/>
    <x v="1"/>
    <x v="3"/>
    <x v="5"/>
    <x v="95"/>
    <x v="2"/>
  </r>
  <r>
    <x v="0"/>
    <x v="5"/>
    <x v="0"/>
    <x v="2"/>
    <x v="0"/>
    <x v="0"/>
    <x v="4"/>
    <x v="5"/>
    <x v="96"/>
    <x v="2"/>
  </r>
  <r>
    <x v="0"/>
    <x v="9"/>
    <x v="0"/>
    <x v="2"/>
    <x v="0"/>
    <x v="1"/>
    <x v="0"/>
    <x v="5"/>
    <x v="97"/>
    <x v="2"/>
  </r>
  <r>
    <x v="0"/>
    <x v="9"/>
    <x v="0"/>
    <x v="2"/>
    <x v="0"/>
    <x v="1"/>
    <x v="0"/>
    <x v="5"/>
    <x v="97"/>
    <x v="2"/>
  </r>
  <r>
    <x v="0"/>
    <x v="1"/>
    <x v="0"/>
    <x v="2"/>
    <x v="0"/>
    <x v="1"/>
    <x v="0"/>
    <x v="5"/>
    <x v="97"/>
    <x v="2"/>
  </r>
  <r>
    <x v="0"/>
    <x v="0"/>
    <x v="0"/>
    <x v="2"/>
    <x v="0"/>
    <x v="0"/>
    <x v="0"/>
    <x v="5"/>
    <x v="97"/>
    <x v="2"/>
  </r>
  <r>
    <x v="0"/>
    <x v="5"/>
    <x v="0"/>
    <x v="2"/>
    <x v="0"/>
    <x v="0"/>
    <x v="0"/>
    <x v="5"/>
    <x v="97"/>
    <x v="2"/>
  </r>
  <r>
    <x v="0"/>
    <x v="1"/>
    <x v="0"/>
    <x v="2"/>
    <x v="0"/>
    <x v="1"/>
    <x v="1"/>
    <x v="5"/>
    <x v="98"/>
    <x v="2"/>
  </r>
  <r>
    <x v="0"/>
    <x v="9"/>
    <x v="0"/>
    <x v="2"/>
    <x v="0"/>
    <x v="1"/>
    <x v="2"/>
    <x v="5"/>
    <x v="99"/>
    <x v="2"/>
  </r>
  <r>
    <x v="0"/>
    <x v="9"/>
    <x v="0"/>
    <x v="2"/>
    <x v="0"/>
    <x v="1"/>
    <x v="2"/>
    <x v="5"/>
    <x v="99"/>
    <x v="2"/>
  </r>
  <r>
    <x v="0"/>
    <x v="9"/>
    <x v="0"/>
    <x v="2"/>
    <x v="0"/>
    <x v="1"/>
    <x v="5"/>
    <x v="5"/>
    <x v="100"/>
    <x v="2"/>
  </r>
  <r>
    <x v="0"/>
    <x v="9"/>
    <x v="0"/>
    <x v="2"/>
    <x v="0"/>
    <x v="1"/>
    <x v="5"/>
    <x v="5"/>
    <x v="100"/>
    <x v="2"/>
  </r>
  <r>
    <x v="0"/>
    <x v="4"/>
    <x v="0"/>
    <x v="2"/>
    <x v="0"/>
    <x v="0"/>
    <x v="5"/>
    <x v="5"/>
    <x v="100"/>
    <x v="2"/>
  </r>
  <r>
    <x v="0"/>
    <x v="4"/>
    <x v="0"/>
    <x v="2"/>
    <x v="0"/>
    <x v="0"/>
    <x v="5"/>
    <x v="5"/>
    <x v="100"/>
    <x v="2"/>
  </r>
  <r>
    <x v="0"/>
    <x v="4"/>
    <x v="0"/>
    <x v="2"/>
    <x v="0"/>
    <x v="0"/>
    <x v="3"/>
    <x v="5"/>
    <x v="101"/>
    <x v="2"/>
  </r>
  <r>
    <x v="0"/>
    <x v="12"/>
    <x v="0"/>
    <x v="2"/>
    <x v="0"/>
    <x v="1"/>
    <x v="4"/>
    <x v="5"/>
    <x v="102"/>
    <x v="2"/>
  </r>
  <r>
    <x v="0"/>
    <x v="4"/>
    <x v="0"/>
    <x v="2"/>
    <x v="0"/>
    <x v="0"/>
    <x v="2"/>
    <x v="6"/>
    <x v="103"/>
    <x v="2"/>
  </r>
  <r>
    <x v="0"/>
    <x v="14"/>
    <x v="0"/>
    <x v="2"/>
    <x v="0"/>
    <x v="2"/>
    <x v="5"/>
    <x v="6"/>
    <x v="104"/>
    <x v="2"/>
  </r>
  <r>
    <x v="0"/>
    <x v="14"/>
    <x v="0"/>
    <x v="2"/>
    <x v="0"/>
    <x v="2"/>
    <x v="5"/>
    <x v="6"/>
    <x v="104"/>
    <x v="2"/>
  </r>
  <r>
    <x v="0"/>
    <x v="7"/>
    <x v="0"/>
    <x v="2"/>
    <x v="0"/>
    <x v="1"/>
    <x v="3"/>
    <x v="6"/>
    <x v="105"/>
    <x v="2"/>
  </r>
  <r>
    <x v="0"/>
    <x v="7"/>
    <x v="0"/>
    <x v="2"/>
    <x v="0"/>
    <x v="1"/>
    <x v="4"/>
    <x v="6"/>
    <x v="106"/>
    <x v="2"/>
  </r>
  <r>
    <x v="0"/>
    <x v="6"/>
    <x v="0"/>
    <x v="2"/>
    <x v="0"/>
    <x v="0"/>
    <x v="4"/>
    <x v="6"/>
    <x v="106"/>
    <x v="2"/>
  </r>
  <r>
    <x v="0"/>
    <x v="14"/>
    <x v="0"/>
    <x v="2"/>
    <x v="0"/>
    <x v="2"/>
    <x v="4"/>
    <x v="6"/>
    <x v="106"/>
    <x v="2"/>
  </r>
  <r>
    <x v="0"/>
    <x v="9"/>
    <x v="0"/>
    <x v="2"/>
    <x v="0"/>
    <x v="1"/>
    <x v="0"/>
    <x v="6"/>
    <x v="107"/>
    <x v="2"/>
  </r>
  <r>
    <x v="0"/>
    <x v="1"/>
    <x v="0"/>
    <x v="2"/>
    <x v="0"/>
    <x v="1"/>
    <x v="1"/>
    <x v="6"/>
    <x v="108"/>
    <x v="2"/>
  </r>
  <r>
    <x v="0"/>
    <x v="7"/>
    <x v="0"/>
    <x v="2"/>
    <x v="0"/>
    <x v="1"/>
    <x v="1"/>
    <x v="6"/>
    <x v="108"/>
    <x v="2"/>
  </r>
  <r>
    <x v="0"/>
    <x v="6"/>
    <x v="0"/>
    <x v="2"/>
    <x v="0"/>
    <x v="0"/>
    <x v="1"/>
    <x v="6"/>
    <x v="108"/>
    <x v="2"/>
  </r>
  <r>
    <x v="0"/>
    <x v="14"/>
    <x v="0"/>
    <x v="2"/>
    <x v="0"/>
    <x v="2"/>
    <x v="2"/>
    <x v="6"/>
    <x v="109"/>
    <x v="2"/>
  </r>
  <r>
    <x v="0"/>
    <x v="5"/>
    <x v="0"/>
    <x v="2"/>
    <x v="0"/>
    <x v="0"/>
    <x v="5"/>
    <x v="6"/>
    <x v="110"/>
    <x v="2"/>
  </r>
  <r>
    <x v="0"/>
    <x v="15"/>
    <x v="0"/>
    <x v="2"/>
    <x v="0"/>
    <x v="2"/>
    <x v="6"/>
    <x v="6"/>
    <x v="111"/>
    <x v="2"/>
  </r>
  <r>
    <x v="0"/>
    <x v="15"/>
    <x v="0"/>
    <x v="2"/>
    <x v="0"/>
    <x v="2"/>
    <x v="4"/>
    <x v="6"/>
    <x v="112"/>
    <x v="2"/>
  </r>
  <r>
    <x v="0"/>
    <x v="0"/>
    <x v="0"/>
    <x v="2"/>
    <x v="0"/>
    <x v="0"/>
    <x v="2"/>
    <x v="6"/>
    <x v="113"/>
    <x v="2"/>
  </r>
  <r>
    <x v="0"/>
    <x v="4"/>
    <x v="0"/>
    <x v="2"/>
    <x v="0"/>
    <x v="0"/>
    <x v="4"/>
    <x v="6"/>
    <x v="114"/>
    <x v="2"/>
  </r>
  <r>
    <x v="0"/>
    <x v="14"/>
    <x v="0"/>
    <x v="2"/>
    <x v="0"/>
    <x v="2"/>
    <x v="0"/>
    <x v="6"/>
    <x v="115"/>
    <x v="2"/>
  </r>
  <r>
    <x v="0"/>
    <x v="14"/>
    <x v="0"/>
    <x v="2"/>
    <x v="0"/>
    <x v="2"/>
    <x v="1"/>
    <x v="6"/>
    <x v="116"/>
    <x v="2"/>
  </r>
  <r>
    <x v="0"/>
    <x v="14"/>
    <x v="0"/>
    <x v="2"/>
    <x v="0"/>
    <x v="2"/>
    <x v="1"/>
    <x v="6"/>
    <x v="116"/>
    <x v="2"/>
  </r>
  <r>
    <x v="0"/>
    <x v="11"/>
    <x v="0"/>
    <x v="2"/>
    <x v="0"/>
    <x v="2"/>
    <x v="1"/>
    <x v="6"/>
    <x v="116"/>
    <x v="2"/>
  </r>
  <r>
    <x v="0"/>
    <x v="11"/>
    <x v="0"/>
    <x v="2"/>
    <x v="0"/>
    <x v="2"/>
    <x v="1"/>
    <x v="6"/>
    <x v="116"/>
    <x v="2"/>
  </r>
  <r>
    <x v="0"/>
    <x v="9"/>
    <x v="0"/>
    <x v="2"/>
    <x v="0"/>
    <x v="1"/>
    <x v="2"/>
    <x v="6"/>
    <x v="117"/>
    <x v="2"/>
  </r>
  <r>
    <x v="0"/>
    <x v="7"/>
    <x v="0"/>
    <x v="2"/>
    <x v="0"/>
    <x v="1"/>
    <x v="2"/>
    <x v="6"/>
    <x v="117"/>
    <x v="2"/>
  </r>
  <r>
    <x v="0"/>
    <x v="11"/>
    <x v="0"/>
    <x v="2"/>
    <x v="0"/>
    <x v="2"/>
    <x v="2"/>
    <x v="6"/>
    <x v="117"/>
    <x v="2"/>
  </r>
  <r>
    <x v="0"/>
    <x v="4"/>
    <x v="0"/>
    <x v="2"/>
    <x v="0"/>
    <x v="0"/>
    <x v="5"/>
    <x v="6"/>
    <x v="118"/>
    <x v="2"/>
  </r>
  <r>
    <x v="0"/>
    <x v="8"/>
    <x v="0"/>
    <x v="2"/>
    <x v="0"/>
    <x v="2"/>
    <x v="5"/>
    <x v="6"/>
    <x v="118"/>
    <x v="2"/>
  </r>
  <r>
    <x v="0"/>
    <x v="8"/>
    <x v="0"/>
    <x v="2"/>
    <x v="0"/>
    <x v="2"/>
    <x v="6"/>
    <x v="6"/>
    <x v="119"/>
    <x v="2"/>
  </r>
  <r>
    <x v="0"/>
    <x v="8"/>
    <x v="0"/>
    <x v="2"/>
    <x v="0"/>
    <x v="2"/>
    <x v="6"/>
    <x v="6"/>
    <x v="119"/>
    <x v="2"/>
  </r>
  <r>
    <x v="0"/>
    <x v="15"/>
    <x v="0"/>
    <x v="2"/>
    <x v="0"/>
    <x v="2"/>
    <x v="3"/>
    <x v="6"/>
    <x v="120"/>
    <x v="2"/>
  </r>
  <r>
    <x v="0"/>
    <x v="0"/>
    <x v="0"/>
    <x v="2"/>
    <x v="0"/>
    <x v="0"/>
    <x v="0"/>
    <x v="6"/>
    <x v="121"/>
    <x v="2"/>
  </r>
  <r>
    <x v="0"/>
    <x v="1"/>
    <x v="0"/>
    <x v="3"/>
    <x v="0"/>
    <x v="1"/>
    <x v="2"/>
    <x v="6"/>
    <x v="122"/>
    <x v="3"/>
  </r>
  <r>
    <x v="0"/>
    <x v="2"/>
    <x v="0"/>
    <x v="3"/>
    <x v="0"/>
    <x v="0"/>
    <x v="6"/>
    <x v="7"/>
    <x v="123"/>
    <x v="3"/>
  </r>
  <r>
    <x v="0"/>
    <x v="6"/>
    <x v="0"/>
    <x v="3"/>
    <x v="0"/>
    <x v="0"/>
    <x v="6"/>
    <x v="7"/>
    <x v="123"/>
    <x v="3"/>
  </r>
  <r>
    <x v="0"/>
    <x v="9"/>
    <x v="0"/>
    <x v="3"/>
    <x v="0"/>
    <x v="1"/>
    <x v="0"/>
    <x v="7"/>
    <x v="124"/>
    <x v="3"/>
  </r>
  <r>
    <x v="0"/>
    <x v="9"/>
    <x v="0"/>
    <x v="3"/>
    <x v="0"/>
    <x v="1"/>
    <x v="0"/>
    <x v="7"/>
    <x v="124"/>
    <x v="3"/>
  </r>
  <r>
    <x v="0"/>
    <x v="10"/>
    <x v="0"/>
    <x v="3"/>
    <x v="0"/>
    <x v="1"/>
    <x v="0"/>
    <x v="7"/>
    <x v="124"/>
    <x v="3"/>
  </r>
  <r>
    <x v="0"/>
    <x v="14"/>
    <x v="0"/>
    <x v="3"/>
    <x v="0"/>
    <x v="2"/>
    <x v="1"/>
    <x v="7"/>
    <x v="125"/>
    <x v="3"/>
  </r>
  <r>
    <x v="0"/>
    <x v="14"/>
    <x v="0"/>
    <x v="3"/>
    <x v="0"/>
    <x v="2"/>
    <x v="1"/>
    <x v="7"/>
    <x v="125"/>
    <x v="3"/>
  </r>
  <r>
    <x v="0"/>
    <x v="0"/>
    <x v="0"/>
    <x v="3"/>
    <x v="0"/>
    <x v="0"/>
    <x v="2"/>
    <x v="7"/>
    <x v="126"/>
    <x v="3"/>
  </r>
  <r>
    <x v="0"/>
    <x v="2"/>
    <x v="0"/>
    <x v="3"/>
    <x v="0"/>
    <x v="0"/>
    <x v="5"/>
    <x v="7"/>
    <x v="127"/>
    <x v="3"/>
  </r>
  <r>
    <x v="0"/>
    <x v="2"/>
    <x v="0"/>
    <x v="3"/>
    <x v="0"/>
    <x v="0"/>
    <x v="5"/>
    <x v="7"/>
    <x v="127"/>
    <x v="3"/>
  </r>
  <r>
    <x v="0"/>
    <x v="1"/>
    <x v="0"/>
    <x v="3"/>
    <x v="0"/>
    <x v="1"/>
    <x v="6"/>
    <x v="7"/>
    <x v="128"/>
    <x v="3"/>
  </r>
  <r>
    <x v="0"/>
    <x v="4"/>
    <x v="0"/>
    <x v="3"/>
    <x v="0"/>
    <x v="0"/>
    <x v="6"/>
    <x v="7"/>
    <x v="128"/>
    <x v="3"/>
  </r>
  <r>
    <x v="0"/>
    <x v="4"/>
    <x v="0"/>
    <x v="3"/>
    <x v="0"/>
    <x v="0"/>
    <x v="6"/>
    <x v="7"/>
    <x v="128"/>
    <x v="3"/>
  </r>
  <r>
    <x v="0"/>
    <x v="5"/>
    <x v="0"/>
    <x v="3"/>
    <x v="0"/>
    <x v="0"/>
    <x v="6"/>
    <x v="7"/>
    <x v="128"/>
    <x v="3"/>
  </r>
  <r>
    <x v="0"/>
    <x v="7"/>
    <x v="0"/>
    <x v="3"/>
    <x v="0"/>
    <x v="1"/>
    <x v="3"/>
    <x v="7"/>
    <x v="129"/>
    <x v="3"/>
  </r>
  <r>
    <x v="0"/>
    <x v="3"/>
    <x v="0"/>
    <x v="3"/>
    <x v="0"/>
    <x v="2"/>
    <x v="3"/>
    <x v="7"/>
    <x v="129"/>
    <x v="3"/>
  </r>
  <r>
    <x v="0"/>
    <x v="9"/>
    <x v="0"/>
    <x v="3"/>
    <x v="0"/>
    <x v="1"/>
    <x v="4"/>
    <x v="7"/>
    <x v="130"/>
    <x v="3"/>
  </r>
  <r>
    <x v="0"/>
    <x v="8"/>
    <x v="0"/>
    <x v="3"/>
    <x v="0"/>
    <x v="2"/>
    <x v="4"/>
    <x v="7"/>
    <x v="130"/>
    <x v="3"/>
  </r>
  <r>
    <x v="0"/>
    <x v="1"/>
    <x v="0"/>
    <x v="3"/>
    <x v="0"/>
    <x v="1"/>
    <x v="0"/>
    <x v="7"/>
    <x v="131"/>
    <x v="3"/>
  </r>
  <r>
    <x v="0"/>
    <x v="1"/>
    <x v="0"/>
    <x v="3"/>
    <x v="0"/>
    <x v="1"/>
    <x v="0"/>
    <x v="7"/>
    <x v="131"/>
    <x v="3"/>
  </r>
  <r>
    <x v="0"/>
    <x v="0"/>
    <x v="0"/>
    <x v="3"/>
    <x v="0"/>
    <x v="0"/>
    <x v="0"/>
    <x v="7"/>
    <x v="131"/>
    <x v="3"/>
  </r>
  <r>
    <x v="0"/>
    <x v="0"/>
    <x v="0"/>
    <x v="3"/>
    <x v="0"/>
    <x v="0"/>
    <x v="0"/>
    <x v="7"/>
    <x v="131"/>
    <x v="3"/>
  </r>
  <r>
    <x v="0"/>
    <x v="2"/>
    <x v="0"/>
    <x v="3"/>
    <x v="0"/>
    <x v="0"/>
    <x v="0"/>
    <x v="7"/>
    <x v="131"/>
    <x v="3"/>
  </r>
  <r>
    <x v="0"/>
    <x v="7"/>
    <x v="0"/>
    <x v="3"/>
    <x v="0"/>
    <x v="1"/>
    <x v="5"/>
    <x v="7"/>
    <x v="132"/>
    <x v="3"/>
  </r>
  <r>
    <x v="0"/>
    <x v="7"/>
    <x v="0"/>
    <x v="3"/>
    <x v="0"/>
    <x v="1"/>
    <x v="5"/>
    <x v="7"/>
    <x v="132"/>
    <x v="3"/>
  </r>
  <r>
    <x v="0"/>
    <x v="6"/>
    <x v="0"/>
    <x v="3"/>
    <x v="0"/>
    <x v="0"/>
    <x v="5"/>
    <x v="7"/>
    <x v="132"/>
    <x v="3"/>
  </r>
  <r>
    <x v="0"/>
    <x v="5"/>
    <x v="0"/>
    <x v="3"/>
    <x v="0"/>
    <x v="0"/>
    <x v="6"/>
    <x v="7"/>
    <x v="133"/>
    <x v="3"/>
  </r>
  <r>
    <x v="0"/>
    <x v="13"/>
    <x v="0"/>
    <x v="3"/>
    <x v="0"/>
    <x v="2"/>
    <x v="6"/>
    <x v="7"/>
    <x v="133"/>
    <x v="3"/>
  </r>
  <r>
    <x v="0"/>
    <x v="7"/>
    <x v="0"/>
    <x v="3"/>
    <x v="0"/>
    <x v="1"/>
    <x v="3"/>
    <x v="7"/>
    <x v="134"/>
    <x v="3"/>
  </r>
  <r>
    <x v="0"/>
    <x v="0"/>
    <x v="0"/>
    <x v="3"/>
    <x v="0"/>
    <x v="0"/>
    <x v="3"/>
    <x v="7"/>
    <x v="134"/>
    <x v="3"/>
  </r>
  <r>
    <x v="0"/>
    <x v="2"/>
    <x v="0"/>
    <x v="3"/>
    <x v="0"/>
    <x v="0"/>
    <x v="4"/>
    <x v="7"/>
    <x v="135"/>
    <x v="3"/>
  </r>
  <r>
    <x v="0"/>
    <x v="5"/>
    <x v="0"/>
    <x v="3"/>
    <x v="0"/>
    <x v="0"/>
    <x v="0"/>
    <x v="7"/>
    <x v="136"/>
    <x v="3"/>
  </r>
  <r>
    <x v="0"/>
    <x v="1"/>
    <x v="0"/>
    <x v="3"/>
    <x v="0"/>
    <x v="1"/>
    <x v="5"/>
    <x v="7"/>
    <x v="137"/>
    <x v="3"/>
  </r>
  <r>
    <x v="0"/>
    <x v="8"/>
    <x v="0"/>
    <x v="3"/>
    <x v="0"/>
    <x v="2"/>
    <x v="6"/>
    <x v="7"/>
    <x v="138"/>
    <x v="3"/>
  </r>
  <r>
    <x v="0"/>
    <x v="4"/>
    <x v="0"/>
    <x v="3"/>
    <x v="0"/>
    <x v="0"/>
    <x v="4"/>
    <x v="7"/>
    <x v="139"/>
    <x v="3"/>
  </r>
  <r>
    <x v="0"/>
    <x v="8"/>
    <x v="0"/>
    <x v="3"/>
    <x v="0"/>
    <x v="2"/>
    <x v="4"/>
    <x v="7"/>
    <x v="139"/>
    <x v="3"/>
  </r>
  <r>
    <x v="0"/>
    <x v="8"/>
    <x v="0"/>
    <x v="3"/>
    <x v="0"/>
    <x v="2"/>
    <x v="4"/>
    <x v="7"/>
    <x v="139"/>
    <x v="3"/>
  </r>
  <r>
    <x v="0"/>
    <x v="14"/>
    <x v="0"/>
    <x v="3"/>
    <x v="0"/>
    <x v="2"/>
    <x v="4"/>
    <x v="7"/>
    <x v="139"/>
    <x v="3"/>
  </r>
  <r>
    <x v="0"/>
    <x v="1"/>
    <x v="0"/>
    <x v="3"/>
    <x v="0"/>
    <x v="1"/>
    <x v="0"/>
    <x v="7"/>
    <x v="140"/>
    <x v="3"/>
  </r>
  <r>
    <x v="0"/>
    <x v="1"/>
    <x v="0"/>
    <x v="3"/>
    <x v="0"/>
    <x v="1"/>
    <x v="0"/>
    <x v="7"/>
    <x v="140"/>
    <x v="3"/>
  </r>
  <r>
    <x v="0"/>
    <x v="1"/>
    <x v="0"/>
    <x v="3"/>
    <x v="0"/>
    <x v="1"/>
    <x v="1"/>
    <x v="7"/>
    <x v="141"/>
    <x v="3"/>
  </r>
  <r>
    <x v="0"/>
    <x v="9"/>
    <x v="0"/>
    <x v="3"/>
    <x v="0"/>
    <x v="1"/>
    <x v="5"/>
    <x v="7"/>
    <x v="142"/>
    <x v="3"/>
  </r>
  <r>
    <x v="0"/>
    <x v="4"/>
    <x v="0"/>
    <x v="3"/>
    <x v="0"/>
    <x v="0"/>
    <x v="3"/>
    <x v="7"/>
    <x v="143"/>
    <x v="3"/>
  </r>
  <r>
    <x v="0"/>
    <x v="4"/>
    <x v="0"/>
    <x v="3"/>
    <x v="0"/>
    <x v="0"/>
    <x v="3"/>
    <x v="7"/>
    <x v="143"/>
    <x v="3"/>
  </r>
  <r>
    <x v="0"/>
    <x v="9"/>
    <x v="0"/>
    <x v="3"/>
    <x v="0"/>
    <x v="1"/>
    <x v="0"/>
    <x v="8"/>
    <x v="144"/>
    <x v="3"/>
  </r>
  <r>
    <x v="0"/>
    <x v="8"/>
    <x v="0"/>
    <x v="3"/>
    <x v="0"/>
    <x v="2"/>
    <x v="1"/>
    <x v="8"/>
    <x v="145"/>
    <x v="3"/>
  </r>
  <r>
    <x v="0"/>
    <x v="0"/>
    <x v="0"/>
    <x v="3"/>
    <x v="0"/>
    <x v="0"/>
    <x v="2"/>
    <x v="8"/>
    <x v="146"/>
    <x v="3"/>
  </r>
  <r>
    <x v="0"/>
    <x v="6"/>
    <x v="0"/>
    <x v="3"/>
    <x v="0"/>
    <x v="0"/>
    <x v="2"/>
    <x v="8"/>
    <x v="146"/>
    <x v="3"/>
  </r>
  <r>
    <x v="0"/>
    <x v="6"/>
    <x v="0"/>
    <x v="3"/>
    <x v="0"/>
    <x v="0"/>
    <x v="2"/>
    <x v="8"/>
    <x v="146"/>
    <x v="3"/>
  </r>
  <r>
    <x v="0"/>
    <x v="4"/>
    <x v="0"/>
    <x v="3"/>
    <x v="0"/>
    <x v="0"/>
    <x v="5"/>
    <x v="8"/>
    <x v="147"/>
    <x v="3"/>
  </r>
  <r>
    <x v="0"/>
    <x v="0"/>
    <x v="0"/>
    <x v="3"/>
    <x v="0"/>
    <x v="0"/>
    <x v="3"/>
    <x v="8"/>
    <x v="148"/>
    <x v="3"/>
  </r>
  <r>
    <x v="0"/>
    <x v="5"/>
    <x v="0"/>
    <x v="3"/>
    <x v="0"/>
    <x v="0"/>
    <x v="4"/>
    <x v="8"/>
    <x v="149"/>
    <x v="3"/>
  </r>
  <r>
    <x v="0"/>
    <x v="6"/>
    <x v="0"/>
    <x v="3"/>
    <x v="0"/>
    <x v="0"/>
    <x v="4"/>
    <x v="8"/>
    <x v="149"/>
    <x v="3"/>
  </r>
  <r>
    <x v="0"/>
    <x v="10"/>
    <x v="0"/>
    <x v="3"/>
    <x v="0"/>
    <x v="1"/>
    <x v="0"/>
    <x v="8"/>
    <x v="150"/>
    <x v="3"/>
  </r>
  <r>
    <x v="0"/>
    <x v="10"/>
    <x v="0"/>
    <x v="3"/>
    <x v="0"/>
    <x v="1"/>
    <x v="0"/>
    <x v="8"/>
    <x v="150"/>
    <x v="3"/>
  </r>
  <r>
    <x v="0"/>
    <x v="2"/>
    <x v="0"/>
    <x v="3"/>
    <x v="0"/>
    <x v="0"/>
    <x v="1"/>
    <x v="8"/>
    <x v="151"/>
    <x v="3"/>
  </r>
  <r>
    <x v="0"/>
    <x v="14"/>
    <x v="0"/>
    <x v="3"/>
    <x v="0"/>
    <x v="2"/>
    <x v="1"/>
    <x v="8"/>
    <x v="151"/>
    <x v="3"/>
  </r>
  <r>
    <x v="0"/>
    <x v="11"/>
    <x v="0"/>
    <x v="3"/>
    <x v="0"/>
    <x v="2"/>
    <x v="1"/>
    <x v="8"/>
    <x v="151"/>
    <x v="3"/>
  </r>
  <r>
    <x v="0"/>
    <x v="11"/>
    <x v="0"/>
    <x v="3"/>
    <x v="0"/>
    <x v="2"/>
    <x v="1"/>
    <x v="8"/>
    <x v="151"/>
    <x v="3"/>
  </r>
  <r>
    <x v="0"/>
    <x v="10"/>
    <x v="0"/>
    <x v="3"/>
    <x v="0"/>
    <x v="1"/>
    <x v="2"/>
    <x v="8"/>
    <x v="152"/>
    <x v="3"/>
  </r>
  <r>
    <x v="0"/>
    <x v="1"/>
    <x v="0"/>
    <x v="3"/>
    <x v="0"/>
    <x v="1"/>
    <x v="4"/>
    <x v="8"/>
    <x v="153"/>
    <x v="3"/>
  </r>
  <r>
    <x v="0"/>
    <x v="5"/>
    <x v="0"/>
    <x v="3"/>
    <x v="0"/>
    <x v="0"/>
    <x v="0"/>
    <x v="8"/>
    <x v="154"/>
    <x v="3"/>
  </r>
  <r>
    <x v="0"/>
    <x v="7"/>
    <x v="0"/>
    <x v="3"/>
    <x v="0"/>
    <x v="1"/>
    <x v="1"/>
    <x v="8"/>
    <x v="155"/>
    <x v="3"/>
  </r>
  <r>
    <x v="0"/>
    <x v="2"/>
    <x v="0"/>
    <x v="3"/>
    <x v="0"/>
    <x v="0"/>
    <x v="2"/>
    <x v="8"/>
    <x v="156"/>
    <x v="3"/>
  </r>
  <r>
    <x v="0"/>
    <x v="7"/>
    <x v="0"/>
    <x v="3"/>
    <x v="0"/>
    <x v="1"/>
    <x v="1"/>
    <x v="8"/>
    <x v="157"/>
    <x v="3"/>
  </r>
  <r>
    <x v="0"/>
    <x v="7"/>
    <x v="0"/>
    <x v="3"/>
    <x v="0"/>
    <x v="1"/>
    <x v="1"/>
    <x v="8"/>
    <x v="157"/>
    <x v="3"/>
  </r>
  <r>
    <x v="0"/>
    <x v="7"/>
    <x v="0"/>
    <x v="3"/>
    <x v="0"/>
    <x v="1"/>
    <x v="6"/>
    <x v="8"/>
    <x v="158"/>
    <x v="3"/>
  </r>
  <r>
    <x v="0"/>
    <x v="3"/>
    <x v="0"/>
    <x v="3"/>
    <x v="0"/>
    <x v="2"/>
    <x v="6"/>
    <x v="8"/>
    <x v="158"/>
    <x v="3"/>
  </r>
  <r>
    <x v="0"/>
    <x v="2"/>
    <x v="0"/>
    <x v="3"/>
    <x v="0"/>
    <x v="0"/>
    <x v="1"/>
    <x v="8"/>
    <x v="159"/>
    <x v="3"/>
  </r>
  <r>
    <x v="0"/>
    <x v="12"/>
    <x v="0"/>
    <x v="3"/>
    <x v="0"/>
    <x v="1"/>
    <x v="5"/>
    <x v="9"/>
    <x v="160"/>
    <x v="3"/>
  </r>
  <r>
    <x v="0"/>
    <x v="3"/>
    <x v="0"/>
    <x v="3"/>
    <x v="0"/>
    <x v="2"/>
    <x v="5"/>
    <x v="9"/>
    <x v="160"/>
    <x v="3"/>
  </r>
  <r>
    <x v="0"/>
    <x v="7"/>
    <x v="0"/>
    <x v="3"/>
    <x v="0"/>
    <x v="1"/>
    <x v="6"/>
    <x v="9"/>
    <x v="161"/>
    <x v="3"/>
  </r>
  <r>
    <x v="0"/>
    <x v="10"/>
    <x v="0"/>
    <x v="3"/>
    <x v="0"/>
    <x v="1"/>
    <x v="3"/>
    <x v="9"/>
    <x v="162"/>
    <x v="3"/>
  </r>
  <r>
    <x v="0"/>
    <x v="9"/>
    <x v="0"/>
    <x v="3"/>
    <x v="0"/>
    <x v="1"/>
    <x v="4"/>
    <x v="9"/>
    <x v="163"/>
    <x v="3"/>
  </r>
  <r>
    <x v="0"/>
    <x v="7"/>
    <x v="0"/>
    <x v="3"/>
    <x v="0"/>
    <x v="1"/>
    <x v="4"/>
    <x v="9"/>
    <x v="163"/>
    <x v="3"/>
  </r>
  <r>
    <x v="0"/>
    <x v="2"/>
    <x v="0"/>
    <x v="3"/>
    <x v="0"/>
    <x v="0"/>
    <x v="1"/>
    <x v="9"/>
    <x v="164"/>
    <x v="3"/>
  </r>
  <r>
    <x v="0"/>
    <x v="11"/>
    <x v="0"/>
    <x v="3"/>
    <x v="0"/>
    <x v="2"/>
    <x v="1"/>
    <x v="9"/>
    <x v="164"/>
    <x v="3"/>
  </r>
  <r>
    <x v="0"/>
    <x v="10"/>
    <x v="0"/>
    <x v="3"/>
    <x v="0"/>
    <x v="1"/>
    <x v="5"/>
    <x v="9"/>
    <x v="165"/>
    <x v="3"/>
  </r>
  <r>
    <x v="0"/>
    <x v="4"/>
    <x v="0"/>
    <x v="3"/>
    <x v="0"/>
    <x v="0"/>
    <x v="4"/>
    <x v="9"/>
    <x v="166"/>
    <x v="3"/>
  </r>
  <r>
    <x v="0"/>
    <x v="6"/>
    <x v="0"/>
    <x v="3"/>
    <x v="0"/>
    <x v="0"/>
    <x v="4"/>
    <x v="9"/>
    <x v="166"/>
    <x v="3"/>
  </r>
  <r>
    <x v="0"/>
    <x v="4"/>
    <x v="0"/>
    <x v="3"/>
    <x v="0"/>
    <x v="0"/>
    <x v="0"/>
    <x v="9"/>
    <x v="167"/>
    <x v="3"/>
  </r>
  <r>
    <x v="0"/>
    <x v="4"/>
    <x v="0"/>
    <x v="3"/>
    <x v="0"/>
    <x v="0"/>
    <x v="0"/>
    <x v="9"/>
    <x v="167"/>
    <x v="3"/>
  </r>
  <r>
    <x v="0"/>
    <x v="0"/>
    <x v="0"/>
    <x v="3"/>
    <x v="0"/>
    <x v="0"/>
    <x v="1"/>
    <x v="9"/>
    <x v="168"/>
    <x v="3"/>
  </r>
  <r>
    <x v="0"/>
    <x v="6"/>
    <x v="0"/>
    <x v="3"/>
    <x v="0"/>
    <x v="0"/>
    <x v="1"/>
    <x v="9"/>
    <x v="168"/>
    <x v="3"/>
  </r>
  <r>
    <x v="0"/>
    <x v="6"/>
    <x v="0"/>
    <x v="3"/>
    <x v="0"/>
    <x v="0"/>
    <x v="1"/>
    <x v="9"/>
    <x v="168"/>
    <x v="3"/>
  </r>
  <r>
    <x v="0"/>
    <x v="3"/>
    <x v="0"/>
    <x v="3"/>
    <x v="0"/>
    <x v="2"/>
    <x v="1"/>
    <x v="9"/>
    <x v="168"/>
    <x v="3"/>
  </r>
  <r>
    <x v="0"/>
    <x v="3"/>
    <x v="0"/>
    <x v="3"/>
    <x v="0"/>
    <x v="2"/>
    <x v="1"/>
    <x v="9"/>
    <x v="168"/>
    <x v="3"/>
  </r>
  <r>
    <x v="0"/>
    <x v="6"/>
    <x v="0"/>
    <x v="3"/>
    <x v="0"/>
    <x v="0"/>
    <x v="6"/>
    <x v="9"/>
    <x v="169"/>
    <x v="3"/>
  </r>
  <r>
    <x v="0"/>
    <x v="1"/>
    <x v="0"/>
    <x v="3"/>
    <x v="0"/>
    <x v="1"/>
    <x v="1"/>
    <x v="9"/>
    <x v="170"/>
    <x v="3"/>
  </r>
  <r>
    <x v="0"/>
    <x v="4"/>
    <x v="0"/>
    <x v="3"/>
    <x v="0"/>
    <x v="0"/>
    <x v="3"/>
    <x v="9"/>
    <x v="171"/>
    <x v="3"/>
  </r>
  <r>
    <x v="0"/>
    <x v="0"/>
    <x v="0"/>
    <x v="3"/>
    <x v="0"/>
    <x v="0"/>
    <x v="3"/>
    <x v="9"/>
    <x v="171"/>
    <x v="3"/>
  </r>
  <r>
    <x v="0"/>
    <x v="12"/>
    <x v="0"/>
    <x v="3"/>
    <x v="0"/>
    <x v="1"/>
    <x v="0"/>
    <x v="9"/>
    <x v="172"/>
    <x v="3"/>
  </r>
  <r>
    <x v="0"/>
    <x v="13"/>
    <x v="0"/>
    <x v="3"/>
    <x v="0"/>
    <x v="2"/>
    <x v="0"/>
    <x v="9"/>
    <x v="172"/>
    <x v="3"/>
  </r>
  <r>
    <x v="0"/>
    <x v="5"/>
    <x v="0"/>
    <x v="3"/>
    <x v="0"/>
    <x v="0"/>
    <x v="2"/>
    <x v="9"/>
    <x v="173"/>
    <x v="3"/>
  </r>
  <r>
    <x v="0"/>
    <x v="6"/>
    <x v="0"/>
    <x v="3"/>
    <x v="0"/>
    <x v="0"/>
    <x v="5"/>
    <x v="9"/>
    <x v="174"/>
    <x v="3"/>
  </r>
  <r>
    <x v="0"/>
    <x v="5"/>
    <x v="0"/>
    <x v="3"/>
    <x v="0"/>
    <x v="0"/>
    <x v="6"/>
    <x v="9"/>
    <x v="175"/>
    <x v="3"/>
  </r>
  <r>
    <x v="0"/>
    <x v="6"/>
    <x v="0"/>
    <x v="3"/>
    <x v="0"/>
    <x v="0"/>
    <x v="4"/>
    <x v="10"/>
    <x v="176"/>
    <x v="3"/>
  </r>
  <r>
    <x v="0"/>
    <x v="11"/>
    <x v="0"/>
    <x v="3"/>
    <x v="0"/>
    <x v="2"/>
    <x v="0"/>
    <x v="10"/>
    <x v="177"/>
    <x v="3"/>
  </r>
  <r>
    <x v="0"/>
    <x v="11"/>
    <x v="0"/>
    <x v="3"/>
    <x v="0"/>
    <x v="2"/>
    <x v="0"/>
    <x v="10"/>
    <x v="177"/>
    <x v="3"/>
  </r>
  <r>
    <x v="0"/>
    <x v="10"/>
    <x v="0"/>
    <x v="3"/>
    <x v="0"/>
    <x v="1"/>
    <x v="1"/>
    <x v="10"/>
    <x v="178"/>
    <x v="3"/>
  </r>
  <r>
    <x v="0"/>
    <x v="8"/>
    <x v="0"/>
    <x v="3"/>
    <x v="0"/>
    <x v="2"/>
    <x v="1"/>
    <x v="10"/>
    <x v="178"/>
    <x v="3"/>
  </r>
  <r>
    <x v="0"/>
    <x v="13"/>
    <x v="0"/>
    <x v="3"/>
    <x v="0"/>
    <x v="2"/>
    <x v="5"/>
    <x v="10"/>
    <x v="179"/>
    <x v="3"/>
  </r>
  <r>
    <x v="0"/>
    <x v="9"/>
    <x v="0"/>
    <x v="3"/>
    <x v="0"/>
    <x v="1"/>
    <x v="4"/>
    <x v="10"/>
    <x v="180"/>
    <x v="3"/>
  </r>
  <r>
    <x v="0"/>
    <x v="7"/>
    <x v="0"/>
    <x v="3"/>
    <x v="0"/>
    <x v="1"/>
    <x v="1"/>
    <x v="10"/>
    <x v="181"/>
    <x v="3"/>
  </r>
  <r>
    <x v="0"/>
    <x v="7"/>
    <x v="0"/>
    <x v="3"/>
    <x v="0"/>
    <x v="1"/>
    <x v="2"/>
    <x v="10"/>
    <x v="182"/>
    <x v="3"/>
  </r>
  <r>
    <x v="0"/>
    <x v="7"/>
    <x v="0"/>
    <x v="3"/>
    <x v="0"/>
    <x v="1"/>
    <x v="3"/>
    <x v="10"/>
    <x v="183"/>
    <x v="3"/>
  </r>
  <r>
    <x v="0"/>
    <x v="4"/>
    <x v="0"/>
    <x v="3"/>
    <x v="0"/>
    <x v="0"/>
    <x v="5"/>
    <x v="10"/>
    <x v="184"/>
    <x v="3"/>
  </r>
  <r>
    <x v="0"/>
    <x v="5"/>
    <x v="0"/>
    <x v="3"/>
    <x v="0"/>
    <x v="0"/>
    <x v="6"/>
    <x v="10"/>
    <x v="185"/>
    <x v="3"/>
  </r>
  <r>
    <x v="0"/>
    <x v="13"/>
    <x v="0"/>
    <x v="3"/>
    <x v="0"/>
    <x v="2"/>
    <x v="6"/>
    <x v="10"/>
    <x v="185"/>
    <x v="3"/>
  </r>
  <r>
    <x v="0"/>
    <x v="3"/>
    <x v="0"/>
    <x v="3"/>
    <x v="0"/>
    <x v="2"/>
    <x v="0"/>
    <x v="10"/>
    <x v="186"/>
    <x v="3"/>
  </r>
  <r>
    <x v="0"/>
    <x v="2"/>
    <x v="0"/>
    <x v="3"/>
    <x v="0"/>
    <x v="0"/>
    <x v="1"/>
    <x v="10"/>
    <x v="187"/>
    <x v="3"/>
  </r>
  <r>
    <x v="0"/>
    <x v="4"/>
    <x v="0"/>
    <x v="3"/>
    <x v="0"/>
    <x v="0"/>
    <x v="2"/>
    <x v="10"/>
    <x v="188"/>
    <x v="3"/>
  </r>
  <r>
    <x v="0"/>
    <x v="9"/>
    <x v="0"/>
    <x v="3"/>
    <x v="0"/>
    <x v="1"/>
    <x v="5"/>
    <x v="10"/>
    <x v="189"/>
    <x v="3"/>
  </r>
  <r>
    <x v="0"/>
    <x v="10"/>
    <x v="0"/>
    <x v="3"/>
    <x v="0"/>
    <x v="1"/>
    <x v="6"/>
    <x v="10"/>
    <x v="190"/>
    <x v="3"/>
  </r>
  <r>
    <x v="0"/>
    <x v="4"/>
    <x v="0"/>
    <x v="3"/>
    <x v="0"/>
    <x v="0"/>
    <x v="6"/>
    <x v="10"/>
    <x v="190"/>
    <x v="3"/>
  </r>
  <r>
    <x v="0"/>
    <x v="3"/>
    <x v="0"/>
    <x v="3"/>
    <x v="0"/>
    <x v="2"/>
    <x v="6"/>
    <x v="10"/>
    <x v="190"/>
    <x v="3"/>
  </r>
  <r>
    <x v="0"/>
    <x v="10"/>
    <x v="0"/>
    <x v="3"/>
    <x v="0"/>
    <x v="1"/>
    <x v="3"/>
    <x v="10"/>
    <x v="191"/>
    <x v="3"/>
  </r>
  <r>
    <x v="0"/>
    <x v="6"/>
    <x v="0"/>
    <x v="3"/>
    <x v="0"/>
    <x v="0"/>
    <x v="3"/>
    <x v="10"/>
    <x v="191"/>
    <x v="3"/>
  </r>
  <r>
    <x v="0"/>
    <x v="0"/>
    <x v="0"/>
    <x v="3"/>
    <x v="0"/>
    <x v="0"/>
    <x v="4"/>
    <x v="10"/>
    <x v="192"/>
    <x v="3"/>
  </r>
  <r>
    <x v="0"/>
    <x v="9"/>
    <x v="0"/>
    <x v="3"/>
    <x v="0"/>
    <x v="1"/>
    <x v="0"/>
    <x v="10"/>
    <x v="193"/>
    <x v="3"/>
  </r>
  <r>
    <x v="0"/>
    <x v="11"/>
    <x v="0"/>
    <x v="3"/>
    <x v="0"/>
    <x v="2"/>
    <x v="0"/>
    <x v="10"/>
    <x v="193"/>
    <x v="3"/>
  </r>
  <r>
    <x v="0"/>
    <x v="1"/>
    <x v="0"/>
    <x v="3"/>
    <x v="0"/>
    <x v="1"/>
    <x v="5"/>
    <x v="11"/>
    <x v="194"/>
    <x v="3"/>
  </r>
  <r>
    <x v="0"/>
    <x v="0"/>
    <x v="0"/>
    <x v="3"/>
    <x v="0"/>
    <x v="0"/>
    <x v="5"/>
    <x v="11"/>
    <x v="194"/>
    <x v="3"/>
  </r>
  <r>
    <x v="0"/>
    <x v="2"/>
    <x v="0"/>
    <x v="3"/>
    <x v="0"/>
    <x v="0"/>
    <x v="5"/>
    <x v="11"/>
    <x v="194"/>
    <x v="3"/>
  </r>
  <r>
    <x v="0"/>
    <x v="5"/>
    <x v="0"/>
    <x v="3"/>
    <x v="0"/>
    <x v="0"/>
    <x v="5"/>
    <x v="11"/>
    <x v="194"/>
    <x v="3"/>
  </r>
  <r>
    <x v="0"/>
    <x v="8"/>
    <x v="0"/>
    <x v="3"/>
    <x v="0"/>
    <x v="2"/>
    <x v="5"/>
    <x v="11"/>
    <x v="194"/>
    <x v="3"/>
  </r>
  <r>
    <x v="0"/>
    <x v="1"/>
    <x v="0"/>
    <x v="3"/>
    <x v="0"/>
    <x v="1"/>
    <x v="6"/>
    <x v="11"/>
    <x v="195"/>
    <x v="3"/>
  </r>
  <r>
    <x v="0"/>
    <x v="2"/>
    <x v="0"/>
    <x v="3"/>
    <x v="0"/>
    <x v="0"/>
    <x v="6"/>
    <x v="11"/>
    <x v="195"/>
    <x v="3"/>
  </r>
  <r>
    <x v="0"/>
    <x v="2"/>
    <x v="0"/>
    <x v="3"/>
    <x v="0"/>
    <x v="0"/>
    <x v="6"/>
    <x v="11"/>
    <x v="195"/>
    <x v="3"/>
  </r>
  <r>
    <x v="0"/>
    <x v="7"/>
    <x v="0"/>
    <x v="3"/>
    <x v="0"/>
    <x v="1"/>
    <x v="3"/>
    <x v="11"/>
    <x v="196"/>
    <x v="3"/>
  </r>
  <r>
    <x v="0"/>
    <x v="7"/>
    <x v="0"/>
    <x v="3"/>
    <x v="0"/>
    <x v="1"/>
    <x v="3"/>
    <x v="11"/>
    <x v="196"/>
    <x v="3"/>
  </r>
  <r>
    <x v="0"/>
    <x v="7"/>
    <x v="0"/>
    <x v="3"/>
    <x v="0"/>
    <x v="1"/>
    <x v="3"/>
    <x v="11"/>
    <x v="196"/>
    <x v="3"/>
  </r>
  <r>
    <x v="0"/>
    <x v="4"/>
    <x v="0"/>
    <x v="3"/>
    <x v="0"/>
    <x v="0"/>
    <x v="3"/>
    <x v="11"/>
    <x v="196"/>
    <x v="3"/>
  </r>
  <r>
    <x v="0"/>
    <x v="0"/>
    <x v="0"/>
    <x v="3"/>
    <x v="0"/>
    <x v="0"/>
    <x v="3"/>
    <x v="11"/>
    <x v="196"/>
    <x v="3"/>
  </r>
  <r>
    <x v="0"/>
    <x v="0"/>
    <x v="0"/>
    <x v="3"/>
    <x v="0"/>
    <x v="0"/>
    <x v="4"/>
    <x v="11"/>
    <x v="197"/>
    <x v="3"/>
  </r>
  <r>
    <x v="0"/>
    <x v="1"/>
    <x v="0"/>
    <x v="3"/>
    <x v="0"/>
    <x v="1"/>
    <x v="0"/>
    <x v="11"/>
    <x v="198"/>
    <x v="3"/>
  </r>
  <r>
    <x v="0"/>
    <x v="4"/>
    <x v="0"/>
    <x v="3"/>
    <x v="0"/>
    <x v="0"/>
    <x v="0"/>
    <x v="11"/>
    <x v="198"/>
    <x v="3"/>
  </r>
  <r>
    <x v="0"/>
    <x v="10"/>
    <x v="0"/>
    <x v="3"/>
    <x v="0"/>
    <x v="1"/>
    <x v="1"/>
    <x v="11"/>
    <x v="199"/>
    <x v="3"/>
  </r>
  <r>
    <x v="0"/>
    <x v="7"/>
    <x v="0"/>
    <x v="3"/>
    <x v="0"/>
    <x v="1"/>
    <x v="1"/>
    <x v="11"/>
    <x v="199"/>
    <x v="3"/>
  </r>
  <r>
    <x v="0"/>
    <x v="4"/>
    <x v="0"/>
    <x v="3"/>
    <x v="0"/>
    <x v="0"/>
    <x v="1"/>
    <x v="11"/>
    <x v="199"/>
    <x v="3"/>
  </r>
  <r>
    <x v="0"/>
    <x v="0"/>
    <x v="0"/>
    <x v="3"/>
    <x v="0"/>
    <x v="0"/>
    <x v="1"/>
    <x v="11"/>
    <x v="199"/>
    <x v="3"/>
  </r>
  <r>
    <x v="0"/>
    <x v="5"/>
    <x v="0"/>
    <x v="3"/>
    <x v="0"/>
    <x v="0"/>
    <x v="1"/>
    <x v="11"/>
    <x v="199"/>
    <x v="3"/>
  </r>
  <r>
    <x v="0"/>
    <x v="5"/>
    <x v="0"/>
    <x v="3"/>
    <x v="0"/>
    <x v="0"/>
    <x v="1"/>
    <x v="11"/>
    <x v="199"/>
    <x v="3"/>
  </r>
  <r>
    <x v="0"/>
    <x v="1"/>
    <x v="0"/>
    <x v="3"/>
    <x v="0"/>
    <x v="1"/>
    <x v="2"/>
    <x v="11"/>
    <x v="200"/>
    <x v="3"/>
  </r>
  <r>
    <x v="0"/>
    <x v="12"/>
    <x v="0"/>
    <x v="3"/>
    <x v="0"/>
    <x v="1"/>
    <x v="5"/>
    <x v="11"/>
    <x v="201"/>
    <x v="3"/>
  </r>
  <r>
    <x v="0"/>
    <x v="9"/>
    <x v="0"/>
    <x v="3"/>
    <x v="0"/>
    <x v="1"/>
    <x v="5"/>
    <x v="11"/>
    <x v="201"/>
    <x v="3"/>
  </r>
  <r>
    <x v="0"/>
    <x v="9"/>
    <x v="0"/>
    <x v="3"/>
    <x v="0"/>
    <x v="1"/>
    <x v="5"/>
    <x v="11"/>
    <x v="201"/>
    <x v="3"/>
  </r>
  <r>
    <x v="0"/>
    <x v="0"/>
    <x v="0"/>
    <x v="3"/>
    <x v="0"/>
    <x v="0"/>
    <x v="5"/>
    <x v="11"/>
    <x v="201"/>
    <x v="3"/>
  </r>
  <r>
    <x v="0"/>
    <x v="0"/>
    <x v="0"/>
    <x v="3"/>
    <x v="0"/>
    <x v="0"/>
    <x v="5"/>
    <x v="11"/>
    <x v="201"/>
    <x v="3"/>
  </r>
  <r>
    <x v="0"/>
    <x v="2"/>
    <x v="0"/>
    <x v="3"/>
    <x v="0"/>
    <x v="0"/>
    <x v="5"/>
    <x v="11"/>
    <x v="201"/>
    <x v="3"/>
  </r>
  <r>
    <x v="0"/>
    <x v="3"/>
    <x v="0"/>
    <x v="3"/>
    <x v="0"/>
    <x v="2"/>
    <x v="5"/>
    <x v="11"/>
    <x v="201"/>
    <x v="3"/>
  </r>
  <r>
    <x v="0"/>
    <x v="1"/>
    <x v="0"/>
    <x v="3"/>
    <x v="0"/>
    <x v="1"/>
    <x v="6"/>
    <x v="11"/>
    <x v="202"/>
    <x v="3"/>
  </r>
  <r>
    <x v="0"/>
    <x v="7"/>
    <x v="0"/>
    <x v="3"/>
    <x v="0"/>
    <x v="1"/>
    <x v="6"/>
    <x v="11"/>
    <x v="202"/>
    <x v="3"/>
  </r>
  <r>
    <x v="0"/>
    <x v="3"/>
    <x v="0"/>
    <x v="3"/>
    <x v="0"/>
    <x v="2"/>
    <x v="6"/>
    <x v="11"/>
    <x v="202"/>
    <x v="3"/>
  </r>
  <r>
    <x v="0"/>
    <x v="12"/>
    <x v="0"/>
    <x v="3"/>
    <x v="0"/>
    <x v="1"/>
    <x v="3"/>
    <x v="11"/>
    <x v="203"/>
    <x v="3"/>
  </r>
  <r>
    <x v="0"/>
    <x v="1"/>
    <x v="0"/>
    <x v="3"/>
    <x v="0"/>
    <x v="1"/>
    <x v="3"/>
    <x v="11"/>
    <x v="203"/>
    <x v="3"/>
  </r>
  <r>
    <x v="0"/>
    <x v="4"/>
    <x v="0"/>
    <x v="3"/>
    <x v="0"/>
    <x v="0"/>
    <x v="3"/>
    <x v="11"/>
    <x v="203"/>
    <x v="3"/>
  </r>
  <r>
    <x v="0"/>
    <x v="0"/>
    <x v="0"/>
    <x v="3"/>
    <x v="0"/>
    <x v="0"/>
    <x v="3"/>
    <x v="11"/>
    <x v="203"/>
    <x v="3"/>
  </r>
  <r>
    <x v="0"/>
    <x v="6"/>
    <x v="0"/>
    <x v="3"/>
    <x v="0"/>
    <x v="0"/>
    <x v="3"/>
    <x v="11"/>
    <x v="203"/>
    <x v="3"/>
  </r>
  <r>
    <x v="0"/>
    <x v="6"/>
    <x v="0"/>
    <x v="3"/>
    <x v="0"/>
    <x v="0"/>
    <x v="3"/>
    <x v="11"/>
    <x v="203"/>
    <x v="3"/>
  </r>
  <r>
    <x v="0"/>
    <x v="3"/>
    <x v="0"/>
    <x v="3"/>
    <x v="0"/>
    <x v="2"/>
    <x v="3"/>
    <x v="11"/>
    <x v="203"/>
    <x v="3"/>
  </r>
  <r>
    <x v="0"/>
    <x v="9"/>
    <x v="0"/>
    <x v="3"/>
    <x v="0"/>
    <x v="1"/>
    <x v="4"/>
    <x v="11"/>
    <x v="204"/>
    <x v="3"/>
  </r>
  <r>
    <x v="0"/>
    <x v="6"/>
    <x v="0"/>
    <x v="3"/>
    <x v="0"/>
    <x v="0"/>
    <x v="4"/>
    <x v="11"/>
    <x v="204"/>
    <x v="3"/>
  </r>
  <r>
    <x v="0"/>
    <x v="6"/>
    <x v="0"/>
    <x v="3"/>
    <x v="0"/>
    <x v="0"/>
    <x v="4"/>
    <x v="11"/>
    <x v="204"/>
    <x v="3"/>
  </r>
  <r>
    <x v="0"/>
    <x v="7"/>
    <x v="0"/>
    <x v="3"/>
    <x v="0"/>
    <x v="1"/>
    <x v="0"/>
    <x v="11"/>
    <x v="205"/>
    <x v="3"/>
  </r>
  <r>
    <x v="0"/>
    <x v="2"/>
    <x v="0"/>
    <x v="3"/>
    <x v="0"/>
    <x v="0"/>
    <x v="0"/>
    <x v="11"/>
    <x v="205"/>
    <x v="3"/>
  </r>
  <r>
    <x v="0"/>
    <x v="3"/>
    <x v="0"/>
    <x v="3"/>
    <x v="0"/>
    <x v="2"/>
    <x v="0"/>
    <x v="11"/>
    <x v="205"/>
    <x v="3"/>
  </r>
  <r>
    <x v="0"/>
    <x v="15"/>
    <x v="0"/>
    <x v="3"/>
    <x v="0"/>
    <x v="2"/>
    <x v="0"/>
    <x v="11"/>
    <x v="205"/>
    <x v="3"/>
  </r>
  <r>
    <x v="0"/>
    <x v="4"/>
    <x v="0"/>
    <x v="3"/>
    <x v="0"/>
    <x v="0"/>
    <x v="1"/>
    <x v="11"/>
    <x v="206"/>
    <x v="3"/>
  </r>
  <r>
    <x v="0"/>
    <x v="2"/>
    <x v="0"/>
    <x v="3"/>
    <x v="0"/>
    <x v="0"/>
    <x v="1"/>
    <x v="11"/>
    <x v="206"/>
    <x v="3"/>
  </r>
  <r>
    <x v="0"/>
    <x v="1"/>
    <x v="0"/>
    <x v="3"/>
    <x v="0"/>
    <x v="1"/>
    <x v="2"/>
    <x v="11"/>
    <x v="207"/>
    <x v="3"/>
  </r>
  <r>
    <x v="0"/>
    <x v="1"/>
    <x v="0"/>
    <x v="3"/>
    <x v="0"/>
    <x v="1"/>
    <x v="2"/>
    <x v="11"/>
    <x v="207"/>
    <x v="3"/>
  </r>
  <r>
    <x v="0"/>
    <x v="7"/>
    <x v="0"/>
    <x v="3"/>
    <x v="0"/>
    <x v="1"/>
    <x v="2"/>
    <x v="11"/>
    <x v="207"/>
    <x v="3"/>
  </r>
  <r>
    <x v="0"/>
    <x v="9"/>
    <x v="0"/>
    <x v="3"/>
    <x v="0"/>
    <x v="1"/>
    <x v="5"/>
    <x v="11"/>
    <x v="208"/>
    <x v="3"/>
  </r>
  <r>
    <x v="0"/>
    <x v="10"/>
    <x v="0"/>
    <x v="3"/>
    <x v="0"/>
    <x v="1"/>
    <x v="5"/>
    <x v="11"/>
    <x v="208"/>
    <x v="3"/>
  </r>
  <r>
    <x v="0"/>
    <x v="1"/>
    <x v="0"/>
    <x v="3"/>
    <x v="0"/>
    <x v="1"/>
    <x v="5"/>
    <x v="11"/>
    <x v="208"/>
    <x v="3"/>
  </r>
  <r>
    <x v="0"/>
    <x v="6"/>
    <x v="0"/>
    <x v="3"/>
    <x v="0"/>
    <x v="0"/>
    <x v="5"/>
    <x v="11"/>
    <x v="208"/>
    <x v="3"/>
  </r>
  <r>
    <x v="0"/>
    <x v="8"/>
    <x v="0"/>
    <x v="3"/>
    <x v="0"/>
    <x v="2"/>
    <x v="5"/>
    <x v="11"/>
    <x v="208"/>
    <x v="3"/>
  </r>
  <r>
    <x v="0"/>
    <x v="13"/>
    <x v="0"/>
    <x v="3"/>
    <x v="0"/>
    <x v="2"/>
    <x v="5"/>
    <x v="11"/>
    <x v="208"/>
    <x v="3"/>
  </r>
  <r>
    <x v="0"/>
    <x v="13"/>
    <x v="0"/>
    <x v="3"/>
    <x v="0"/>
    <x v="2"/>
    <x v="5"/>
    <x v="11"/>
    <x v="208"/>
    <x v="3"/>
  </r>
  <r>
    <x v="0"/>
    <x v="9"/>
    <x v="0"/>
    <x v="3"/>
    <x v="0"/>
    <x v="1"/>
    <x v="6"/>
    <x v="11"/>
    <x v="209"/>
    <x v="3"/>
  </r>
  <r>
    <x v="0"/>
    <x v="9"/>
    <x v="0"/>
    <x v="3"/>
    <x v="0"/>
    <x v="1"/>
    <x v="6"/>
    <x v="11"/>
    <x v="209"/>
    <x v="3"/>
  </r>
  <r>
    <x v="0"/>
    <x v="7"/>
    <x v="0"/>
    <x v="3"/>
    <x v="0"/>
    <x v="1"/>
    <x v="6"/>
    <x v="11"/>
    <x v="209"/>
    <x v="3"/>
  </r>
  <r>
    <x v="0"/>
    <x v="7"/>
    <x v="0"/>
    <x v="3"/>
    <x v="0"/>
    <x v="1"/>
    <x v="6"/>
    <x v="11"/>
    <x v="209"/>
    <x v="3"/>
  </r>
  <r>
    <x v="0"/>
    <x v="0"/>
    <x v="0"/>
    <x v="3"/>
    <x v="0"/>
    <x v="0"/>
    <x v="6"/>
    <x v="11"/>
    <x v="209"/>
    <x v="3"/>
  </r>
  <r>
    <x v="0"/>
    <x v="9"/>
    <x v="0"/>
    <x v="3"/>
    <x v="0"/>
    <x v="1"/>
    <x v="3"/>
    <x v="11"/>
    <x v="210"/>
    <x v="3"/>
  </r>
  <r>
    <x v="0"/>
    <x v="9"/>
    <x v="0"/>
    <x v="3"/>
    <x v="0"/>
    <x v="1"/>
    <x v="3"/>
    <x v="11"/>
    <x v="210"/>
    <x v="3"/>
  </r>
  <r>
    <x v="0"/>
    <x v="1"/>
    <x v="0"/>
    <x v="3"/>
    <x v="0"/>
    <x v="1"/>
    <x v="3"/>
    <x v="11"/>
    <x v="210"/>
    <x v="3"/>
  </r>
  <r>
    <x v="0"/>
    <x v="4"/>
    <x v="0"/>
    <x v="3"/>
    <x v="0"/>
    <x v="0"/>
    <x v="3"/>
    <x v="11"/>
    <x v="210"/>
    <x v="3"/>
  </r>
  <r>
    <x v="0"/>
    <x v="0"/>
    <x v="0"/>
    <x v="3"/>
    <x v="0"/>
    <x v="0"/>
    <x v="3"/>
    <x v="11"/>
    <x v="210"/>
    <x v="3"/>
  </r>
  <r>
    <x v="0"/>
    <x v="3"/>
    <x v="0"/>
    <x v="3"/>
    <x v="0"/>
    <x v="2"/>
    <x v="3"/>
    <x v="11"/>
    <x v="210"/>
    <x v="3"/>
  </r>
  <r>
    <x v="0"/>
    <x v="10"/>
    <x v="0"/>
    <x v="3"/>
    <x v="0"/>
    <x v="1"/>
    <x v="4"/>
    <x v="11"/>
    <x v="211"/>
    <x v="3"/>
  </r>
  <r>
    <x v="0"/>
    <x v="1"/>
    <x v="0"/>
    <x v="3"/>
    <x v="0"/>
    <x v="1"/>
    <x v="4"/>
    <x v="11"/>
    <x v="211"/>
    <x v="3"/>
  </r>
  <r>
    <x v="0"/>
    <x v="1"/>
    <x v="0"/>
    <x v="3"/>
    <x v="0"/>
    <x v="1"/>
    <x v="4"/>
    <x v="11"/>
    <x v="211"/>
    <x v="3"/>
  </r>
  <r>
    <x v="0"/>
    <x v="1"/>
    <x v="0"/>
    <x v="3"/>
    <x v="0"/>
    <x v="1"/>
    <x v="4"/>
    <x v="11"/>
    <x v="211"/>
    <x v="3"/>
  </r>
  <r>
    <x v="0"/>
    <x v="2"/>
    <x v="0"/>
    <x v="3"/>
    <x v="0"/>
    <x v="0"/>
    <x v="4"/>
    <x v="11"/>
    <x v="211"/>
    <x v="3"/>
  </r>
  <r>
    <x v="0"/>
    <x v="2"/>
    <x v="0"/>
    <x v="3"/>
    <x v="0"/>
    <x v="0"/>
    <x v="4"/>
    <x v="11"/>
    <x v="211"/>
    <x v="3"/>
  </r>
  <r>
    <x v="0"/>
    <x v="3"/>
    <x v="0"/>
    <x v="3"/>
    <x v="0"/>
    <x v="2"/>
    <x v="4"/>
    <x v="11"/>
    <x v="211"/>
    <x v="3"/>
  </r>
  <r>
    <x v="0"/>
    <x v="8"/>
    <x v="0"/>
    <x v="3"/>
    <x v="0"/>
    <x v="2"/>
    <x v="4"/>
    <x v="11"/>
    <x v="211"/>
    <x v="3"/>
  </r>
  <r>
    <x v="0"/>
    <x v="16"/>
    <x v="0"/>
    <x v="3"/>
    <x v="0"/>
    <x v="1"/>
    <x v="0"/>
    <x v="11"/>
    <x v="212"/>
    <x v="3"/>
  </r>
  <r>
    <x v="0"/>
    <x v="1"/>
    <x v="0"/>
    <x v="3"/>
    <x v="0"/>
    <x v="1"/>
    <x v="0"/>
    <x v="11"/>
    <x v="212"/>
    <x v="3"/>
  </r>
  <r>
    <x v="0"/>
    <x v="4"/>
    <x v="0"/>
    <x v="3"/>
    <x v="0"/>
    <x v="0"/>
    <x v="0"/>
    <x v="11"/>
    <x v="212"/>
    <x v="3"/>
  </r>
  <r>
    <x v="0"/>
    <x v="4"/>
    <x v="0"/>
    <x v="3"/>
    <x v="0"/>
    <x v="0"/>
    <x v="0"/>
    <x v="11"/>
    <x v="212"/>
    <x v="3"/>
  </r>
  <r>
    <x v="0"/>
    <x v="4"/>
    <x v="0"/>
    <x v="3"/>
    <x v="0"/>
    <x v="0"/>
    <x v="0"/>
    <x v="11"/>
    <x v="212"/>
    <x v="3"/>
  </r>
  <r>
    <x v="0"/>
    <x v="4"/>
    <x v="0"/>
    <x v="3"/>
    <x v="0"/>
    <x v="0"/>
    <x v="0"/>
    <x v="11"/>
    <x v="212"/>
    <x v="3"/>
  </r>
  <r>
    <x v="0"/>
    <x v="0"/>
    <x v="0"/>
    <x v="3"/>
    <x v="0"/>
    <x v="0"/>
    <x v="0"/>
    <x v="11"/>
    <x v="212"/>
    <x v="3"/>
  </r>
  <r>
    <x v="0"/>
    <x v="2"/>
    <x v="0"/>
    <x v="3"/>
    <x v="0"/>
    <x v="0"/>
    <x v="0"/>
    <x v="11"/>
    <x v="212"/>
    <x v="3"/>
  </r>
  <r>
    <x v="0"/>
    <x v="5"/>
    <x v="0"/>
    <x v="3"/>
    <x v="0"/>
    <x v="0"/>
    <x v="0"/>
    <x v="11"/>
    <x v="212"/>
    <x v="3"/>
  </r>
  <r>
    <x v="0"/>
    <x v="5"/>
    <x v="0"/>
    <x v="3"/>
    <x v="0"/>
    <x v="0"/>
    <x v="0"/>
    <x v="11"/>
    <x v="212"/>
    <x v="3"/>
  </r>
  <r>
    <x v="0"/>
    <x v="5"/>
    <x v="0"/>
    <x v="3"/>
    <x v="0"/>
    <x v="0"/>
    <x v="0"/>
    <x v="11"/>
    <x v="212"/>
    <x v="3"/>
  </r>
  <r>
    <x v="0"/>
    <x v="7"/>
    <x v="0"/>
    <x v="3"/>
    <x v="0"/>
    <x v="1"/>
    <x v="1"/>
    <x v="11"/>
    <x v="213"/>
    <x v="3"/>
  </r>
  <r>
    <x v="0"/>
    <x v="7"/>
    <x v="0"/>
    <x v="3"/>
    <x v="0"/>
    <x v="1"/>
    <x v="1"/>
    <x v="11"/>
    <x v="213"/>
    <x v="3"/>
  </r>
  <r>
    <x v="0"/>
    <x v="3"/>
    <x v="0"/>
    <x v="3"/>
    <x v="0"/>
    <x v="2"/>
    <x v="2"/>
    <x v="11"/>
    <x v="214"/>
    <x v="3"/>
  </r>
  <r>
    <x v="0"/>
    <x v="1"/>
    <x v="0"/>
    <x v="3"/>
    <x v="0"/>
    <x v="1"/>
    <x v="5"/>
    <x v="11"/>
    <x v="215"/>
    <x v="3"/>
  </r>
  <r>
    <x v="0"/>
    <x v="6"/>
    <x v="0"/>
    <x v="3"/>
    <x v="0"/>
    <x v="0"/>
    <x v="5"/>
    <x v="11"/>
    <x v="215"/>
    <x v="3"/>
  </r>
  <r>
    <x v="0"/>
    <x v="3"/>
    <x v="0"/>
    <x v="3"/>
    <x v="0"/>
    <x v="2"/>
    <x v="5"/>
    <x v="11"/>
    <x v="215"/>
    <x v="3"/>
  </r>
  <r>
    <x v="0"/>
    <x v="9"/>
    <x v="0"/>
    <x v="3"/>
    <x v="0"/>
    <x v="1"/>
    <x v="6"/>
    <x v="11"/>
    <x v="216"/>
    <x v="3"/>
  </r>
  <r>
    <x v="0"/>
    <x v="7"/>
    <x v="0"/>
    <x v="3"/>
    <x v="0"/>
    <x v="1"/>
    <x v="6"/>
    <x v="11"/>
    <x v="216"/>
    <x v="3"/>
  </r>
  <r>
    <x v="0"/>
    <x v="7"/>
    <x v="0"/>
    <x v="3"/>
    <x v="0"/>
    <x v="1"/>
    <x v="6"/>
    <x v="11"/>
    <x v="216"/>
    <x v="3"/>
  </r>
  <r>
    <x v="0"/>
    <x v="6"/>
    <x v="0"/>
    <x v="3"/>
    <x v="0"/>
    <x v="0"/>
    <x v="6"/>
    <x v="11"/>
    <x v="216"/>
    <x v="3"/>
  </r>
  <r>
    <x v="0"/>
    <x v="6"/>
    <x v="0"/>
    <x v="3"/>
    <x v="0"/>
    <x v="0"/>
    <x v="6"/>
    <x v="11"/>
    <x v="216"/>
    <x v="3"/>
  </r>
  <r>
    <x v="0"/>
    <x v="9"/>
    <x v="0"/>
    <x v="3"/>
    <x v="0"/>
    <x v="1"/>
    <x v="3"/>
    <x v="11"/>
    <x v="217"/>
    <x v="3"/>
  </r>
  <r>
    <x v="0"/>
    <x v="5"/>
    <x v="0"/>
    <x v="3"/>
    <x v="0"/>
    <x v="0"/>
    <x v="3"/>
    <x v="11"/>
    <x v="217"/>
    <x v="3"/>
  </r>
  <r>
    <x v="0"/>
    <x v="5"/>
    <x v="0"/>
    <x v="3"/>
    <x v="0"/>
    <x v="0"/>
    <x v="3"/>
    <x v="11"/>
    <x v="217"/>
    <x v="3"/>
  </r>
  <r>
    <x v="0"/>
    <x v="5"/>
    <x v="0"/>
    <x v="3"/>
    <x v="0"/>
    <x v="0"/>
    <x v="3"/>
    <x v="11"/>
    <x v="217"/>
    <x v="3"/>
  </r>
  <r>
    <x v="0"/>
    <x v="5"/>
    <x v="0"/>
    <x v="3"/>
    <x v="0"/>
    <x v="0"/>
    <x v="3"/>
    <x v="11"/>
    <x v="217"/>
    <x v="3"/>
  </r>
  <r>
    <x v="0"/>
    <x v="2"/>
    <x v="0"/>
    <x v="3"/>
    <x v="0"/>
    <x v="0"/>
    <x v="4"/>
    <x v="11"/>
    <x v="218"/>
    <x v="3"/>
  </r>
  <r>
    <x v="0"/>
    <x v="5"/>
    <x v="0"/>
    <x v="3"/>
    <x v="0"/>
    <x v="0"/>
    <x v="4"/>
    <x v="11"/>
    <x v="218"/>
    <x v="3"/>
  </r>
  <r>
    <x v="0"/>
    <x v="6"/>
    <x v="0"/>
    <x v="3"/>
    <x v="0"/>
    <x v="0"/>
    <x v="4"/>
    <x v="11"/>
    <x v="218"/>
    <x v="3"/>
  </r>
  <r>
    <x v="0"/>
    <x v="3"/>
    <x v="0"/>
    <x v="3"/>
    <x v="0"/>
    <x v="2"/>
    <x v="4"/>
    <x v="11"/>
    <x v="218"/>
    <x v="3"/>
  </r>
  <r>
    <x v="0"/>
    <x v="3"/>
    <x v="0"/>
    <x v="3"/>
    <x v="0"/>
    <x v="2"/>
    <x v="4"/>
    <x v="11"/>
    <x v="218"/>
    <x v="3"/>
  </r>
  <r>
    <x v="0"/>
    <x v="2"/>
    <x v="0"/>
    <x v="3"/>
    <x v="0"/>
    <x v="0"/>
    <x v="0"/>
    <x v="11"/>
    <x v="219"/>
    <x v="3"/>
  </r>
  <r>
    <x v="0"/>
    <x v="2"/>
    <x v="0"/>
    <x v="3"/>
    <x v="0"/>
    <x v="0"/>
    <x v="0"/>
    <x v="11"/>
    <x v="219"/>
    <x v="3"/>
  </r>
  <r>
    <x v="0"/>
    <x v="2"/>
    <x v="0"/>
    <x v="3"/>
    <x v="0"/>
    <x v="0"/>
    <x v="0"/>
    <x v="11"/>
    <x v="219"/>
    <x v="3"/>
  </r>
  <r>
    <x v="0"/>
    <x v="5"/>
    <x v="0"/>
    <x v="3"/>
    <x v="0"/>
    <x v="0"/>
    <x v="0"/>
    <x v="11"/>
    <x v="219"/>
    <x v="3"/>
  </r>
  <r>
    <x v="0"/>
    <x v="6"/>
    <x v="0"/>
    <x v="3"/>
    <x v="0"/>
    <x v="0"/>
    <x v="0"/>
    <x v="11"/>
    <x v="219"/>
    <x v="3"/>
  </r>
  <r>
    <x v="0"/>
    <x v="3"/>
    <x v="0"/>
    <x v="3"/>
    <x v="0"/>
    <x v="2"/>
    <x v="0"/>
    <x v="11"/>
    <x v="219"/>
    <x v="3"/>
  </r>
  <r>
    <x v="0"/>
    <x v="3"/>
    <x v="0"/>
    <x v="3"/>
    <x v="0"/>
    <x v="2"/>
    <x v="0"/>
    <x v="11"/>
    <x v="219"/>
    <x v="3"/>
  </r>
  <r>
    <x v="0"/>
    <x v="7"/>
    <x v="0"/>
    <x v="3"/>
    <x v="0"/>
    <x v="1"/>
    <x v="1"/>
    <x v="0"/>
    <x v="220"/>
    <x v="3"/>
  </r>
  <r>
    <x v="0"/>
    <x v="7"/>
    <x v="0"/>
    <x v="3"/>
    <x v="0"/>
    <x v="1"/>
    <x v="1"/>
    <x v="0"/>
    <x v="220"/>
    <x v="3"/>
  </r>
  <r>
    <x v="0"/>
    <x v="5"/>
    <x v="0"/>
    <x v="3"/>
    <x v="0"/>
    <x v="0"/>
    <x v="1"/>
    <x v="0"/>
    <x v="220"/>
    <x v="3"/>
  </r>
  <r>
    <x v="0"/>
    <x v="3"/>
    <x v="0"/>
    <x v="3"/>
    <x v="0"/>
    <x v="2"/>
    <x v="1"/>
    <x v="0"/>
    <x v="220"/>
    <x v="3"/>
  </r>
  <r>
    <x v="0"/>
    <x v="5"/>
    <x v="0"/>
    <x v="3"/>
    <x v="0"/>
    <x v="0"/>
    <x v="2"/>
    <x v="0"/>
    <x v="221"/>
    <x v="3"/>
  </r>
  <r>
    <x v="0"/>
    <x v="5"/>
    <x v="0"/>
    <x v="3"/>
    <x v="0"/>
    <x v="0"/>
    <x v="2"/>
    <x v="0"/>
    <x v="221"/>
    <x v="3"/>
  </r>
  <r>
    <x v="0"/>
    <x v="5"/>
    <x v="0"/>
    <x v="3"/>
    <x v="0"/>
    <x v="0"/>
    <x v="5"/>
    <x v="0"/>
    <x v="222"/>
    <x v="3"/>
  </r>
  <r>
    <x v="0"/>
    <x v="6"/>
    <x v="0"/>
    <x v="3"/>
    <x v="0"/>
    <x v="0"/>
    <x v="5"/>
    <x v="0"/>
    <x v="222"/>
    <x v="3"/>
  </r>
  <r>
    <x v="0"/>
    <x v="3"/>
    <x v="0"/>
    <x v="3"/>
    <x v="0"/>
    <x v="2"/>
    <x v="5"/>
    <x v="0"/>
    <x v="222"/>
    <x v="3"/>
  </r>
  <r>
    <x v="0"/>
    <x v="3"/>
    <x v="0"/>
    <x v="3"/>
    <x v="0"/>
    <x v="2"/>
    <x v="5"/>
    <x v="0"/>
    <x v="222"/>
    <x v="3"/>
  </r>
  <r>
    <x v="0"/>
    <x v="12"/>
    <x v="0"/>
    <x v="3"/>
    <x v="0"/>
    <x v="1"/>
    <x v="6"/>
    <x v="0"/>
    <x v="223"/>
    <x v="3"/>
  </r>
  <r>
    <x v="0"/>
    <x v="10"/>
    <x v="0"/>
    <x v="3"/>
    <x v="0"/>
    <x v="1"/>
    <x v="6"/>
    <x v="0"/>
    <x v="223"/>
    <x v="3"/>
  </r>
  <r>
    <x v="0"/>
    <x v="10"/>
    <x v="0"/>
    <x v="3"/>
    <x v="0"/>
    <x v="1"/>
    <x v="6"/>
    <x v="0"/>
    <x v="223"/>
    <x v="3"/>
  </r>
  <r>
    <x v="0"/>
    <x v="10"/>
    <x v="0"/>
    <x v="3"/>
    <x v="0"/>
    <x v="1"/>
    <x v="6"/>
    <x v="0"/>
    <x v="223"/>
    <x v="3"/>
  </r>
  <r>
    <x v="0"/>
    <x v="7"/>
    <x v="0"/>
    <x v="3"/>
    <x v="0"/>
    <x v="1"/>
    <x v="6"/>
    <x v="0"/>
    <x v="223"/>
    <x v="3"/>
  </r>
  <r>
    <x v="0"/>
    <x v="7"/>
    <x v="0"/>
    <x v="3"/>
    <x v="0"/>
    <x v="1"/>
    <x v="6"/>
    <x v="0"/>
    <x v="223"/>
    <x v="3"/>
  </r>
  <r>
    <x v="0"/>
    <x v="7"/>
    <x v="0"/>
    <x v="3"/>
    <x v="0"/>
    <x v="1"/>
    <x v="6"/>
    <x v="0"/>
    <x v="223"/>
    <x v="3"/>
  </r>
  <r>
    <x v="0"/>
    <x v="7"/>
    <x v="0"/>
    <x v="3"/>
    <x v="0"/>
    <x v="1"/>
    <x v="6"/>
    <x v="0"/>
    <x v="223"/>
    <x v="3"/>
  </r>
  <r>
    <x v="0"/>
    <x v="6"/>
    <x v="0"/>
    <x v="3"/>
    <x v="0"/>
    <x v="0"/>
    <x v="6"/>
    <x v="0"/>
    <x v="223"/>
    <x v="3"/>
  </r>
  <r>
    <x v="0"/>
    <x v="10"/>
    <x v="0"/>
    <x v="3"/>
    <x v="0"/>
    <x v="1"/>
    <x v="3"/>
    <x v="0"/>
    <x v="224"/>
    <x v="3"/>
  </r>
  <r>
    <x v="0"/>
    <x v="1"/>
    <x v="0"/>
    <x v="3"/>
    <x v="0"/>
    <x v="1"/>
    <x v="3"/>
    <x v="0"/>
    <x v="224"/>
    <x v="3"/>
  </r>
  <r>
    <x v="0"/>
    <x v="1"/>
    <x v="0"/>
    <x v="3"/>
    <x v="0"/>
    <x v="1"/>
    <x v="3"/>
    <x v="0"/>
    <x v="224"/>
    <x v="3"/>
  </r>
  <r>
    <x v="0"/>
    <x v="7"/>
    <x v="0"/>
    <x v="3"/>
    <x v="0"/>
    <x v="1"/>
    <x v="3"/>
    <x v="0"/>
    <x v="224"/>
    <x v="3"/>
  </r>
  <r>
    <x v="0"/>
    <x v="7"/>
    <x v="0"/>
    <x v="3"/>
    <x v="0"/>
    <x v="1"/>
    <x v="3"/>
    <x v="0"/>
    <x v="224"/>
    <x v="3"/>
  </r>
  <r>
    <x v="0"/>
    <x v="4"/>
    <x v="0"/>
    <x v="3"/>
    <x v="0"/>
    <x v="0"/>
    <x v="3"/>
    <x v="0"/>
    <x v="224"/>
    <x v="3"/>
  </r>
  <r>
    <x v="0"/>
    <x v="1"/>
    <x v="0"/>
    <x v="3"/>
    <x v="0"/>
    <x v="1"/>
    <x v="4"/>
    <x v="0"/>
    <x v="225"/>
    <x v="3"/>
  </r>
  <r>
    <x v="0"/>
    <x v="1"/>
    <x v="0"/>
    <x v="3"/>
    <x v="0"/>
    <x v="1"/>
    <x v="4"/>
    <x v="0"/>
    <x v="225"/>
    <x v="3"/>
  </r>
  <r>
    <x v="0"/>
    <x v="7"/>
    <x v="0"/>
    <x v="3"/>
    <x v="0"/>
    <x v="1"/>
    <x v="4"/>
    <x v="0"/>
    <x v="225"/>
    <x v="3"/>
  </r>
  <r>
    <x v="0"/>
    <x v="9"/>
    <x v="0"/>
    <x v="3"/>
    <x v="0"/>
    <x v="1"/>
    <x v="0"/>
    <x v="0"/>
    <x v="226"/>
    <x v="3"/>
  </r>
  <r>
    <x v="0"/>
    <x v="9"/>
    <x v="0"/>
    <x v="3"/>
    <x v="0"/>
    <x v="1"/>
    <x v="0"/>
    <x v="0"/>
    <x v="226"/>
    <x v="3"/>
  </r>
  <r>
    <x v="0"/>
    <x v="10"/>
    <x v="0"/>
    <x v="3"/>
    <x v="0"/>
    <x v="1"/>
    <x v="0"/>
    <x v="0"/>
    <x v="226"/>
    <x v="3"/>
  </r>
  <r>
    <x v="0"/>
    <x v="0"/>
    <x v="0"/>
    <x v="3"/>
    <x v="0"/>
    <x v="0"/>
    <x v="0"/>
    <x v="0"/>
    <x v="226"/>
    <x v="3"/>
  </r>
  <r>
    <x v="0"/>
    <x v="1"/>
    <x v="0"/>
    <x v="3"/>
    <x v="0"/>
    <x v="1"/>
    <x v="1"/>
    <x v="0"/>
    <x v="227"/>
    <x v="3"/>
  </r>
  <r>
    <x v="0"/>
    <x v="7"/>
    <x v="0"/>
    <x v="3"/>
    <x v="0"/>
    <x v="1"/>
    <x v="1"/>
    <x v="0"/>
    <x v="227"/>
    <x v="3"/>
  </r>
  <r>
    <x v="0"/>
    <x v="7"/>
    <x v="0"/>
    <x v="3"/>
    <x v="0"/>
    <x v="1"/>
    <x v="1"/>
    <x v="0"/>
    <x v="227"/>
    <x v="3"/>
  </r>
  <r>
    <x v="0"/>
    <x v="4"/>
    <x v="0"/>
    <x v="3"/>
    <x v="0"/>
    <x v="0"/>
    <x v="1"/>
    <x v="0"/>
    <x v="227"/>
    <x v="3"/>
  </r>
  <r>
    <x v="0"/>
    <x v="2"/>
    <x v="0"/>
    <x v="3"/>
    <x v="0"/>
    <x v="0"/>
    <x v="2"/>
    <x v="0"/>
    <x v="228"/>
    <x v="3"/>
  </r>
  <r>
    <x v="0"/>
    <x v="5"/>
    <x v="0"/>
    <x v="3"/>
    <x v="0"/>
    <x v="0"/>
    <x v="2"/>
    <x v="0"/>
    <x v="228"/>
    <x v="3"/>
  </r>
  <r>
    <x v="0"/>
    <x v="9"/>
    <x v="0"/>
    <x v="3"/>
    <x v="0"/>
    <x v="1"/>
    <x v="5"/>
    <x v="0"/>
    <x v="229"/>
    <x v="3"/>
  </r>
  <r>
    <x v="0"/>
    <x v="4"/>
    <x v="0"/>
    <x v="3"/>
    <x v="0"/>
    <x v="0"/>
    <x v="5"/>
    <x v="0"/>
    <x v="229"/>
    <x v="3"/>
  </r>
  <r>
    <x v="0"/>
    <x v="5"/>
    <x v="0"/>
    <x v="3"/>
    <x v="0"/>
    <x v="0"/>
    <x v="5"/>
    <x v="0"/>
    <x v="229"/>
    <x v="3"/>
  </r>
  <r>
    <x v="0"/>
    <x v="8"/>
    <x v="0"/>
    <x v="3"/>
    <x v="0"/>
    <x v="2"/>
    <x v="5"/>
    <x v="0"/>
    <x v="229"/>
    <x v="3"/>
  </r>
  <r>
    <x v="0"/>
    <x v="9"/>
    <x v="0"/>
    <x v="3"/>
    <x v="0"/>
    <x v="1"/>
    <x v="6"/>
    <x v="0"/>
    <x v="230"/>
    <x v="3"/>
  </r>
  <r>
    <x v="0"/>
    <x v="1"/>
    <x v="0"/>
    <x v="3"/>
    <x v="0"/>
    <x v="1"/>
    <x v="6"/>
    <x v="0"/>
    <x v="230"/>
    <x v="3"/>
  </r>
  <r>
    <x v="0"/>
    <x v="4"/>
    <x v="0"/>
    <x v="3"/>
    <x v="0"/>
    <x v="0"/>
    <x v="6"/>
    <x v="0"/>
    <x v="230"/>
    <x v="3"/>
  </r>
  <r>
    <x v="0"/>
    <x v="0"/>
    <x v="0"/>
    <x v="3"/>
    <x v="0"/>
    <x v="0"/>
    <x v="6"/>
    <x v="0"/>
    <x v="230"/>
    <x v="3"/>
  </r>
  <r>
    <x v="0"/>
    <x v="7"/>
    <x v="0"/>
    <x v="3"/>
    <x v="0"/>
    <x v="1"/>
    <x v="3"/>
    <x v="0"/>
    <x v="231"/>
    <x v="3"/>
  </r>
  <r>
    <x v="0"/>
    <x v="7"/>
    <x v="0"/>
    <x v="3"/>
    <x v="0"/>
    <x v="1"/>
    <x v="3"/>
    <x v="0"/>
    <x v="231"/>
    <x v="3"/>
  </r>
  <r>
    <x v="0"/>
    <x v="4"/>
    <x v="0"/>
    <x v="3"/>
    <x v="0"/>
    <x v="0"/>
    <x v="3"/>
    <x v="0"/>
    <x v="231"/>
    <x v="3"/>
  </r>
  <r>
    <x v="0"/>
    <x v="8"/>
    <x v="0"/>
    <x v="3"/>
    <x v="0"/>
    <x v="2"/>
    <x v="3"/>
    <x v="0"/>
    <x v="231"/>
    <x v="3"/>
  </r>
  <r>
    <x v="0"/>
    <x v="8"/>
    <x v="0"/>
    <x v="3"/>
    <x v="0"/>
    <x v="2"/>
    <x v="3"/>
    <x v="0"/>
    <x v="231"/>
    <x v="3"/>
  </r>
  <r>
    <x v="0"/>
    <x v="8"/>
    <x v="0"/>
    <x v="3"/>
    <x v="0"/>
    <x v="2"/>
    <x v="3"/>
    <x v="0"/>
    <x v="231"/>
    <x v="3"/>
  </r>
  <r>
    <x v="0"/>
    <x v="10"/>
    <x v="0"/>
    <x v="3"/>
    <x v="0"/>
    <x v="1"/>
    <x v="4"/>
    <x v="0"/>
    <x v="232"/>
    <x v="3"/>
  </r>
  <r>
    <x v="0"/>
    <x v="7"/>
    <x v="0"/>
    <x v="3"/>
    <x v="0"/>
    <x v="1"/>
    <x v="4"/>
    <x v="0"/>
    <x v="232"/>
    <x v="3"/>
  </r>
  <r>
    <x v="0"/>
    <x v="2"/>
    <x v="0"/>
    <x v="3"/>
    <x v="0"/>
    <x v="0"/>
    <x v="4"/>
    <x v="0"/>
    <x v="232"/>
    <x v="3"/>
  </r>
  <r>
    <x v="0"/>
    <x v="12"/>
    <x v="0"/>
    <x v="3"/>
    <x v="0"/>
    <x v="1"/>
    <x v="0"/>
    <x v="0"/>
    <x v="233"/>
    <x v="3"/>
  </r>
  <r>
    <x v="0"/>
    <x v="9"/>
    <x v="0"/>
    <x v="3"/>
    <x v="0"/>
    <x v="1"/>
    <x v="0"/>
    <x v="0"/>
    <x v="233"/>
    <x v="3"/>
  </r>
  <r>
    <x v="0"/>
    <x v="10"/>
    <x v="0"/>
    <x v="3"/>
    <x v="0"/>
    <x v="1"/>
    <x v="0"/>
    <x v="0"/>
    <x v="233"/>
    <x v="3"/>
  </r>
  <r>
    <x v="0"/>
    <x v="1"/>
    <x v="0"/>
    <x v="3"/>
    <x v="0"/>
    <x v="1"/>
    <x v="0"/>
    <x v="0"/>
    <x v="233"/>
    <x v="3"/>
  </r>
  <r>
    <x v="0"/>
    <x v="2"/>
    <x v="0"/>
    <x v="3"/>
    <x v="0"/>
    <x v="0"/>
    <x v="0"/>
    <x v="0"/>
    <x v="233"/>
    <x v="3"/>
  </r>
  <r>
    <x v="0"/>
    <x v="6"/>
    <x v="0"/>
    <x v="3"/>
    <x v="0"/>
    <x v="0"/>
    <x v="0"/>
    <x v="0"/>
    <x v="233"/>
    <x v="3"/>
  </r>
  <r>
    <x v="0"/>
    <x v="3"/>
    <x v="0"/>
    <x v="3"/>
    <x v="0"/>
    <x v="2"/>
    <x v="0"/>
    <x v="0"/>
    <x v="233"/>
    <x v="3"/>
  </r>
  <r>
    <x v="0"/>
    <x v="3"/>
    <x v="0"/>
    <x v="3"/>
    <x v="0"/>
    <x v="2"/>
    <x v="0"/>
    <x v="0"/>
    <x v="233"/>
    <x v="3"/>
  </r>
  <r>
    <x v="0"/>
    <x v="14"/>
    <x v="0"/>
    <x v="3"/>
    <x v="0"/>
    <x v="2"/>
    <x v="0"/>
    <x v="0"/>
    <x v="233"/>
    <x v="3"/>
  </r>
  <r>
    <x v="0"/>
    <x v="15"/>
    <x v="0"/>
    <x v="3"/>
    <x v="0"/>
    <x v="2"/>
    <x v="0"/>
    <x v="0"/>
    <x v="233"/>
    <x v="3"/>
  </r>
  <r>
    <x v="0"/>
    <x v="0"/>
    <x v="0"/>
    <x v="3"/>
    <x v="0"/>
    <x v="0"/>
    <x v="1"/>
    <x v="0"/>
    <x v="234"/>
    <x v="3"/>
  </r>
  <r>
    <x v="0"/>
    <x v="2"/>
    <x v="0"/>
    <x v="3"/>
    <x v="0"/>
    <x v="0"/>
    <x v="2"/>
    <x v="0"/>
    <x v="235"/>
    <x v="3"/>
  </r>
  <r>
    <x v="0"/>
    <x v="16"/>
    <x v="0"/>
    <x v="3"/>
    <x v="0"/>
    <x v="1"/>
    <x v="5"/>
    <x v="0"/>
    <x v="236"/>
    <x v="3"/>
  </r>
  <r>
    <x v="0"/>
    <x v="9"/>
    <x v="0"/>
    <x v="3"/>
    <x v="0"/>
    <x v="1"/>
    <x v="5"/>
    <x v="0"/>
    <x v="236"/>
    <x v="3"/>
  </r>
  <r>
    <x v="0"/>
    <x v="9"/>
    <x v="0"/>
    <x v="3"/>
    <x v="0"/>
    <x v="1"/>
    <x v="5"/>
    <x v="0"/>
    <x v="236"/>
    <x v="3"/>
  </r>
  <r>
    <x v="0"/>
    <x v="1"/>
    <x v="0"/>
    <x v="3"/>
    <x v="0"/>
    <x v="1"/>
    <x v="5"/>
    <x v="0"/>
    <x v="236"/>
    <x v="3"/>
  </r>
  <r>
    <x v="0"/>
    <x v="0"/>
    <x v="0"/>
    <x v="3"/>
    <x v="0"/>
    <x v="0"/>
    <x v="5"/>
    <x v="0"/>
    <x v="236"/>
    <x v="3"/>
  </r>
  <r>
    <x v="0"/>
    <x v="6"/>
    <x v="0"/>
    <x v="3"/>
    <x v="0"/>
    <x v="0"/>
    <x v="5"/>
    <x v="0"/>
    <x v="236"/>
    <x v="3"/>
  </r>
  <r>
    <x v="0"/>
    <x v="1"/>
    <x v="0"/>
    <x v="3"/>
    <x v="0"/>
    <x v="1"/>
    <x v="6"/>
    <x v="0"/>
    <x v="237"/>
    <x v="3"/>
  </r>
  <r>
    <x v="0"/>
    <x v="5"/>
    <x v="0"/>
    <x v="3"/>
    <x v="0"/>
    <x v="0"/>
    <x v="6"/>
    <x v="0"/>
    <x v="237"/>
    <x v="3"/>
  </r>
  <r>
    <x v="0"/>
    <x v="6"/>
    <x v="0"/>
    <x v="3"/>
    <x v="0"/>
    <x v="0"/>
    <x v="6"/>
    <x v="0"/>
    <x v="237"/>
    <x v="3"/>
  </r>
  <r>
    <x v="0"/>
    <x v="12"/>
    <x v="0"/>
    <x v="3"/>
    <x v="0"/>
    <x v="1"/>
    <x v="3"/>
    <x v="0"/>
    <x v="238"/>
    <x v="3"/>
  </r>
  <r>
    <x v="0"/>
    <x v="12"/>
    <x v="0"/>
    <x v="3"/>
    <x v="0"/>
    <x v="1"/>
    <x v="3"/>
    <x v="0"/>
    <x v="238"/>
    <x v="3"/>
  </r>
  <r>
    <x v="0"/>
    <x v="9"/>
    <x v="0"/>
    <x v="3"/>
    <x v="0"/>
    <x v="1"/>
    <x v="3"/>
    <x v="0"/>
    <x v="238"/>
    <x v="3"/>
  </r>
  <r>
    <x v="0"/>
    <x v="7"/>
    <x v="0"/>
    <x v="3"/>
    <x v="0"/>
    <x v="1"/>
    <x v="3"/>
    <x v="0"/>
    <x v="238"/>
    <x v="3"/>
  </r>
  <r>
    <x v="0"/>
    <x v="4"/>
    <x v="0"/>
    <x v="3"/>
    <x v="0"/>
    <x v="0"/>
    <x v="3"/>
    <x v="0"/>
    <x v="238"/>
    <x v="3"/>
  </r>
  <r>
    <x v="0"/>
    <x v="6"/>
    <x v="0"/>
    <x v="3"/>
    <x v="0"/>
    <x v="0"/>
    <x v="3"/>
    <x v="0"/>
    <x v="238"/>
    <x v="3"/>
  </r>
  <r>
    <x v="0"/>
    <x v="6"/>
    <x v="0"/>
    <x v="3"/>
    <x v="0"/>
    <x v="0"/>
    <x v="3"/>
    <x v="0"/>
    <x v="238"/>
    <x v="3"/>
  </r>
  <r>
    <x v="0"/>
    <x v="6"/>
    <x v="0"/>
    <x v="3"/>
    <x v="0"/>
    <x v="0"/>
    <x v="3"/>
    <x v="0"/>
    <x v="238"/>
    <x v="3"/>
  </r>
  <r>
    <x v="0"/>
    <x v="1"/>
    <x v="0"/>
    <x v="3"/>
    <x v="0"/>
    <x v="1"/>
    <x v="4"/>
    <x v="0"/>
    <x v="239"/>
    <x v="3"/>
  </r>
  <r>
    <x v="0"/>
    <x v="1"/>
    <x v="0"/>
    <x v="3"/>
    <x v="0"/>
    <x v="1"/>
    <x v="4"/>
    <x v="0"/>
    <x v="239"/>
    <x v="3"/>
  </r>
  <r>
    <x v="0"/>
    <x v="4"/>
    <x v="0"/>
    <x v="3"/>
    <x v="0"/>
    <x v="0"/>
    <x v="4"/>
    <x v="0"/>
    <x v="239"/>
    <x v="3"/>
  </r>
  <r>
    <x v="0"/>
    <x v="2"/>
    <x v="0"/>
    <x v="3"/>
    <x v="0"/>
    <x v="0"/>
    <x v="4"/>
    <x v="0"/>
    <x v="239"/>
    <x v="3"/>
  </r>
  <r>
    <x v="0"/>
    <x v="2"/>
    <x v="0"/>
    <x v="3"/>
    <x v="0"/>
    <x v="0"/>
    <x v="4"/>
    <x v="0"/>
    <x v="239"/>
    <x v="3"/>
  </r>
  <r>
    <x v="0"/>
    <x v="5"/>
    <x v="0"/>
    <x v="3"/>
    <x v="0"/>
    <x v="0"/>
    <x v="4"/>
    <x v="0"/>
    <x v="239"/>
    <x v="3"/>
  </r>
  <r>
    <x v="0"/>
    <x v="5"/>
    <x v="0"/>
    <x v="3"/>
    <x v="0"/>
    <x v="0"/>
    <x v="4"/>
    <x v="0"/>
    <x v="239"/>
    <x v="3"/>
  </r>
  <r>
    <x v="0"/>
    <x v="3"/>
    <x v="0"/>
    <x v="3"/>
    <x v="0"/>
    <x v="2"/>
    <x v="4"/>
    <x v="0"/>
    <x v="239"/>
    <x v="3"/>
  </r>
  <r>
    <x v="0"/>
    <x v="9"/>
    <x v="0"/>
    <x v="3"/>
    <x v="0"/>
    <x v="1"/>
    <x v="0"/>
    <x v="0"/>
    <x v="240"/>
    <x v="3"/>
  </r>
  <r>
    <x v="0"/>
    <x v="9"/>
    <x v="0"/>
    <x v="3"/>
    <x v="0"/>
    <x v="1"/>
    <x v="0"/>
    <x v="0"/>
    <x v="240"/>
    <x v="3"/>
  </r>
  <r>
    <x v="0"/>
    <x v="9"/>
    <x v="0"/>
    <x v="3"/>
    <x v="0"/>
    <x v="1"/>
    <x v="0"/>
    <x v="0"/>
    <x v="240"/>
    <x v="3"/>
  </r>
  <r>
    <x v="0"/>
    <x v="7"/>
    <x v="0"/>
    <x v="3"/>
    <x v="0"/>
    <x v="1"/>
    <x v="0"/>
    <x v="0"/>
    <x v="240"/>
    <x v="3"/>
  </r>
  <r>
    <x v="0"/>
    <x v="0"/>
    <x v="0"/>
    <x v="3"/>
    <x v="0"/>
    <x v="0"/>
    <x v="0"/>
    <x v="0"/>
    <x v="240"/>
    <x v="3"/>
  </r>
  <r>
    <x v="0"/>
    <x v="5"/>
    <x v="0"/>
    <x v="3"/>
    <x v="0"/>
    <x v="0"/>
    <x v="0"/>
    <x v="0"/>
    <x v="240"/>
    <x v="3"/>
  </r>
  <r>
    <x v="0"/>
    <x v="8"/>
    <x v="0"/>
    <x v="3"/>
    <x v="0"/>
    <x v="2"/>
    <x v="0"/>
    <x v="0"/>
    <x v="240"/>
    <x v="3"/>
  </r>
  <r>
    <x v="0"/>
    <x v="4"/>
    <x v="0"/>
    <x v="3"/>
    <x v="0"/>
    <x v="0"/>
    <x v="1"/>
    <x v="0"/>
    <x v="241"/>
    <x v="3"/>
  </r>
  <r>
    <x v="0"/>
    <x v="0"/>
    <x v="0"/>
    <x v="3"/>
    <x v="0"/>
    <x v="0"/>
    <x v="1"/>
    <x v="0"/>
    <x v="241"/>
    <x v="3"/>
  </r>
  <r>
    <x v="0"/>
    <x v="5"/>
    <x v="0"/>
    <x v="3"/>
    <x v="0"/>
    <x v="0"/>
    <x v="2"/>
    <x v="0"/>
    <x v="242"/>
    <x v="3"/>
  </r>
  <r>
    <x v="1"/>
    <x v="5"/>
    <x v="0"/>
    <x v="4"/>
    <x v="1"/>
    <x v="0"/>
    <x v="0"/>
    <x v="0"/>
    <x v="0"/>
    <x v="4"/>
  </r>
  <r>
    <x v="1"/>
    <x v="8"/>
    <x v="0"/>
    <x v="4"/>
    <x v="1"/>
    <x v="2"/>
    <x v="0"/>
    <x v="0"/>
    <x v="0"/>
    <x v="4"/>
  </r>
  <r>
    <x v="1"/>
    <x v="13"/>
    <x v="0"/>
    <x v="4"/>
    <x v="1"/>
    <x v="2"/>
    <x v="0"/>
    <x v="0"/>
    <x v="0"/>
    <x v="4"/>
  </r>
  <r>
    <x v="1"/>
    <x v="13"/>
    <x v="0"/>
    <x v="4"/>
    <x v="1"/>
    <x v="2"/>
    <x v="0"/>
    <x v="0"/>
    <x v="0"/>
    <x v="4"/>
  </r>
  <r>
    <x v="1"/>
    <x v="1"/>
    <x v="0"/>
    <x v="4"/>
    <x v="1"/>
    <x v="1"/>
    <x v="1"/>
    <x v="0"/>
    <x v="1"/>
    <x v="4"/>
  </r>
  <r>
    <x v="1"/>
    <x v="7"/>
    <x v="0"/>
    <x v="4"/>
    <x v="1"/>
    <x v="1"/>
    <x v="1"/>
    <x v="0"/>
    <x v="1"/>
    <x v="4"/>
  </r>
  <r>
    <x v="1"/>
    <x v="6"/>
    <x v="0"/>
    <x v="4"/>
    <x v="1"/>
    <x v="0"/>
    <x v="1"/>
    <x v="0"/>
    <x v="1"/>
    <x v="4"/>
  </r>
  <r>
    <x v="1"/>
    <x v="8"/>
    <x v="0"/>
    <x v="4"/>
    <x v="1"/>
    <x v="2"/>
    <x v="2"/>
    <x v="0"/>
    <x v="2"/>
    <x v="4"/>
  </r>
  <r>
    <x v="1"/>
    <x v="8"/>
    <x v="0"/>
    <x v="4"/>
    <x v="1"/>
    <x v="2"/>
    <x v="2"/>
    <x v="0"/>
    <x v="2"/>
    <x v="4"/>
  </r>
  <r>
    <x v="1"/>
    <x v="7"/>
    <x v="0"/>
    <x v="4"/>
    <x v="1"/>
    <x v="1"/>
    <x v="5"/>
    <x v="0"/>
    <x v="243"/>
    <x v="4"/>
  </r>
  <r>
    <x v="1"/>
    <x v="5"/>
    <x v="0"/>
    <x v="4"/>
    <x v="1"/>
    <x v="0"/>
    <x v="4"/>
    <x v="0"/>
    <x v="4"/>
    <x v="4"/>
  </r>
  <r>
    <x v="1"/>
    <x v="2"/>
    <x v="0"/>
    <x v="4"/>
    <x v="1"/>
    <x v="0"/>
    <x v="0"/>
    <x v="0"/>
    <x v="5"/>
    <x v="4"/>
  </r>
  <r>
    <x v="1"/>
    <x v="0"/>
    <x v="0"/>
    <x v="4"/>
    <x v="1"/>
    <x v="0"/>
    <x v="1"/>
    <x v="0"/>
    <x v="6"/>
    <x v="4"/>
  </r>
  <r>
    <x v="1"/>
    <x v="2"/>
    <x v="0"/>
    <x v="4"/>
    <x v="1"/>
    <x v="0"/>
    <x v="1"/>
    <x v="0"/>
    <x v="6"/>
    <x v="4"/>
  </r>
  <r>
    <x v="1"/>
    <x v="4"/>
    <x v="0"/>
    <x v="4"/>
    <x v="1"/>
    <x v="0"/>
    <x v="6"/>
    <x v="0"/>
    <x v="8"/>
    <x v="4"/>
  </r>
  <r>
    <x v="1"/>
    <x v="2"/>
    <x v="0"/>
    <x v="4"/>
    <x v="1"/>
    <x v="0"/>
    <x v="3"/>
    <x v="0"/>
    <x v="9"/>
    <x v="4"/>
  </r>
  <r>
    <x v="1"/>
    <x v="0"/>
    <x v="0"/>
    <x v="4"/>
    <x v="1"/>
    <x v="0"/>
    <x v="4"/>
    <x v="0"/>
    <x v="10"/>
    <x v="4"/>
  </r>
  <r>
    <x v="1"/>
    <x v="6"/>
    <x v="0"/>
    <x v="4"/>
    <x v="1"/>
    <x v="0"/>
    <x v="4"/>
    <x v="0"/>
    <x v="10"/>
    <x v="4"/>
  </r>
  <r>
    <x v="1"/>
    <x v="4"/>
    <x v="0"/>
    <x v="4"/>
    <x v="1"/>
    <x v="0"/>
    <x v="1"/>
    <x v="0"/>
    <x v="12"/>
    <x v="4"/>
  </r>
  <r>
    <x v="1"/>
    <x v="3"/>
    <x v="0"/>
    <x v="4"/>
    <x v="1"/>
    <x v="2"/>
    <x v="1"/>
    <x v="0"/>
    <x v="12"/>
    <x v="4"/>
  </r>
  <r>
    <x v="1"/>
    <x v="6"/>
    <x v="0"/>
    <x v="4"/>
    <x v="1"/>
    <x v="0"/>
    <x v="6"/>
    <x v="0"/>
    <x v="244"/>
    <x v="4"/>
  </r>
  <r>
    <x v="1"/>
    <x v="1"/>
    <x v="0"/>
    <x v="4"/>
    <x v="1"/>
    <x v="1"/>
    <x v="0"/>
    <x v="0"/>
    <x v="14"/>
    <x v="4"/>
  </r>
  <r>
    <x v="1"/>
    <x v="0"/>
    <x v="0"/>
    <x v="4"/>
    <x v="1"/>
    <x v="0"/>
    <x v="0"/>
    <x v="0"/>
    <x v="14"/>
    <x v="4"/>
  </r>
  <r>
    <x v="1"/>
    <x v="1"/>
    <x v="0"/>
    <x v="4"/>
    <x v="1"/>
    <x v="1"/>
    <x v="1"/>
    <x v="0"/>
    <x v="245"/>
    <x v="4"/>
  </r>
  <r>
    <x v="1"/>
    <x v="2"/>
    <x v="0"/>
    <x v="4"/>
    <x v="1"/>
    <x v="0"/>
    <x v="1"/>
    <x v="0"/>
    <x v="245"/>
    <x v="4"/>
  </r>
  <r>
    <x v="1"/>
    <x v="5"/>
    <x v="0"/>
    <x v="4"/>
    <x v="1"/>
    <x v="0"/>
    <x v="1"/>
    <x v="0"/>
    <x v="245"/>
    <x v="4"/>
  </r>
  <r>
    <x v="1"/>
    <x v="8"/>
    <x v="0"/>
    <x v="4"/>
    <x v="1"/>
    <x v="2"/>
    <x v="5"/>
    <x v="0"/>
    <x v="246"/>
    <x v="4"/>
  </r>
  <r>
    <x v="1"/>
    <x v="7"/>
    <x v="0"/>
    <x v="4"/>
    <x v="1"/>
    <x v="1"/>
    <x v="3"/>
    <x v="0"/>
    <x v="16"/>
    <x v="4"/>
  </r>
  <r>
    <x v="1"/>
    <x v="4"/>
    <x v="0"/>
    <x v="4"/>
    <x v="1"/>
    <x v="0"/>
    <x v="3"/>
    <x v="0"/>
    <x v="16"/>
    <x v="4"/>
  </r>
  <r>
    <x v="1"/>
    <x v="6"/>
    <x v="0"/>
    <x v="4"/>
    <x v="1"/>
    <x v="0"/>
    <x v="1"/>
    <x v="0"/>
    <x v="247"/>
    <x v="4"/>
  </r>
  <r>
    <x v="1"/>
    <x v="1"/>
    <x v="0"/>
    <x v="4"/>
    <x v="1"/>
    <x v="1"/>
    <x v="5"/>
    <x v="1"/>
    <x v="18"/>
    <x v="4"/>
  </r>
  <r>
    <x v="1"/>
    <x v="1"/>
    <x v="0"/>
    <x v="4"/>
    <x v="1"/>
    <x v="1"/>
    <x v="5"/>
    <x v="1"/>
    <x v="18"/>
    <x v="4"/>
  </r>
  <r>
    <x v="1"/>
    <x v="7"/>
    <x v="0"/>
    <x v="4"/>
    <x v="1"/>
    <x v="1"/>
    <x v="5"/>
    <x v="1"/>
    <x v="18"/>
    <x v="4"/>
  </r>
  <r>
    <x v="1"/>
    <x v="8"/>
    <x v="0"/>
    <x v="4"/>
    <x v="1"/>
    <x v="2"/>
    <x v="5"/>
    <x v="1"/>
    <x v="18"/>
    <x v="4"/>
  </r>
  <r>
    <x v="1"/>
    <x v="4"/>
    <x v="0"/>
    <x v="4"/>
    <x v="1"/>
    <x v="0"/>
    <x v="0"/>
    <x v="1"/>
    <x v="21"/>
    <x v="4"/>
  </r>
  <r>
    <x v="1"/>
    <x v="4"/>
    <x v="0"/>
    <x v="4"/>
    <x v="1"/>
    <x v="0"/>
    <x v="1"/>
    <x v="1"/>
    <x v="22"/>
    <x v="4"/>
  </r>
  <r>
    <x v="1"/>
    <x v="8"/>
    <x v="0"/>
    <x v="4"/>
    <x v="1"/>
    <x v="2"/>
    <x v="2"/>
    <x v="1"/>
    <x v="248"/>
    <x v="4"/>
  </r>
  <r>
    <x v="1"/>
    <x v="1"/>
    <x v="0"/>
    <x v="4"/>
    <x v="1"/>
    <x v="1"/>
    <x v="5"/>
    <x v="1"/>
    <x v="23"/>
    <x v="4"/>
  </r>
  <r>
    <x v="1"/>
    <x v="13"/>
    <x v="0"/>
    <x v="4"/>
    <x v="1"/>
    <x v="2"/>
    <x v="5"/>
    <x v="1"/>
    <x v="23"/>
    <x v="4"/>
  </r>
  <r>
    <x v="1"/>
    <x v="13"/>
    <x v="0"/>
    <x v="4"/>
    <x v="1"/>
    <x v="2"/>
    <x v="4"/>
    <x v="1"/>
    <x v="24"/>
    <x v="4"/>
  </r>
  <r>
    <x v="1"/>
    <x v="3"/>
    <x v="0"/>
    <x v="4"/>
    <x v="1"/>
    <x v="2"/>
    <x v="5"/>
    <x v="1"/>
    <x v="27"/>
    <x v="4"/>
  </r>
  <r>
    <x v="1"/>
    <x v="13"/>
    <x v="0"/>
    <x v="4"/>
    <x v="1"/>
    <x v="2"/>
    <x v="5"/>
    <x v="1"/>
    <x v="27"/>
    <x v="4"/>
  </r>
  <r>
    <x v="1"/>
    <x v="1"/>
    <x v="0"/>
    <x v="4"/>
    <x v="1"/>
    <x v="1"/>
    <x v="6"/>
    <x v="1"/>
    <x v="28"/>
    <x v="4"/>
  </r>
  <r>
    <x v="1"/>
    <x v="3"/>
    <x v="0"/>
    <x v="4"/>
    <x v="1"/>
    <x v="2"/>
    <x v="6"/>
    <x v="1"/>
    <x v="28"/>
    <x v="4"/>
  </r>
  <r>
    <x v="1"/>
    <x v="0"/>
    <x v="0"/>
    <x v="4"/>
    <x v="1"/>
    <x v="0"/>
    <x v="4"/>
    <x v="1"/>
    <x v="30"/>
    <x v="4"/>
  </r>
  <r>
    <x v="1"/>
    <x v="0"/>
    <x v="0"/>
    <x v="4"/>
    <x v="1"/>
    <x v="0"/>
    <x v="0"/>
    <x v="1"/>
    <x v="249"/>
    <x v="4"/>
  </r>
  <r>
    <x v="1"/>
    <x v="8"/>
    <x v="0"/>
    <x v="4"/>
    <x v="1"/>
    <x v="2"/>
    <x v="0"/>
    <x v="1"/>
    <x v="249"/>
    <x v="4"/>
  </r>
  <r>
    <x v="1"/>
    <x v="4"/>
    <x v="0"/>
    <x v="4"/>
    <x v="1"/>
    <x v="0"/>
    <x v="1"/>
    <x v="1"/>
    <x v="31"/>
    <x v="4"/>
  </r>
  <r>
    <x v="1"/>
    <x v="4"/>
    <x v="0"/>
    <x v="4"/>
    <x v="1"/>
    <x v="0"/>
    <x v="1"/>
    <x v="1"/>
    <x v="31"/>
    <x v="4"/>
  </r>
  <r>
    <x v="1"/>
    <x v="0"/>
    <x v="0"/>
    <x v="4"/>
    <x v="1"/>
    <x v="0"/>
    <x v="1"/>
    <x v="1"/>
    <x v="31"/>
    <x v="4"/>
  </r>
  <r>
    <x v="1"/>
    <x v="5"/>
    <x v="0"/>
    <x v="4"/>
    <x v="1"/>
    <x v="0"/>
    <x v="1"/>
    <x v="1"/>
    <x v="31"/>
    <x v="4"/>
  </r>
  <r>
    <x v="1"/>
    <x v="5"/>
    <x v="0"/>
    <x v="5"/>
    <x v="1"/>
    <x v="0"/>
    <x v="1"/>
    <x v="1"/>
    <x v="31"/>
    <x v="5"/>
  </r>
  <r>
    <x v="1"/>
    <x v="5"/>
    <x v="0"/>
    <x v="5"/>
    <x v="1"/>
    <x v="0"/>
    <x v="1"/>
    <x v="1"/>
    <x v="31"/>
    <x v="5"/>
  </r>
  <r>
    <x v="1"/>
    <x v="7"/>
    <x v="0"/>
    <x v="5"/>
    <x v="1"/>
    <x v="1"/>
    <x v="5"/>
    <x v="1"/>
    <x v="33"/>
    <x v="5"/>
  </r>
  <r>
    <x v="1"/>
    <x v="2"/>
    <x v="0"/>
    <x v="5"/>
    <x v="1"/>
    <x v="0"/>
    <x v="6"/>
    <x v="1"/>
    <x v="250"/>
    <x v="5"/>
  </r>
  <r>
    <x v="1"/>
    <x v="13"/>
    <x v="0"/>
    <x v="5"/>
    <x v="1"/>
    <x v="2"/>
    <x v="6"/>
    <x v="1"/>
    <x v="250"/>
    <x v="5"/>
  </r>
  <r>
    <x v="1"/>
    <x v="13"/>
    <x v="0"/>
    <x v="5"/>
    <x v="1"/>
    <x v="2"/>
    <x v="6"/>
    <x v="1"/>
    <x v="250"/>
    <x v="5"/>
  </r>
  <r>
    <x v="1"/>
    <x v="1"/>
    <x v="0"/>
    <x v="5"/>
    <x v="1"/>
    <x v="1"/>
    <x v="3"/>
    <x v="1"/>
    <x v="251"/>
    <x v="5"/>
  </r>
  <r>
    <x v="1"/>
    <x v="7"/>
    <x v="0"/>
    <x v="5"/>
    <x v="1"/>
    <x v="1"/>
    <x v="3"/>
    <x v="1"/>
    <x v="251"/>
    <x v="5"/>
  </r>
  <r>
    <x v="1"/>
    <x v="7"/>
    <x v="0"/>
    <x v="5"/>
    <x v="1"/>
    <x v="1"/>
    <x v="3"/>
    <x v="1"/>
    <x v="251"/>
    <x v="5"/>
  </r>
  <r>
    <x v="1"/>
    <x v="4"/>
    <x v="0"/>
    <x v="5"/>
    <x v="1"/>
    <x v="0"/>
    <x v="3"/>
    <x v="1"/>
    <x v="251"/>
    <x v="5"/>
  </r>
  <r>
    <x v="1"/>
    <x v="6"/>
    <x v="0"/>
    <x v="5"/>
    <x v="1"/>
    <x v="0"/>
    <x v="3"/>
    <x v="1"/>
    <x v="251"/>
    <x v="5"/>
  </r>
  <r>
    <x v="1"/>
    <x v="13"/>
    <x v="0"/>
    <x v="5"/>
    <x v="1"/>
    <x v="2"/>
    <x v="3"/>
    <x v="1"/>
    <x v="251"/>
    <x v="5"/>
  </r>
  <r>
    <x v="1"/>
    <x v="0"/>
    <x v="0"/>
    <x v="5"/>
    <x v="1"/>
    <x v="0"/>
    <x v="5"/>
    <x v="1"/>
    <x v="37"/>
    <x v="5"/>
  </r>
  <r>
    <x v="1"/>
    <x v="1"/>
    <x v="0"/>
    <x v="5"/>
    <x v="1"/>
    <x v="1"/>
    <x v="6"/>
    <x v="1"/>
    <x v="38"/>
    <x v="5"/>
  </r>
  <r>
    <x v="1"/>
    <x v="1"/>
    <x v="0"/>
    <x v="5"/>
    <x v="1"/>
    <x v="1"/>
    <x v="6"/>
    <x v="1"/>
    <x v="38"/>
    <x v="5"/>
  </r>
  <r>
    <x v="1"/>
    <x v="0"/>
    <x v="0"/>
    <x v="5"/>
    <x v="1"/>
    <x v="0"/>
    <x v="6"/>
    <x v="1"/>
    <x v="38"/>
    <x v="5"/>
  </r>
  <r>
    <x v="1"/>
    <x v="13"/>
    <x v="0"/>
    <x v="5"/>
    <x v="1"/>
    <x v="2"/>
    <x v="6"/>
    <x v="1"/>
    <x v="38"/>
    <x v="5"/>
  </r>
  <r>
    <x v="1"/>
    <x v="0"/>
    <x v="0"/>
    <x v="5"/>
    <x v="1"/>
    <x v="0"/>
    <x v="4"/>
    <x v="2"/>
    <x v="39"/>
    <x v="5"/>
  </r>
  <r>
    <x v="1"/>
    <x v="8"/>
    <x v="0"/>
    <x v="5"/>
    <x v="1"/>
    <x v="2"/>
    <x v="4"/>
    <x v="2"/>
    <x v="39"/>
    <x v="5"/>
  </r>
  <r>
    <x v="1"/>
    <x v="1"/>
    <x v="0"/>
    <x v="5"/>
    <x v="1"/>
    <x v="1"/>
    <x v="5"/>
    <x v="2"/>
    <x v="40"/>
    <x v="5"/>
  </r>
  <r>
    <x v="1"/>
    <x v="8"/>
    <x v="0"/>
    <x v="5"/>
    <x v="1"/>
    <x v="2"/>
    <x v="4"/>
    <x v="2"/>
    <x v="42"/>
    <x v="5"/>
  </r>
  <r>
    <x v="1"/>
    <x v="3"/>
    <x v="0"/>
    <x v="5"/>
    <x v="1"/>
    <x v="2"/>
    <x v="1"/>
    <x v="2"/>
    <x v="252"/>
    <x v="5"/>
  </r>
  <r>
    <x v="1"/>
    <x v="3"/>
    <x v="0"/>
    <x v="5"/>
    <x v="1"/>
    <x v="2"/>
    <x v="1"/>
    <x v="2"/>
    <x v="252"/>
    <x v="5"/>
  </r>
  <r>
    <x v="1"/>
    <x v="5"/>
    <x v="0"/>
    <x v="5"/>
    <x v="1"/>
    <x v="0"/>
    <x v="2"/>
    <x v="2"/>
    <x v="43"/>
    <x v="5"/>
  </r>
  <r>
    <x v="1"/>
    <x v="5"/>
    <x v="0"/>
    <x v="5"/>
    <x v="1"/>
    <x v="0"/>
    <x v="2"/>
    <x v="2"/>
    <x v="43"/>
    <x v="5"/>
  </r>
  <r>
    <x v="1"/>
    <x v="6"/>
    <x v="0"/>
    <x v="5"/>
    <x v="1"/>
    <x v="0"/>
    <x v="2"/>
    <x v="2"/>
    <x v="43"/>
    <x v="5"/>
  </r>
  <r>
    <x v="1"/>
    <x v="13"/>
    <x v="0"/>
    <x v="5"/>
    <x v="1"/>
    <x v="2"/>
    <x v="2"/>
    <x v="2"/>
    <x v="43"/>
    <x v="5"/>
  </r>
  <r>
    <x v="1"/>
    <x v="7"/>
    <x v="0"/>
    <x v="5"/>
    <x v="1"/>
    <x v="1"/>
    <x v="5"/>
    <x v="2"/>
    <x v="253"/>
    <x v="5"/>
  </r>
  <r>
    <x v="1"/>
    <x v="2"/>
    <x v="0"/>
    <x v="5"/>
    <x v="1"/>
    <x v="0"/>
    <x v="6"/>
    <x v="2"/>
    <x v="44"/>
    <x v="5"/>
  </r>
  <r>
    <x v="1"/>
    <x v="6"/>
    <x v="0"/>
    <x v="5"/>
    <x v="1"/>
    <x v="0"/>
    <x v="6"/>
    <x v="2"/>
    <x v="44"/>
    <x v="5"/>
  </r>
  <r>
    <x v="1"/>
    <x v="0"/>
    <x v="0"/>
    <x v="5"/>
    <x v="1"/>
    <x v="0"/>
    <x v="3"/>
    <x v="2"/>
    <x v="45"/>
    <x v="5"/>
  </r>
  <r>
    <x v="1"/>
    <x v="1"/>
    <x v="0"/>
    <x v="5"/>
    <x v="1"/>
    <x v="1"/>
    <x v="4"/>
    <x v="2"/>
    <x v="254"/>
    <x v="5"/>
  </r>
  <r>
    <x v="1"/>
    <x v="1"/>
    <x v="0"/>
    <x v="5"/>
    <x v="1"/>
    <x v="1"/>
    <x v="4"/>
    <x v="2"/>
    <x v="254"/>
    <x v="5"/>
  </r>
  <r>
    <x v="1"/>
    <x v="4"/>
    <x v="0"/>
    <x v="5"/>
    <x v="1"/>
    <x v="0"/>
    <x v="4"/>
    <x v="2"/>
    <x v="254"/>
    <x v="5"/>
  </r>
  <r>
    <x v="1"/>
    <x v="7"/>
    <x v="0"/>
    <x v="5"/>
    <x v="1"/>
    <x v="1"/>
    <x v="0"/>
    <x v="2"/>
    <x v="46"/>
    <x v="5"/>
  </r>
  <r>
    <x v="1"/>
    <x v="13"/>
    <x v="0"/>
    <x v="5"/>
    <x v="1"/>
    <x v="2"/>
    <x v="0"/>
    <x v="2"/>
    <x v="46"/>
    <x v="5"/>
  </r>
  <r>
    <x v="1"/>
    <x v="7"/>
    <x v="0"/>
    <x v="5"/>
    <x v="1"/>
    <x v="1"/>
    <x v="1"/>
    <x v="2"/>
    <x v="255"/>
    <x v="5"/>
  </r>
  <r>
    <x v="1"/>
    <x v="6"/>
    <x v="0"/>
    <x v="5"/>
    <x v="1"/>
    <x v="0"/>
    <x v="1"/>
    <x v="2"/>
    <x v="255"/>
    <x v="5"/>
  </r>
  <r>
    <x v="1"/>
    <x v="6"/>
    <x v="0"/>
    <x v="5"/>
    <x v="1"/>
    <x v="0"/>
    <x v="1"/>
    <x v="2"/>
    <x v="255"/>
    <x v="5"/>
  </r>
  <r>
    <x v="1"/>
    <x v="13"/>
    <x v="0"/>
    <x v="5"/>
    <x v="1"/>
    <x v="2"/>
    <x v="1"/>
    <x v="2"/>
    <x v="255"/>
    <x v="5"/>
  </r>
  <r>
    <x v="1"/>
    <x v="4"/>
    <x v="0"/>
    <x v="5"/>
    <x v="1"/>
    <x v="0"/>
    <x v="2"/>
    <x v="2"/>
    <x v="47"/>
    <x v="5"/>
  </r>
  <r>
    <x v="1"/>
    <x v="5"/>
    <x v="0"/>
    <x v="5"/>
    <x v="1"/>
    <x v="0"/>
    <x v="2"/>
    <x v="2"/>
    <x v="47"/>
    <x v="5"/>
  </r>
  <r>
    <x v="1"/>
    <x v="8"/>
    <x v="0"/>
    <x v="5"/>
    <x v="1"/>
    <x v="2"/>
    <x v="2"/>
    <x v="2"/>
    <x v="47"/>
    <x v="5"/>
  </r>
  <r>
    <x v="1"/>
    <x v="1"/>
    <x v="0"/>
    <x v="5"/>
    <x v="1"/>
    <x v="1"/>
    <x v="5"/>
    <x v="2"/>
    <x v="48"/>
    <x v="5"/>
  </r>
  <r>
    <x v="1"/>
    <x v="2"/>
    <x v="0"/>
    <x v="5"/>
    <x v="1"/>
    <x v="0"/>
    <x v="5"/>
    <x v="2"/>
    <x v="48"/>
    <x v="5"/>
  </r>
  <r>
    <x v="1"/>
    <x v="14"/>
    <x v="0"/>
    <x v="5"/>
    <x v="1"/>
    <x v="2"/>
    <x v="5"/>
    <x v="2"/>
    <x v="48"/>
    <x v="5"/>
  </r>
  <r>
    <x v="1"/>
    <x v="15"/>
    <x v="0"/>
    <x v="5"/>
    <x v="1"/>
    <x v="2"/>
    <x v="5"/>
    <x v="2"/>
    <x v="48"/>
    <x v="5"/>
  </r>
  <r>
    <x v="1"/>
    <x v="15"/>
    <x v="0"/>
    <x v="5"/>
    <x v="1"/>
    <x v="2"/>
    <x v="5"/>
    <x v="2"/>
    <x v="48"/>
    <x v="5"/>
  </r>
  <r>
    <x v="1"/>
    <x v="1"/>
    <x v="0"/>
    <x v="5"/>
    <x v="1"/>
    <x v="1"/>
    <x v="3"/>
    <x v="2"/>
    <x v="49"/>
    <x v="5"/>
  </r>
  <r>
    <x v="1"/>
    <x v="7"/>
    <x v="0"/>
    <x v="5"/>
    <x v="1"/>
    <x v="1"/>
    <x v="3"/>
    <x v="2"/>
    <x v="49"/>
    <x v="5"/>
  </r>
  <r>
    <x v="1"/>
    <x v="2"/>
    <x v="0"/>
    <x v="5"/>
    <x v="1"/>
    <x v="0"/>
    <x v="3"/>
    <x v="2"/>
    <x v="49"/>
    <x v="5"/>
  </r>
  <r>
    <x v="1"/>
    <x v="11"/>
    <x v="0"/>
    <x v="5"/>
    <x v="1"/>
    <x v="2"/>
    <x v="4"/>
    <x v="2"/>
    <x v="256"/>
    <x v="5"/>
  </r>
  <r>
    <x v="1"/>
    <x v="11"/>
    <x v="0"/>
    <x v="5"/>
    <x v="1"/>
    <x v="2"/>
    <x v="0"/>
    <x v="2"/>
    <x v="50"/>
    <x v="5"/>
  </r>
  <r>
    <x v="1"/>
    <x v="4"/>
    <x v="0"/>
    <x v="5"/>
    <x v="1"/>
    <x v="0"/>
    <x v="1"/>
    <x v="2"/>
    <x v="51"/>
    <x v="5"/>
  </r>
  <r>
    <x v="1"/>
    <x v="4"/>
    <x v="0"/>
    <x v="5"/>
    <x v="1"/>
    <x v="0"/>
    <x v="1"/>
    <x v="2"/>
    <x v="51"/>
    <x v="5"/>
  </r>
  <r>
    <x v="1"/>
    <x v="4"/>
    <x v="0"/>
    <x v="5"/>
    <x v="1"/>
    <x v="0"/>
    <x v="1"/>
    <x v="2"/>
    <x v="51"/>
    <x v="5"/>
  </r>
  <r>
    <x v="1"/>
    <x v="6"/>
    <x v="0"/>
    <x v="5"/>
    <x v="1"/>
    <x v="0"/>
    <x v="1"/>
    <x v="2"/>
    <x v="51"/>
    <x v="5"/>
  </r>
  <r>
    <x v="1"/>
    <x v="2"/>
    <x v="0"/>
    <x v="5"/>
    <x v="1"/>
    <x v="0"/>
    <x v="2"/>
    <x v="2"/>
    <x v="52"/>
    <x v="5"/>
  </r>
  <r>
    <x v="1"/>
    <x v="2"/>
    <x v="0"/>
    <x v="5"/>
    <x v="1"/>
    <x v="0"/>
    <x v="2"/>
    <x v="2"/>
    <x v="52"/>
    <x v="5"/>
  </r>
  <r>
    <x v="1"/>
    <x v="2"/>
    <x v="0"/>
    <x v="5"/>
    <x v="1"/>
    <x v="0"/>
    <x v="5"/>
    <x v="2"/>
    <x v="53"/>
    <x v="5"/>
  </r>
  <r>
    <x v="1"/>
    <x v="15"/>
    <x v="0"/>
    <x v="5"/>
    <x v="1"/>
    <x v="2"/>
    <x v="5"/>
    <x v="2"/>
    <x v="53"/>
    <x v="5"/>
  </r>
  <r>
    <x v="1"/>
    <x v="9"/>
    <x v="0"/>
    <x v="5"/>
    <x v="1"/>
    <x v="1"/>
    <x v="6"/>
    <x v="2"/>
    <x v="54"/>
    <x v="5"/>
  </r>
  <r>
    <x v="1"/>
    <x v="10"/>
    <x v="0"/>
    <x v="5"/>
    <x v="1"/>
    <x v="1"/>
    <x v="6"/>
    <x v="2"/>
    <x v="54"/>
    <x v="5"/>
  </r>
  <r>
    <x v="1"/>
    <x v="14"/>
    <x v="0"/>
    <x v="5"/>
    <x v="1"/>
    <x v="2"/>
    <x v="6"/>
    <x v="2"/>
    <x v="54"/>
    <x v="5"/>
  </r>
  <r>
    <x v="1"/>
    <x v="9"/>
    <x v="0"/>
    <x v="5"/>
    <x v="1"/>
    <x v="1"/>
    <x v="4"/>
    <x v="2"/>
    <x v="257"/>
    <x v="5"/>
  </r>
  <r>
    <x v="1"/>
    <x v="2"/>
    <x v="0"/>
    <x v="5"/>
    <x v="1"/>
    <x v="0"/>
    <x v="4"/>
    <x v="2"/>
    <x v="257"/>
    <x v="5"/>
  </r>
  <r>
    <x v="1"/>
    <x v="14"/>
    <x v="0"/>
    <x v="5"/>
    <x v="1"/>
    <x v="2"/>
    <x v="4"/>
    <x v="2"/>
    <x v="257"/>
    <x v="5"/>
  </r>
  <r>
    <x v="1"/>
    <x v="12"/>
    <x v="0"/>
    <x v="5"/>
    <x v="1"/>
    <x v="1"/>
    <x v="0"/>
    <x v="2"/>
    <x v="258"/>
    <x v="5"/>
  </r>
  <r>
    <x v="1"/>
    <x v="2"/>
    <x v="0"/>
    <x v="5"/>
    <x v="1"/>
    <x v="0"/>
    <x v="0"/>
    <x v="2"/>
    <x v="258"/>
    <x v="5"/>
  </r>
  <r>
    <x v="1"/>
    <x v="14"/>
    <x v="0"/>
    <x v="5"/>
    <x v="1"/>
    <x v="2"/>
    <x v="0"/>
    <x v="2"/>
    <x v="258"/>
    <x v="5"/>
  </r>
  <r>
    <x v="1"/>
    <x v="11"/>
    <x v="0"/>
    <x v="5"/>
    <x v="1"/>
    <x v="2"/>
    <x v="0"/>
    <x v="2"/>
    <x v="258"/>
    <x v="5"/>
  </r>
  <r>
    <x v="1"/>
    <x v="2"/>
    <x v="0"/>
    <x v="5"/>
    <x v="1"/>
    <x v="0"/>
    <x v="1"/>
    <x v="3"/>
    <x v="259"/>
    <x v="5"/>
  </r>
  <r>
    <x v="1"/>
    <x v="8"/>
    <x v="0"/>
    <x v="5"/>
    <x v="1"/>
    <x v="2"/>
    <x v="1"/>
    <x v="3"/>
    <x v="259"/>
    <x v="5"/>
  </r>
  <r>
    <x v="1"/>
    <x v="8"/>
    <x v="0"/>
    <x v="5"/>
    <x v="1"/>
    <x v="2"/>
    <x v="1"/>
    <x v="3"/>
    <x v="259"/>
    <x v="5"/>
  </r>
  <r>
    <x v="1"/>
    <x v="15"/>
    <x v="0"/>
    <x v="5"/>
    <x v="1"/>
    <x v="2"/>
    <x v="1"/>
    <x v="3"/>
    <x v="259"/>
    <x v="5"/>
  </r>
  <r>
    <x v="1"/>
    <x v="14"/>
    <x v="0"/>
    <x v="5"/>
    <x v="1"/>
    <x v="2"/>
    <x v="2"/>
    <x v="3"/>
    <x v="260"/>
    <x v="5"/>
  </r>
  <r>
    <x v="1"/>
    <x v="15"/>
    <x v="0"/>
    <x v="5"/>
    <x v="1"/>
    <x v="2"/>
    <x v="2"/>
    <x v="3"/>
    <x v="260"/>
    <x v="5"/>
  </r>
  <r>
    <x v="1"/>
    <x v="2"/>
    <x v="0"/>
    <x v="5"/>
    <x v="1"/>
    <x v="0"/>
    <x v="5"/>
    <x v="3"/>
    <x v="261"/>
    <x v="5"/>
  </r>
  <r>
    <x v="1"/>
    <x v="1"/>
    <x v="0"/>
    <x v="5"/>
    <x v="1"/>
    <x v="1"/>
    <x v="6"/>
    <x v="3"/>
    <x v="262"/>
    <x v="5"/>
  </r>
  <r>
    <x v="1"/>
    <x v="15"/>
    <x v="0"/>
    <x v="5"/>
    <x v="1"/>
    <x v="2"/>
    <x v="6"/>
    <x v="3"/>
    <x v="262"/>
    <x v="5"/>
  </r>
  <r>
    <x v="1"/>
    <x v="15"/>
    <x v="0"/>
    <x v="5"/>
    <x v="1"/>
    <x v="2"/>
    <x v="6"/>
    <x v="3"/>
    <x v="262"/>
    <x v="5"/>
  </r>
  <r>
    <x v="1"/>
    <x v="15"/>
    <x v="0"/>
    <x v="5"/>
    <x v="1"/>
    <x v="2"/>
    <x v="6"/>
    <x v="3"/>
    <x v="262"/>
    <x v="5"/>
  </r>
  <r>
    <x v="1"/>
    <x v="15"/>
    <x v="0"/>
    <x v="5"/>
    <x v="1"/>
    <x v="2"/>
    <x v="6"/>
    <x v="3"/>
    <x v="262"/>
    <x v="5"/>
  </r>
  <r>
    <x v="1"/>
    <x v="1"/>
    <x v="0"/>
    <x v="5"/>
    <x v="1"/>
    <x v="1"/>
    <x v="3"/>
    <x v="3"/>
    <x v="56"/>
    <x v="5"/>
  </r>
  <r>
    <x v="1"/>
    <x v="13"/>
    <x v="0"/>
    <x v="5"/>
    <x v="1"/>
    <x v="2"/>
    <x v="3"/>
    <x v="3"/>
    <x v="56"/>
    <x v="5"/>
  </r>
  <r>
    <x v="1"/>
    <x v="9"/>
    <x v="0"/>
    <x v="5"/>
    <x v="1"/>
    <x v="1"/>
    <x v="4"/>
    <x v="3"/>
    <x v="57"/>
    <x v="5"/>
  </r>
  <r>
    <x v="1"/>
    <x v="9"/>
    <x v="0"/>
    <x v="5"/>
    <x v="1"/>
    <x v="1"/>
    <x v="4"/>
    <x v="3"/>
    <x v="57"/>
    <x v="5"/>
  </r>
  <r>
    <x v="1"/>
    <x v="5"/>
    <x v="0"/>
    <x v="5"/>
    <x v="1"/>
    <x v="0"/>
    <x v="4"/>
    <x v="3"/>
    <x v="57"/>
    <x v="5"/>
  </r>
  <r>
    <x v="1"/>
    <x v="15"/>
    <x v="0"/>
    <x v="5"/>
    <x v="1"/>
    <x v="2"/>
    <x v="4"/>
    <x v="3"/>
    <x v="57"/>
    <x v="5"/>
  </r>
  <r>
    <x v="1"/>
    <x v="0"/>
    <x v="0"/>
    <x v="5"/>
    <x v="1"/>
    <x v="0"/>
    <x v="0"/>
    <x v="3"/>
    <x v="263"/>
    <x v="5"/>
  </r>
  <r>
    <x v="1"/>
    <x v="10"/>
    <x v="0"/>
    <x v="5"/>
    <x v="1"/>
    <x v="1"/>
    <x v="1"/>
    <x v="3"/>
    <x v="264"/>
    <x v="5"/>
  </r>
  <r>
    <x v="1"/>
    <x v="4"/>
    <x v="0"/>
    <x v="5"/>
    <x v="1"/>
    <x v="0"/>
    <x v="2"/>
    <x v="3"/>
    <x v="58"/>
    <x v="5"/>
  </r>
  <r>
    <x v="1"/>
    <x v="13"/>
    <x v="0"/>
    <x v="5"/>
    <x v="1"/>
    <x v="2"/>
    <x v="2"/>
    <x v="3"/>
    <x v="58"/>
    <x v="5"/>
  </r>
  <r>
    <x v="1"/>
    <x v="1"/>
    <x v="0"/>
    <x v="5"/>
    <x v="1"/>
    <x v="1"/>
    <x v="6"/>
    <x v="3"/>
    <x v="265"/>
    <x v="5"/>
  </r>
  <r>
    <x v="1"/>
    <x v="15"/>
    <x v="0"/>
    <x v="5"/>
    <x v="1"/>
    <x v="2"/>
    <x v="6"/>
    <x v="3"/>
    <x v="265"/>
    <x v="5"/>
  </r>
  <r>
    <x v="1"/>
    <x v="15"/>
    <x v="0"/>
    <x v="5"/>
    <x v="1"/>
    <x v="2"/>
    <x v="6"/>
    <x v="3"/>
    <x v="265"/>
    <x v="5"/>
  </r>
  <r>
    <x v="1"/>
    <x v="14"/>
    <x v="0"/>
    <x v="5"/>
    <x v="1"/>
    <x v="2"/>
    <x v="3"/>
    <x v="3"/>
    <x v="266"/>
    <x v="5"/>
  </r>
  <r>
    <x v="1"/>
    <x v="10"/>
    <x v="0"/>
    <x v="5"/>
    <x v="1"/>
    <x v="1"/>
    <x v="4"/>
    <x v="3"/>
    <x v="59"/>
    <x v="5"/>
  </r>
  <r>
    <x v="1"/>
    <x v="3"/>
    <x v="0"/>
    <x v="5"/>
    <x v="1"/>
    <x v="2"/>
    <x v="4"/>
    <x v="3"/>
    <x v="59"/>
    <x v="5"/>
  </r>
  <r>
    <x v="1"/>
    <x v="14"/>
    <x v="0"/>
    <x v="5"/>
    <x v="1"/>
    <x v="2"/>
    <x v="4"/>
    <x v="3"/>
    <x v="59"/>
    <x v="5"/>
  </r>
  <r>
    <x v="1"/>
    <x v="14"/>
    <x v="0"/>
    <x v="5"/>
    <x v="1"/>
    <x v="2"/>
    <x v="4"/>
    <x v="3"/>
    <x v="59"/>
    <x v="5"/>
  </r>
  <r>
    <x v="1"/>
    <x v="15"/>
    <x v="0"/>
    <x v="5"/>
    <x v="1"/>
    <x v="2"/>
    <x v="4"/>
    <x v="3"/>
    <x v="59"/>
    <x v="5"/>
  </r>
  <r>
    <x v="1"/>
    <x v="8"/>
    <x v="0"/>
    <x v="5"/>
    <x v="1"/>
    <x v="2"/>
    <x v="0"/>
    <x v="3"/>
    <x v="60"/>
    <x v="5"/>
  </r>
  <r>
    <x v="1"/>
    <x v="4"/>
    <x v="0"/>
    <x v="5"/>
    <x v="1"/>
    <x v="0"/>
    <x v="1"/>
    <x v="3"/>
    <x v="61"/>
    <x v="5"/>
  </r>
  <r>
    <x v="1"/>
    <x v="4"/>
    <x v="0"/>
    <x v="5"/>
    <x v="1"/>
    <x v="0"/>
    <x v="1"/>
    <x v="3"/>
    <x v="61"/>
    <x v="5"/>
  </r>
  <r>
    <x v="1"/>
    <x v="6"/>
    <x v="0"/>
    <x v="5"/>
    <x v="1"/>
    <x v="0"/>
    <x v="1"/>
    <x v="3"/>
    <x v="61"/>
    <x v="5"/>
  </r>
  <r>
    <x v="1"/>
    <x v="1"/>
    <x v="0"/>
    <x v="5"/>
    <x v="1"/>
    <x v="1"/>
    <x v="2"/>
    <x v="3"/>
    <x v="267"/>
    <x v="5"/>
  </r>
  <r>
    <x v="1"/>
    <x v="4"/>
    <x v="0"/>
    <x v="5"/>
    <x v="1"/>
    <x v="0"/>
    <x v="2"/>
    <x v="3"/>
    <x v="267"/>
    <x v="5"/>
  </r>
  <r>
    <x v="1"/>
    <x v="5"/>
    <x v="0"/>
    <x v="5"/>
    <x v="1"/>
    <x v="0"/>
    <x v="2"/>
    <x v="3"/>
    <x v="267"/>
    <x v="5"/>
  </r>
  <r>
    <x v="1"/>
    <x v="5"/>
    <x v="0"/>
    <x v="5"/>
    <x v="1"/>
    <x v="0"/>
    <x v="2"/>
    <x v="3"/>
    <x v="267"/>
    <x v="5"/>
  </r>
  <r>
    <x v="1"/>
    <x v="3"/>
    <x v="0"/>
    <x v="5"/>
    <x v="1"/>
    <x v="2"/>
    <x v="2"/>
    <x v="3"/>
    <x v="267"/>
    <x v="5"/>
  </r>
  <r>
    <x v="1"/>
    <x v="3"/>
    <x v="0"/>
    <x v="5"/>
    <x v="1"/>
    <x v="2"/>
    <x v="2"/>
    <x v="3"/>
    <x v="267"/>
    <x v="5"/>
  </r>
  <r>
    <x v="1"/>
    <x v="15"/>
    <x v="0"/>
    <x v="5"/>
    <x v="1"/>
    <x v="2"/>
    <x v="5"/>
    <x v="3"/>
    <x v="62"/>
    <x v="5"/>
  </r>
  <r>
    <x v="1"/>
    <x v="15"/>
    <x v="0"/>
    <x v="5"/>
    <x v="1"/>
    <x v="2"/>
    <x v="6"/>
    <x v="3"/>
    <x v="63"/>
    <x v="5"/>
  </r>
  <r>
    <x v="1"/>
    <x v="15"/>
    <x v="0"/>
    <x v="5"/>
    <x v="1"/>
    <x v="2"/>
    <x v="6"/>
    <x v="3"/>
    <x v="63"/>
    <x v="5"/>
  </r>
  <r>
    <x v="1"/>
    <x v="2"/>
    <x v="0"/>
    <x v="5"/>
    <x v="1"/>
    <x v="0"/>
    <x v="3"/>
    <x v="3"/>
    <x v="64"/>
    <x v="5"/>
  </r>
  <r>
    <x v="1"/>
    <x v="13"/>
    <x v="0"/>
    <x v="5"/>
    <x v="1"/>
    <x v="2"/>
    <x v="3"/>
    <x v="3"/>
    <x v="64"/>
    <x v="5"/>
  </r>
  <r>
    <x v="1"/>
    <x v="15"/>
    <x v="0"/>
    <x v="5"/>
    <x v="1"/>
    <x v="2"/>
    <x v="3"/>
    <x v="3"/>
    <x v="64"/>
    <x v="5"/>
  </r>
  <r>
    <x v="1"/>
    <x v="15"/>
    <x v="0"/>
    <x v="5"/>
    <x v="1"/>
    <x v="2"/>
    <x v="4"/>
    <x v="3"/>
    <x v="268"/>
    <x v="5"/>
  </r>
  <r>
    <x v="1"/>
    <x v="0"/>
    <x v="0"/>
    <x v="5"/>
    <x v="1"/>
    <x v="0"/>
    <x v="0"/>
    <x v="3"/>
    <x v="65"/>
    <x v="5"/>
  </r>
  <r>
    <x v="1"/>
    <x v="0"/>
    <x v="0"/>
    <x v="5"/>
    <x v="1"/>
    <x v="0"/>
    <x v="0"/>
    <x v="3"/>
    <x v="65"/>
    <x v="5"/>
  </r>
  <r>
    <x v="1"/>
    <x v="13"/>
    <x v="0"/>
    <x v="5"/>
    <x v="1"/>
    <x v="2"/>
    <x v="0"/>
    <x v="3"/>
    <x v="65"/>
    <x v="5"/>
  </r>
  <r>
    <x v="1"/>
    <x v="10"/>
    <x v="0"/>
    <x v="5"/>
    <x v="1"/>
    <x v="1"/>
    <x v="1"/>
    <x v="3"/>
    <x v="269"/>
    <x v="5"/>
  </r>
  <r>
    <x v="1"/>
    <x v="4"/>
    <x v="0"/>
    <x v="5"/>
    <x v="1"/>
    <x v="0"/>
    <x v="1"/>
    <x v="3"/>
    <x v="269"/>
    <x v="5"/>
  </r>
  <r>
    <x v="1"/>
    <x v="8"/>
    <x v="0"/>
    <x v="5"/>
    <x v="1"/>
    <x v="2"/>
    <x v="2"/>
    <x v="3"/>
    <x v="270"/>
    <x v="5"/>
  </r>
  <r>
    <x v="1"/>
    <x v="8"/>
    <x v="0"/>
    <x v="5"/>
    <x v="1"/>
    <x v="2"/>
    <x v="2"/>
    <x v="3"/>
    <x v="270"/>
    <x v="5"/>
  </r>
  <r>
    <x v="1"/>
    <x v="7"/>
    <x v="0"/>
    <x v="5"/>
    <x v="1"/>
    <x v="1"/>
    <x v="5"/>
    <x v="3"/>
    <x v="271"/>
    <x v="5"/>
  </r>
  <r>
    <x v="1"/>
    <x v="1"/>
    <x v="0"/>
    <x v="5"/>
    <x v="1"/>
    <x v="1"/>
    <x v="6"/>
    <x v="3"/>
    <x v="272"/>
    <x v="5"/>
  </r>
  <r>
    <x v="1"/>
    <x v="1"/>
    <x v="0"/>
    <x v="5"/>
    <x v="1"/>
    <x v="1"/>
    <x v="6"/>
    <x v="3"/>
    <x v="272"/>
    <x v="5"/>
  </r>
  <r>
    <x v="1"/>
    <x v="15"/>
    <x v="0"/>
    <x v="5"/>
    <x v="1"/>
    <x v="2"/>
    <x v="3"/>
    <x v="3"/>
    <x v="66"/>
    <x v="5"/>
  </r>
  <r>
    <x v="1"/>
    <x v="10"/>
    <x v="0"/>
    <x v="5"/>
    <x v="1"/>
    <x v="1"/>
    <x v="4"/>
    <x v="3"/>
    <x v="273"/>
    <x v="5"/>
  </r>
  <r>
    <x v="1"/>
    <x v="15"/>
    <x v="0"/>
    <x v="5"/>
    <x v="1"/>
    <x v="2"/>
    <x v="4"/>
    <x v="3"/>
    <x v="273"/>
    <x v="5"/>
  </r>
  <r>
    <x v="1"/>
    <x v="15"/>
    <x v="0"/>
    <x v="5"/>
    <x v="1"/>
    <x v="2"/>
    <x v="0"/>
    <x v="3"/>
    <x v="274"/>
    <x v="5"/>
  </r>
  <r>
    <x v="1"/>
    <x v="10"/>
    <x v="0"/>
    <x v="5"/>
    <x v="1"/>
    <x v="1"/>
    <x v="1"/>
    <x v="3"/>
    <x v="275"/>
    <x v="5"/>
  </r>
  <r>
    <x v="1"/>
    <x v="7"/>
    <x v="0"/>
    <x v="5"/>
    <x v="1"/>
    <x v="1"/>
    <x v="1"/>
    <x v="3"/>
    <x v="275"/>
    <x v="5"/>
  </r>
  <r>
    <x v="1"/>
    <x v="7"/>
    <x v="0"/>
    <x v="5"/>
    <x v="1"/>
    <x v="1"/>
    <x v="1"/>
    <x v="3"/>
    <x v="275"/>
    <x v="5"/>
  </r>
  <r>
    <x v="1"/>
    <x v="15"/>
    <x v="0"/>
    <x v="5"/>
    <x v="1"/>
    <x v="2"/>
    <x v="2"/>
    <x v="3"/>
    <x v="276"/>
    <x v="5"/>
  </r>
  <r>
    <x v="1"/>
    <x v="1"/>
    <x v="0"/>
    <x v="5"/>
    <x v="1"/>
    <x v="1"/>
    <x v="6"/>
    <x v="4"/>
    <x v="67"/>
    <x v="5"/>
  </r>
  <r>
    <x v="1"/>
    <x v="6"/>
    <x v="0"/>
    <x v="5"/>
    <x v="1"/>
    <x v="0"/>
    <x v="6"/>
    <x v="4"/>
    <x v="67"/>
    <x v="5"/>
  </r>
  <r>
    <x v="1"/>
    <x v="11"/>
    <x v="0"/>
    <x v="5"/>
    <x v="1"/>
    <x v="2"/>
    <x v="6"/>
    <x v="4"/>
    <x v="67"/>
    <x v="5"/>
  </r>
  <r>
    <x v="1"/>
    <x v="0"/>
    <x v="0"/>
    <x v="5"/>
    <x v="1"/>
    <x v="0"/>
    <x v="3"/>
    <x v="4"/>
    <x v="277"/>
    <x v="5"/>
  </r>
  <r>
    <x v="1"/>
    <x v="6"/>
    <x v="0"/>
    <x v="5"/>
    <x v="1"/>
    <x v="0"/>
    <x v="3"/>
    <x v="4"/>
    <x v="277"/>
    <x v="5"/>
  </r>
  <r>
    <x v="1"/>
    <x v="6"/>
    <x v="0"/>
    <x v="5"/>
    <x v="1"/>
    <x v="0"/>
    <x v="3"/>
    <x v="4"/>
    <x v="277"/>
    <x v="5"/>
  </r>
  <r>
    <x v="1"/>
    <x v="1"/>
    <x v="0"/>
    <x v="5"/>
    <x v="1"/>
    <x v="1"/>
    <x v="4"/>
    <x v="4"/>
    <x v="68"/>
    <x v="5"/>
  </r>
  <r>
    <x v="1"/>
    <x v="0"/>
    <x v="0"/>
    <x v="5"/>
    <x v="1"/>
    <x v="0"/>
    <x v="0"/>
    <x v="4"/>
    <x v="69"/>
    <x v="5"/>
  </r>
  <r>
    <x v="1"/>
    <x v="0"/>
    <x v="0"/>
    <x v="5"/>
    <x v="1"/>
    <x v="0"/>
    <x v="0"/>
    <x v="4"/>
    <x v="69"/>
    <x v="5"/>
  </r>
  <r>
    <x v="1"/>
    <x v="11"/>
    <x v="0"/>
    <x v="5"/>
    <x v="1"/>
    <x v="2"/>
    <x v="0"/>
    <x v="4"/>
    <x v="69"/>
    <x v="5"/>
  </r>
  <r>
    <x v="1"/>
    <x v="13"/>
    <x v="0"/>
    <x v="1"/>
    <x v="1"/>
    <x v="2"/>
    <x v="1"/>
    <x v="4"/>
    <x v="278"/>
    <x v="6"/>
  </r>
  <r>
    <x v="1"/>
    <x v="10"/>
    <x v="0"/>
    <x v="1"/>
    <x v="1"/>
    <x v="1"/>
    <x v="2"/>
    <x v="4"/>
    <x v="279"/>
    <x v="6"/>
  </r>
  <r>
    <x v="1"/>
    <x v="10"/>
    <x v="0"/>
    <x v="1"/>
    <x v="1"/>
    <x v="1"/>
    <x v="2"/>
    <x v="4"/>
    <x v="279"/>
    <x v="6"/>
  </r>
  <r>
    <x v="1"/>
    <x v="11"/>
    <x v="0"/>
    <x v="1"/>
    <x v="1"/>
    <x v="2"/>
    <x v="2"/>
    <x v="4"/>
    <x v="279"/>
    <x v="6"/>
  </r>
  <r>
    <x v="1"/>
    <x v="13"/>
    <x v="0"/>
    <x v="1"/>
    <x v="1"/>
    <x v="2"/>
    <x v="5"/>
    <x v="4"/>
    <x v="70"/>
    <x v="6"/>
  </r>
  <r>
    <x v="1"/>
    <x v="1"/>
    <x v="0"/>
    <x v="1"/>
    <x v="1"/>
    <x v="1"/>
    <x v="6"/>
    <x v="4"/>
    <x v="280"/>
    <x v="6"/>
  </r>
  <r>
    <x v="1"/>
    <x v="1"/>
    <x v="0"/>
    <x v="1"/>
    <x v="1"/>
    <x v="1"/>
    <x v="6"/>
    <x v="4"/>
    <x v="280"/>
    <x v="6"/>
  </r>
  <r>
    <x v="1"/>
    <x v="7"/>
    <x v="0"/>
    <x v="1"/>
    <x v="1"/>
    <x v="1"/>
    <x v="6"/>
    <x v="4"/>
    <x v="280"/>
    <x v="6"/>
  </r>
  <r>
    <x v="1"/>
    <x v="6"/>
    <x v="0"/>
    <x v="1"/>
    <x v="1"/>
    <x v="0"/>
    <x v="6"/>
    <x v="4"/>
    <x v="280"/>
    <x v="6"/>
  </r>
  <r>
    <x v="1"/>
    <x v="4"/>
    <x v="0"/>
    <x v="1"/>
    <x v="1"/>
    <x v="0"/>
    <x v="3"/>
    <x v="4"/>
    <x v="71"/>
    <x v="6"/>
  </r>
  <r>
    <x v="1"/>
    <x v="6"/>
    <x v="0"/>
    <x v="1"/>
    <x v="1"/>
    <x v="0"/>
    <x v="4"/>
    <x v="4"/>
    <x v="72"/>
    <x v="6"/>
  </r>
  <r>
    <x v="1"/>
    <x v="1"/>
    <x v="0"/>
    <x v="1"/>
    <x v="1"/>
    <x v="1"/>
    <x v="2"/>
    <x v="4"/>
    <x v="73"/>
    <x v="6"/>
  </r>
  <r>
    <x v="1"/>
    <x v="4"/>
    <x v="0"/>
    <x v="1"/>
    <x v="1"/>
    <x v="0"/>
    <x v="6"/>
    <x v="4"/>
    <x v="281"/>
    <x v="6"/>
  </r>
  <r>
    <x v="1"/>
    <x v="0"/>
    <x v="0"/>
    <x v="1"/>
    <x v="1"/>
    <x v="0"/>
    <x v="3"/>
    <x v="4"/>
    <x v="282"/>
    <x v="6"/>
  </r>
  <r>
    <x v="1"/>
    <x v="7"/>
    <x v="0"/>
    <x v="1"/>
    <x v="1"/>
    <x v="1"/>
    <x v="4"/>
    <x v="4"/>
    <x v="74"/>
    <x v="6"/>
  </r>
  <r>
    <x v="1"/>
    <x v="7"/>
    <x v="0"/>
    <x v="1"/>
    <x v="1"/>
    <x v="1"/>
    <x v="0"/>
    <x v="4"/>
    <x v="75"/>
    <x v="6"/>
  </r>
  <r>
    <x v="1"/>
    <x v="4"/>
    <x v="0"/>
    <x v="1"/>
    <x v="1"/>
    <x v="0"/>
    <x v="0"/>
    <x v="4"/>
    <x v="75"/>
    <x v="6"/>
  </r>
  <r>
    <x v="1"/>
    <x v="1"/>
    <x v="0"/>
    <x v="1"/>
    <x v="1"/>
    <x v="1"/>
    <x v="5"/>
    <x v="4"/>
    <x v="77"/>
    <x v="6"/>
  </r>
  <r>
    <x v="1"/>
    <x v="9"/>
    <x v="0"/>
    <x v="1"/>
    <x v="1"/>
    <x v="1"/>
    <x v="6"/>
    <x v="4"/>
    <x v="78"/>
    <x v="6"/>
  </r>
  <r>
    <x v="1"/>
    <x v="1"/>
    <x v="0"/>
    <x v="1"/>
    <x v="1"/>
    <x v="1"/>
    <x v="6"/>
    <x v="4"/>
    <x v="78"/>
    <x v="6"/>
  </r>
  <r>
    <x v="1"/>
    <x v="5"/>
    <x v="0"/>
    <x v="1"/>
    <x v="1"/>
    <x v="0"/>
    <x v="6"/>
    <x v="4"/>
    <x v="78"/>
    <x v="6"/>
  </r>
  <r>
    <x v="1"/>
    <x v="10"/>
    <x v="0"/>
    <x v="1"/>
    <x v="1"/>
    <x v="1"/>
    <x v="3"/>
    <x v="4"/>
    <x v="79"/>
    <x v="6"/>
  </r>
  <r>
    <x v="1"/>
    <x v="10"/>
    <x v="0"/>
    <x v="1"/>
    <x v="1"/>
    <x v="1"/>
    <x v="3"/>
    <x v="4"/>
    <x v="79"/>
    <x v="6"/>
  </r>
  <r>
    <x v="1"/>
    <x v="15"/>
    <x v="0"/>
    <x v="1"/>
    <x v="1"/>
    <x v="2"/>
    <x v="3"/>
    <x v="4"/>
    <x v="79"/>
    <x v="6"/>
  </r>
  <r>
    <x v="1"/>
    <x v="1"/>
    <x v="0"/>
    <x v="1"/>
    <x v="1"/>
    <x v="1"/>
    <x v="4"/>
    <x v="4"/>
    <x v="80"/>
    <x v="6"/>
  </r>
  <r>
    <x v="1"/>
    <x v="10"/>
    <x v="0"/>
    <x v="1"/>
    <x v="1"/>
    <x v="1"/>
    <x v="0"/>
    <x v="4"/>
    <x v="81"/>
    <x v="6"/>
  </r>
  <r>
    <x v="1"/>
    <x v="7"/>
    <x v="0"/>
    <x v="1"/>
    <x v="1"/>
    <x v="1"/>
    <x v="0"/>
    <x v="4"/>
    <x v="81"/>
    <x v="6"/>
  </r>
  <r>
    <x v="1"/>
    <x v="4"/>
    <x v="0"/>
    <x v="1"/>
    <x v="1"/>
    <x v="0"/>
    <x v="0"/>
    <x v="4"/>
    <x v="81"/>
    <x v="6"/>
  </r>
  <r>
    <x v="1"/>
    <x v="11"/>
    <x v="0"/>
    <x v="1"/>
    <x v="1"/>
    <x v="2"/>
    <x v="0"/>
    <x v="4"/>
    <x v="81"/>
    <x v="6"/>
  </r>
  <r>
    <x v="1"/>
    <x v="7"/>
    <x v="0"/>
    <x v="1"/>
    <x v="1"/>
    <x v="1"/>
    <x v="1"/>
    <x v="4"/>
    <x v="283"/>
    <x v="6"/>
  </r>
  <r>
    <x v="1"/>
    <x v="4"/>
    <x v="0"/>
    <x v="1"/>
    <x v="1"/>
    <x v="0"/>
    <x v="1"/>
    <x v="4"/>
    <x v="283"/>
    <x v="6"/>
  </r>
  <r>
    <x v="1"/>
    <x v="4"/>
    <x v="0"/>
    <x v="1"/>
    <x v="1"/>
    <x v="0"/>
    <x v="1"/>
    <x v="4"/>
    <x v="283"/>
    <x v="6"/>
  </r>
  <r>
    <x v="1"/>
    <x v="3"/>
    <x v="0"/>
    <x v="1"/>
    <x v="1"/>
    <x v="2"/>
    <x v="1"/>
    <x v="4"/>
    <x v="283"/>
    <x v="6"/>
  </r>
  <r>
    <x v="1"/>
    <x v="3"/>
    <x v="0"/>
    <x v="1"/>
    <x v="1"/>
    <x v="2"/>
    <x v="1"/>
    <x v="4"/>
    <x v="283"/>
    <x v="6"/>
  </r>
  <r>
    <x v="1"/>
    <x v="2"/>
    <x v="0"/>
    <x v="1"/>
    <x v="1"/>
    <x v="0"/>
    <x v="2"/>
    <x v="4"/>
    <x v="284"/>
    <x v="6"/>
  </r>
  <r>
    <x v="1"/>
    <x v="10"/>
    <x v="0"/>
    <x v="1"/>
    <x v="1"/>
    <x v="1"/>
    <x v="5"/>
    <x v="4"/>
    <x v="82"/>
    <x v="6"/>
  </r>
  <r>
    <x v="1"/>
    <x v="10"/>
    <x v="0"/>
    <x v="1"/>
    <x v="1"/>
    <x v="1"/>
    <x v="5"/>
    <x v="4"/>
    <x v="82"/>
    <x v="6"/>
  </r>
  <r>
    <x v="1"/>
    <x v="12"/>
    <x v="0"/>
    <x v="1"/>
    <x v="1"/>
    <x v="1"/>
    <x v="6"/>
    <x v="4"/>
    <x v="83"/>
    <x v="6"/>
  </r>
  <r>
    <x v="1"/>
    <x v="10"/>
    <x v="0"/>
    <x v="1"/>
    <x v="1"/>
    <x v="1"/>
    <x v="6"/>
    <x v="4"/>
    <x v="83"/>
    <x v="6"/>
  </r>
  <r>
    <x v="1"/>
    <x v="1"/>
    <x v="0"/>
    <x v="1"/>
    <x v="1"/>
    <x v="1"/>
    <x v="6"/>
    <x v="4"/>
    <x v="83"/>
    <x v="6"/>
  </r>
  <r>
    <x v="1"/>
    <x v="7"/>
    <x v="0"/>
    <x v="1"/>
    <x v="1"/>
    <x v="1"/>
    <x v="6"/>
    <x v="4"/>
    <x v="83"/>
    <x v="6"/>
  </r>
  <r>
    <x v="1"/>
    <x v="7"/>
    <x v="0"/>
    <x v="1"/>
    <x v="1"/>
    <x v="1"/>
    <x v="6"/>
    <x v="4"/>
    <x v="83"/>
    <x v="6"/>
  </r>
  <r>
    <x v="1"/>
    <x v="7"/>
    <x v="0"/>
    <x v="1"/>
    <x v="1"/>
    <x v="1"/>
    <x v="6"/>
    <x v="4"/>
    <x v="83"/>
    <x v="6"/>
  </r>
  <r>
    <x v="1"/>
    <x v="7"/>
    <x v="0"/>
    <x v="1"/>
    <x v="1"/>
    <x v="1"/>
    <x v="6"/>
    <x v="4"/>
    <x v="83"/>
    <x v="6"/>
  </r>
  <r>
    <x v="1"/>
    <x v="5"/>
    <x v="0"/>
    <x v="1"/>
    <x v="1"/>
    <x v="0"/>
    <x v="6"/>
    <x v="4"/>
    <x v="83"/>
    <x v="6"/>
  </r>
  <r>
    <x v="1"/>
    <x v="6"/>
    <x v="0"/>
    <x v="1"/>
    <x v="1"/>
    <x v="0"/>
    <x v="6"/>
    <x v="4"/>
    <x v="83"/>
    <x v="6"/>
  </r>
  <r>
    <x v="1"/>
    <x v="14"/>
    <x v="0"/>
    <x v="1"/>
    <x v="1"/>
    <x v="2"/>
    <x v="6"/>
    <x v="4"/>
    <x v="83"/>
    <x v="6"/>
  </r>
  <r>
    <x v="1"/>
    <x v="14"/>
    <x v="0"/>
    <x v="1"/>
    <x v="1"/>
    <x v="2"/>
    <x v="6"/>
    <x v="4"/>
    <x v="83"/>
    <x v="6"/>
  </r>
  <r>
    <x v="1"/>
    <x v="14"/>
    <x v="0"/>
    <x v="1"/>
    <x v="1"/>
    <x v="2"/>
    <x v="6"/>
    <x v="4"/>
    <x v="83"/>
    <x v="6"/>
  </r>
  <r>
    <x v="1"/>
    <x v="12"/>
    <x v="0"/>
    <x v="1"/>
    <x v="1"/>
    <x v="1"/>
    <x v="3"/>
    <x v="4"/>
    <x v="84"/>
    <x v="6"/>
  </r>
  <r>
    <x v="1"/>
    <x v="9"/>
    <x v="0"/>
    <x v="1"/>
    <x v="1"/>
    <x v="1"/>
    <x v="3"/>
    <x v="4"/>
    <x v="84"/>
    <x v="6"/>
  </r>
  <r>
    <x v="1"/>
    <x v="9"/>
    <x v="0"/>
    <x v="1"/>
    <x v="1"/>
    <x v="1"/>
    <x v="3"/>
    <x v="4"/>
    <x v="84"/>
    <x v="6"/>
  </r>
  <r>
    <x v="1"/>
    <x v="10"/>
    <x v="0"/>
    <x v="1"/>
    <x v="1"/>
    <x v="1"/>
    <x v="3"/>
    <x v="4"/>
    <x v="84"/>
    <x v="6"/>
  </r>
  <r>
    <x v="1"/>
    <x v="0"/>
    <x v="0"/>
    <x v="1"/>
    <x v="1"/>
    <x v="0"/>
    <x v="3"/>
    <x v="4"/>
    <x v="84"/>
    <x v="6"/>
  </r>
  <r>
    <x v="1"/>
    <x v="14"/>
    <x v="0"/>
    <x v="1"/>
    <x v="1"/>
    <x v="2"/>
    <x v="3"/>
    <x v="4"/>
    <x v="84"/>
    <x v="6"/>
  </r>
  <r>
    <x v="1"/>
    <x v="12"/>
    <x v="0"/>
    <x v="1"/>
    <x v="1"/>
    <x v="1"/>
    <x v="4"/>
    <x v="5"/>
    <x v="85"/>
    <x v="6"/>
  </r>
  <r>
    <x v="1"/>
    <x v="10"/>
    <x v="0"/>
    <x v="1"/>
    <x v="1"/>
    <x v="1"/>
    <x v="4"/>
    <x v="5"/>
    <x v="85"/>
    <x v="6"/>
  </r>
  <r>
    <x v="1"/>
    <x v="7"/>
    <x v="0"/>
    <x v="1"/>
    <x v="1"/>
    <x v="1"/>
    <x v="4"/>
    <x v="5"/>
    <x v="85"/>
    <x v="6"/>
  </r>
  <r>
    <x v="1"/>
    <x v="7"/>
    <x v="0"/>
    <x v="1"/>
    <x v="1"/>
    <x v="1"/>
    <x v="4"/>
    <x v="5"/>
    <x v="85"/>
    <x v="6"/>
  </r>
  <r>
    <x v="1"/>
    <x v="5"/>
    <x v="0"/>
    <x v="1"/>
    <x v="1"/>
    <x v="0"/>
    <x v="4"/>
    <x v="5"/>
    <x v="85"/>
    <x v="6"/>
  </r>
  <r>
    <x v="1"/>
    <x v="6"/>
    <x v="0"/>
    <x v="1"/>
    <x v="1"/>
    <x v="0"/>
    <x v="4"/>
    <x v="5"/>
    <x v="85"/>
    <x v="6"/>
  </r>
  <r>
    <x v="1"/>
    <x v="10"/>
    <x v="0"/>
    <x v="1"/>
    <x v="1"/>
    <x v="1"/>
    <x v="0"/>
    <x v="5"/>
    <x v="285"/>
    <x v="6"/>
  </r>
  <r>
    <x v="1"/>
    <x v="10"/>
    <x v="0"/>
    <x v="1"/>
    <x v="1"/>
    <x v="1"/>
    <x v="0"/>
    <x v="5"/>
    <x v="285"/>
    <x v="6"/>
  </r>
  <r>
    <x v="1"/>
    <x v="8"/>
    <x v="0"/>
    <x v="1"/>
    <x v="1"/>
    <x v="2"/>
    <x v="0"/>
    <x v="5"/>
    <x v="285"/>
    <x v="6"/>
  </r>
  <r>
    <x v="1"/>
    <x v="9"/>
    <x v="0"/>
    <x v="1"/>
    <x v="1"/>
    <x v="1"/>
    <x v="1"/>
    <x v="5"/>
    <x v="286"/>
    <x v="6"/>
  </r>
  <r>
    <x v="1"/>
    <x v="10"/>
    <x v="0"/>
    <x v="1"/>
    <x v="1"/>
    <x v="1"/>
    <x v="1"/>
    <x v="5"/>
    <x v="286"/>
    <x v="6"/>
  </r>
  <r>
    <x v="1"/>
    <x v="10"/>
    <x v="0"/>
    <x v="1"/>
    <x v="1"/>
    <x v="1"/>
    <x v="1"/>
    <x v="5"/>
    <x v="286"/>
    <x v="6"/>
  </r>
  <r>
    <x v="1"/>
    <x v="1"/>
    <x v="0"/>
    <x v="1"/>
    <x v="1"/>
    <x v="1"/>
    <x v="1"/>
    <x v="5"/>
    <x v="286"/>
    <x v="6"/>
  </r>
  <r>
    <x v="1"/>
    <x v="7"/>
    <x v="0"/>
    <x v="1"/>
    <x v="1"/>
    <x v="1"/>
    <x v="1"/>
    <x v="5"/>
    <x v="286"/>
    <x v="6"/>
  </r>
  <r>
    <x v="1"/>
    <x v="4"/>
    <x v="0"/>
    <x v="1"/>
    <x v="1"/>
    <x v="0"/>
    <x v="1"/>
    <x v="5"/>
    <x v="286"/>
    <x v="6"/>
  </r>
  <r>
    <x v="1"/>
    <x v="6"/>
    <x v="0"/>
    <x v="1"/>
    <x v="1"/>
    <x v="0"/>
    <x v="1"/>
    <x v="5"/>
    <x v="286"/>
    <x v="6"/>
  </r>
  <r>
    <x v="1"/>
    <x v="1"/>
    <x v="0"/>
    <x v="1"/>
    <x v="1"/>
    <x v="1"/>
    <x v="2"/>
    <x v="5"/>
    <x v="287"/>
    <x v="6"/>
  </r>
  <r>
    <x v="1"/>
    <x v="7"/>
    <x v="0"/>
    <x v="1"/>
    <x v="1"/>
    <x v="1"/>
    <x v="2"/>
    <x v="5"/>
    <x v="287"/>
    <x v="6"/>
  </r>
  <r>
    <x v="1"/>
    <x v="10"/>
    <x v="0"/>
    <x v="1"/>
    <x v="1"/>
    <x v="1"/>
    <x v="5"/>
    <x v="5"/>
    <x v="288"/>
    <x v="6"/>
  </r>
  <r>
    <x v="1"/>
    <x v="3"/>
    <x v="0"/>
    <x v="1"/>
    <x v="1"/>
    <x v="2"/>
    <x v="5"/>
    <x v="5"/>
    <x v="288"/>
    <x v="6"/>
  </r>
  <r>
    <x v="1"/>
    <x v="11"/>
    <x v="0"/>
    <x v="1"/>
    <x v="1"/>
    <x v="2"/>
    <x v="5"/>
    <x v="5"/>
    <x v="288"/>
    <x v="6"/>
  </r>
  <r>
    <x v="1"/>
    <x v="13"/>
    <x v="0"/>
    <x v="1"/>
    <x v="1"/>
    <x v="2"/>
    <x v="6"/>
    <x v="5"/>
    <x v="289"/>
    <x v="6"/>
  </r>
  <r>
    <x v="1"/>
    <x v="9"/>
    <x v="0"/>
    <x v="1"/>
    <x v="1"/>
    <x v="1"/>
    <x v="3"/>
    <x v="5"/>
    <x v="86"/>
    <x v="6"/>
  </r>
  <r>
    <x v="1"/>
    <x v="4"/>
    <x v="0"/>
    <x v="1"/>
    <x v="1"/>
    <x v="0"/>
    <x v="4"/>
    <x v="5"/>
    <x v="290"/>
    <x v="6"/>
  </r>
  <r>
    <x v="1"/>
    <x v="15"/>
    <x v="0"/>
    <x v="1"/>
    <x v="1"/>
    <x v="2"/>
    <x v="4"/>
    <x v="5"/>
    <x v="290"/>
    <x v="6"/>
  </r>
  <r>
    <x v="1"/>
    <x v="1"/>
    <x v="0"/>
    <x v="1"/>
    <x v="1"/>
    <x v="1"/>
    <x v="0"/>
    <x v="5"/>
    <x v="87"/>
    <x v="6"/>
  </r>
  <r>
    <x v="1"/>
    <x v="9"/>
    <x v="0"/>
    <x v="1"/>
    <x v="1"/>
    <x v="1"/>
    <x v="1"/>
    <x v="5"/>
    <x v="88"/>
    <x v="6"/>
  </r>
  <r>
    <x v="1"/>
    <x v="4"/>
    <x v="0"/>
    <x v="1"/>
    <x v="1"/>
    <x v="0"/>
    <x v="1"/>
    <x v="5"/>
    <x v="88"/>
    <x v="6"/>
  </r>
  <r>
    <x v="1"/>
    <x v="1"/>
    <x v="0"/>
    <x v="1"/>
    <x v="1"/>
    <x v="1"/>
    <x v="2"/>
    <x v="5"/>
    <x v="291"/>
    <x v="6"/>
  </r>
  <r>
    <x v="1"/>
    <x v="7"/>
    <x v="0"/>
    <x v="1"/>
    <x v="1"/>
    <x v="1"/>
    <x v="2"/>
    <x v="5"/>
    <x v="291"/>
    <x v="6"/>
  </r>
  <r>
    <x v="1"/>
    <x v="5"/>
    <x v="0"/>
    <x v="1"/>
    <x v="1"/>
    <x v="0"/>
    <x v="2"/>
    <x v="5"/>
    <x v="291"/>
    <x v="6"/>
  </r>
  <r>
    <x v="1"/>
    <x v="7"/>
    <x v="0"/>
    <x v="1"/>
    <x v="1"/>
    <x v="1"/>
    <x v="5"/>
    <x v="5"/>
    <x v="89"/>
    <x v="6"/>
  </r>
  <r>
    <x v="1"/>
    <x v="2"/>
    <x v="0"/>
    <x v="1"/>
    <x v="1"/>
    <x v="0"/>
    <x v="5"/>
    <x v="5"/>
    <x v="89"/>
    <x v="6"/>
  </r>
  <r>
    <x v="1"/>
    <x v="5"/>
    <x v="0"/>
    <x v="1"/>
    <x v="1"/>
    <x v="0"/>
    <x v="5"/>
    <x v="5"/>
    <x v="89"/>
    <x v="6"/>
  </r>
  <r>
    <x v="1"/>
    <x v="8"/>
    <x v="0"/>
    <x v="1"/>
    <x v="1"/>
    <x v="2"/>
    <x v="5"/>
    <x v="5"/>
    <x v="89"/>
    <x v="6"/>
  </r>
  <r>
    <x v="1"/>
    <x v="15"/>
    <x v="0"/>
    <x v="1"/>
    <x v="1"/>
    <x v="2"/>
    <x v="5"/>
    <x v="5"/>
    <x v="89"/>
    <x v="6"/>
  </r>
  <r>
    <x v="1"/>
    <x v="9"/>
    <x v="0"/>
    <x v="1"/>
    <x v="1"/>
    <x v="1"/>
    <x v="6"/>
    <x v="5"/>
    <x v="292"/>
    <x v="6"/>
  </r>
  <r>
    <x v="1"/>
    <x v="10"/>
    <x v="0"/>
    <x v="1"/>
    <x v="1"/>
    <x v="1"/>
    <x v="6"/>
    <x v="5"/>
    <x v="292"/>
    <x v="6"/>
  </r>
  <r>
    <x v="1"/>
    <x v="10"/>
    <x v="0"/>
    <x v="1"/>
    <x v="1"/>
    <x v="1"/>
    <x v="6"/>
    <x v="5"/>
    <x v="292"/>
    <x v="6"/>
  </r>
  <r>
    <x v="1"/>
    <x v="0"/>
    <x v="0"/>
    <x v="1"/>
    <x v="1"/>
    <x v="0"/>
    <x v="6"/>
    <x v="5"/>
    <x v="292"/>
    <x v="6"/>
  </r>
  <r>
    <x v="1"/>
    <x v="5"/>
    <x v="0"/>
    <x v="1"/>
    <x v="1"/>
    <x v="0"/>
    <x v="6"/>
    <x v="5"/>
    <x v="292"/>
    <x v="6"/>
  </r>
  <r>
    <x v="1"/>
    <x v="8"/>
    <x v="0"/>
    <x v="1"/>
    <x v="1"/>
    <x v="2"/>
    <x v="3"/>
    <x v="5"/>
    <x v="90"/>
    <x v="6"/>
  </r>
  <r>
    <x v="1"/>
    <x v="3"/>
    <x v="0"/>
    <x v="1"/>
    <x v="1"/>
    <x v="2"/>
    <x v="4"/>
    <x v="5"/>
    <x v="91"/>
    <x v="6"/>
  </r>
  <r>
    <x v="1"/>
    <x v="13"/>
    <x v="0"/>
    <x v="1"/>
    <x v="1"/>
    <x v="2"/>
    <x v="4"/>
    <x v="5"/>
    <x v="91"/>
    <x v="6"/>
  </r>
  <r>
    <x v="1"/>
    <x v="13"/>
    <x v="0"/>
    <x v="1"/>
    <x v="1"/>
    <x v="2"/>
    <x v="4"/>
    <x v="5"/>
    <x v="91"/>
    <x v="6"/>
  </r>
  <r>
    <x v="1"/>
    <x v="15"/>
    <x v="0"/>
    <x v="1"/>
    <x v="1"/>
    <x v="2"/>
    <x v="4"/>
    <x v="5"/>
    <x v="91"/>
    <x v="6"/>
  </r>
  <r>
    <x v="1"/>
    <x v="0"/>
    <x v="0"/>
    <x v="1"/>
    <x v="1"/>
    <x v="0"/>
    <x v="0"/>
    <x v="5"/>
    <x v="92"/>
    <x v="6"/>
  </r>
  <r>
    <x v="1"/>
    <x v="10"/>
    <x v="0"/>
    <x v="1"/>
    <x v="1"/>
    <x v="1"/>
    <x v="1"/>
    <x v="5"/>
    <x v="293"/>
    <x v="6"/>
  </r>
  <r>
    <x v="1"/>
    <x v="1"/>
    <x v="0"/>
    <x v="1"/>
    <x v="1"/>
    <x v="1"/>
    <x v="1"/>
    <x v="5"/>
    <x v="293"/>
    <x v="6"/>
  </r>
  <r>
    <x v="1"/>
    <x v="0"/>
    <x v="0"/>
    <x v="1"/>
    <x v="1"/>
    <x v="0"/>
    <x v="1"/>
    <x v="5"/>
    <x v="293"/>
    <x v="6"/>
  </r>
  <r>
    <x v="1"/>
    <x v="15"/>
    <x v="0"/>
    <x v="1"/>
    <x v="1"/>
    <x v="2"/>
    <x v="1"/>
    <x v="5"/>
    <x v="293"/>
    <x v="6"/>
  </r>
  <r>
    <x v="1"/>
    <x v="9"/>
    <x v="0"/>
    <x v="1"/>
    <x v="1"/>
    <x v="1"/>
    <x v="2"/>
    <x v="5"/>
    <x v="93"/>
    <x v="6"/>
  </r>
  <r>
    <x v="1"/>
    <x v="2"/>
    <x v="0"/>
    <x v="1"/>
    <x v="1"/>
    <x v="0"/>
    <x v="2"/>
    <x v="5"/>
    <x v="93"/>
    <x v="6"/>
  </r>
  <r>
    <x v="1"/>
    <x v="8"/>
    <x v="0"/>
    <x v="1"/>
    <x v="1"/>
    <x v="2"/>
    <x v="2"/>
    <x v="5"/>
    <x v="93"/>
    <x v="6"/>
  </r>
  <r>
    <x v="1"/>
    <x v="8"/>
    <x v="0"/>
    <x v="1"/>
    <x v="1"/>
    <x v="2"/>
    <x v="2"/>
    <x v="5"/>
    <x v="93"/>
    <x v="6"/>
  </r>
  <r>
    <x v="1"/>
    <x v="5"/>
    <x v="0"/>
    <x v="1"/>
    <x v="1"/>
    <x v="0"/>
    <x v="5"/>
    <x v="5"/>
    <x v="294"/>
    <x v="6"/>
  </r>
  <r>
    <x v="1"/>
    <x v="5"/>
    <x v="0"/>
    <x v="1"/>
    <x v="1"/>
    <x v="0"/>
    <x v="5"/>
    <x v="5"/>
    <x v="294"/>
    <x v="6"/>
  </r>
  <r>
    <x v="1"/>
    <x v="10"/>
    <x v="0"/>
    <x v="1"/>
    <x v="1"/>
    <x v="1"/>
    <x v="6"/>
    <x v="5"/>
    <x v="94"/>
    <x v="6"/>
  </r>
  <r>
    <x v="1"/>
    <x v="12"/>
    <x v="0"/>
    <x v="1"/>
    <x v="1"/>
    <x v="1"/>
    <x v="3"/>
    <x v="5"/>
    <x v="95"/>
    <x v="6"/>
  </r>
  <r>
    <x v="1"/>
    <x v="1"/>
    <x v="0"/>
    <x v="1"/>
    <x v="1"/>
    <x v="1"/>
    <x v="3"/>
    <x v="5"/>
    <x v="95"/>
    <x v="6"/>
  </r>
  <r>
    <x v="1"/>
    <x v="1"/>
    <x v="0"/>
    <x v="1"/>
    <x v="1"/>
    <x v="1"/>
    <x v="4"/>
    <x v="5"/>
    <x v="96"/>
    <x v="6"/>
  </r>
  <r>
    <x v="1"/>
    <x v="1"/>
    <x v="0"/>
    <x v="1"/>
    <x v="1"/>
    <x v="1"/>
    <x v="4"/>
    <x v="5"/>
    <x v="96"/>
    <x v="6"/>
  </r>
  <r>
    <x v="1"/>
    <x v="10"/>
    <x v="0"/>
    <x v="1"/>
    <x v="1"/>
    <x v="1"/>
    <x v="0"/>
    <x v="5"/>
    <x v="97"/>
    <x v="6"/>
  </r>
  <r>
    <x v="1"/>
    <x v="10"/>
    <x v="0"/>
    <x v="1"/>
    <x v="1"/>
    <x v="1"/>
    <x v="5"/>
    <x v="5"/>
    <x v="100"/>
    <x v="6"/>
  </r>
  <r>
    <x v="1"/>
    <x v="8"/>
    <x v="0"/>
    <x v="1"/>
    <x v="1"/>
    <x v="2"/>
    <x v="5"/>
    <x v="5"/>
    <x v="100"/>
    <x v="6"/>
  </r>
  <r>
    <x v="1"/>
    <x v="11"/>
    <x v="0"/>
    <x v="1"/>
    <x v="1"/>
    <x v="2"/>
    <x v="5"/>
    <x v="5"/>
    <x v="100"/>
    <x v="6"/>
  </r>
  <r>
    <x v="1"/>
    <x v="4"/>
    <x v="0"/>
    <x v="1"/>
    <x v="1"/>
    <x v="0"/>
    <x v="3"/>
    <x v="5"/>
    <x v="101"/>
    <x v="6"/>
  </r>
  <r>
    <x v="1"/>
    <x v="0"/>
    <x v="0"/>
    <x v="1"/>
    <x v="1"/>
    <x v="0"/>
    <x v="3"/>
    <x v="5"/>
    <x v="101"/>
    <x v="6"/>
  </r>
  <r>
    <x v="1"/>
    <x v="3"/>
    <x v="0"/>
    <x v="1"/>
    <x v="1"/>
    <x v="2"/>
    <x v="0"/>
    <x v="5"/>
    <x v="295"/>
    <x v="6"/>
  </r>
  <r>
    <x v="1"/>
    <x v="3"/>
    <x v="0"/>
    <x v="1"/>
    <x v="1"/>
    <x v="2"/>
    <x v="0"/>
    <x v="5"/>
    <x v="295"/>
    <x v="6"/>
  </r>
  <r>
    <x v="1"/>
    <x v="1"/>
    <x v="0"/>
    <x v="1"/>
    <x v="1"/>
    <x v="1"/>
    <x v="1"/>
    <x v="5"/>
    <x v="296"/>
    <x v="6"/>
  </r>
  <r>
    <x v="1"/>
    <x v="7"/>
    <x v="0"/>
    <x v="1"/>
    <x v="1"/>
    <x v="1"/>
    <x v="1"/>
    <x v="5"/>
    <x v="296"/>
    <x v="6"/>
  </r>
  <r>
    <x v="1"/>
    <x v="4"/>
    <x v="0"/>
    <x v="1"/>
    <x v="1"/>
    <x v="0"/>
    <x v="2"/>
    <x v="6"/>
    <x v="103"/>
    <x v="6"/>
  </r>
  <r>
    <x v="1"/>
    <x v="4"/>
    <x v="0"/>
    <x v="1"/>
    <x v="1"/>
    <x v="0"/>
    <x v="2"/>
    <x v="6"/>
    <x v="103"/>
    <x v="6"/>
  </r>
  <r>
    <x v="1"/>
    <x v="2"/>
    <x v="0"/>
    <x v="1"/>
    <x v="1"/>
    <x v="0"/>
    <x v="2"/>
    <x v="6"/>
    <x v="103"/>
    <x v="6"/>
  </r>
  <r>
    <x v="1"/>
    <x v="9"/>
    <x v="0"/>
    <x v="1"/>
    <x v="1"/>
    <x v="1"/>
    <x v="5"/>
    <x v="6"/>
    <x v="104"/>
    <x v="6"/>
  </r>
  <r>
    <x v="1"/>
    <x v="2"/>
    <x v="0"/>
    <x v="1"/>
    <x v="1"/>
    <x v="0"/>
    <x v="5"/>
    <x v="6"/>
    <x v="104"/>
    <x v="6"/>
  </r>
  <r>
    <x v="1"/>
    <x v="10"/>
    <x v="0"/>
    <x v="1"/>
    <x v="1"/>
    <x v="1"/>
    <x v="6"/>
    <x v="6"/>
    <x v="297"/>
    <x v="6"/>
  </r>
  <r>
    <x v="1"/>
    <x v="10"/>
    <x v="0"/>
    <x v="1"/>
    <x v="1"/>
    <x v="1"/>
    <x v="6"/>
    <x v="6"/>
    <x v="297"/>
    <x v="6"/>
  </r>
  <r>
    <x v="1"/>
    <x v="10"/>
    <x v="0"/>
    <x v="1"/>
    <x v="1"/>
    <x v="1"/>
    <x v="6"/>
    <x v="6"/>
    <x v="297"/>
    <x v="6"/>
  </r>
  <r>
    <x v="1"/>
    <x v="2"/>
    <x v="0"/>
    <x v="1"/>
    <x v="1"/>
    <x v="0"/>
    <x v="6"/>
    <x v="6"/>
    <x v="297"/>
    <x v="6"/>
  </r>
  <r>
    <x v="1"/>
    <x v="2"/>
    <x v="0"/>
    <x v="1"/>
    <x v="1"/>
    <x v="0"/>
    <x v="6"/>
    <x v="6"/>
    <x v="297"/>
    <x v="6"/>
  </r>
  <r>
    <x v="1"/>
    <x v="8"/>
    <x v="0"/>
    <x v="1"/>
    <x v="1"/>
    <x v="2"/>
    <x v="6"/>
    <x v="6"/>
    <x v="297"/>
    <x v="6"/>
  </r>
  <r>
    <x v="1"/>
    <x v="13"/>
    <x v="0"/>
    <x v="1"/>
    <x v="1"/>
    <x v="2"/>
    <x v="6"/>
    <x v="6"/>
    <x v="297"/>
    <x v="6"/>
  </r>
  <r>
    <x v="1"/>
    <x v="7"/>
    <x v="0"/>
    <x v="1"/>
    <x v="1"/>
    <x v="1"/>
    <x v="3"/>
    <x v="6"/>
    <x v="105"/>
    <x v="6"/>
  </r>
  <r>
    <x v="1"/>
    <x v="7"/>
    <x v="0"/>
    <x v="1"/>
    <x v="1"/>
    <x v="1"/>
    <x v="3"/>
    <x v="6"/>
    <x v="105"/>
    <x v="6"/>
  </r>
  <r>
    <x v="1"/>
    <x v="0"/>
    <x v="0"/>
    <x v="1"/>
    <x v="1"/>
    <x v="0"/>
    <x v="3"/>
    <x v="6"/>
    <x v="105"/>
    <x v="6"/>
  </r>
  <r>
    <x v="1"/>
    <x v="13"/>
    <x v="0"/>
    <x v="1"/>
    <x v="1"/>
    <x v="2"/>
    <x v="3"/>
    <x v="6"/>
    <x v="105"/>
    <x v="6"/>
  </r>
  <r>
    <x v="1"/>
    <x v="10"/>
    <x v="0"/>
    <x v="1"/>
    <x v="1"/>
    <x v="1"/>
    <x v="4"/>
    <x v="6"/>
    <x v="106"/>
    <x v="6"/>
  </r>
  <r>
    <x v="1"/>
    <x v="1"/>
    <x v="0"/>
    <x v="1"/>
    <x v="1"/>
    <x v="1"/>
    <x v="4"/>
    <x v="6"/>
    <x v="106"/>
    <x v="6"/>
  </r>
  <r>
    <x v="1"/>
    <x v="6"/>
    <x v="0"/>
    <x v="1"/>
    <x v="1"/>
    <x v="0"/>
    <x v="4"/>
    <x v="6"/>
    <x v="106"/>
    <x v="6"/>
  </r>
  <r>
    <x v="1"/>
    <x v="15"/>
    <x v="0"/>
    <x v="1"/>
    <x v="1"/>
    <x v="2"/>
    <x v="4"/>
    <x v="6"/>
    <x v="106"/>
    <x v="6"/>
  </r>
  <r>
    <x v="1"/>
    <x v="15"/>
    <x v="0"/>
    <x v="1"/>
    <x v="1"/>
    <x v="2"/>
    <x v="4"/>
    <x v="6"/>
    <x v="106"/>
    <x v="6"/>
  </r>
  <r>
    <x v="1"/>
    <x v="10"/>
    <x v="0"/>
    <x v="1"/>
    <x v="1"/>
    <x v="1"/>
    <x v="1"/>
    <x v="6"/>
    <x v="108"/>
    <x v="6"/>
  </r>
  <r>
    <x v="1"/>
    <x v="10"/>
    <x v="0"/>
    <x v="1"/>
    <x v="1"/>
    <x v="1"/>
    <x v="1"/>
    <x v="6"/>
    <x v="108"/>
    <x v="6"/>
  </r>
  <r>
    <x v="1"/>
    <x v="7"/>
    <x v="0"/>
    <x v="1"/>
    <x v="1"/>
    <x v="1"/>
    <x v="1"/>
    <x v="6"/>
    <x v="108"/>
    <x v="6"/>
  </r>
  <r>
    <x v="1"/>
    <x v="12"/>
    <x v="0"/>
    <x v="1"/>
    <x v="1"/>
    <x v="1"/>
    <x v="5"/>
    <x v="6"/>
    <x v="110"/>
    <x v="6"/>
  </r>
  <r>
    <x v="1"/>
    <x v="7"/>
    <x v="0"/>
    <x v="1"/>
    <x v="1"/>
    <x v="1"/>
    <x v="5"/>
    <x v="6"/>
    <x v="110"/>
    <x v="6"/>
  </r>
  <r>
    <x v="1"/>
    <x v="7"/>
    <x v="0"/>
    <x v="1"/>
    <x v="1"/>
    <x v="1"/>
    <x v="5"/>
    <x v="6"/>
    <x v="110"/>
    <x v="6"/>
  </r>
  <r>
    <x v="1"/>
    <x v="8"/>
    <x v="0"/>
    <x v="1"/>
    <x v="1"/>
    <x v="2"/>
    <x v="6"/>
    <x v="6"/>
    <x v="111"/>
    <x v="6"/>
  </r>
  <r>
    <x v="1"/>
    <x v="15"/>
    <x v="0"/>
    <x v="1"/>
    <x v="1"/>
    <x v="2"/>
    <x v="6"/>
    <x v="6"/>
    <x v="111"/>
    <x v="6"/>
  </r>
  <r>
    <x v="1"/>
    <x v="10"/>
    <x v="0"/>
    <x v="1"/>
    <x v="1"/>
    <x v="1"/>
    <x v="3"/>
    <x v="6"/>
    <x v="298"/>
    <x v="6"/>
  </r>
  <r>
    <x v="1"/>
    <x v="14"/>
    <x v="0"/>
    <x v="1"/>
    <x v="1"/>
    <x v="2"/>
    <x v="3"/>
    <x v="6"/>
    <x v="298"/>
    <x v="6"/>
  </r>
  <r>
    <x v="1"/>
    <x v="1"/>
    <x v="0"/>
    <x v="1"/>
    <x v="1"/>
    <x v="1"/>
    <x v="4"/>
    <x v="6"/>
    <x v="112"/>
    <x v="6"/>
  </r>
  <r>
    <x v="1"/>
    <x v="7"/>
    <x v="0"/>
    <x v="1"/>
    <x v="1"/>
    <x v="1"/>
    <x v="4"/>
    <x v="6"/>
    <x v="112"/>
    <x v="6"/>
  </r>
  <r>
    <x v="1"/>
    <x v="5"/>
    <x v="0"/>
    <x v="1"/>
    <x v="1"/>
    <x v="0"/>
    <x v="0"/>
    <x v="6"/>
    <x v="299"/>
    <x v="6"/>
  </r>
  <r>
    <x v="1"/>
    <x v="5"/>
    <x v="0"/>
    <x v="1"/>
    <x v="1"/>
    <x v="0"/>
    <x v="0"/>
    <x v="6"/>
    <x v="299"/>
    <x v="6"/>
  </r>
  <r>
    <x v="1"/>
    <x v="10"/>
    <x v="0"/>
    <x v="1"/>
    <x v="1"/>
    <x v="1"/>
    <x v="2"/>
    <x v="6"/>
    <x v="113"/>
    <x v="6"/>
  </r>
  <r>
    <x v="1"/>
    <x v="0"/>
    <x v="0"/>
    <x v="1"/>
    <x v="1"/>
    <x v="0"/>
    <x v="5"/>
    <x v="6"/>
    <x v="300"/>
    <x v="6"/>
  </r>
  <r>
    <x v="1"/>
    <x v="3"/>
    <x v="0"/>
    <x v="1"/>
    <x v="1"/>
    <x v="2"/>
    <x v="5"/>
    <x v="6"/>
    <x v="300"/>
    <x v="6"/>
  </r>
  <r>
    <x v="1"/>
    <x v="15"/>
    <x v="0"/>
    <x v="1"/>
    <x v="1"/>
    <x v="2"/>
    <x v="5"/>
    <x v="6"/>
    <x v="300"/>
    <x v="6"/>
  </r>
  <r>
    <x v="1"/>
    <x v="15"/>
    <x v="0"/>
    <x v="1"/>
    <x v="1"/>
    <x v="2"/>
    <x v="5"/>
    <x v="6"/>
    <x v="300"/>
    <x v="6"/>
  </r>
  <r>
    <x v="1"/>
    <x v="15"/>
    <x v="0"/>
    <x v="1"/>
    <x v="1"/>
    <x v="2"/>
    <x v="5"/>
    <x v="6"/>
    <x v="300"/>
    <x v="6"/>
  </r>
  <r>
    <x v="1"/>
    <x v="9"/>
    <x v="0"/>
    <x v="1"/>
    <x v="1"/>
    <x v="1"/>
    <x v="6"/>
    <x v="6"/>
    <x v="301"/>
    <x v="6"/>
  </r>
  <r>
    <x v="1"/>
    <x v="10"/>
    <x v="0"/>
    <x v="1"/>
    <x v="1"/>
    <x v="1"/>
    <x v="6"/>
    <x v="6"/>
    <x v="301"/>
    <x v="6"/>
  </r>
  <r>
    <x v="1"/>
    <x v="10"/>
    <x v="0"/>
    <x v="1"/>
    <x v="1"/>
    <x v="1"/>
    <x v="6"/>
    <x v="6"/>
    <x v="301"/>
    <x v="6"/>
  </r>
  <r>
    <x v="1"/>
    <x v="4"/>
    <x v="0"/>
    <x v="1"/>
    <x v="1"/>
    <x v="0"/>
    <x v="6"/>
    <x v="6"/>
    <x v="301"/>
    <x v="6"/>
  </r>
  <r>
    <x v="1"/>
    <x v="0"/>
    <x v="0"/>
    <x v="1"/>
    <x v="1"/>
    <x v="0"/>
    <x v="6"/>
    <x v="6"/>
    <x v="301"/>
    <x v="6"/>
  </r>
  <r>
    <x v="1"/>
    <x v="13"/>
    <x v="0"/>
    <x v="1"/>
    <x v="1"/>
    <x v="2"/>
    <x v="6"/>
    <x v="6"/>
    <x v="301"/>
    <x v="6"/>
  </r>
  <r>
    <x v="1"/>
    <x v="13"/>
    <x v="0"/>
    <x v="1"/>
    <x v="1"/>
    <x v="2"/>
    <x v="6"/>
    <x v="6"/>
    <x v="301"/>
    <x v="6"/>
  </r>
  <r>
    <x v="1"/>
    <x v="13"/>
    <x v="0"/>
    <x v="1"/>
    <x v="1"/>
    <x v="2"/>
    <x v="6"/>
    <x v="6"/>
    <x v="301"/>
    <x v="6"/>
  </r>
  <r>
    <x v="1"/>
    <x v="13"/>
    <x v="0"/>
    <x v="1"/>
    <x v="1"/>
    <x v="2"/>
    <x v="6"/>
    <x v="6"/>
    <x v="301"/>
    <x v="6"/>
  </r>
  <r>
    <x v="1"/>
    <x v="13"/>
    <x v="0"/>
    <x v="1"/>
    <x v="1"/>
    <x v="2"/>
    <x v="6"/>
    <x v="6"/>
    <x v="301"/>
    <x v="6"/>
  </r>
  <r>
    <x v="1"/>
    <x v="15"/>
    <x v="0"/>
    <x v="1"/>
    <x v="1"/>
    <x v="2"/>
    <x v="3"/>
    <x v="6"/>
    <x v="302"/>
    <x v="6"/>
  </r>
  <r>
    <x v="1"/>
    <x v="15"/>
    <x v="0"/>
    <x v="1"/>
    <x v="1"/>
    <x v="2"/>
    <x v="3"/>
    <x v="6"/>
    <x v="302"/>
    <x v="6"/>
  </r>
  <r>
    <x v="1"/>
    <x v="9"/>
    <x v="0"/>
    <x v="1"/>
    <x v="1"/>
    <x v="1"/>
    <x v="4"/>
    <x v="6"/>
    <x v="114"/>
    <x v="6"/>
  </r>
  <r>
    <x v="1"/>
    <x v="0"/>
    <x v="0"/>
    <x v="1"/>
    <x v="1"/>
    <x v="0"/>
    <x v="4"/>
    <x v="6"/>
    <x v="114"/>
    <x v="6"/>
  </r>
  <r>
    <x v="1"/>
    <x v="9"/>
    <x v="0"/>
    <x v="1"/>
    <x v="1"/>
    <x v="1"/>
    <x v="0"/>
    <x v="6"/>
    <x v="115"/>
    <x v="6"/>
  </r>
  <r>
    <x v="1"/>
    <x v="10"/>
    <x v="0"/>
    <x v="1"/>
    <x v="1"/>
    <x v="1"/>
    <x v="0"/>
    <x v="6"/>
    <x v="115"/>
    <x v="6"/>
  </r>
  <r>
    <x v="1"/>
    <x v="0"/>
    <x v="0"/>
    <x v="1"/>
    <x v="1"/>
    <x v="0"/>
    <x v="0"/>
    <x v="6"/>
    <x v="115"/>
    <x v="6"/>
  </r>
  <r>
    <x v="1"/>
    <x v="15"/>
    <x v="0"/>
    <x v="1"/>
    <x v="1"/>
    <x v="2"/>
    <x v="0"/>
    <x v="6"/>
    <x v="115"/>
    <x v="6"/>
  </r>
  <r>
    <x v="1"/>
    <x v="15"/>
    <x v="0"/>
    <x v="1"/>
    <x v="1"/>
    <x v="2"/>
    <x v="0"/>
    <x v="6"/>
    <x v="115"/>
    <x v="6"/>
  </r>
  <r>
    <x v="1"/>
    <x v="11"/>
    <x v="0"/>
    <x v="1"/>
    <x v="1"/>
    <x v="2"/>
    <x v="1"/>
    <x v="6"/>
    <x v="116"/>
    <x v="6"/>
  </r>
  <r>
    <x v="1"/>
    <x v="1"/>
    <x v="0"/>
    <x v="1"/>
    <x v="1"/>
    <x v="1"/>
    <x v="2"/>
    <x v="6"/>
    <x v="117"/>
    <x v="6"/>
  </r>
  <r>
    <x v="1"/>
    <x v="7"/>
    <x v="0"/>
    <x v="1"/>
    <x v="1"/>
    <x v="1"/>
    <x v="2"/>
    <x v="6"/>
    <x v="117"/>
    <x v="6"/>
  </r>
  <r>
    <x v="1"/>
    <x v="4"/>
    <x v="0"/>
    <x v="1"/>
    <x v="1"/>
    <x v="0"/>
    <x v="2"/>
    <x v="6"/>
    <x v="117"/>
    <x v="6"/>
  </r>
  <r>
    <x v="1"/>
    <x v="0"/>
    <x v="0"/>
    <x v="1"/>
    <x v="1"/>
    <x v="0"/>
    <x v="2"/>
    <x v="6"/>
    <x v="117"/>
    <x v="6"/>
  </r>
  <r>
    <x v="1"/>
    <x v="0"/>
    <x v="0"/>
    <x v="1"/>
    <x v="1"/>
    <x v="0"/>
    <x v="2"/>
    <x v="6"/>
    <x v="117"/>
    <x v="6"/>
  </r>
  <r>
    <x v="1"/>
    <x v="0"/>
    <x v="0"/>
    <x v="1"/>
    <x v="1"/>
    <x v="0"/>
    <x v="2"/>
    <x v="6"/>
    <x v="117"/>
    <x v="6"/>
  </r>
  <r>
    <x v="1"/>
    <x v="5"/>
    <x v="0"/>
    <x v="1"/>
    <x v="1"/>
    <x v="0"/>
    <x v="2"/>
    <x v="6"/>
    <x v="117"/>
    <x v="6"/>
  </r>
  <r>
    <x v="1"/>
    <x v="14"/>
    <x v="0"/>
    <x v="1"/>
    <x v="1"/>
    <x v="2"/>
    <x v="2"/>
    <x v="6"/>
    <x v="117"/>
    <x v="6"/>
  </r>
  <r>
    <x v="1"/>
    <x v="14"/>
    <x v="0"/>
    <x v="1"/>
    <x v="1"/>
    <x v="2"/>
    <x v="2"/>
    <x v="6"/>
    <x v="117"/>
    <x v="6"/>
  </r>
  <r>
    <x v="1"/>
    <x v="15"/>
    <x v="0"/>
    <x v="1"/>
    <x v="1"/>
    <x v="2"/>
    <x v="2"/>
    <x v="6"/>
    <x v="117"/>
    <x v="6"/>
  </r>
  <r>
    <x v="1"/>
    <x v="15"/>
    <x v="0"/>
    <x v="1"/>
    <x v="1"/>
    <x v="2"/>
    <x v="2"/>
    <x v="6"/>
    <x v="117"/>
    <x v="6"/>
  </r>
  <r>
    <x v="1"/>
    <x v="11"/>
    <x v="0"/>
    <x v="1"/>
    <x v="1"/>
    <x v="2"/>
    <x v="2"/>
    <x v="6"/>
    <x v="117"/>
    <x v="6"/>
  </r>
  <r>
    <x v="1"/>
    <x v="10"/>
    <x v="0"/>
    <x v="1"/>
    <x v="1"/>
    <x v="1"/>
    <x v="5"/>
    <x v="6"/>
    <x v="118"/>
    <x v="6"/>
  </r>
  <r>
    <x v="1"/>
    <x v="2"/>
    <x v="0"/>
    <x v="1"/>
    <x v="1"/>
    <x v="0"/>
    <x v="5"/>
    <x v="6"/>
    <x v="118"/>
    <x v="6"/>
  </r>
  <r>
    <x v="1"/>
    <x v="11"/>
    <x v="0"/>
    <x v="1"/>
    <x v="1"/>
    <x v="2"/>
    <x v="5"/>
    <x v="6"/>
    <x v="118"/>
    <x v="6"/>
  </r>
  <r>
    <x v="1"/>
    <x v="11"/>
    <x v="0"/>
    <x v="1"/>
    <x v="1"/>
    <x v="2"/>
    <x v="5"/>
    <x v="6"/>
    <x v="118"/>
    <x v="6"/>
  </r>
  <r>
    <x v="1"/>
    <x v="9"/>
    <x v="0"/>
    <x v="1"/>
    <x v="1"/>
    <x v="1"/>
    <x v="6"/>
    <x v="6"/>
    <x v="119"/>
    <x v="6"/>
  </r>
  <r>
    <x v="1"/>
    <x v="15"/>
    <x v="0"/>
    <x v="1"/>
    <x v="1"/>
    <x v="2"/>
    <x v="6"/>
    <x v="6"/>
    <x v="119"/>
    <x v="6"/>
  </r>
  <r>
    <x v="1"/>
    <x v="15"/>
    <x v="0"/>
    <x v="1"/>
    <x v="1"/>
    <x v="2"/>
    <x v="6"/>
    <x v="6"/>
    <x v="119"/>
    <x v="6"/>
  </r>
  <r>
    <x v="1"/>
    <x v="7"/>
    <x v="0"/>
    <x v="1"/>
    <x v="1"/>
    <x v="1"/>
    <x v="3"/>
    <x v="6"/>
    <x v="120"/>
    <x v="6"/>
  </r>
  <r>
    <x v="1"/>
    <x v="0"/>
    <x v="0"/>
    <x v="1"/>
    <x v="1"/>
    <x v="0"/>
    <x v="3"/>
    <x v="6"/>
    <x v="120"/>
    <x v="6"/>
  </r>
  <r>
    <x v="1"/>
    <x v="0"/>
    <x v="0"/>
    <x v="1"/>
    <x v="1"/>
    <x v="0"/>
    <x v="3"/>
    <x v="6"/>
    <x v="120"/>
    <x v="6"/>
  </r>
  <r>
    <x v="1"/>
    <x v="3"/>
    <x v="0"/>
    <x v="1"/>
    <x v="1"/>
    <x v="2"/>
    <x v="3"/>
    <x v="6"/>
    <x v="120"/>
    <x v="6"/>
  </r>
  <r>
    <x v="1"/>
    <x v="3"/>
    <x v="0"/>
    <x v="1"/>
    <x v="1"/>
    <x v="2"/>
    <x v="3"/>
    <x v="6"/>
    <x v="120"/>
    <x v="6"/>
  </r>
  <r>
    <x v="1"/>
    <x v="11"/>
    <x v="0"/>
    <x v="1"/>
    <x v="1"/>
    <x v="2"/>
    <x v="3"/>
    <x v="6"/>
    <x v="120"/>
    <x v="6"/>
  </r>
  <r>
    <x v="1"/>
    <x v="1"/>
    <x v="0"/>
    <x v="1"/>
    <x v="1"/>
    <x v="1"/>
    <x v="4"/>
    <x v="6"/>
    <x v="303"/>
    <x v="6"/>
  </r>
  <r>
    <x v="1"/>
    <x v="11"/>
    <x v="0"/>
    <x v="1"/>
    <x v="1"/>
    <x v="2"/>
    <x v="4"/>
    <x v="6"/>
    <x v="303"/>
    <x v="6"/>
  </r>
  <r>
    <x v="1"/>
    <x v="10"/>
    <x v="0"/>
    <x v="1"/>
    <x v="1"/>
    <x v="1"/>
    <x v="0"/>
    <x v="6"/>
    <x v="121"/>
    <x v="6"/>
  </r>
  <r>
    <x v="1"/>
    <x v="1"/>
    <x v="0"/>
    <x v="1"/>
    <x v="1"/>
    <x v="1"/>
    <x v="0"/>
    <x v="6"/>
    <x v="121"/>
    <x v="6"/>
  </r>
  <r>
    <x v="1"/>
    <x v="7"/>
    <x v="0"/>
    <x v="1"/>
    <x v="1"/>
    <x v="1"/>
    <x v="0"/>
    <x v="6"/>
    <x v="121"/>
    <x v="6"/>
  </r>
  <r>
    <x v="1"/>
    <x v="0"/>
    <x v="0"/>
    <x v="1"/>
    <x v="1"/>
    <x v="0"/>
    <x v="0"/>
    <x v="6"/>
    <x v="121"/>
    <x v="6"/>
  </r>
  <r>
    <x v="1"/>
    <x v="14"/>
    <x v="0"/>
    <x v="1"/>
    <x v="1"/>
    <x v="2"/>
    <x v="0"/>
    <x v="6"/>
    <x v="121"/>
    <x v="6"/>
  </r>
  <r>
    <x v="1"/>
    <x v="9"/>
    <x v="0"/>
    <x v="1"/>
    <x v="1"/>
    <x v="1"/>
    <x v="1"/>
    <x v="6"/>
    <x v="304"/>
    <x v="6"/>
  </r>
  <r>
    <x v="1"/>
    <x v="10"/>
    <x v="0"/>
    <x v="1"/>
    <x v="1"/>
    <x v="1"/>
    <x v="1"/>
    <x v="6"/>
    <x v="304"/>
    <x v="6"/>
  </r>
  <r>
    <x v="1"/>
    <x v="3"/>
    <x v="0"/>
    <x v="6"/>
    <x v="1"/>
    <x v="2"/>
    <x v="1"/>
    <x v="6"/>
    <x v="304"/>
    <x v="7"/>
  </r>
  <r>
    <x v="1"/>
    <x v="1"/>
    <x v="0"/>
    <x v="6"/>
    <x v="1"/>
    <x v="1"/>
    <x v="2"/>
    <x v="6"/>
    <x v="122"/>
    <x v="7"/>
  </r>
  <r>
    <x v="1"/>
    <x v="1"/>
    <x v="0"/>
    <x v="6"/>
    <x v="1"/>
    <x v="1"/>
    <x v="5"/>
    <x v="6"/>
    <x v="305"/>
    <x v="7"/>
  </r>
  <r>
    <x v="1"/>
    <x v="7"/>
    <x v="0"/>
    <x v="6"/>
    <x v="1"/>
    <x v="1"/>
    <x v="5"/>
    <x v="6"/>
    <x v="305"/>
    <x v="7"/>
  </r>
  <r>
    <x v="1"/>
    <x v="6"/>
    <x v="0"/>
    <x v="6"/>
    <x v="1"/>
    <x v="0"/>
    <x v="5"/>
    <x v="6"/>
    <x v="305"/>
    <x v="7"/>
  </r>
  <r>
    <x v="1"/>
    <x v="13"/>
    <x v="0"/>
    <x v="6"/>
    <x v="1"/>
    <x v="2"/>
    <x v="5"/>
    <x v="6"/>
    <x v="305"/>
    <x v="7"/>
  </r>
  <r>
    <x v="1"/>
    <x v="14"/>
    <x v="0"/>
    <x v="6"/>
    <x v="1"/>
    <x v="2"/>
    <x v="5"/>
    <x v="6"/>
    <x v="305"/>
    <x v="7"/>
  </r>
  <r>
    <x v="1"/>
    <x v="14"/>
    <x v="0"/>
    <x v="6"/>
    <x v="1"/>
    <x v="2"/>
    <x v="5"/>
    <x v="6"/>
    <x v="305"/>
    <x v="7"/>
  </r>
  <r>
    <x v="1"/>
    <x v="15"/>
    <x v="0"/>
    <x v="6"/>
    <x v="1"/>
    <x v="2"/>
    <x v="5"/>
    <x v="6"/>
    <x v="305"/>
    <x v="7"/>
  </r>
  <r>
    <x v="1"/>
    <x v="10"/>
    <x v="0"/>
    <x v="6"/>
    <x v="1"/>
    <x v="1"/>
    <x v="6"/>
    <x v="7"/>
    <x v="123"/>
    <x v="7"/>
  </r>
  <r>
    <x v="1"/>
    <x v="1"/>
    <x v="0"/>
    <x v="6"/>
    <x v="1"/>
    <x v="1"/>
    <x v="6"/>
    <x v="7"/>
    <x v="123"/>
    <x v="7"/>
  </r>
  <r>
    <x v="1"/>
    <x v="1"/>
    <x v="0"/>
    <x v="6"/>
    <x v="1"/>
    <x v="1"/>
    <x v="6"/>
    <x v="7"/>
    <x v="123"/>
    <x v="7"/>
  </r>
  <r>
    <x v="1"/>
    <x v="7"/>
    <x v="0"/>
    <x v="6"/>
    <x v="1"/>
    <x v="1"/>
    <x v="6"/>
    <x v="7"/>
    <x v="123"/>
    <x v="7"/>
  </r>
  <r>
    <x v="1"/>
    <x v="4"/>
    <x v="0"/>
    <x v="6"/>
    <x v="1"/>
    <x v="0"/>
    <x v="6"/>
    <x v="7"/>
    <x v="123"/>
    <x v="7"/>
  </r>
  <r>
    <x v="1"/>
    <x v="4"/>
    <x v="0"/>
    <x v="6"/>
    <x v="1"/>
    <x v="0"/>
    <x v="6"/>
    <x v="7"/>
    <x v="123"/>
    <x v="7"/>
  </r>
  <r>
    <x v="1"/>
    <x v="2"/>
    <x v="0"/>
    <x v="6"/>
    <x v="1"/>
    <x v="0"/>
    <x v="6"/>
    <x v="7"/>
    <x v="123"/>
    <x v="7"/>
  </r>
  <r>
    <x v="1"/>
    <x v="10"/>
    <x v="0"/>
    <x v="6"/>
    <x v="1"/>
    <x v="1"/>
    <x v="3"/>
    <x v="7"/>
    <x v="306"/>
    <x v="7"/>
  </r>
  <r>
    <x v="1"/>
    <x v="1"/>
    <x v="0"/>
    <x v="6"/>
    <x v="1"/>
    <x v="1"/>
    <x v="3"/>
    <x v="7"/>
    <x v="306"/>
    <x v="7"/>
  </r>
  <r>
    <x v="1"/>
    <x v="5"/>
    <x v="0"/>
    <x v="6"/>
    <x v="1"/>
    <x v="0"/>
    <x v="4"/>
    <x v="7"/>
    <x v="307"/>
    <x v="7"/>
  </r>
  <r>
    <x v="1"/>
    <x v="10"/>
    <x v="0"/>
    <x v="6"/>
    <x v="1"/>
    <x v="1"/>
    <x v="0"/>
    <x v="7"/>
    <x v="124"/>
    <x v="7"/>
  </r>
  <r>
    <x v="1"/>
    <x v="4"/>
    <x v="0"/>
    <x v="6"/>
    <x v="1"/>
    <x v="0"/>
    <x v="2"/>
    <x v="7"/>
    <x v="126"/>
    <x v="7"/>
  </r>
  <r>
    <x v="1"/>
    <x v="0"/>
    <x v="0"/>
    <x v="6"/>
    <x v="1"/>
    <x v="0"/>
    <x v="2"/>
    <x v="7"/>
    <x v="126"/>
    <x v="7"/>
  </r>
  <r>
    <x v="1"/>
    <x v="8"/>
    <x v="0"/>
    <x v="6"/>
    <x v="1"/>
    <x v="2"/>
    <x v="2"/>
    <x v="7"/>
    <x v="126"/>
    <x v="7"/>
  </r>
  <r>
    <x v="1"/>
    <x v="9"/>
    <x v="0"/>
    <x v="6"/>
    <x v="1"/>
    <x v="1"/>
    <x v="5"/>
    <x v="7"/>
    <x v="127"/>
    <x v="7"/>
  </r>
  <r>
    <x v="1"/>
    <x v="4"/>
    <x v="0"/>
    <x v="6"/>
    <x v="1"/>
    <x v="0"/>
    <x v="5"/>
    <x v="7"/>
    <x v="127"/>
    <x v="7"/>
  </r>
  <r>
    <x v="1"/>
    <x v="10"/>
    <x v="0"/>
    <x v="6"/>
    <x v="1"/>
    <x v="1"/>
    <x v="6"/>
    <x v="7"/>
    <x v="128"/>
    <x v="7"/>
  </r>
  <r>
    <x v="1"/>
    <x v="5"/>
    <x v="0"/>
    <x v="6"/>
    <x v="1"/>
    <x v="0"/>
    <x v="6"/>
    <x v="7"/>
    <x v="128"/>
    <x v="7"/>
  </r>
  <r>
    <x v="1"/>
    <x v="15"/>
    <x v="0"/>
    <x v="6"/>
    <x v="1"/>
    <x v="2"/>
    <x v="6"/>
    <x v="7"/>
    <x v="128"/>
    <x v="7"/>
  </r>
  <r>
    <x v="1"/>
    <x v="15"/>
    <x v="0"/>
    <x v="6"/>
    <x v="1"/>
    <x v="2"/>
    <x v="6"/>
    <x v="7"/>
    <x v="128"/>
    <x v="7"/>
  </r>
  <r>
    <x v="1"/>
    <x v="9"/>
    <x v="0"/>
    <x v="6"/>
    <x v="1"/>
    <x v="1"/>
    <x v="3"/>
    <x v="7"/>
    <x v="129"/>
    <x v="7"/>
  </r>
  <r>
    <x v="1"/>
    <x v="10"/>
    <x v="0"/>
    <x v="6"/>
    <x v="1"/>
    <x v="1"/>
    <x v="3"/>
    <x v="7"/>
    <x v="129"/>
    <x v="7"/>
  </r>
  <r>
    <x v="1"/>
    <x v="0"/>
    <x v="0"/>
    <x v="6"/>
    <x v="1"/>
    <x v="0"/>
    <x v="3"/>
    <x v="7"/>
    <x v="129"/>
    <x v="7"/>
  </r>
  <r>
    <x v="1"/>
    <x v="10"/>
    <x v="0"/>
    <x v="6"/>
    <x v="1"/>
    <x v="1"/>
    <x v="4"/>
    <x v="7"/>
    <x v="130"/>
    <x v="7"/>
  </r>
  <r>
    <x v="1"/>
    <x v="8"/>
    <x v="0"/>
    <x v="6"/>
    <x v="1"/>
    <x v="2"/>
    <x v="4"/>
    <x v="7"/>
    <x v="130"/>
    <x v="7"/>
  </r>
  <r>
    <x v="1"/>
    <x v="12"/>
    <x v="0"/>
    <x v="6"/>
    <x v="1"/>
    <x v="1"/>
    <x v="0"/>
    <x v="7"/>
    <x v="131"/>
    <x v="7"/>
  </r>
  <r>
    <x v="1"/>
    <x v="9"/>
    <x v="0"/>
    <x v="6"/>
    <x v="1"/>
    <x v="1"/>
    <x v="0"/>
    <x v="7"/>
    <x v="131"/>
    <x v="7"/>
  </r>
  <r>
    <x v="1"/>
    <x v="10"/>
    <x v="0"/>
    <x v="6"/>
    <x v="1"/>
    <x v="1"/>
    <x v="0"/>
    <x v="7"/>
    <x v="131"/>
    <x v="7"/>
  </r>
  <r>
    <x v="1"/>
    <x v="1"/>
    <x v="0"/>
    <x v="6"/>
    <x v="1"/>
    <x v="1"/>
    <x v="0"/>
    <x v="7"/>
    <x v="131"/>
    <x v="7"/>
  </r>
  <r>
    <x v="1"/>
    <x v="15"/>
    <x v="0"/>
    <x v="6"/>
    <x v="1"/>
    <x v="2"/>
    <x v="0"/>
    <x v="7"/>
    <x v="131"/>
    <x v="7"/>
  </r>
  <r>
    <x v="1"/>
    <x v="7"/>
    <x v="0"/>
    <x v="6"/>
    <x v="1"/>
    <x v="1"/>
    <x v="1"/>
    <x v="7"/>
    <x v="308"/>
    <x v="7"/>
  </r>
  <r>
    <x v="1"/>
    <x v="4"/>
    <x v="0"/>
    <x v="6"/>
    <x v="1"/>
    <x v="0"/>
    <x v="2"/>
    <x v="7"/>
    <x v="309"/>
    <x v="7"/>
  </r>
  <r>
    <x v="1"/>
    <x v="9"/>
    <x v="0"/>
    <x v="6"/>
    <x v="1"/>
    <x v="1"/>
    <x v="5"/>
    <x v="7"/>
    <x v="132"/>
    <x v="7"/>
  </r>
  <r>
    <x v="1"/>
    <x v="0"/>
    <x v="0"/>
    <x v="6"/>
    <x v="1"/>
    <x v="0"/>
    <x v="6"/>
    <x v="7"/>
    <x v="133"/>
    <x v="7"/>
  </r>
  <r>
    <x v="1"/>
    <x v="9"/>
    <x v="0"/>
    <x v="6"/>
    <x v="1"/>
    <x v="1"/>
    <x v="3"/>
    <x v="7"/>
    <x v="134"/>
    <x v="7"/>
  </r>
  <r>
    <x v="1"/>
    <x v="1"/>
    <x v="0"/>
    <x v="6"/>
    <x v="1"/>
    <x v="1"/>
    <x v="3"/>
    <x v="7"/>
    <x v="134"/>
    <x v="7"/>
  </r>
  <r>
    <x v="1"/>
    <x v="1"/>
    <x v="0"/>
    <x v="6"/>
    <x v="1"/>
    <x v="1"/>
    <x v="3"/>
    <x v="7"/>
    <x v="134"/>
    <x v="7"/>
  </r>
  <r>
    <x v="1"/>
    <x v="1"/>
    <x v="0"/>
    <x v="6"/>
    <x v="1"/>
    <x v="1"/>
    <x v="3"/>
    <x v="7"/>
    <x v="134"/>
    <x v="7"/>
  </r>
  <r>
    <x v="1"/>
    <x v="4"/>
    <x v="0"/>
    <x v="6"/>
    <x v="1"/>
    <x v="0"/>
    <x v="3"/>
    <x v="7"/>
    <x v="134"/>
    <x v="7"/>
  </r>
  <r>
    <x v="1"/>
    <x v="3"/>
    <x v="0"/>
    <x v="6"/>
    <x v="1"/>
    <x v="2"/>
    <x v="3"/>
    <x v="7"/>
    <x v="134"/>
    <x v="7"/>
  </r>
  <r>
    <x v="1"/>
    <x v="13"/>
    <x v="0"/>
    <x v="6"/>
    <x v="1"/>
    <x v="2"/>
    <x v="3"/>
    <x v="7"/>
    <x v="134"/>
    <x v="7"/>
  </r>
  <r>
    <x v="1"/>
    <x v="13"/>
    <x v="0"/>
    <x v="6"/>
    <x v="1"/>
    <x v="2"/>
    <x v="3"/>
    <x v="7"/>
    <x v="134"/>
    <x v="7"/>
  </r>
  <r>
    <x v="1"/>
    <x v="10"/>
    <x v="0"/>
    <x v="6"/>
    <x v="1"/>
    <x v="1"/>
    <x v="4"/>
    <x v="7"/>
    <x v="135"/>
    <x v="7"/>
  </r>
  <r>
    <x v="1"/>
    <x v="7"/>
    <x v="0"/>
    <x v="6"/>
    <x v="1"/>
    <x v="1"/>
    <x v="4"/>
    <x v="7"/>
    <x v="135"/>
    <x v="7"/>
  </r>
  <r>
    <x v="1"/>
    <x v="14"/>
    <x v="0"/>
    <x v="6"/>
    <x v="1"/>
    <x v="2"/>
    <x v="4"/>
    <x v="7"/>
    <x v="135"/>
    <x v="7"/>
  </r>
  <r>
    <x v="1"/>
    <x v="15"/>
    <x v="0"/>
    <x v="6"/>
    <x v="1"/>
    <x v="2"/>
    <x v="0"/>
    <x v="7"/>
    <x v="136"/>
    <x v="7"/>
  </r>
  <r>
    <x v="1"/>
    <x v="9"/>
    <x v="0"/>
    <x v="6"/>
    <x v="1"/>
    <x v="1"/>
    <x v="1"/>
    <x v="7"/>
    <x v="310"/>
    <x v="7"/>
  </r>
  <r>
    <x v="1"/>
    <x v="5"/>
    <x v="0"/>
    <x v="6"/>
    <x v="1"/>
    <x v="0"/>
    <x v="2"/>
    <x v="7"/>
    <x v="311"/>
    <x v="7"/>
  </r>
  <r>
    <x v="1"/>
    <x v="10"/>
    <x v="0"/>
    <x v="6"/>
    <x v="1"/>
    <x v="1"/>
    <x v="5"/>
    <x v="7"/>
    <x v="137"/>
    <x v="7"/>
  </r>
  <r>
    <x v="1"/>
    <x v="5"/>
    <x v="0"/>
    <x v="6"/>
    <x v="1"/>
    <x v="0"/>
    <x v="5"/>
    <x v="7"/>
    <x v="137"/>
    <x v="7"/>
  </r>
  <r>
    <x v="1"/>
    <x v="9"/>
    <x v="0"/>
    <x v="6"/>
    <x v="1"/>
    <x v="1"/>
    <x v="6"/>
    <x v="7"/>
    <x v="138"/>
    <x v="7"/>
  </r>
  <r>
    <x v="1"/>
    <x v="9"/>
    <x v="0"/>
    <x v="6"/>
    <x v="1"/>
    <x v="1"/>
    <x v="3"/>
    <x v="7"/>
    <x v="312"/>
    <x v="7"/>
  </r>
  <r>
    <x v="1"/>
    <x v="4"/>
    <x v="0"/>
    <x v="6"/>
    <x v="1"/>
    <x v="0"/>
    <x v="3"/>
    <x v="7"/>
    <x v="312"/>
    <x v="7"/>
  </r>
  <r>
    <x v="1"/>
    <x v="6"/>
    <x v="0"/>
    <x v="6"/>
    <x v="1"/>
    <x v="0"/>
    <x v="3"/>
    <x v="7"/>
    <x v="312"/>
    <x v="7"/>
  </r>
  <r>
    <x v="1"/>
    <x v="6"/>
    <x v="0"/>
    <x v="6"/>
    <x v="1"/>
    <x v="0"/>
    <x v="3"/>
    <x v="7"/>
    <x v="312"/>
    <x v="7"/>
  </r>
  <r>
    <x v="1"/>
    <x v="15"/>
    <x v="0"/>
    <x v="6"/>
    <x v="1"/>
    <x v="2"/>
    <x v="3"/>
    <x v="7"/>
    <x v="312"/>
    <x v="7"/>
  </r>
  <r>
    <x v="1"/>
    <x v="1"/>
    <x v="0"/>
    <x v="6"/>
    <x v="1"/>
    <x v="1"/>
    <x v="0"/>
    <x v="7"/>
    <x v="140"/>
    <x v="7"/>
  </r>
  <r>
    <x v="1"/>
    <x v="2"/>
    <x v="0"/>
    <x v="6"/>
    <x v="1"/>
    <x v="0"/>
    <x v="1"/>
    <x v="7"/>
    <x v="141"/>
    <x v="7"/>
  </r>
  <r>
    <x v="1"/>
    <x v="5"/>
    <x v="0"/>
    <x v="6"/>
    <x v="1"/>
    <x v="0"/>
    <x v="1"/>
    <x v="7"/>
    <x v="141"/>
    <x v="7"/>
  </r>
  <r>
    <x v="1"/>
    <x v="5"/>
    <x v="0"/>
    <x v="6"/>
    <x v="1"/>
    <x v="0"/>
    <x v="1"/>
    <x v="7"/>
    <x v="141"/>
    <x v="7"/>
  </r>
  <r>
    <x v="1"/>
    <x v="14"/>
    <x v="0"/>
    <x v="6"/>
    <x v="1"/>
    <x v="2"/>
    <x v="1"/>
    <x v="7"/>
    <x v="141"/>
    <x v="7"/>
  </r>
  <r>
    <x v="1"/>
    <x v="7"/>
    <x v="0"/>
    <x v="6"/>
    <x v="1"/>
    <x v="1"/>
    <x v="2"/>
    <x v="7"/>
    <x v="313"/>
    <x v="7"/>
  </r>
  <r>
    <x v="1"/>
    <x v="4"/>
    <x v="0"/>
    <x v="6"/>
    <x v="1"/>
    <x v="0"/>
    <x v="2"/>
    <x v="7"/>
    <x v="313"/>
    <x v="7"/>
  </r>
  <r>
    <x v="1"/>
    <x v="10"/>
    <x v="0"/>
    <x v="6"/>
    <x v="1"/>
    <x v="1"/>
    <x v="5"/>
    <x v="7"/>
    <x v="142"/>
    <x v="7"/>
  </r>
  <r>
    <x v="1"/>
    <x v="4"/>
    <x v="0"/>
    <x v="6"/>
    <x v="1"/>
    <x v="0"/>
    <x v="5"/>
    <x v="7"/>
    <x v="142"/>
    <x v="7"/>
  </r>
  <r>
    <x v="1"/>
    <x v="2"/>
    <x v="0"/>
    <x v="6"/>
    <x v="1"/>
    <x v="0"/>
    <x v="5"/>
    <x v="7"/>
    <x v="142"/>
    <x v="7"/>
  </r>
  <r>
    <x v="1"/>
    <x v="2"/>
    <x v="0"/>
    <x v="6"/>
    <x v="1"/>
    <x v="0"/>
    <x v="5"/>
    <x v="7"/>
    <x v="142"/>
    <x v="7"/>
  </r>
  <r>
    <x v="1"/>
    <x v="2"/>
    <x v="0"/>
    <x v="6"/>
    <x v="1"/>
    <x v="0"/>
    <x v="5"/>
    <x v="7"/>
    <x v="142"/>
    <x v="7"/>
  </r>
  <r>
    <x v="1"/>
    <x v="15"/>
    <x v="0"/>
    <x v="6"/>
    <x v="1"/>
    <x v="2"/>
    <x v="5"/>
    <x v="7"/>
    <x v="142"/>
    <x v="7"/>
  </r>
  <r>
    <x v="1"/>
    <x v="11"/>
    <x v="0"/>
    <x v="6"/>
    <x v="1"/>
    <x v="2"/>
    <x v="5"/>
    <x v="7"/>
    <x v="142"/>
    <x v="7"/>
  </r>
  <r>
    <x v="1"/>
    <x v="7"/>
    <x v="0"/>
    <x v="6"/>
    <x v="1"/>
    <x v="1"/>
    <x v="6"/>
    <x v="7"/>
    <x v="314"/>
    <x v="7"/>
  </r>
  <r>
    <x v="1"/>
    <x v="8"/>
    <x v="0"/>
    <x v="6"/>
    <x v="1"/>
    <x v="2"/>
    <x v="6"/>
    <x v="7"/>
    <x v="314"/>
    <x v="7"/>
  </r>
  <r>
    <x v="1"/>
    <x v="8"/>
    <x v="0"/>
    <x v="6"/>
    <x v="1"/>
    <x v="2"/>
    <x v="6"/>
    <x v="7"/>
    <x v="314"/>
    <x v="7"/>
  </r>
  <r>
    <x v="1"/>
    <x v="13"/>
    <x v="0"/>
    <x v="6"/>
    <x v="1"/>
    <x v="2"/>
    <x v="6"/>
    <x v="7"/>
    <x v="314"/>
    <x v="7"/>
  </r>
  <r>
    <x v="1"/>
    <x v="9"/>
    <x v="0"/>
    <x v="6"/>
    <x v="1"/>
    <x v="1"/>
    <x v="3"/>
    <x v="7"/>
    <x v="143"/>
    <x v="7"/>
  </r>
  <r>
    <x v="1"/>
    <x v="9"/>
    <x v="0"/>
    <x v="6"/>
    <x v="1"/>
    <x v="1"/>
    <x v="3"/>
    <x v="7"/>
    <x v="143"/>
    <x v="7"/>
  </r>
  <r>
    <x v="1"/>
    <x v="4"/>
    <x v="0"/>
    <x v="6"/>
    <x v="1"/>
    <x v="0"/>
    <x v="3"/>
    <x v="7"/>
    <x v="143"/>
    <x v="7"/>
  </r>
  <r>
    <x v="1"/>
    <x v="6"/>
    <x v="0"/>
    <x v="6"/>
    <x v="1"/>
    <x v="0"/>
    <x v="3"/>
    <x v="7"/>
    <x v="143"/>
    <x v="7"/>
  </r>
  <r>
    <x v="1"/>
    <x v="13"/>
    <x v="0"/>
    <x v="6"/>
    <x v="1"/>
    <x v="2"/>
    <x v="3"/>
    <x v="7"/>
    <x v="143"/>
    <x v="7"/>
  </r>
  <r>
    <x v="1"/>
    <x v="13"/>
    <x v="0"/>
    <x v="6"/>
    <x v="1"/>
    <x v="2"/>
    <x v="3"/>
    <x v="7"/>
    <x v="143"/>
    <x v="7"/>
  </r>
  <r>
    <x v="1"/>
    <x v="10"/>
    <x v="0"/>
    <x v="6"/>
    <x v="1"/>
    <x v="1"/>
    <x v="4"/>
    <x v="7"/>
    <x v="315"/>
    <x v="7"/>
  </r>
  <r>
    <x v="1"/>
    <x v="6"/>
    <x v="0"/>
    <x v="6"/>
    <x v="1"/>
    <x v="0"/>
    <x v="4"/>
    <x v="7"/>
    <x v="315"/>
    <x v="7"/>
  </r>
  <r>
    <x v="1"/>
    <x v="11"/>
    <x v="0"/>
    <x v="6"/>
    <x v="1"/>
    <x v="2"/>
    <x v="0"/>
    <x v="8"/>
    <x v="144"/>
    <x v="7"/>
  </r>
  <r>
    <x v="1"/>
    <x v="1"/>
    <x v="0"/>
    <x v="6"/>
    <x v="1"/>
    <x v="1"/>
    <x v="1"/>
    <x v="8"/>
    <x v="145"/>
    <x v="7"/>
  </r>
  <r>
    <x v="1"/>
    <x v="2"/>
    <x v="0"/>
    <x v="6"/>
    <x v="1"/>
    <x v="0"/>
    <x v="1"/>
    <x v="8"/>
    <x v="145"/>
    <x v="7"/>
  </r>
  <r>
    <x v="1"/>
    <x v="8"/>
    <x v="0"/>
    <x v="6"/>
    <x v="1"/>
    <x v="2"/>
    <x v="1"/>
    <x v="8"/>
    <x v="145"/>
    <x v="7"/>
  </r>
  <r>
    <x v="1"/>
    <x v="10"/>
    <x v="0"/>
    <x v="6"/>
    <x v="1"/>
    <x v="1"/>
    <x v="2"/>
    <x v="8"/>
    <x v="146"/>
    <x v="7"/>
  </r>
  <r>
    <x v="1"/>
    <x v="10"/>
    <x v="0"/>
    <x v="6"/>
    <x v="1"/>
    <x v="1"/>
    <x v="2"/>
    <x v="8"/>
    <x v="146"/>
    <x v="7"/>
  </r>
  <r>
    <x v="1"/>
    <x v="0"/>
    <x v="0"/>
    <x v="6"/>
    <x v="1"/>
    <x v="0"/>
    <x v="2"/>
    <x v="8"/>
    <x v="146"/>
    <x v="7"/>
  </r>
  <r>
    <x v="1"/>
    <x v="0"/>
    <x v="0"/>
    <x v="6"/>
    <x v="1"/>
    <x v="0"/>
    <x v="2"/>
    <x v="8"/>
    <x v="146"/>
    <x v="7"/>
  </r>
  <r>
    <x v="1"/>
    <x v="9"/>
    <x v="0"/>
    <x v="6"/>
    <x v="1"/>
    <x v="1"/>
    <x v="5"/>
    <x v="8"/>
    <x v="147"/>
    <x v="7"/>
  </r>
  <r>
    <x v="1"/>
    <x v="4"/>
    <x v="0"/>
    <x v="6"/>
    <x v="1"/>
    <x v="0"/>
    <x v="5"/>
    <x v="8"/>
    <x v="147"/>
    <x v="7"/>
  </r>
  <r>
    <x v="1"/>
    <x v="10"/>
    <x v="0"/>
    <x v="6"/>
    <x v="1"/>
    <x v="1"/>
    <x v="6"/>
    <x v="8"/>
    <x v="316"/>
    <x v="7"/>
  </r>
  <r>
    <x v="1"/>
    <x v="10"/>
    <x v="0"/>
    <x v="6"/>
    <x v="1"/>
    <x v="1"/>
    <x v="6"/>
    <x v="8"/>
    <x v="316"/>
    <x v="7"/>
  </r>
  <r>
    <x v="1"/>
    <x v="1"/>
    <x v="0"/>
    <x v="6"/>
    <x v="1"/>
    <x v="1"/>
    <x v="6"/>
    <x v="8"/>
    <x v="316"/>
    <x v="7"/>
  </r>
  <r>
    <x v="1"/>
    <x v="11"/>
    <x v="0"/>
    <x v="6"/>
    <x v="1"/>
    <x v="2"/>
    <x v="6"/>
    <x v="8"/>
    <x v="316"/>
    <x v="7"/>
  </r>
  <r>
    <x v="1"/>
    <x v="10"/>
    <x v="0"/>
    <x v="6"/>
    <x v="1"/>
    <x v="1"/>
    <x v="0"/>
    <x v="8"/>
    <x v="150"/>
    <x v="7"/>
  </r>
  <r>
    <x v="1"/>
    <x v="6"/>
    <x v="0"/>
    <x v="6"/>
    <x v="1"/>
    <x v="0"/>
    <x v="0"/>
    <x v="8"/>
    <x v="150"/>
    <x v="7"/>
  </r>
  <r>
    <x v="1"/>
    <x v="6"/>
    <x v="0"/>
    <x v="6"/>
    <x v="1"/>
    <x v="0"/>
    <x v="0"/>
    <x v="8"/>
    <x v="150"/>
    <x v="7"/>
  </r>
  <r>
    <x v="1"/>
    <x v="1"/>
    <x v="0"/>
    <x v="6"/>
    <x v="1"/>
    <x v="1"/>
    <x v="1"/>
    <x v="8"/>
    <x v="151"/>
    <x v="7"/>
  </r>
  <r>
    <x v="1"/>
    <x v="5"/>
    <x v="0"/>
    <x v="6"/>
    <x v="1"/>
    <x v="0"/>
    <x v="1"/>
    <x v="8"/>
    <x v="151"/>
    <x v="7"/>
  </r>
  <r>
    <x v="1"/>
    <x v="10"/>
    <x v="0"/>
    <x v="6"/>
    <x v="1"/>
    <x v="1"/>
    <x v="5"/>
    <x v="8"/>
    <x v="317"/>
    <x v="7"/>
  </r>
  <r>
    <x v="1"/>
    <x v="9"/>
    <x v="0"/>
    <x v="6"/>
    <x v="1"/>
    <x v="1"/>
    <x v="3"/>
    <x v="8"/>
    <x v="318"/>
    <x v="7"/>
  </r>
  <r>
    <x v="1"/>
    <x v="0"/>
    <x v="0"/>
    <x v="6"/>
    <x v="1"/>
    <x v="0"/>
    <x v="3"/>
    <x v="8"/>
    <x v="318"/>
    <x v="7"/>
  </r>
  <r>
    <x v="1"/>
    <x v="0"/>
    <x v="0"/>
    <x v="6"/>
    <x v="1"/>
    <x v="0"/>
    <x v="3"/>
    <x v="8"/>
    <x v="318"/>
    <x v="7"/>
  </r>
  <r>
    <x v="1"/>
    <x v="2"/>
    <x v="0"/>
    <x v="6"/>
    <x v="1"/>
    <x v="0"/>
    <x v="3"/>
    <x v="8"/>
    <x v="318"/>
    <x v="7"/>
  </r>
  <r>
    <x v="1"/>
    <x v="6"/>
    <x v="0"/>
    <x v="6"/>
    <x v="1"/>
    <x v="0"/>
    <x v="4"/>
    <x v="8"/>
    <x v="153"/>
    <x v="7"/>
  </r>
  <r>
    <x v="1"/>
    <x v="9"/>
    <x v="0"/>
    <x v="6"/>
    <x v="1"/>
    <x v="1"/>
    <x v="0"/>
    <x v="8"/>
    <x v="154"/>
    <x v="7"/>
  </r>
  <r>
    <x v="1"/>
    <x v="7"/>
    <x v="0"/>
    <x v="6"/>
    <x v="1"/>
    <x v="1"/>
    <x v="0"/>
    <x v="8"/>
    <x v="154"/>
    <x v="7"/>
  </r>
  <r>
    <x v="1"/>
    <x v="3"/>
    <x v="0"/>
    <x v="6"/>
    <x v="1"/>
    <x v="2"/>
    <x v="0"/>
    <x v="8"/>
    <x v="154"/>
    <x v="7"/>
  </r>
  <r>
    <x v="1"/>
    <x v="8"/>
    <x v="0"/>
    <x v="6"/>
    <x v="1"/>
    <x v="2"/>
    <x v="0"/>
    <x v="8"/>
    <x v="154"/>
    <x v="7"/>
  </r>
  <r>
    <x v="1"/>
    <x v="8"/>
    <x v="0"/>
    <x v="6"/>
    <x v="1"/>
    <x v="2"/>
    <x v="0"/>
    <x v="8"/>
    <x v="154"/>
    <x v="7"/>
  </r>
  <r>
    <x v="1"/>
    <x v="4"/>
    <x v="0"/>
    <x v="6"/>
    <x v="1"/>
    <x v="0"/>
    <x v="1"/>
    <x v="8"/>
    <x v="155"/>
    <x v="7"/>
  </r>
  <r>
    <x v="1"/>
    <x v="0"/>
    <x v="0"/>
    <x v="6"/>
    <x v="1"/>
    <x v="0"/>
    <x v="1"/>
    <x v="8"/>
    <x v="155"/>
    <x v="7"/>
  </r>
  <r>
    <x v="1"/>
    <x v="2"/>
    <x v="0"/>
    <x v="6"/>
    <x v="1"/>
    <x v="0"/>
    <x v="1"/>
    <x v="8"/>
    <x v="155"/>
    <x v="7"/>
  </r>
  <r>
    <x v="1"/>
    <x v="1"/>
    <x v="0"/>
    <x v="6"/>
    <x v="1"/>
    <x v="1"/>
    <x v="2"/>
    <x v="8"/>
    <x v="156"/>
    <x v="7"/>
  </r>
  <r>
    <x v="1"/>
    <x v="0"/>
    <x v="0"/>
    <x v="6"/>
    <x v="1"/>
    <x v="0"/>
    <x v="2"/>
    <x v="8"/>
    <x v="156"/>
    <x v="7"/>
  </r>
  <r>
    <x v="1"/>
    <x v="2"/>
    <x v="0"/>
    <x v="6"/>
    <x v="1"/>
    <x v="0"/>
    <x v="2"/>
    <x v="8"/>
    <x v="156"/>
    <x v="7"/>
  </r>
  <r>
    <x v="1"/>
    <x v="12"/>
    <x v="0"/>
    <x v="6"/>
    <x v="1"/>
    <x v="1"/>
    <x v="5"/>
    <x v="8"/>
    <x v="319"/>
    <x v="7"/>
  </r>
  <r>
    <x v="1"/>
    <x v="12"/>
    <x v="0"/>
    <x v="6"/>
    <x v="1"/>
    <x v="1"/>
    <x v="5"/>
    <x v="8"/>
    <x v="319"/>
    <x v="7"/>
  </r>
  <r>
    <x v="1"/>
    <x v="12"/>
    <x v="0"/>
    <x v="6"/>
    <x v="1"/>
    <x v="1"/>
    <x v="6"/>
    <x v="8"/>
    <x v="320"/>
    <x v="7"/>
  </r>
  <r>
    <x v="1"/>
    <x v="1"/>
    <x v="0"/>
    <x v="6"/>
    <x v="1"/>
    <x v="1"/>
    <x v="6"/>
    <x v="8"/>
    <x v="320"/>
    <x v="7"/>
  </r>
  <r>
    <x v="1"/>
    <x v="0"/>
    <x v="0"/>
    <x v="6"/>
    <x v="1"/>
    <x v="0"/>
    <x v="3"/>
    <x v="8"/>
    <x v="321"/>
    <x v="7"/>
  </r>
  <r>
    <x v="1"/>
    <x v="3"/>
    <x v="0"/>
    <x v="6"/>
    <x v="1"/>
    <x v="2"/>
    <x v="4"/>
    <x v="8"/>
    <x v="322"/>
    <x v="7"/>
  </r>
  <r>
    <x v="1"/>
    <x v="10"/>
    <x v="0"/>
    <x v="6"/>
    <x v="1"/>
    <x v="1"/>
    <x v="5"/>
    <x v="8"/>
    <x v="323"/>
    <x v="7"/>
  </r>
  <r>
    <x v="1"/>
    <x v="13"/>
    <x v="0"/>
    <x v="6"/>
    <x v="1"/>
    <x v="2"/>
    <x v="5"/>
    <x v="8"/>
    <x v="323"/>
    <x v="7"/>
  </r>
  <r>
    <x v="1"/>
    <x v="3"/>
    <x v="0"/>
    <x v="6"/>
    <x v="1"/>
    <x v="2"/>
    <x v="6"/>
    <x v="8"/>
    <x v="158"/>
    <x v="7"/>
  </r>
  <r>
    <x v="1"/>
    <x v="10"/>
    <x v="0"/>
    <x v="6"/>
    <x v="1"/>
    <x v="1"/>
    <x v="4"/>
    <x v="8"/>
    <x v="324"/>
    <x v="7"/>
  </r>
  <r>
    <x v="1"/>
    <x v="14"/>
    <x v="0"/>
    <x v="6"/>
    <x v="1"/>
    <x v="2"/>
    <x v="4"/>
    <x v="8"/>
    <x v="324"/>
    <x v="7"/>
  </r>
  <r>
    <x v="1"/>
    <x v="10"/>
    <x v="0"/>
    <x v="6"/>
    <x v="1"/>
    <x v="1"/>
    <x v="0"/>
    <x v="8"/>
    <x v="325"/>
    <x v="7"/>
  </r>
  <r>
    <x v="1"/>
    <x v="10"/>
    <x v="0"/>
    <x v="6"/>
    <x v="1"/>
    <x v="1"/>
    <x v="0"/>
    <x v="8"/>
    <x v="325"/>
    <x v="7"/>
  </r>
  <r>
    <x v="1"/>
    <x v="5"/>
    <x v="0"/>
    <x v="6"/>
    <x v="1"/>
    <x v="0"/>
    <x v="0"/>
    <x v="8"/>
    <x v="325"/>
    <x v="7"/>
  </r>
  <r>
    <x v="1"/>
    <x v="5"/>
    <x v="0"/>
    <x v="6"/>
    <x v="1"/>
    <x v="0"/>
    <x v="1"/>
    <x v="8"/>
    <x v="159"/>
    <x v="7"/>
  </r>
  <r>
    <x v="1"/>
    <x v="11"/>
    <x v="0"/>
    <x v="6"/>
    <x v="1"/>
    <x v="2"/>
    <x v="1"/>
    <x v="8"/>
    <x v="159"/>
    <x v="7"/>
  </r>
  <r>
    <x v="1"/>
    <x v="1"/>
    <x v="0"/>
    <x v="6"/>
    <x v="1"/>
    <x v="1"/>
    <x v="2"/>
    <x v="9"/>
    <x v="326"/>
    <x v="7"/>
  </r>
  <r>
    <x v="1"/>
    <x v="1"/>
    <x v="0"/>
    <x v="6"/>
    <x v="1"/>
    <x v="1"/>
    <x v="2"/>
    <x v="9"/>
    <x v="326"/>
    <x v="7"/>
  </r>
  <r>
    <x v="1"/>
    <x v="1"/>
    <x v="0"/>
    <x v="6"/>
    <x v="1"/>
    <x v="1"/>
    <x v="2"/>
    <x v="9"/>
    <x v="326"/>
    <x v="7"/>
  </r>
  <r>
    <x v="1"/>
    <x v="2"/>
    <x v="0"/>
    <x v="6"/>
    <x v="1"/>
    <x v="0"/>
    <x v="2"/>
    <x v="9"/>
    <x v="326"/>
    <x v="7"/>
  </r>
  <r>
    <x v="1"/>
    <x v="3"/>
    <x v="0"/>
    <x v="6"/>
    <x v="1"/>
    <x v="2"/>
    <x v="2"/>
    <x v="9"/>
    <x v="326"/>
    <x v="7"/>
  </r>
  <r>
    <x v="1"/>
    <x v="3"/>
    <x v="0"/>
    <x v="6"/>
    <x v="1"/>
    <x v="2"/>
    <x v="2"/>
    <x v="9"/>
    <x v="326"/>
    <x v="7"/>
  </r>
  <r>
    <x v="1"/>
    <x v="8"/>
    <x v="0"/>
    <x v="6"/>
    <x v="1"/>
    <x v="2"/>
    <x v="2"/>
    <x v="9"/>
    <x v="326"/>
    <x v="7"/>
  </r>
  <r>
    <x v="1"/>
    <x v="9"/>
    <x v="0"/>
    <x v="6"/>
    <x v="1"/>
    <x v="1"/>
    <x v="5"/>
    <x v="9"/>
    <x v="160"/>
    <x v="7"/>
  </r>
  <r>
    <x v="1"/>
    <x v="10"/>
    <x v="0"/>
    <x v="6"/>
    <x v="1"/>
    <x v="1"/>
    <x v="6"/>
    <x v="9"/>
    <x v="161"/>
    <x v="7"/>
  </r>
  <r>
    <x v="1"/>
    <x v="10"/>
    <x v="0"/>
    <x v="6"/>
    <x v="1"/>
    <x v="1"/>
    <x v="6"/>
    <x v="9"/>
    <x v="161"/>
    <x v="7"/>
  </r>
  <r>
    <x v="1"/>
    <x v="7"/>
    <x v="0"/>
    <x v="6"/>
    <x v="1"/>
    <x v="1"/>
    <x v="6"/>
    <x v="9"/>
    <x v="161"/>
    <x v="7"/>
  </r>
  <r>
    <x v="1"/>
    <x v="7"/>
    <x v="0"/>
    <x v="6"/>
    <x v="1"/>
    <x v="1"/>
    <x v="6"/>
    <x v="9"/>
    <x v="161"/>
    <x v="7"/>
  </r>
  <r>
    <x v="1"/>
    <x v="7"/>
    <x v="0"/>
    <x v="6"/>
    <x v="1"/>
    <x v="1"/>
    <x v="6"/>
    <x v="9"/>
    <x v="161"/>
    <x v="7"/>
  </r>
  <r>
    <x v="1"/>
    <x v="11"/>
    <x v="0"/>
    <x v="6"/>
    <x v="1"/>
    <x v="2"/>
    <x v="6"/>
    <x v="9"/>
    <x v="161"/>
    <x v="7"/>
  </r>
  <r>
    <x v="1"/>
    <x v="1"/>
    <x v="0"/>
    <x v="6"/>
    <x v="1"/>
    <x v="1"/>
    <x v="3"/>
    <x v="9"/>
    <x v="162"/>
    <x v="7"/>
  </r>
  <r>
    <x v="1"/>
    <x v="1"/>
    <x v="0"/>
    <x v="6"/>
    <x v="1"/>
    <x v="1"/>
    <x v="3"/>
    <x v="9"/>
    <x v="162"/>
    <x v="7"/>
  </r>
  <r>
    <x v="1"/>
    <x v="1"/>
    <x v="0"/>
    <x v="6"/>
    <x v="1"/>
    <x v="1"/>
    <x v="3"/>
    <x v="9"/>
    <x v="162"/>
    <x v="7"/>
  </r>
  <r>
    <x v="1"/>
    <x v="7"/>
    <x v="0"/>
    <x v="6"/>
    <x v="1"/>
    <x v="1"/>
    <x v="3"/>
    <x v="9"/>
    <x v="162"/>
    <x v="7"/>
  </r>
  <r>
    <x v="1"/>
    <x v="1"/>
    <x v="0"/>
    <x v="6"/>
    <x v="1"/>
    <x v="1"/>
    <x v="4"/>
    <x v="9"/>
    <x v="163"/>
    <x v="7"/>
  </r>
  <r>
    <x v="1"/>
    <x v="1"/>
    <x v="0"/>
    <x v="6"/>
    <x v="1"/>
    <x v="1"/>
    <x v="4"/>
    <x v="9"/>
    <x v="163"/>
    <x v="7"/>
  </r>
  <r>
    <x v="1"/>
    <x v="7"/>
    <x v="0"/>
    <x v="6"/>
    <x v="1"/>
    <x v="1"/>
    <x v="1"/>
    <x v="9"/>
    <x v="164"/>
    <x v="7"/>
  </r>
  <r>
    <x v="1"/>
    <x v="11"/>
    <x v="0"/>
    <x v="6"/>
    <x v="1"/>
    <x v="2"/>
    <x v="1"/>
    <x v="9"/>
    <x v="164"/>
    <x v="7"/>
  </r>
  <r>
    <x v="1"/>
    <x v="0"/>
    <x v="0"/>
    <x v="6"/>
    <x v="1"/>
    <x v="0"/>
    <x v="2"/>
    <x v="9"/>
    <x v="327"/>
    <x v="7"/>
  </r>
  <r>
    <x v="1"/>
    <x v="0"/>
    <x v="0"/>
    <x v="6"/>
    <x v="1"/>
    <x v="0"/>
    <x v="2"/>
    <x v="9"/>
    <x v="327"/>
    <x v="7"/>
  </r>
  <r>
    <x v="1"/>
    <x v="15"/>
    <x v="0"/>
    <x v="6"/>
    <x v="1"/>
    <x v="2"/>
    <x v="2"/>
    <x v="9"/>
    <x v="327"/>
    <x v="7"/>
  </r>
  <r>
    <x v="1"/>
    <x v="15"/>
    <x v="0"/>
    <x v="6"/>
    <x v="1"/>
    <x v="2"/>
    <x v="2"/>
    <x v="9"/>
    <x v="327"/>
    <x v="7"/>
  </r>
  <r>
    <x v="1"/>
    <x v="10"/>
    <x v="0"/>
    <x v="6"/>
    <x v="1"/>
    <x v="1"/>
    <x v="5"/>
    <x v="9"/>
    <x v="165"/>
    <x v="7"/>
  </r>
  <r>
    <x v="1"/>
    <x v="12"/>
    <x v="0"/>
    <x v="6"/>
    <x v="1"/>
    <x v="1"/>
    <x v="4"/>
    <x v="9"/>
    <x v="166"/>
    <x v="7"/>
  </r>
  <r>
    <x v="1"/>
    <x v="9"/>
    <x v="0"/>
    <x v="6"/>
    <x v="1"/>
    <x v="1"/>
    <x v="1"/>
    <x v="9"/>
    <x v="168"/>
    <x v="7"/>
  </r>
  <r>
    <x v="1"/>
    <x v="8"/>
    <x v="0"/>
    <x v="6"/>
    <x v="1"/>
    <x v="2"/>
    <x v="1"/>
    <x v="9"/>
    <x v="168"/>
    <x v="7"/>
  </r>
  <r>
    <x v="1"/>
    <x v="4"/>
    <x v="0"/>
    <x v="6"/>
    <x v="1"/>
    <x v="0"/>
    <x v="5"/>
    <x v="9"/>
    <x v="328"/>
    <x v="7"/>
  </r>
  <r>
    <x v="1"/>
    <x v="8"/>
    <x v="0"/>
    <x v="6"/>
    <x v="1"/>
    <x v="2"/>
    <x v="5"/>
    <x v="9"/>
    <x v="328"/>
    <x v="7"/>
  </r>
  <r>
    <x v="1"/>
    <x v="1"/>
    <x v="0"/>
    <x v="6"/>
    <x v="1"/>
    <x v="1"/>
    <x v="6"/>
    <x v="9"/>
    <x v="169"/>
    <x v="7"/>
  </r>
  <r>
    <x v="1"/>
    <x v="1"/>
    <x v="0"/>
    <x v="6"/>
    <x v="1"/>
    <x v="1"/>
    <x v="3"/>
    <x v="9"/>
    <x v="329"/>
    <x v="7"/>
  </r>
  <r>
    <x v="1"/>
    <x v="7"/>
    <x v="0"/>
    <x v="6"/>
    <x v="1"/>
    <x v="1"/>
    <x v="4"/>
    <x v="9"/>
    <x v="330"/>
    <x v="7"/>
  </r>
  <r>
    <x v="1"/>
    <x v="13"/>
    <x v="0"/>
    <x v="6"/>
    <x v="1"/>
    <x v="2"/>
    <x v="4"/>
    <x v="9"/>
    <x v="330"/>
    <x v="7"/>
  </r>
  <r>
    <x v="1"/>
    <x v="10"/>
    <x v="0"/>
    <x v="6"/>
    <x v="1"/>
    <x v="1"/>
    <x v="0"/>
    <x v="9"/>
    <x v="331"/>
    <x v="7"/>
  </r>
  <r>
    <x v="1"/>
    <x v="4"/>
    <x v="0"/>
    <x v="6"/>
    <x v="1"/>
    <x v="0"/>
    <x v="0"/>
    <x v="9"/>
    <x v="331"/>
    <x v="7"/>
  </r>
  <r>
    <x v="1"/>
    <x v="5"/>
    <x v="0"/>
    <x v="6"/>
    <x v="1"/>
    <x v="0"/>
    <x v="1"/>
    <x v="9"/>
    <x v="170"/>
    <x v="7"/>
  </r>
  <r>
    <x v="1"/>
    <x v="13"/>
    <x v="0"/>
    <x v="6"/>
    <x v="1"/>
    <x v="2"/>
    <x v="1"/>
    <x v="9"/>
    <x v="170"/>
    <x v="7"/>
  </r>
  <r>
    <x v="1"/>
    <x v="10"/>
    <x v="0"/>
    <x v="6"/>
    <x v="1"/>
    <x v="1"/>
    <x v="5"/>
    <x v="9"/>
    <x v="332"/>
    <x v="7"/>
  </r>
  <r>
    <x v="1"/>
    <x v="1"/>
    <x v="0"/>
    <x v="6"/>
    <x v="1"/>
    <x v="1"/>
    <x v="5"/>
    <x v="9"/>
    <x v="332"/>
    <x v="7"/>
  </r>
  <r>
    <x v="1"/>
    <x v="5"/>
    <x v="0"/>
    <x v="6"/>
    <x v="1"/>
    <x v="0"/>
    <x v="5"/>
    <x v="9"/>
    <x v="332"/>
    <x v="7"/>
  </r>
  <r>
    <x v="1"/>
    <x v="5"/>
    <x v="0"/>
    <x v="6"/>
    <x v="1"/>
    <x v="0"/>
    <x v="6"/>
    <x v="9"/>
    <x v="333"/>
    <x v="7"/>
  </r>
  <r>
    <x v="1"/>
    <x v="4"/>
    <x v="0"/>
    <x v="6"/>
    <x v="1"/>
    <x v="0"/>
    <x v="3"/>
    <x v="9"/>
    <x v="171"/>
    <x v="7"/>
  </r>
  <r>
    <x v="1"/>
    <x v="0"/>
    <x v="0"/>
    <x v="6"/>
    <x v="1"/>
    <x v="0"/>
    <x v="3"/>
    <x v="9"/>
    <x v="171"/>
    <x v="7"/>
  </r>
  <r>
    <x v="1"/>
    <x v="11"/>
    <x v="0"/>
    <x v="6"/>
    <x v="1"/>
    <x v="2"/>
    <x v="3"/>
    <x v="9"/>
    <x v="171"/>
    <x v="7"/>
  </r>
  <r>
    <x v="1"/>
    <x v="1"/>
    <x v="0"/>
    <x v="6"/>
    <x v="1"/>
    <x v="1"/>
    <x v="0"/>
    <x v="9"/>
    <x v="172"/>
    <x v="7"/>
  </r>
  <r>
    <x v="1"/>
    <x v="13"/>
    <x v="0"/>
    <x v="6"/>
    <x v="1"/>
    <x v="2"/>
    <x v="0"/>
    <x v="9"/>
    <x v="172"/>
    <x v="7"/>
  </r>
  <r>
    <x v="1"/>
    <x v="1"/>
    <x v="0"/>
    <x v="6"/>
    <x v="1"/>
    <x v="1"/>
    <x v="1"/>
    <x v="9"/>
    <x v="334"/>
    <x v="7"/>
  </r>
  <r>
    <x v="1"/>
    <x v="10"/>
    <x v="0"/>
    <x v="6"/>
    <x v="1"/>
    <x v="1"/>
    <x v="5"/>
    <x v="9"/>
    <x v="174"/>
    <x v="7"/>
  </r>
  <r>
    <x v="1"/>
    <x v="5"/>
    <x v="0"/>
    <x v="6"/>
    <x v="1"/>
    <x v="0"/>
    <x v="5"/>
    <x v="9"/>
    <x v="174"/>
    <x v="7"/>
  </r>
  <r>
    <x v="1"/>
    <x v="6"/>
    <x v="0"/>
    <x v="6"/>
    <x v="1"/>
    <x v="0"/>
    <x v="5"/>
    <x v="9"/>
    <x v="174"/>
    <x v="7"/>
  </r>
  <r>
    <x v="1"/>
    <x v="1"/>
    <x v="0"/>
    <x v="6"/>
    <x v="1"/>
    <x v="1"/>
    <x v="6"/>
    <x v="9"/>
    <x v="175"/>
    <x v="7"/>
  </r>
  <r>
    <x v="1"/>
    <x v="1"/>
    <x v="0"/>
    <x v="6"/>
    <x v="1"/>
    <x v="1"/>
    <x v="6"/>
    <x v="9"/>
    <x v="175"/>
    <x v="7"/>
  </r>
  <r>
    <x v="1"/>
    <x v="7"/>
    <x v="0"/>
    <x v="6"/>
    <x v="1"/>
    <x v="1"/>
    <x v="6"/>
    <x v="9"/>
    <x v="175"/>
    <x v="7"/>
  </r>
  <r>
    <x v="1"/>
    <x v="3"/>
    <x v="0"/>
    <x v="6"/>
    <x v="1"/>
    <x v="2"/>
    <x v="6"/>
    <x v="9"/>
    <x v="175"/>
    <x v="7"/>
  </r>
  <r>
    <x v="1"/>
    <x v="10"/>
    <x v="0"/>
    <x v="6"/>
    <x v="1"/>
    <x v="1"/>
    <x v="4"/>
    <x v="10"/>
    <x v="176"/>
    <x v="7"/>
  </r>
  <r>
    <x v="1"/>
    <x v="6"/>
    <x v="0"/>
    <x v="6"/>
    <x v="1"/>
    <x v="0"/>
    <x v="4"/>
    <x v="10"/>
    <x v="176"/>
    <x v="7"/>
  </r>
  <r>
    <x v="1"/>
    <x v="1"/>
    <x v="0"/>
    <x v="6"/>
    <x v="1"/>
    <x v="1"/>
    <x v="0"/>
    <x v="10"/>
    <x v="177"/>
    <x v="7"/>
  </r>
  <r>
    <x v="1"/>
    <x v="6"/>
    <x v="0"/>
    <x v="6"/>
    <x v="1"/>
    <x v="0"/>
    <x v="0"/>
    <x v="10"/>
    <x v="177"/>
    <x v="7"/>
  </r>
  <r>
    <x v="1"/>
    <x v="6"/>
    <x v="0"/>
    <x v="6"/>
    <x v="1"/>
    <x v="0"/>
    <x v="1"/>
    <x v="10"/>
    <x v="178"/>
    <x v="7"/>
  </r>
  <r>
    <x v="1"/>
    <x v="10"/>
    <x v="0"/>
    <x v="6"/>
    <x v="1"/>
    <x v="1"/>
    <x v="2"/>
    <x v="10"/>
    <x v="335"/>
    <x v="7"/>
  </r>
  <r>
    <x v="1"/>
    <x v="11"/>
    <x v="0"/>
    <x v="6"/>
    <x v="1"/>
    <x v="2"/>
    <x v="2"/>
    <x v="10"/>
    <x v="335"/>
    <x v="7"/>
  </r>
  <r>
    <x v="1"/>
    <x v="12"/>
    <x v="0"/>
    <x v="6"/>
    <x v="1"/>
    <x v="1"/>
    <x v="3"/>
    <x v="10"/>
    <x v="336"/>
    <x v="7"/>
  </r>
  <r>
    <x v="1"/>
    <x v="10"/>
    <x v="0"/>
    <x v="6"/>
    <x v="1"/>
    <x v="1"/>
    <x v="4"/>
    <x v="10"/>
    <x v="180"/>
    <x v="7"/>
  </r>
  <r>
    <x v="1"/>
    <x v="5"/>
    <x v="0"/>
    <x v="6"/>
    <x v="1"/>
    <x v="0"/>
    <x v="4"/>
    <x v="10"/>
    <x v="180"/>
    <x v="7"/>
  </r>
  <r>
    <x v="1"/>
    <x v="14"/>
    <x v="0"/>
    <x v="6"/>
    <x v="1"/>
    <x v="2"/>
    <x v="4"/>
    <x v="10"/>
    <x v="180"/>
    <x v="7"/>
  </r>
  <r>
    <x v="1"/>
    <x v="9"/>
    <x v="0"/>
    <x v="6"/>
    <x v="1"/>
    <x v="1"/>
    <x v="0"/>
    <x v="10"/>
    <x v="337"/>
    <x v="7"/>
  </r>
  <r>
    <x v="1"/>
    <x v="10"/>
    <x v="0"/>
    <x v="6"/>
    <x v="1"/>
    <x v="1"/>
    <x v="0"/>
    <x v="10"/>
    <x v="337"/>
    <x v="7"/>
  </r>
  <r>
    <x v="1"/>
    <x v="3"/>
    <x v="0"/>
    <x v="6"/>
    <x v="1"/>
    <x v="2"/>
    <x v="0"/>
    <x v="10"/>
    <x v="337"/>
    <x v="7"/>
  </r>
  <r>
    <x v="1"/>
    <x v="12"/>
    <x v="0"/>
    <x v="6"/>
    <x v="1"/>
    <x v="1"/>
    <x v="1"/>
    <x v="10"/>
    <x v="181"/>
    <x v="7"/>
  </r>
  <r>
    <x v="1"/>
    <x v="2"/>
    <x v="0"/>
    <x v="6"/>
    <x v="1"/>
    <x v="0"/>
    <x v="1"/>
    <x v="10"/>
    <x v="181"/>
    <x v="7"/>
  </r>
  <r>
    <x v="1"/>
    <x v="2"/>
    <x v="0"/>
    <x v="6"/>
    <x v="1"/>
    <x v="0"/>
    <x v="1"/>
    <x v="10"/>
    <x v="181"/>
    <x v="7"/>
  </r>
  <r>
    <x v="1"/>
    <x v="8"/>
    <x v="0"/>
    <x v="6"/>
    <x v="1"/>
    <x v="2"/>
    <x v="1"/>
    <x v="10"/>
    <x v="181"/>
    <x v="7"/>
  </r>
  <r>
    <x v="1"/>
    <x v="7"/>
    <x v="0"/>
    <x v="6"/>
    <x v="1"/>
    <x v="1"/>
    <x v="2"/>
    <x v="10"/>
    <x v="182"/>
    <x v="7"/>
  </r>
  <r>
    <x v="1"/>
    <x v="7"/>
    <x v="0"/>
    <x v="6"/>
    <x v="1"/>
    <x v="1"/>
    <x v="2"/>
    <x v="10"/>
    <x v="182"/>
    <x v="7"/>
  </r>
  <r>
    <x v="1"/>
    <x v="14"/>
    <x v="0"/>
    <x v="6"/>
    <x v="1"/>
    <x v="2"/>
    <x v="2"/>
    <x v="10"/>
    <x v="182"/>
    <x v="7"/>
  </r>
  <r>
    <x v="1"/>
    <x v="9"/>
    <x v="0"/>
    <x v="6"/>
    <x v="1"/>
    <x v="1"/>
    <x v="5"/>
    <x v="10"/>
    <x v="338"/>
    <x v="7"/>
  </r>
  <r>
    <x v="1"/>
    <x v="10"/>
    <x v="0"/>
    <x v="6"/>
    <x v="1"/>
    <x v="1"/>
    <x v="5"/>
    <x v="10"/>
    <x v="338"/>
    <x v="7"/>
  </r>
  <r>
    <x v="1"/>
    <x v="1"/>
    <x v="0"/>
    <x v="6"/>
    <x v="1"/>
    <x v="1"/>
    <x v="6"/>
    <x v="10"/>
    <x v="339"/>
    <x v="7"/>
  </r>
  <r>
    <x v="1"/>
    <x v="6"/>
    <x v="0"/>
    <x v="6"/>
    <x v="1"/>
    <x v="0"/>
    <x v="6"/>
    <x v="10"/>
    <x v="339"/>
    <x v="7"/>
  </r>
  <r>
    <x v="1"/>
    <x v="6"/>
    <x v="0"/>
    <x v="6"/>
    <x v="1"/>
    <x v="0"/>
    <x v="6"/>
    <x v="10"/>
    <x v="339"/>
    <x v="7"/>
  </r>
  <r>
    <x v="1"/>
    <x v="10"/>
    <x v="0"/>
    <x v="6"/>
    <x v="1"/>
    <x v="1"/>
    <x v="3"/>
    <x v="10"/>
    <x v="183"/>
    <x v="7"/>
  </r>
  <r>
    <x v="1"/>
    <x v="10"/>
    <x v="0"/>
    <x v="6"/>
    <x v="1"/>
    <x v="1"/>
    <x v="4"/>
    <x v="10"/>
    <x v="340"/>
    <x v="7"/>
  </r>
  <r>
    <x v="1"/>
    <x v="1"/>
    <x v="0"/>
    <x v="6"/>
    <x v="1"/>
    <x v="1"/>
    <x v="4"/>
    <x v="10"/>
    <x v="340"/>
    <x v="7"/>
  </r>
  <r>
    <x v="1"/>
    <x v="9"/>
    <x v="0"/>
    <x v="6"/>
    <x v="1"/>
    <x v="1"/>
    <x v="0"/>
    <x v="10"/>
    <x v="341"/>
    <x v="7"/>
  </r>
  <r>
    <x v="1"/>
    <x v="10"/>
    <x v="0"/>
    <x v="6"/>
    <x v="1"/>
    <x v="1"/>
    <x v="0"/>
    <x v="10"/>
    <x v="341"/>
    <x v="7"/>
  </r>
  <r>
    <x v="1"/>
    <x v="1"/>
    <x v="0"/>
    <x v="6"/>
    <x v="1"/>
    <x v="1"/>
    <x v="1"/>
    <x v="10"/>
    <x v="342"/>
    <x v="7"/>
  </r>
  <r>
    <x v="1"/>
    <x v="9"/>
    <x v="0"/>
    <x v="6"/>
    <x v="1"/>
    <x v="1"/>
    <x v="5"/>
    <x v="10"/>
    <x v="184"/>
    <x v="7"/>
  </r>
  <r>
    <x v="1"/>
    <x v="1"/>
    <x v="0"/>
    <x v="6"/>
    <x v="1"/>
    <x v="1"/>
    <x v="5"/>
    <x v="10"/>
    <x v="184"/>
    <x v="7"/>
  </r>
  <r>
    <x v="1"/>
    <x v="0"/>
    <x v="0"/>
    <x v="6"/>
    <x v="1"/>
    <x v="0"/>
    <x v="5"/>
    <x v="10"/>
    <x v="184"/>
    <x v="7"/>
  </r>
  <r>
    <x v="1"/>
    <x v="9"/>
    <x v="0"/>
    <x v="6"/>
    <x v="1"/>
    <x v="1"/>
    <x v="6"/>
    <x v="10"/>
    <x v="185"/>
    <x v="7"/>
  </r>
  <r>
    <x v="1"/>
    <x v="3"/>
    <x v="0"/>
    <x v="6"/>
    <x v="1"/>
    <x v="2"/>
    <x v="3"/>
    <x v="10"/>
    <x v="343"/>
    <x v="7"/>
  </r>
  <r>
    <x v="1"/>
    <x v="13"/>
    <x v="0"/>
    <x v="6"/>
    <x v="1"/>
    <x v="2"/>
    <x v="3"/>
    <x v="10"/>
    <x v="343"/>
    <x v="7"/>
  </r>
  <r>
    <x v="1"/>
    <x v="14"/>
    <x v="0"/>
    <x v="6"/>
    <x v="1"/>
    <x v="2"/>
    <x v="3"/>
    <x v="10"/>
    <x v="343"/>
    <x v="7"/>
  </r>
  <r>
    <x v="1"/>
    <x v="0"/>
    <x v="0"/>
    <x v="6"/>
    <x v="1"/>
    <x v="0"/>
    <x v="5"/>
    <x v="10"/>
    <x v="189"/>
    <x v="7"/>
  </r>
  <r>
    <x v="1"/>
    <x v="5"/>
    <x v="0"/>
    <x v="6"/>
    <x v="1"/>
    <x v="0"/>
    <x v="5"/>
    <x v="10"/>
    <x v="189"/>
    <x v="7"/>
  </r>
  <r>
    <x v="1"/>
    <x v="5"/>
    <x v="0"/>
    <x v="6"/>
    <x v="1"/>
    <x v="0"/>
    <x v="5"/>
    <x v="10"/>
    <x v="189"/>
    <x v="7"/>
  </r>
  <r>
    <x v="1"/>
    <x v="7"/>
    <x v="0"/>
    <x v="6"/>
    <x v="1"/>
    <x v="1"/>
    <x v="6"/>
    <x v="10"/>
    <x v="190"/>
    <x v="7"/>
  </r>
  <r>
    <x v="1"/>
    <x v="13"/>
    <x v="0"/>
    <x v="6"/>
    <x v="1"/>
    <x v="2"/>
    <x v="3"/>
    <x v="10"/>
    <x v="191"/>
    <x v="7"/>
  </r>
  <r>
    <x v="1"/>
    <x v="10"/>
    <x v="0"/>
    <x v="6"/>
    <x v="1"/>
    <x v="1"/>
    <x v="4"/>
    <x v="10"/>
    <x v="192"/>
    <x v="7"/>
  </r>
  <r>
    <x v="1"/>
    <x v="1"/>
    <x v="0"/>
    <x v="6"/>
    <x v="1"/>
    <x v="1"/>
    <x v="4"/>
    <x v="10"/>
    <x v="192"/>
    <x v="7"/>
  </r>
  <r>
    <x v="1"/>
    <x v="2"/>
    <x v="0"/>
    <x v="6"/>
    <x v="1"/>
    <x v="0"/>
    <x v="4"/>
    <x v="10"/>
    <x v="192"/>
    <x v="7"/>
  </r>
  <r>
    <x v="1"/>
    <x v="8"/>
    <x v="0"/>
    <x v="6"/>
    <x v="1"/>
    <x v="2"/>
    <x v="4"/>
    <x v="10"/>
    <x v="192"/>
    <x v="7"/>
  </r>
  <r>
    <x v="1"/>
    <x v="9"/>
    <x v="0"/>
    <x v="6"/>
    <x v="1"/>
    <x v="1"/>
    <x v="0"/>
    <x v="10"/>
    <x v="193"/>
    <x v="7"/>
  </r>
  <r>
    <x v="1"/>
    <x v="10"/>
    <x v="0"/>
    <x v="6"/>
    <x v="1"/>
    <x v="1"/>
    <x v="0"/>
    <x v="10"/>
    <x v="193"/>
    <x v="7"/>
  </r>
  <r>
    <x v="1"/>
    <x v="6"/>
    <x v="0"/>
    <x v="6"/>
    <x v="1"/>
    <x v="0"/>
    <x v="0"/>
    <x v="10"/>
    <x v="193"/>
    <x v="7"/>
  </r>
  <r>
    <x v="1"/>
    <x v="11"/>
    <x v="0"/>
    <x v="6"/>
    <x v="1"/>
    <x v="2"/>
    <x v="0"/>
    <x v="10"/>
    <x v="193"/>
    <x v="7"/>
  </r>
  <r>
    <x v="1"/>
    <x v="9"/>
    <x v="0"/>
    <x v="6"/>
    <x v="1"/>
    <x v="1"/>
    <x v="1"/>
    <x v="11"/>
    <x v="344"/>
    <x v="7"/>
  </r>
  <r>
    <x v="1"/>
    <x v="1"/>
    <x v="0"/>
    <x v="6"/>
    <x v="1"/>
    <x v="1"/>
    <x v="1"/>
    <x v="11"/>
    <x v="344"/>
    <x v="7"/>
  </r>
  <r>
    <x v="1"/>
    <x v="13"/>
    <x v="0"/>
    <x v="6"/>
    <x v="1"/>
    <x v="2"/>
    <x v="1"/>
    <x v="11"/>
    <x v="344"/>
    <x v="7"/>
  </r>
  <r>
    <x v="1"/>
    <x v="13"/>
    <x v="0"/>
    <x v="6"/>
    <x v="1"/>
    <x v="2"/>
    <x v="1"/>
    <x v="11"/>
    <x v="344"/>
    <x v="7"/>
  </r>
  <r>
    <x v="1"/>
    <x v="15"/>
    <x v="0"/>
    <x v="6"/>
    <x v="1"/>
    <x v="2"/>
    <x v="1"/>
    <x v="11"/>
    <x v="344"/>
    <x v="7"/>
  </r>
  <r>
    <x v="1"/>
    <x v="2"/>
    <x v="0"/>
    <x v="6"/>
    <x v="1"/>
    <x v="0"/>
    <x v="2"/>
    <x v="11"/>
    <x v="345"/>
    <x v="7"/>
  </r>
  <r>
    <x v="1"/>
    <x v="12"/>
    <x v="0"/>
    <x v="6"/>
    <x v="1"/>
    <x v="1"/>
    <x v="5"/>
    <x v="11"/>
    <x v="194"/>
    <x v="7"/>
  </r>
  <r>
    <x v="1"/>
    <x v="9"/>
    <x v="0"/>
    <x v="6"/>
    <x v="1"/>
    <x v="1"/>
    <x v="5"/>
    <x v="11"/>
    <x v="194"/>
    <x v="7"/>
  </r>
  <r>
    <x v="1"/>
    <x v="1"/>
    <x v="0"/>
    <x v="6"/>
    <x v="1"/>
    <x v="1"/>
    <x v="5"/>
    <x v="11"/>
    <x v="194"/>
    <x v="7"/>
  </r>
  <r>
    <x v="1"/>
    <x v="3"/>
    <x v="0"/>
    <x v="6"/>
    <x v="1"/>
    <x v="2"/>
    <x v="5"/>
    <x v="11"/>
    <x v="194"/>
    <x v="7"/>
  </r>
  <r>
    <x v="1"/>
    <x v="3"/>
    <x v="0"/>
    <x v="6"/>
    <x v="1"/>
    <x v="2"/>
    <x v="5"/>
    <x v="11"/>
    <x v="194"/>
    <x v="7"/>
  </r>
  <r>
    <x v="1"/>
    <x v="3"/>
    <x v="0"/>
    <x v="6"/>
    <x v="1"/>
    <x v="2"/>
    <x v="5"/>
    <x v="11"/>
    <x v="194"/>
    <x v="7"/>
  </r>
  <r>
    <x v="1"/>
    <x v="3"/>
    <x v="0"/>
    <x v="6"/>
    <x v="1"/>
    <x v="2"/>
    <x v="5"/>
    <x v="11"/>
    <x v="194"/>
    <x v="7"/>
  </r>
  <r>
    <x v="1"/>
    <x v="1"/>
    <x v="0"/>
    <x v="6"/>
    <x v="1"/>
    <x v="1"/>
    <x v="6"/>
    <x v="11"/>
    <x v="195"/>
    <x v="7"/>
  </r>
  <r>
    <x v="1"/>
    <x v="4"/>
    <x v="0"/>
    <x v="6"/>
    <x v="1"/>
    <x v="0"/>
    <x v="6"/>
    <x v="11"/>
    <x v="195"/>
    <x v="7"/>
  </r>
  <r>
    <x v="1"/>
    <x v="2"/>
    <x v="0"/>
    <x v="6"/>
    <x v="1"/>
    <x v="0"/>
    <x v="6"/>
    <x v="11"/>
    <x v="195"/>
    <x v="7"/>
  </r>
  <r>
    <x v="1"/>
    <x v="8"/>
    <x v="0"/>
    <x v="6"/>
    <x v="1"/>
    <x v="2"/>
    <x v="6"/>
    <x v="11"/>
    <x v="195"/>
    <x v="7"/>
  </r>
  <r>
    <x v="1"/>
    <x v="9"/>
    <x v="0"/>
    <x v="6"/>
    <x v="1"/>
    <x v="1"/>
    <x v="3"/>
    <x v="11"/>
    <x v="196"/>
    <x v="7"/>
  </r>
  <r>
    <x v="1"/>
    <x v="10"/>
    <x v="0"/>
    <x v="6"/>
    <x v="1"/>
    <x v="1"/>
    <x v="3"/>
    <x v="11"/>
    <x v="196"/>
    <x v="7"/>
  </r>
  <r>
    <x v="1"/>
    <x v="7"/>
    <x v="0"/>
    <x v="6"/>
    <x v="1"/>
    <x v="1"/>
    <x v="3"/>
    <x v="11"/>
    <x v="196"/>
    <x v="7"/>
  </r>
  <r>
    <x v="1"/>
    <x v="8"/>
    <x v="0"/>
    <x v="6"/>
    <x v="1"/>
    <x v="2"/>
    <x v="3"/>
    <x v="11"/>
    <x v="196"/>
    <x v="7"/>
  </r>
  <r>
    <x v="1"/>
    <x v="12"/>
    <x v="0"/>
    <x v="6"/>
    <x v="1"/>
    <x v="1"/>
    <x v="4"/>
    <x v="11"/>
    <x v="197"/>
    <x v="7"/>
  </r>
  <r>
    <x v="1"/>
    <x v="2"/>
    <x v="0"/>
    <x v="6"/>
    <x v="1"/>
    <x v="0"/>
    <x v="4"/>
    <x v="11"/>
    <x v="197"/>
    <x v="7"/>
  </r>
  <r>
    <x v="1"/>
    <x v="9"/>
    <x v="0"/>
    <x v="6"/>
    <x v="1"/>
    <x v="1"/>
    <x v="0"/>
    <x v="11"/>
    <x v="198"/>
    <x v="7"/>
  </r>
  <r>
    <x v="1"/>
    <x v="10"/>
    <x v="0"/>
    <x v="6"/>
    <x v="1"/>
    <x v="1"/>
    <x v="0"/>
    <x v="11"/>
    <x v="198"/>
    <x v="7"/>
  </r>
  <r>
    <x v="1"/>
    <x v="4"/>
    <x v="0"/>
    <x v="6"/>
    <x v="1"/>
    <x v="0"/>
    <x v="0"/>
    <x v="11"/>
    <x v="198"/>
    <x v="7"/>
  </r>
  <r>
    <x v="1"/>
    <x v="1"/>
    <x v="0"/>
    <x v="6"/>
    <x v="1"/>
    <x v="1"/>
    <x v="1"/>
    <x v="11"/>
    <x v="199"/>
    <x v="7"/>
  </r>
  <r>
    <x v="1"/>
    <x v="1"/>
    <x v="0"/>
    <x v="6"/>
    <x v="1"/>
    <x v="1"/>
    <x v="2"/>
    <x v="11"/>
    <x v="200"/>
    <x v="7"/>
  </r>
  <r>
    <x v="1"/>
    <x v="7"/>
    <x v="0"/>
    <x v="6"/>
    <x v="1"/>
    <x v="1"/>
    <x v="5"/>
    <x v="11"/>
    <x v="201"/>
    <x v="7"/>
  </r>
  <r>
    <x v="1"/>
    <x v="0"/>
    <x v="0"/>
    <x v="6"/>
    <x v="1"/>
    <x v="0"/>
    <x v="5"/>
    <x v="11"/>
    <x v="201"/>
    <x v="7"/>
  </r>
  <r>
    <x v="1"/>
    <x v="5"/>
    <x v="0"/>
    <x v="6"/>
    <x v="1"/>
    <x v="0"/>
    <x v="5"/>
    <x v="11"/>
    <x v="201"/>
    <x v="7"/>
  </r>
  <r>
    <x v="1"/>
    <x v="8"/>
    <x v="0"/>
    <x v="6"/>
    <x v="1"/>
    <x v="2"/>
    <x v="5"/>
    <x v="11"/>
    <x v="201"/>
    <x v="7"/>
  </r>
  <r>
    <x v="1"/>
    <x v="7"/>
    <x v="0"/>
    <x v="6"/>
    <x v="1"/>
    <x v="1"/>
    <x v="6"/>
    <x v="11"/>
    <x v="202"/>
    <x v="7"/>
  </r>
  <r>
    <x v="1"/>
    <x v="6"/>
    <x v="0"/>
    <x v="6"/>
    <x v="1"/>
    <x v="0"/>
    <x v="6"/>
    <x v="11"/>
    <x v="202"/>
    <x v="7"/>
  </r>
  <r>
    <x v="1"/>
    <x v="3"/>
    <x v="0"/>
    <x v="6"/>
    <x v="1"/>
    <x v="2"/>
    <x v="6"/>
    <x v="11"/>
    <x v="202"/>
    <x v="7"/>
  </r>
  <r>
    <x v="1"/>
    <x v="3"/>
    <x v="0"/>
    <x v="6"/>
    <x v="1"/>
    <x v="2"/>
    <x v="6"/>
    <x v="11"/>
    <x v="202"/>
    <x v="7"/>
  </r>
  <r>
    <x v="1"/>
    <x v="3"/>
    <x v="0"/>
    <x v="6"/>
    <x v="1"/>
    <x v="2"/>
    <x v="6"/>
    <x v="11"/>
    <x v="202"/>
    <x v="7"/>
  </r>
  <r>
    <x v="1"/>
    <x v="10"/>
    <x v="0"/>
    <x v="6"/>
    <x v="1"/>
    <x v="1"/>
    <x v="3"/>
    <x v="11"/>
    <x v="203"/>
    <x v="7"/>
  </r>
  <r>
    <x v="1"/>
    <x v="12"/>
    <x v="0"/>
    <x v="6"/>
    <x v="1"/>
    <x v="1"/>
    <x v="4"/>
    <x v="11"/>
    <x v="204"/>
    <x v="7"/>
  </r>
  <r>
    <x v="1"/>
    <x v="1"/>
    <x v="0"/>
    <x v="6"/>
    <x v="1"/>
    <x v="1"/>
    <x v="4"/>
    <x v="11"/>
    <x v="204"/>
    <x v="7"/>
  </r>
  <r>
    <x v="1"/>
    <x v="1"/>
    <x v="0"/>
    <x v="6"/>
    <x v="1"/>
    <x v="1"/>
    <x v="4"/>
    <x v="11"/>
    <x v="204"/>
    <x v="7"/>
  </r>
  <r>
    <x v="1"/>
    <x v="3"/>
    <x v="0"/>
    <x v="6"/>
    <x v="1"/>
    <x v="2"/>
    <x v="4"/>
    <x v="11"/>
    <x v="204"/>
    <x v="7"/>
  </r>
  <r>
    <x v="1"/>
    <x v="3"/>
    <x v="0"/>
    <x v="6"/>
    <x v="1"/>
    <x v="2"/>
    <x v="4"/>
    <x v="11"/>
    <x v="204"/>
    <x v="7"/>
  </r>
  <r>
    <x v="1"/>
    <x v="2"/>
    <x v="0"/>
    <x v="6"/>
    <x v="1"/>
    <x v="0"/>
    <x v="0"/>
    <x v="11"/>
    <x v="205"/>
    <x v="7"/>
  </r>
  <r>
    <x v="1"/>
    <x v="3"/>
    <x v="0"/>
    <x v="6"/>
    <x v="1"/>
    <x v="2"/>
    <x v="0"/>
    <x v="11"/>
    <x v="205"/>
    <x v="7"/>
  </r>
  <r>
    <x v="1"/>
    <x v="0"/>
    <x v="0"/>
    <x v="6"/>
    <x v="1"/>
    <x v="0"/>
    <x v="1"/>
    <x v="11"/>
    <x v="206"/>
    <x v="7"/>
  </r>
  <r>
    <x v="1"/>
    <x v="0"/>
    <x v="0"/>
    <x v="6"/>
    <x v="1"/>
    <x v="0"/>
    <x v="1"/>
    <x v="11"/>
    <x v="206"/>
    <x v="7"/>
  </r>
  <r>
    <x v="1"/>
    <x v="1"/>
    <x v="0"/>
    <x v="6"/>
    <x v="1"/>
    <x v="1"/>
    <x v="2"/>
    <x v="11"/>
    <x v="207"/>
    <x v="7"/>
  </r>
  <r>
    <x v="1"/>
    <x v="3"/>
    <x v="0"/>
    <x v="6"/>
    <x v="1"/>
    <x v="2"/>
    <x v="2"/>
    <x v="11"/>
    <x v="207"/>
    <x v="7"/>
  </r>
  <r>
    <x v="1"/>
    <x v="3"/>
    <x v="0"/>
    <x v="6"/>
    <x v="1"/>
    <x v="2"/>
    <x v="2"/>
    <x v="11"/>
    <x v="207"/>
    <x v="7"/>
  </r>
  <r>
    <x v="1"/>
    <x v="10"/>
    <x v="0"/>
    <x v="6"/>
    <x v="1"/>
    <x v="1"/>
    <x v="5"/>
    <x v="11"/>
    <x v="208"/>
    <x v="7"/>
  </r>
  <r>
    <x v="1"/>
    <x v="1"/>
    <x v="0"/>
    <x v="6"/>
    <x v="1"/>
    <x v="1"/>
    <x v="5"/>
    <x v="11"/>
    <x v="208"/>
    <x v="7"/>
  </r>
  <r>
    <x v="1"/>
    <x v="7"/>
    <x v="0"/>
    <x v="6"/>
    <x v="1"/>
    <x v="1"/>
    <x v="5"/>
    <x v="11"/>
    <x v="208"/>
    <x v="7"/>
  </r>
  <r>
    <x v="1"/>
    <x v="5"/>
    <x v="0"/>
    <x v="6"/>
    <x v="1"/>
    <x v="0"/>
    <x v="5"/>
    <x v="11"/>
    <x v="208"/>
    <x v="7"/>
  </r>
  <r>
    <x v="1"/>
    <x v="3"/>
    <x v="0"/>
    <x v="6"/>
    <x v="1"/>
    <x v="2"/>
    <x v="5"/>
    <x v="11"/>
    <x v="208"/>
    <x v="7"/>
  </r>
  <r>
    <x v="1"/>
    <x v="7"/>
    <x v="0"/>
    <x v="6"/>
    <x v="1"/>
    <x v="1"/>
    <x v="6"/>
    <x v="11"/>
    <x v="209"/>
    <x v="7"/>
  </r>
  <r>
    <x v="1"/>
    <x v="4"/>
    <x v="0"/>
    <x v="6"/>
    <x v="1"/>
    <x v="0"/>
    <x v="6"/>
    <x v="11"/>
    <x v="209"/>
    <x v="7"/>
  </r>
  <r>
    <x v="1"/>
    <x v="0"/>
    <x v="0"/>
    <x v="6"/>
    <x v="1"/>
    <x v="0"/>
    <x v="6"/>
    <x v="11"/>
    <x v="209"/>
    <x v="7"/>
  </r>
  <r>
    <x v="1"/>
    <x v="3"/>
    <x v="0"/>
    <x v="6"/>
    <x v="1"/>
    <x v="2"/>
    <x v="6"/>
    <x v="11"/>
    <x v="209"/>
    <x v="7"/>
  </r>
  <r>
    <x v="1"/>
    <x v="15"/>
    <x v="0"/>
    <x v="6"/>
    <x v="1"/>
    <x v="2"/>
    <x v="6"/>
    <x v="11"/>
    <x v="209"/>
    <x v="7"/>
  </r>
  <r>
    <x v="1"/>
    <x v="1"/>
    <x v="0"/>
    <x v="6"/>
    <x v="1"/>
    <x v="1"/>
    <x v="3"/>
    <x v="11"/>
    <x v="210"/>
    <x v="7"/>
  </r>
  <r>
    <x v="1"/>
    <x v="3"/>
    <x v="0"/>
    <x v="6"/>
    <x v="1"/>
    <x v="2"/>
    <x v="3"/>
    <x v="11"/>
    <x v="210"/>
    <x v="7"/>
  </r>
  <r>
    <x v="1"/>
    <x v="0"/>
    <x v="0"/>
    <x v="6"/>
    <x v="1"/>
    <x v="0"/>
    <x v="4"/>
    <x v="11"/>
    <x v="211"/>
    <x v="7"/>
  </r>
  <r>
    <x v="1"/>
    <x v="7"/>
    <x v="0"/>
    <x v="6"/>
    <x v="1"/>
    <x v="1"/>
    <x v="0"/>
    <x v="11"/>
    <x v="212"/>
    <x v="7"/>
  </r>
  <r>
    <x v="1"/>
    <x v="5"/>
    <x v="0"/>
    <x v="6"/>
    <x v="1"/>
    <x v="0"/>
    <x v="1"/>
    <x v="11"/>
    <x v="213"/>
    <x v="7"/>
  </r>
  <r>
    <x v="1"/>
    <x v="1"/>
    <x v="0"/>
    <x v="6"/>
    <x v="1"/>
    <x v="1"/>
    <x v="2"/>
    <x v="11"/>
    <x v="214"/>
    <x v="7"/>
  </r>
  <r>
    <x v="1"/>
    <x v="4"/>
    <x v="0"/>
    <x v="6"/>
    <x v="1"/>
    <x v="0"/>
    <x v="2"/>
    <x v="11"/>
    <x v="214"/>
    <x v="7"/>
  </r>
  <r>
    <x v="1"/>
    <x v="4"/>
    <x v="0"/>
    <x v="6"/>
    <x v="1"/>
    <x v="0"/>
    <x v="2"/>
    <x v="11"/>
    <x v="214"/>
    <x v="7"/>
  </r>
  <r>
    <x v="1"/>
    <x v="10"/>
    <x v="0"/>
    <x v="6"/>
    <x v="1"/>
    <x v="1"/>
    <x v="5"/>
    <x v="11"/>
    <x v="215"/>
    <x v="7"/>
  </r>
  <r>
    <x v="1"/>
    <x v="1"/>
    <x v="0"/>
    <x v="6"/>
    <x v="1"/>
    <x v="1"/>
    <x v="5"/>
    <x v="11"/>
    <x v="215"/>
    <x v="7"/>
  </r>
  <r>
    <x v="1"/>
    <x v="1"/>
    <x v="0"/>
    <x v="6"/>
    <x v="1"/>
    <x v="1"/>
    <x v="5"/>
    <x v="11"/>
    <x v="215"/>
    <x v="7"/>
  </r>
  <r>
    <x v="1"/>
    <x v="5"/>
    <x v="0"/>
    <x v="6"/>
    <x v="1"/>
    <x v="0"/>
    <x v="5"/>
    <x v="11"/>
    <x v="215"/>
    <x v="7"/>
  </r>
  <r>
    <x v="1"/>
    <x v="3"/>
    <x v="0"/>
    <x v="6"/>
    <x v="1"/>
    <x v="2"/>
    <x v="5"/>
    <x v="11"/>
    <x v="215"/>
    <x v="7"/>
  </r>
  <r>
    <x v="1"/>
    <x v="8"/>
    <x v="0"/>
    <x v="6"/>
    <x v="1"/>
    <x v="2"/>
    <x v="5"/>
    <x v="11"/>
    <x v="215"/>
    <x v="7"/>
  </r>
  <r>
    <x v="1"/>
    <x v="13"/>
    <x v="0"/>
    <x v="6"/>
    <x v="1"/>
    <x v="2"/>
    <x v="5"/>
    <x v="11"/>
    <x v="215"/>
    <x v="7"/>
  </r>
  <r>
    <x v="1"/>
    <x v="9"/>
    <x v="0"/>
    <x v="6"/>
    <x v="1"/>
    <x v="1"/>
    <x v="6"/>
    <x v="11"/>
    <x v="216"/>
    <x v="7"/>
  </r>
  <r>
    <x v="1"/>
    <x v="9"/>
    <x v="0"/>
    <x v="6"/>
    <x v="1"/>
    <x v="1"/>
    <x v="6"/>
    <x v="11"/>
    <x v="216"/>
    <x v="7"/>
  </r>
  <r>
    <x v="1"/>
    <x v="1"/>
    <x v="0"/>
    <x v="6"/>
    <x v="1"/>
    <x v="1"/>
    <x v="3"/>
    <x v="11"/>
    <x v="217"/>
    <x v="7"/>
  </r>
  <r>
    <x v="1"/>
    <x v="1"/>
    <x v="0"/>
    <x v="6"/>
    <x v="1"/>
    <x v="1"/>
    <x v="3"/>
    <x v="11"/>
    <x v="217"/>
    <x v="7"/>
  </r>
  <r>
    <x v="1"/>
    <x v="3"/>
    <x v="0"/>
    <x v="6"/>
    <x v="1"/>
    <x v="2"/>
    <x v="3"/>
    <x v="11"/>
    <x v="217"/>
    <x v="7"/>
  </r>
  <r>
    <x v="1"/>
    <x v="0"/>
    <x v="0"/>
    <x v="6"/>
    <x v="1"/>
    <x v="0"/>
    <x v="4"/>
    <x v="11"/>
    <x v="218"/>
    <x v="7"/>
  </r>
  <r>
    <x v="1"/>
    <x v="16"/>
    <x v="0"/>
    <x v="6"/>
    <x v="1"/>
    <x v="1"/>
    <x v="0"/>
    <x v="11"/>
    <x v="219"/>
    <x v="7"/>
  </r>
  <r>
    <x v="1"/>
    <x v="16"/>
    <x v="0"/>
    <x v="6"/>
    <x v="1"/>
    <x v="1"/>
    <x v="0"/>
    <x v="11"/>
    <x v="219"/>
    <x v="7"/>
  </r>
  <r>
    <x v="1"/>
    <x v="10"/>
    <x v="0"/>
    <x v="6"/>
    <x v="1"/>
    <x v="1"/>
    <x v="0"/>
    <x v="11"/>
    <x v="219"/>
    <x v="7"/>
  </r>
  <r>
    <x v="1"/>
    <x v="3"/>
    <x v="0"/>
    <x v="6"/>
    <x v="1"/>
    <x v="2"/>
    <x v="0"/>
    <x v="11"/>
    <x v="219"/>
    <x v="7"/>
  </r>
  <r>
    <x v="1"/>
    <x v="5"/>
    <x v="0"/>
    <x v="6"/>
    <x v="1"/>
    <x v="0"/>
    <x v="1"/>
    <x v="0"/>
    <x v="220"/>
    <x v="7"/>
  </r>
  <r>
    <x v="1"/>
    <x v="0"/>
    <x v="0"/>
    <x v="6"/>
    <x v="1"/>
    <x v="0"/>
    <x v="2"/>
    <x v="0"/>
    <x v="221"/>
    <x v="7"/>
  </r>
  <r>
    <x v="1"/>
    <x v="5"/>
    <x v="0"/>
    <x v="6"/>
    <x v="1"/>
    <x v="0"/>
    <x v="2"/>
    <x v="0"/>
    <x v="221"/>
    <x v="7"/>
  </r>
  <r>
    <x v="1"/>
    <x v="3"/>
    <x v="0"/>
    <x v="6"/>
    <x v="1"/>
    <x v="2"/>
    <x v="5"/>
    <x v="0"/>
    <x v="222"/>
    <x v="7"/>
  </r>
  <r>
    <x v="1"/>
    <x v="8"/>
    <x v="0"/>
    <x v="6"/>
    <x v="1"/>
    <x v="2"/>
    <x v="5"/>
    <x v="0"/>
    <x v="222"/>
    <x v="7"/>
  </r>
  <r>
    <x v="1"/>
    <x v="9"/>
    <x v="0"/>
    <x v="6"/>
    <x v="1"/>
    <x v="1"/>
    <x v="6"/>
    <x v="0"/>
    <x v="223"/>
    <x v="7"/>
  </r>
  <r>
    <x v="1"/>
    <x v="7"/>
    <x v="0"/>
    <x v="6"/>
    <x v="1"/>
    <x v="1"/>
    <x v="6"/>
    <x v="0"/>
    <x v="223"/>
    <x v="7"/>
  </r>
  <r>
    <x v="1"/>
    <x v="9"/>
    <x v="0"/>
    <x v="6"/>
    <x v="1"/>
    <x v="1"/>
    <x v="3"/>
    <x v="0"/>
    <x v="224"/>
    <x v="7"/>
  </r>
  <r>
    <x v="1"/>
    <x v="1"/>
    <x v="0"/>
    <x v="6"/>
    <x v="1"/>
    <x v="1"/>
    <x v="3"/>
    <x v="0"/>
    <x v="224"/>
    <x v="7"/>
  </r>
  <r>
    <x v="1"/>
    <x v="3"/>
    <x v="0"/>
    <x v="6"/>
    <x v="1"/>
    <x v="2"/>
    <x v="3"/>
    <x v="0"/>
    <x v="224"/>
    <x v="7"/>
  </r>
  <r>
    <x v="1"/>
    <x v="1"/>
    <x v="0"/>
    <x v="6"/>
    <x v="1"/>
    <x v="1"/>
    <x v="4"/>
    <x v="0"/>
    <x v="225"/>
    <x v="7"/>
  </r>
  <r>
    <x v="1"/>
    <x v="6"/>
    <x v="0"/>
    <x v="6"/>
    <x v="1"/>
    <x v="0"/>
    <x v="4"/>
    <x v="0"/>
    <x v="225"/>
    <x v="7"/>
  </r>
  <r>
    <x v="1"/>
    <x v="13"/>
    <x v="0"/>
    <x v="6"/>
    <x v="1"/>
    <x v="2"/>
    <x v="4"/>
    <x v="0"/>
    <x v="225"/>
    <x v="7"/>
  </r>
  <r>
    <x v="1"/>
    <x v="1"/>
    <x v="0"/>
    <x v="6"/>
    <x v="1"/>
    <x v="1"/>
    <x v="0"/>
    <x v="0"/>
    <x v="226"/>
    <x v="7"/>
  </r>
  <r>
    <x v="1"/>
    <x v="1"/>
    <x v="0"/>
    <x v="6"/>
    <x v="1"/>
    <x v="1"/>
    <x v="0"/>
    <x v="0"/>
    <x v="226"/>
    <x v="7"/>
  </r>
  <r>
    <x v="1"/>
    <x v="4"/>
    <x v="0"/>
    <x v="6"/>
    <x v="1"/>
    <x v="0"/>
    <x v="0"/>
    <x v="0"/>
    <x v="226"/>
    <x v="7"/>
  </r>
  <r>
    <x v="1"/>
    <x v="10"/>
    <x v="0"/>
    <x v="6"/>
    <x v="1"/>
    <x v="1"/>
    <x v="1"/>
    <x v="0"/>
    <x v="227"/>
    <x v="7"/>
  </r>
  <r>
    <x v="1"/>
    <x v="10"/>
    <x v="0"/>
    <x v="6"/>
    <x v="1"/>
    <x v="1"/>
    <x v="1"/>
    <x v="0"/>
    <x v="227"/>
    <x v="7"/>
  </r>
  <r>
    <x v="1"/>
    <x v="4"/>
    <x v="0"/>
    <x v="6"/>
    <x v="1"/>
    <x v="0"/>
    <x v="1"/>
    <x v="0"/>
    <x v="227"/>
    <x v="7"/>
  </r>
  <r>
    <x v="1"/>
    <x v="7"/>
    <x v="0"/>
    <x v="6"/>
    <x v="1"/>
    <x v="1"/>
    <x v="2"/>
    <x v="0"/>
    <x v="228"/>
    <x v="7"/>
  </r>
  <r>
    <x v="1"/>
    <x v="5"/>
    <x v="0"/>
    <x v="6"/>
    <x v="1"/>
    <x v="0"/>
    <x v="2"/>
    <x v="0"/>
    <x v="228"/>
    <x v="7"/>
  </r>
  <r>
    <x v="1"/>
    <x v="10"/>
    <x v="0"/>
    <x v="6"/>
    <x v="1"/>
    <x v="1"/>
    <x v="5"/>
    <x v="0"/>
    <x v="229"/>
    <x v="7"/>
  </r>
  <r>
    <x v="1"/>
    <x v="6"/>
    <x v="0"/>
    <x v="6"/>
    <x v="1"/>
    <x v="0"/>
    <x v="5"/>
    <x v="0"/>
    <x v="229"/>
    <x v="7"/>
  </r>
  <r>
    <x v="1"/>
    <x v="13"/>
    <x v="0"/>
    <x v="6"/>
    <x v="1"/>
    <x v="2"/>
    <x v="5"/>
    <x v="0"/>
    <x v="229"/>
    <x v="7"/>
  </r>
  <r>
    <x v="1"/>
    <x v="8"/>
    <x v="0"/>
    <x v="6"/>
    <x v="1"/>
    <x v="2"/>
    <x v="6"/>
    <x v="0"/>
    <x v="230"/>
    <x v="7"/>
  </r>
  <r>
    <x v="1"/>
    <x v="7"/>
    <x v="0"/>
    <x v="6"/>
    <x v="1"/>
    <x v="1"/>
    <x v="3"/>
    <x v="0"/>
    <x v="231"/>
    <x v="7"/>
  </r>
  <r>
    <x v="1"/>
    <x v="9"/>
    <x v="0"/>
    <x v="6"/>
    <x v="1"/>
    <x v="1"/>
    <x v="4"/>
    <x v="0"/>
    <x v="232"/>
    <x v="7"/>
  </r>
  <r>
    <x v="1"/>
    <x v="10"/>
    <x v="0"/>
    <x v="6"/>
    <x v="1"/>
    <x v="1"/>
    <x v="4"/>
    <x v="0"/>
    <x v="232"/>
    <x v="7"/>
  </r>
  <r>
    <x v="1"/>
    <x v="10"/>
    <x v="0"/>
    <x v="6"/>
    <x v="1"/>
    <x v="1"/>
    <x v="4"/>
    <x v="0"/>
    <x v="232"/>
    <x v="7"/>
  </r>
  <r>
    <x v="1"/>
    <x v="2"/>
    <x v="0"/>
    <x v="6"/>
    <x v="1"/>
    <x v="0"/>
    <x v="4"/>
    <x v="0"/>
    <x v="232"/>
    <x v="7"/>
  </r>
  <r>
    <x v="1"/>
    <x v="9"/>
    <x v="0"/>
    <x v="6"/>
    <x v="1"/>
    <x v="1"/>
    <x v="0"/>
    <x v="0"/>
    <x v="233"/>
    <x v="7"/>
  </r>
  <r>
    <x v="1"/>
    <x v="10"/>
    <x v="0"/>
    <x v="6"/>
    <x v="1"/>
    <x v="1"/>
    <x v="1"/>
    <x v="0"/>
    <x v="234"/>
    <x v="7"/>
  </r>
  <r>
    <x v="1"/>
    <x v="3"/>
    <x v="0"/>
    <x v="6"/>
    <x v="1"/>
    <x v="2"/>
    <x v="1"/>
    <x v="0"/>
    <x v="234"/>
    <x v="7"/>
  </r>
  <r>
    <x v="1"/>
    <x v="13"/>
    <x v="0"/>
    <x v="6"/>
    <x v="1"/>
    <x v="2"/>
    <x v="1"/>
    <x v="0"/>
    <x v="234"/>
    <x v="7"/>
  </r>
  <r>
    <x v="1"/>
    <x v="10"/>
    <x v="0"/>
    <x v="6"/>
    <x v="1"/>
    <x v="1"/>
    <x v="2"/>
    <x v="0"/>
    <x v="235"/>
    <x v="7"/>
  </r>
  <r>
    <x v="1"/>
    <x v="10"/>
    <x v="0"/>
    <x v="6"/>
    <x v="1"/>
    <x v="1"/>
    <x v="5"/>
    <x v="0"/>
    <x v="236"/>
    <x v="7"/>
  </r>
  <r>
    <x v="1"/>
    <x v="9"/>
    <x v="0"/>
    <x v="6"/>
    <x v="1"/>
    <x v="1"/>
    <x v="6"/>
    <x v="0"/>
    <x v="237"/>
    <x v="7"/>
  </r>
  <r>
    <x v="1"/>
    <x v="2"/>
    <x v="0"/>
    <x v="6"/>
    <x v="1"/>
    <x v="0"/>
    <x v="6"/>
    <x v="0"/>
    <x v="237"/>
    <x v="7"/>
  </r>
  <r>
    <x v="1"/>
    <x v="5"/>
    <x v="0"/>
    <x v="6"/>
    <x v="1"/>
    <x v="0"/>
    <x v="6"/>
    <x v="0"/>
    <x v="237"/>
    <x v="7"/>
  </r>
  <r>
    <x v="1"/>
    <x v="3"/>
    <x v="0"/>
    <x v="6"/>
    <x v="1"/>
    <x v="2"/>
    <x v="3"/>
    <x v="0"/>
    <x v="238"/>
    <x v="7"/>
  </r>
  <r>
    <x v="1"/>
    <x v="3"/>
    <x v="0"/>
    <x v="6"/>
    <x v="1"/>
    <x v="2"/>
    <x v="3"/>
    <x v="0"/>
    <x v="238"/>
    <x v="7"/>
  </r>
  <r>
    <x v="1"/>
    <x v="9"/>
    <x v="0"/>
    <x v="6"/>
    <x v="1"/>
    <x v="1"/>
    <x v="4"/>
    <x v="0"/>
    <x v="239"/>
    <x v="7"/>
  </r>
  <r>
    <x v="1"/>
    <x v="10"/>
    <x v="0"/>
    <x v="6"/>
    <x v="1"/>
    <x v="1"/>
    <x v="4"/>
    <x v="0"/>
    <x v="239"/>
    <x v="7"/>
  </r>
  <r>
    <x v="1"/>
    <x v="1"/>
    <x v="0"/>
    <x v="6"/>
    <x v="1"/>
    <x v="1"/>
    <x v="4"/>
    <x v="0"/>
    <x v="239"/>
    <x v="7"/>
  </r>
  <r>
    <x v="1"/>
    <x v="12"/>
    <x v="0"/>
    <x v="6"/>
    <x v="1"/>
    <x v="1"/>
    <x v="0"/>
    <x v="0"/>
    <x v="240"/>
    <x v="7"/>
  </r>
  <r>
    <x v="1"/>
    <x v="12"/>
    <x v="0"/>
    <x v="6"/>
    <x v="1"/>
    <x v="1"/>
    <x v="0"/>
    <x v="0"/>
    <x v="240"/>
    <x v="7"/>
  </r>
  <r>
    <x v="1"/>
    <x v="10"/>
    <x v="0"/>
    <x v="6"/>
    <x v="1"/>
    <x v="1"/>
    <x v="1"/>
    <x v="0"/>
    <x v="241"/>
    <x v="7"/>
  </r>
  <r>
    <x v="1"/>
    <x v="1"/>
    <x v="0"/>
    <x v="6"/>
    <x v="1"/>
    <x v="1"/>
    <x v="1"/>
    <x v="0"/>
    <x v="241"/>
    <x v="7"/>
  </r>
  <r>
    <x v="1"/>
    <x v="4"/>
    <x v="0"/>
    <x v="6"/>
    <x v="1"/>
    <x v="0"/>
    <x v="1"/>
    <x v="0"/>
    <x v="241"/>
    <x v="7"/>
  </r>
  <r>
    <x v="1"/>
    <x v="0"/>
    <x v="0"/>
    <x v="6"/>
    <x v="1"/>
    <x v="0"/>
    <x v="1"/>
    <x v="0"/>
    <x v="241"/>
    <x v="7"/>
  </r>
  <r>
    <x v="1"/>
    <x v="3"/>
    <x v="0"/>
    <x v="6"/>
    <x v="1"/>
    <x v="2"/>
    <x v="1"/>
    <x v="0"/>
    <x v="241"/>
    <x v="7"/>
  </r>
  <r>
    <x v="1"/>
    <x v="13"/>
    <x v="0"/>
    <x v="6"/>
    <x v="1"/>
    <x v="2"/>
    <x v="1"/>
    <x v="0"/>
    <x v="241"/>
    <x v="7"/>
  </r>
  <r>
    <x v="2"/>
    <x v="2"/>
    <x v="0"/>
    <x v="7"/>
    <x v="2"/>
    <x v="0"/>
    <x v="3"/>
    <x v="0"/>
    <x v="3"/>
    <x v="8"/>
  </r>
  <r>
    <x v="2"/>
    <x v="2"/>
    <x v="0"/>
    <x v="7"/>
    <x v="2"/>
    <x v="0"/>
    <x v="3"/>
    <x v="0"/>
    <x v="3"/>
    <x v="8"/>
  </r>
  <r>
    <x v="2"/>
    <x v="4"/>
    <x v="0"/>
    <x v="7"/>
    <x v="2"/>
    <x v="0"/>
    <x v="0"/>
    <x v="0"/>
    <x v="5"/>
    <x v="8"/>
  </r>
  <r>
    <x v="2"/>
    <x v="4"/>
    <x v="0"/>
    <x v="7"/>
    <x v="2"/>
    <x v="0"/>
    <x v="1"/>
    <x v="0"/>
    <x v="6"/>
    <x v="8"/>
  </r>
  <r>
    <x v="2"/>
    <x v="0"/>
    <x v="0"/>
    <x v="7"/>
    <x v="2"/>
    <x v="0"/>
    <x v="1"/>
    <x v="0"/>
    <x v="6"/>
    <x v="8"/>
  </r>
  <r>
    <x v="2"/>
    <x v="13"/>
    <x v="0"/>
    <x v="7"/>
    <x v="2"/>
    <x v="2"/>
    <x v="1"/>
    <x v="0"/>
    <x v="6"/>
    <x v="8"/>
  </r>
  <r>
    <x v="2"/>
    <x v="7"/>
    <x v="0"/>
    <x v="7"/>
    <x v="2"/>
    <x v="1"/>
    <x v="5"/>
    <x v="0"/>
    <x v="7"/>
    <x v="8"/>
  </r>
  <r>
    <x v="2"/>
    <x v="0"/>
    <x v="0"/>
    <x v="7"/>
    <x v="2"/>
    <x v="0"/>
    <x v="3"/>
    <x v="0"/>
    <x v="346"/>
    <x v="8"/>
  </r>
  <r>
    <x v="2"/>
    <x v="4"/>
    <x v="0"/>
    <x v="7"/>
    <x v="2"/>
    <x v="0"/>
    <x v="4"/>
    <x v="0"/>
    <x v="347"/>
    <x v="8"/>
  </r>
  <r>
    <x v="2"/>
    <x v="0"/>
    <x v="0"/>
    <x v="7"/>
    <x v="2"/>
    <x v="0"/>
    <x v="1"/>
    <x v="0"/>
    <x v="245"/>
    <x v="8"/>
  </r>
  <r>
    <x v="2"/>
    <x v="13"/>
    <x v="0"/>
    <x v="7"/>
    <x v="2"/>
    <x v="2"/>
    <x v="5"/>
    <x v="0"/>
    <x v="246"/>
    <x v="8"/>
  </r>
  <r>
    <x v="2"/>
    <x v="2"/>
    <x v="0"/>
    <x v="7"/>
    <x v="2"/>
    <x v="0"/>
    <x v="3"/>
    <x v="0"/>
    <x v="16"/>
    <x v="8"/>
  </r>
  <r>
    <x v="2"/>
    <x v="4"/>
    <x v="0"/>
    <x v="7"/>
    <x v="2"/>
    <x v="0"/>
    <x v="0"/>
    <x v="0"/>
    <x v="348"/>
    <x v="8"/>
  </r>
  <r>
    <x v="2"/>
    <x v="4"/>
    <x v="0"/>
    <x v="7"/>
    <x v="2"/>
    <x v="0"/>
    <x v="0"/>
    <x v="0"/>
    <x v="348"/>
    <x v="8"/>
  </r>
  <r>
    <x v="2"/>
    <x v="1"/>
    <x v="0"/>
    <x v="7"/>
    <x v="2"/>
    <x v="1"/>
    <x v="2"/>
    <x v="0"/>
    <x v="349"/>
    <x v="8"/>
  </r>
  <r>
    <x v="2"/>
    <x v="0"/>
    <x v="0"/>
    <x v="7"/>
    <x v="2"/>
    <x v="0"/>
    <x v="3"/>
    <x v="1"/>
    <x v="20"/>
    <x v="8"/>
  </r>
  <r>
    <x v="2"/>
    <x v="7"/>
    <x v="0"/>
    <x v="7"/>
    <x v="2"/>
    <x v="1"/>
    <x v="4"/>
    <x v="1"/>
    <x v="350"/>
    <x v="8"/>
  </r>
  <r>
    <x v="2"/>
    <x v="2"/>
    <x v="0"/>
    <x v="7"/>
    <x v="2"/>
    <x v="0"/>
    <x v="1"/>
    <x v="1"/>
    <x v="22"/>
    <x v="8"/>
  </r>
  <r>
    <x v="2"/>
    <x v="4"/>
    <x v="0"/>
    <x v="7"/>
    <x v="2"/>
    <x v="0"/>
    <x v="2"/>
    <x v="1"/>
    <x v="248"/>
    <x v="8"/>
  </r>
  <r>
    <x v="2"/>
    <x v="4"/>
    <x v="0"/>
    <x v="7"/>
    <x v="2"/>
    <x v="0"/>
    <x v="2"/>
    <x v="1"/>
    <x v="248"/>
    <x v="8"/>
  </r>
  <r>
    <x v="2"/>
    <x v="1"/>
    <x v="0"/>
    <x v="7"/>
    <x v="2"/>
    <x v="1"/>
    <x v="5"/>
    <x v="1"/>
    <x v="23"/>
    <x v="8"/>
  </r>
  <r>
    <x v="2"/>
    <x v="7"/>
    <x v="0"/>
    <x v="7"/>
    <x v="2"/>
    <x v="1"/>
    <x v="5"/>
    <x v="1"/>
    <x v="23"/>
    <x v="8"/>
  </r>
  <r>
    <x v="2"/>
    <x v="13"/>
    <x v="0"/>
    <x v="7"/>
    <x v="2"/>
    <x v="2"/>
    <x v="5"/>
    <x v="1"/>
    <x v="23"/>
    <x v="8"/>
  </r>
  <r>
    <x v="2"/>
    <x v="8"/>
    <x v="0"/>
    <x v="7"/>
    <x v="2"/>
    <x v="2"/>
    <x v="3"/>
    <x v="1"/>
    <x v="351"/>
    <x v="8"/>
  </r>
  <r>
    <x v="2"/>
    <x v="13"/>
    <x v="0"/>
    <x v="7"/>
    <x v="2"/>
    <x v="2"/>
    <x v="4"/>
    <x v="1"/>
    <x v="24"/>
    <x v="8"/>
  </r>
  <r>
    <x v="2"/>
    <x v="6"/>
    <x v="0"/>
    <x v="7"/>
    <x v="2"/>
    <x v="0"/>
    <x v="1"/>
    <x v="1"/>
    <x v="25"/>
    <x v="8"/>
  </r>
  <r>
    <x v="2"/>
    <x v="3"/>
    <x v="0"/>
    <x v="7"/>
    <x v="2"/>
    <x v="2"/>
    <x v="1"/>
    <x v="1"/>
    <x v="25"/>
    <x v="8"/>
  </r>
  <r>
    <x v="2"/>
    <x v="3"/>
    <x v="0"/>
    <x v="7"/>
    <x v="2"/>
    <x v="2"/>
    <x v="1"/>
    <x v="1"/>
    <x v="25"/>
    <x v="8"/>
  </r>
  <r>
    <x v="2"/>
    <x v="4"/>
    <x v="0"/>
    <x v="7"/>
    <x v="2"/>
    <x v="0"/>
    <x v="2"/>
    <x v="1"/>
    <x v="26"/>
    <x v="8"/>
  </r>
  <r>
    <x v="2"/>
    <x v="5"/>
    <x v="0"/>
    <x v="7"/>
    <x v="2"/>
    <x v="0"/>
    <x v="2"/>
    <x v="1"/>
    <x v="26"/>
    <x v="8"/>
  </r>
  <r>
    <x v="2"/>
    <x v="8"/>
    <x v="0"/>
    <x v="7"/>
    <x v="2"/>
    <x v="2"/>
    <x v="2"/>
    <x v="1"/>
    <x v="26"/>
    <x v="8"/>
  </r>
  <r>
    <x v="2"/>
    <x v="3"/>
    <x v="0"/>
    <x v="7"/>
    <x v="2"/>
    <x v="2"/>
    <x v="6"/>
    <x v="1"/>
    <x v="28"/>
    <x v="8"/>
  </r>
  <r>
    <x v="2"/>
    <x v="3"/>
    <x v="0"/>
    <x v="7"/>
    <x v="2"/>
    <x v="2"/>
    <x v="3"/>
    <x v="1"/>
    <x v="29"/>
    <x v="8"/>
  </r>
  <r>
    <x v="2"/>
    <x v="3"/>
    <x v="0"/>
    <x v="7"/>
    <x v="2"/>
    <x v="2"/>
    <x v="3"/>
    <x v="1"/>
    <x v="29"/>
    <x v="8"/>
  </r>
  <r>
    <x v="2"/>
    <x v="2"/>
    <x v="0"/>
    <x v="7"/>
    <x v="2"/>
    <x v="0"/>
    <x v="4"/>
    <x v="1"/>
    <x v="30"/>
    <x v="8"/>
  </r>
  <r>
    <x v="2"/>
    <x v="8"/>
    <x v="0"/>
    <x v="7"/>
    <x v="2"/>
    <x v="2"/>
    <x v="4"/>
    <x v="1"/>
    <x v="30"/>
    <x v="8"/>
  </r>
  <r>
    <x v="2"/>
    <x v="0"/>
    <x v="0"/>
    <x v="7"/>
    <x v="2"/>
    <x v="0"/>
    <x v="0"/>
    <x v="1"/>
    <x v="249"/>
    <x v="8"/>
  </r>
  <r>
    <x v="2"/>
    <x v="0"/>
    <x v="0"/>
    <x v="7"/>
    <x v="2"/>
    <x v="0"/>
    <x v="0"/>
    <x v="1"/>
    <x v="249"/>
    <x v="8"/>
  </r>
  <r>
    <x v="2"/>
    <x v="2"/>
    <x v="0"/>
    <x v="7"/>
    <x v="2"/>
    <x v="0"/>
    <x v="1"/>
    <x v="1"/>
    <x v="31"/>
    <x v="8"/>
  </r>
  <r>
    <x v="2"/>
    <x v="8"/>
    <x v="0"/>
    <x v="8"/>
    <x v="2"/>
    <x v="2"/>
    <x v="1"/>
    <x v="1"/>
    <x v="31"/>
    <x v="9"/>
  </r>
  <r>
    <x v="2"/>
    <x v="8"/>
    <x v="0"/>
    <x v="8"/>
    <x v="2"/>
    <x v="2"/>
    <x v="1"/>
    <x v="1"/>
    <x v="31"/>
    <x v="9"/>
  </r>
  <r>
    <x v="2"/>
    <x v="2"/>
    <x v="0"/>
    <x v="8"/>
    <x v="2"/>
    <x v="0"/>
    <x v="6"/>
    <x v="1"/>
    <x v="250"/>
    <x v="9"/>
  </r>
  <r>
    <x v="2"/>
    <x v="2"/>
    <x v="0"/>
    <x v="8"/>
    <x v="2"/>
    <x v="0"/>
    <x v="6"/>
    <x v="1"/>
    <x v="250"/>
    <x v="9"/>
  </r>
  <r>
    <x v="2"/>
    <x v="13"/>
    <x v="0"/>
    <x v="8"/>
    <x v="2"/>
    <x v="2"/>
    <x v="3"/>
    <x v="1"/>
    <x v="251"/>
    <x v="9"/>
  </r>
  <r>
    <x v="2"/>
    <x v="0"/>
    <x v="0"/>
    <x v="8"/>
    <x v="2"/>
    <x v="0"/>
    <x v="0"/>
    <x v="1"/>
    <x v="35"/>
    <x v="9"/>
  </r>
  <r>
    <x v="2"/>
    <x v="5"/>
    <x v="0"/>
    <x v="8"/>
    <x v="2"/>
    <x v="0"/>
    <x v="1"/>
    <x v="1"/>
    <x v="352"/>
    <x v="9"/>
  </r>
  <r>
    <x v="2"/>
    <x v="4"/>
    <x v="0"/>
    <x v="8"/>
    <x v="2"/>
    <x v="0"/>
    <x v="2"/>
    <x v="1"/>
    <x v="36"/>
    <x v="9"/>
  </r>
  <r>
    <x v="2"/>
    <x v="8"/>
    <x v="0"/>
    <x v="8"/>
    <x v="2"/>
    <x v="2"/>
    <x v="5"/>
    <x v="1"/>
    <x v="37"/>
    <x v="9"/>
  </r>
  <r>
    <x v="2"/>
    <x v="13"/>
    <x v="0"/>
    <x v="8"/>
    <x v="2"/>
    <x v="2"/>
    <x v="5"/>
    <x v="1"/>
    <x v="37"/>
    <x v="9"/>
  </r>
  <r>
    <x v="2"/>
    <x v="13"/>
    <x v="0"/>
    <x v="8"/>
    <x v="2"/>
    <x v="2"/>
    <x v="5"/>
    <x v="1"/>
    <x v="37"/>
    <x v="9"/>
  </r>
  <r>
    <x v="2"/>
    <x v="13"/>
    <x v="0"/>
    <x v="8"/>
    <x v="2"/>
    <x v="2"/>
    <x v="6"/>
    <x v="1"/>
    <x v="38"/>
    <x v="9"/>
  </r>
  <r>
    <x v="2"/>
    <x v="8"/>
    <x v="0"/>
    <x v="8"/>
    <x v="2"/>
    <x v="2"/>
    <x v="4"/>
    <x v="2"/>
    <x v="39"/>
    <x v="9"/>
  </r>
  <r>
    <x v="2"/>
    <x v="13"/>
    <x v="0"/>
    <x v="8"/>
    <x v="2"/>
    <x v="2"/>
    <x v="4"/>
    <x v="2"/>
    <x v="39"/>
    <x v="9"/>
  </r>
  <r>
    <x v="2"/>
    <x v="1"/>
    <x v="0"/>
    <x v="8"/>
    <x v="2"/>
    <x v="1"/>
    <x v="5"/>
    <x v="2"/>
    <x v="40"/>
    <x v="9"/>
  </r>
  <r>
    <x v="2"/>
    <x v="13"/>
    <x v="0"/>
    <x v="8"/>
    <x v="2"/>
    <x v="2"/>
    <x v="5"/>
    <x v="2"/>
    <x v="40"/>
    <x v="9"/>
  </r>
  <r>
    <x v="2"/>
    <x v="13"/>
    <x v="0"/>
    <x v="8"/>
    <x v="2"/>
    <x v="2"/>
    <x v="5"/>
    <x v="2"/>
    <x v="40"/>
    <x v="9"/>
  </r>
  <r>
    <x v="2"/>
    <x v="3"/>
    <x v="0"/>
    <x v="8"/>
    <x v="2"/>
    <x v="2"/>
    <x v="6"/>
    <x v="2"/>
    <x v="41"/>
    <x v="9"/>
  </r>
  <r>
    <x v="2"/>
    <x v="13"/>
    <x v="0"/>
    <x v="8"/>
    <x v="2"/>
    <x v="2"/>
    <x v="6"/>
    <x v="2"/>
    <x v="41"/>
    <x v="9"/>
  </r>
  <r>
    <x v="2"/>
    <x v="13"/>
    <x v="0"/>
    <x v="8"/>
    <x v="2"/>
    <x v="2"/>
    <x v="6"/>
    <x v="2"/>
    <x v="41"/>
    <x v="9"/>
  </r>
  <r>
    <x v="2"/>
    <x v="4"/>
    <x v="0"/>
    <x v="8"/>
    <x v="2"/>
    <x v="0"/>
    <x v="4"/>
    <x v="2"/>
    <x v="42"/>
    <x v="9"/>
  </r>
  <r>
    <x v="2"/>
    <x v="3"/>
    <x v="0"/>
    <x v="8"/>
    <x v="2"/>
    <x v="2"/>
    <x v="1"/>
    <x v="2"/>
    <x v="252"/>
    <x v="9"/>
  </r>
  <r>
    <x v="2"/>
    <x v="8"/>
    <x v="0"/>
    <x v="8"/>
    <x v="2"/>
    <x v="2"/>
    <x v="1"/>
    <x v="2"/>
    <x v="252"/>
    <x v="9"/>
  </r>
  <r>
    <x v="2"/>
    <x v="1"/>
    <x v="0"/>
    <x v="8"/>
    <x v="2"/>
    <x v="1"/>
    <x v="6"/>
    <x v="2"/>
    <x v="44"/>
    <x v="9"/>
  </r>
  <r>
    <x v="2"/>
    <x v="7"/>
    <x v="0"/>
    <x v="8"/>
    <x v="2"/>
    <x v="1"/>
    <x v="6"/>
    <x v="2"/>
    <x v="44"/>
    <x v="9"/>
  </r>
  <r>
    <x v="2"/>
    <x v="2"/>
    <x v="0"/>
    <x v="8"/>
    <x v="2"/>
    <x v="0"/>
    <x v="6"/>
    <x v="2"/>
    <x v="44"/>
    <x v="9"/>
  </r>
  <r>
    <x v="2"/>
    <x v="6"/>
    <x v="0"/>
    <x v="8"/>
    <x v="2"/>
    <x v="0"/>
    <x v="6"/>
    <x v="2"/>
    <x v="44"/>
    <x v="9"/>
  </r>
  <r>
    <x v="2"/>
    <x v="14"/>
    <x v="0"/>
    <x v="8"/>
    <x v="2"/>
    <x v="2"/>
    <x v="3"/>
    <x v="2"/>
    <x v="45"/>
    <x v="9"/>
  </r>
  <r>
    <x v="2"/>
    <x v="13"/>
    <x v="0"/>
    <x v="8"/>
    <x v="2"/>
    <x v="2"/>
    <x v="0"/>
    <x v="2"/>
    <x v="46"/>
    <x v="9"/>
  </r>
  <r>
    <x v="2"/>
    <x v="14"/>
    <x v="0"/>
    <x v="8"/>
    <x v="2"/>
    <x v="2"/>
    <x v="0"/>
    <x v="2"/>
    <x v="46"/>
    <x v="9"/>
  </r>
  <r>
    <x v="2"/>
    <x v="9"/>
    <x v="0"/>
    <x v="8"/>
    <x v="2"/>
    <x v="1"/>
    <x v="1"/>
    <x v="2"/>
    <x v="255"/>
    <x v="9"/>
  </r>
  <r>
    <x v="2"/>
    <x v="9"/>
    <x v="0"/>
    <x v="8"/>
    <x v="2"/>
    <x v="1"/>
    <x v="1"/>
    <x v="2"/>
    <x v="255"/>
    <x v="9"/>
  </r>
  <r>
    <x v="2"/>
    <x v="9"/>
    <x v="0"/>
    <x v="8"/>
    <x v="2"/>
    <x v="1"/>
    <x v="2"/>
    <x v="2"/>
    <x v="47"/>
    <x v="9"/>
  </r>
  <r>
    <x v="2"/>
    <x v="13"/>
    <x v="0"/>
    <x v="8"/>
    <x v="2"/>
    <x v="2"/>
    <x v="2"/>
    <x v="2"/>
    <x v="47"/>
    <x v="9"/>
  </r>
  <r>
    <x v="2"/>
    <x v="15"/>
    <x v="0"/>
    <x v="8"/>
    <x v="2"/>
    <x v="2"/>
    <x v="2"/>
    <x v="2"/>
    <x v="47"/>
    <x v="9"/>
  </r>
  <r>
    <x v="2"/>
    <x v="15"/>
    <x v="0"/>
    <x v="8"/>
    <x v="2"/>
    <x v="2"/>
    <x v="2"/>
    <x v="2"/>
    <x v="47"/>
    <x v="9"/>
  </r>
  <r>
    <x v="2"/>
    <x v="2"/>
    <x v="0"/>
    <x v="8"/>
    <x v="2"/>
    <x v="0"/>
    <x v="5"/>
    <x v="2"/>
    <x v="48"/>
    <x v="9"/>
  </r>
  <r>
    <x v="2"/>
    <x v="13"/>
    <x v="0"/>
    <x v="8"/>
    <x v="2"/>
    <x v="2"/>
    <x v="6"/>
    <x v="2"/>
    <x v="353"/>
    <x v="9"/>
  </r>
  <r>
    <x v="2"/>
    <x v="14"/>
    <x v="0"/>
    <x v="8"/>
    <x v="2"/>
    <x v="2"/>
    <x v="6"/>
    <x v="2"/>
    <x v="353"/>
    <x v="9"/>
  </r>
  <r>
    <x v="2"/>
    <x v="10"/>
    <x v="0"/>
    <x v="8"/>
    <x v="2"/>
    <x v="1"/>
    <x v="3"/>
    <x v="2"/>
    <x v="49"/>
    <x v="9"/>
  </r>
  <r>
    <x v="2"/>
    <x v="13"/>
    <x v="0"/>
    <x v="8"/>
    <x v="2"/>
    <x v="2"/>
    <x v="3"/>
    <x v="2"/>
    <x v="49"/>
    <x v="9"/>
  </r>
  <r>
    <x v="2"/>
    <x v="13"/>
    <x v="0"/>
    <x v="8"/>
    <x v="2"/>
    <x v="2"/>
    <x v="3"/>
    <x v="2"/>
    <x v="49"/>
    <x v="9"/>
  </r>
  <r>
    <x v="2"/>
    <x v="15"/>
    <x v="0"/>
    <x v="8"/>
    <x v="2"/>
    <x v="2"/>
    <x v="3"/>
    <x v="2"/>
    <x v="49"/>
    <x v="9"/>
  </r>
  <r>
    <x v="2"/>
    <x v="1"/>
    <x v="0"/>
    <x v="8"/>
    <x v="2"/>
    <x v="1"/>
    <x v="4"/>
    <x v="2"/>
    <x v="256"/>
    <x v="9"/>
  </r>
  <r>
    <x v="2"/>
    <x v="5"/>
    <x v="0"/>
    <x v="8"/>
    <x v="2"/>
    <x v="0"/>
    <x v="4"/>
    <x v="2"/>
    <x v="256"/>
    <x v="9"/>
  </r>
  <r>
    <x v="2"/>
    <x v="5"/>
    <x v="0"/>
    <x v="8"/>
    <x v="2"/>
    <x v="0"/>
    <x v="4"/>
    <x v="2"/>
    <x v="256"/>
    <x v="9"/>
  </r>
  <r>
    <x v="2"/>
    <x v="6"/>
    <x v="0"/>
    <x v="8"/>
    <x v="2"/>
    <x v="0"/>
    <x v="4"/>
    <x v="2"/>
    <x v="256"/>
    <x v="9"/>
  </r>
  <r>
    <x v="2"/>
    <x v="3"/>
    <x v="0"/>
    <x v="8"/>
    <x v="2"/>
    <x v="2"/>
    <x v="4"/>
    <x v="2"/>
    <x v="256"/>
    <x v="9"/>
  </r>
  <r>
    <x v="2"/>
    <x v="13"/>
    <x v="0"/>
    <x v="8"/>
    <x v="2"/>
    <x v="2"/>
    <x v="4"/>
    <x v="2"/>
    <x v="256"/>
    <x v="9"/>
  </r>
  <r>
    <x v="2"/>
    <x v="13"/>
    <x v="0"/>
    <x v="8"/>
    <x v="2"/>
    <x v="2"/>
    <x v="4"/>
    <x v="2"/>
    <x v="256"/>
    <x v="9"/>
  </r>
  <r>
    <x v="2"/>
    <x v="13"/>
    <x v="0"/>
    <x v="8"/>
    <x v="2"/>
    <x v="2"/>
    <x v="4"/>
    <x v="2"/>
    <x v="256"/>
    <x v="9"/>
  </r>
  <r>
    <x v="2"/>
    <x v="14"/>
    <x v="0"/>
    <x v="8"/>
    <x v="2"/>
    <x v="2"/>
    <x v="4"/>
    <x v="2"/>
    <x v="256"/>
    <x v="9"/>
  </r>
  <r>
    <x v="2"/>
    <x v="3"/>
    <x v="0"/>
    <x v="8"/>
    <x v="2"/>
    <x v="2"/>
    <x v="2"/>
    <x v="2"/>
    <x v="52"/>
    <x v="9"/>
  </r>
  <r>
    <x v="2"/>
    <x v="15"/>
    <x v="0"/>
    <x v="8"/>
    <x v="2"/>
    <x v="2"/>
    <x v="2"/>
    <x v="2"/>
    <x v="52"/>
    <x v="9"/>
  </r>
  <r>
    <x v="2"/>
    <x v="15"/>
    <x v="0"/>
    <x v="8"/>
    <x v="2"/>
    <x v="2"/>
    <x v="2"/>
    <x v="2"/>
    <x v="52"/>
    <x v="9"/>
  </r>
  <r>
    <x v="2"/>
    <x v="15"/>
    <x v="0"/>
    <x v="8"/>
    <x v="2"/>
    <x v="2"/>
    <x v="2"/>
    <x v="2"/>
    <x v="52"/>
    <x v="9"/>
  </r>
  <r>
    <x v="2"/>
    <x v="15"/>
    <x v="0"/>
    <x v="8"/>
    <x v="2"/>
    <x v="2"/>
    <x v="5"/>
    <x v="2"/>
    <x v="53"/>
    <x v="9"/>
  </r>
  <r>
    <x v="2"/>
    <x v="7"/>
    <x v="0"/>
    <x v="8"/>
    <x v="2"/>
    <x v="1"/>
    <x v="6"/>
    <x v="2"/>
    <x v="54"/>
    <x v="9"/>
  </r>
  <r>
    <x v="2"/>
    <x v="0"/>
    <x v="0"/>
    <x v="8"/>
    <x v="2"/>
    <x v="0"/>
    <x v="6"/>
    <x v="2"/>
    <x v="54"/>
    <x v="9"/>
  </r>
  <r>
    <x v="2"/>
    <x v="5"/>
    <x v="0"/>
    <x v="8"/>
    <x v="2"/>
    <x v="0"/>
    <x v="3"/>
    <x v="2"/>
    <x v="55"/>
    <x v="9"/>
  </r>
  <r>
    <x v="2"/>
    <x v="9"/>
    <x v="0"/>
    <x v="8"/>
    <x v="2"/>
    <x v="1"/>
    <x v="4"/>
    <x v="2"/>
    <x v="257"/>
    <x v="9"/>
  </r>
  <r>
    <x v="2"/>
    <x v="13"/>
    <x v="0"/>
    <x v="8"/>
    <x v="2"/>
    <x v="2"/>
    <x v="4"/>
    <x v="2"/>
    <x v="257"/>
    <x v="9"/>
  </r>
  <r>
    <x v="2"/>
    <x v="14"/>
    <x v="0"/>
    <x v="8"/>
    <x v="2"/>
    <x v="2"/>
    <x v="0"/>
    <x v="2"/>
    <x v="258"/>
    <x v="9"/>
  </r>
  <r>
    <x v="2"/>
    <x v="11"/>
    <x v="0"/>
    <x v="8"/>
    <x v="2"/>
    <x v="2"/>
    <x v="0"/>
    <x v="2"/>
    <x v="258"/>
    <x v="9"/>
  </r>
  <r>
    <x v="2"/>
    <x v="14"/>
    <x v="0"/>
    <x v="8"/>
    <x v="2"/>
    <x v="2"/>
    <x v="1"/>
    <x v="3"/>
    <x v="259"/>
    <x v="9"/>
  </r>
  <r>
    <x v="2"/>
    <x v="14"/>
    <x v="0"/>
    <x v="8"/>
    <x v="2"/>
    <x v="2"/>
    <x v="1"/>
    <x v="3"/>
    <x v="259"/>
    <x v="9"/>
  </r>
  <r>
    <x v="2"/>
    <x v="14"/>
    <x v="0"/>
    <x v="8"/>
    <x v="2"/>
    <x v="2"/>
    <x v="2"/>
    <x v="3"/>
    <x v="260"/>
    <x v="9"/>
  </r>
  <r>
    <x v="2"/>
    <x v="2"/>
    <x v="0"/>
    <x v="8"/>
    <x v="2"/>
    <x v="0"/>
    <x v="5"/>
    <x v="3"/>
    <x v="261"/>
    <x v="9"/>
  </r>
  <r>
    <x v="2"/>
    <x v="3"/>
    <x v="0"/>
    <x v="8"/>
    <x v="2"/>
    <x v="2"/>
    <x v="6"/>
    <x v="3"/>
    <x v="262"/>
    <x v="9"/>
  </r>
  <r>
    <x v="2"/>
    <x v="14"/>
    <x v="0"/>
    <x v="8"/>
    <x v="2"/>
    <x v="2"/>
    <x v="6"/>
    <x v="3"/>
    <x v="262"/>
    <x v="9"/>
  </r>
  <r>
    <x v="2"/>
    <x v="9"/>
    <x v="0"/>
    <x v="8"/>
    <x v="2"/>
    <x v="1"/>
    <x v="3"/>
    <x v="3"/>
    <x v="56"/>
    <x v="9"/>
  </r>
  <r>
    <x v="2"/>
    <x v="9"/>
    <x v="0"/>
    <x v="8"/>
    <x v="2"/>
    <x v="1"/>
    <x v="3"/>
    <x v="3"/>
    <x v="56"/>
    <x v="9"/>
  </r>
  <r>
    <x v="2"/>
    <x v="5"/>
    <x v="0"/>
    <x v="8"/>
    <x v="2"/>
    <x v="0"/>
    <x v="4"/>
    <x v="3"/>
    <x v="57"/>
    <x v="9"/>
  </r>
  <r>
    <x v="2"/>
    <x v="15"/>
    <x v="0"/>
    <x v="8"/>
    <x v="2"/>
    <x v="2"/>
    <x v="4"/>
    <x v="3"/>
    <x v="57"/>
    <x v="9"/>
  </r>
  <r>
    <x v="2"/>
    <x v="9"/>
    <x v="0"/>
    <x v="8"/>
    <x v="2"/>
    <x v="1"/>
    <x v="0"/>
    <x v="3"/>
    <x v="263"/>
    <x v="9"/>
  </r>
  <r>
    <x v="2"/>
    <x v="14"/>
    <x v="0"/>
    <x v="8"/>
    <x v="2"/>
    <x v="2"/>
    <x v="1"/>
    <x v="3"/>
    <x v="264"/>
    <x v="9"/>
  </r>
  <r>
    <x v="2"/>
    <x v="14"/>
    <x v="0"/>
    <x v="8"/>
    <x v="2"/>
    <x v="2"/>
    <x v="1"/>
    <x v="3"/>
    <x v="264"/>
    <x v="9"/>
  </r>
  <r>
    <x v="2"/>
    <x v="1"/>
    <x v="0"/>
    <x v="8"/>
    <x v="2"/>
    <x v="1"/>
    <x v="2"/>
    <x v="3"/>
    <x v="58"/>
    <x v="9"/>
  </r>
  <r>
    <x v="2"/>
    <x v="7"/>
    <x v="0"/>
    <x v="8"/>
    <x v="2"/>
    <x v="1"/>
    <x v="2"/>
    <x v="3"/>
    <x v="58"/>
    <x v="9"/>
  </r>
  <r>
    <x v="2"/>
    <x v="6"/>
    <x v="0"/>
    <x v="8"/>
    <x v="2"/>
    <x v="0"/>
    <x v="2"/>
    <x v="3"/>
    <x v="58"/>
    <x v="9"/>
  </r>
  <r>
    <x v="2"/>
    <x v="4"/>
    <x v="0"/>
    <x v="8"/>
    <x v="2"/>
    <x v="0"/>
    <x v="5"/>
    <x v="3"/>
    <x v="354"/>
    <x v="9"/>
  </r>
  <r>
    <x v="2"/>
    <x v="7"/>
    <x v="0"/>
    <x v="8"/>
    <x v="2"/>
    <x v="1"/>
    <x v="3"/>
    <x v="3"/>
    <x v="266"/>
    <x v="9"/>
  </r>
  <r>
    <x v="2"/>
    <x v="7"/>
    <x v="0"/>
    <x v="8"/>
    <x v="2"/>
    <x v="1"/>
    <x v="1"/>
    <x v="3"/>
    <x v="61"/>
    <x v="9"/>
  </r>
  <r>
    <x v="2"/>
    <x v="1"/>
    <x v="0"/>
    <x v="8"/>
    <x v="2"/>
    <x v="1"/>
    <x v="5"/>
    <x v="3"/>
    <x v="62"/>
    <x v="9"/>
  </r>
  <r>
    <x v="2"/>
    <x v="2"/>
    <x v="0"/>
    <x v="8"/>
    <x v="2"/>
    <x v="0"/>
    <x v="5"/>
    <x v="3"/>
    <x v="62"/>
    <x v="9"/>
  </r>
  <r>
    <x v="2"/>
    <x v="6"/>
    <x v="0"/>
    <x v="8"/>
    <x v="2"/>
    <x v="0"/>
    <x v="5"/>
    <x v="3"/>
    <x v="62"/>
    <x v="9"/>
  </r>
  <r>
    <x v="2"/>
    <x v="6"/>
    <x v="0"/>
    <x v="8"/>
    <x v="2"/>
    <x v="0"/>
    <x v="5"/>
    <x v="3"/>
    <x v="62"/>
    <x v="9"/>
  </r>
  <r>
    <x v="2"/>
    <x v="2"/>
    <x v="0"/>
    <x v="8"/>
    <x v="2"/>
    <x v="0"/>
    <x v="6"/>
    <x v="3"/>
    <x v="63"/>
    <x v="9"/>
  </r>
  <r>
    <x v="2"/>
    <x v="13"/>
    <x v="0"/>
    <x v="8"/>
    <x v="2"/>
    <x v="2"/>
    <x v="6"/>
    <x v="3"/>
    <x v="63"/>
    <x v="9"/>
  </r>
  <r>
    <x v="2"/>
    <x v="13"/>
    <x v="0"/>
    <x v="8"/>
    <x v="2"/>
    <x v="2"/>
    <x v="6"/>
    <x v="3"/>
    <x v="63"/>
    <x v="9"/>
  </r>
  <r>
    <x v="2"/>
    <x v="8"/>
    <x v="0"/>
    <x v="8"/>
    <x v="2"/>
    <x v="2"/>
    <x v="3"/>
    <x v="3"/>
    <x v="64"/>
    <x v="9"/>
  </r>
  <r>
    <x v="2"/>
    <x v="15"/>
    <x v="0"/>
    <x v="8"/>
    <x v="2"/>
    <x v="2"/>
    <x v="3"/>
    <x v="3"/>
    <x v="64"/>
    <x v="9"/>
  </r>
  <r>
    <x v="2"/>
    <x v="13"/>
    <x v="0"/>
    <x v="8"/>
    <x v="2"/>
    <x v="2"/>
    <x v="0"/>
    <x v="3"/>
    <x v="65"/>
    <x v="9"/>
  </r>
  <r>
    <x v="2"/>
    <x v="13"/>
    <x v="0"/>
    <x v="8"/>
    <x v="2"/>
    <x v="2"/>
    <x v="0"/>
    <x v="3"/>
    <x v="65"/>
    <x v="9"/>
  </r>
  <r>
    <x v="2"/>
    <x v="13"/>
    <x v="0"/>
    <x v="8"/>
    <x v="2"/>
    <x v="2"/>
    <x v="0"/>
    <x v="3"/>
    <x v="65"/>
    <x v="9"/>
  </r>
  <r>
    <x v="2"/>
    <x v="13"/>
    <x v="0"/>
    <x v="8"/>
    <x v="2"/>
    <x v="2"/>
    <x v="0"/>
    <x v="3"/>
    <x v="65"/>
    <x v="9"/>
  </r>
  <r>
    <x v="2"/>
    <x v="11"/>
    <x v="0"/>
    <x v="8"/>
    <x v="2"/>
    <x v="2"/>
    <x v="1"/>
    <x v="3"/>
    <x v="269"/>
    <x v="9"/>
  </r>
  <r>
    <x v="2"/>
    <x v="15"/>
    <x v="0"/>
    <x v="8"/>
    <x v="2"/>
    <x v="2"/>
    <x v="2"/>
    <x v="3"/>
    <x v="270"/>
    <x v="9"/>
  </r>
  <r>
    <x v="2"/>
    <x v="15"/>
    <x v="0"/>
    <x v="8"/>
    <x v="2"/>
    <x v="2"/>
    <x v="2"/>
    <x v="3"/>
    <x v="270"/>
    <x v="9"/>
  </r>
  <r>
    <x v="2"/>
    <x v="7"/>
    <x v="0"/>
    <x v="8"/>
    <x v="2"/>
    <x v="1"/>
    <x v="5"/>
    <x v="3"/>
    <x v="271"/>
    <x v="9"/>
  </r>
  <r>
    <x v="2"/>
    <x v="7"/>
    <x v="0"/>
    <x v="8"/>
    <x v="2"/>
    <x v="1"/>
    <x v="5"/>
    <x v="3"/>
    <x v="271"/>
    <x v="9"/>
  </r>
  <r>
    <x v="2"/>
    <x v="6"/>
    <x v="0"/>
    <x v="8"/>
    <x v="2"/>
    <x v="0"/>
    <x v="5"/>
    <x v="3"/>
    <x v="271"/>
    <x v="9"/>
  </r>
  <r>
    <x v="2"/>
    <x v="6"/>
    <x v="0"/>
    <x v="8"/>
    <x v="2"/>
    <x v="0"/>
    <x v="5"/>
    <x v="3"/>
    <x v="271"/>
    <x v="9"/>
  </r>
  <r>
    <x v="2"/>
    <x v="7"/>
    <x v="0"/>
    <x v="8"/>
    <x v="2"/>
    <x v="1"/>
    <x v="6"/>
    <x v="3"/>
    <x v="272"/>
    <x v="9"/>
  </r>
  <r>
    <x v="2"/>
    <x v="15"/>
    <x v="0"/>
    <x v="8"/>
    <x v="2"/>
    <x v="2"/>
    <x v="3"/>
    <x v="3"/>
    <x v="66"/>
    <x v="9"/>
  </r>
  <r>
    <x v="2"/>
    <x v="15"/>
    <x v="0"/>
    <x v="8"/>
    <x v="2"/>
    <x v="2"/>
    <x v="4"/>
    <x v="3"/>
    <x v="273"/>
    <x v="9"/>
  </r>
  <r>
    <x v="2"/>
    <x v="11"/>
    <x v="0"/>
    <x v="8"/>
    <x v="2"/>
    <x v="2"/>
    <x v="0"/>
    <x v="3"/>
    <x v="274"/>
    <x v="9"/>
  </r>
  <r>
    <x v="2"/>
    <x v="4"/>
    <x v="0"/>
    <x v="8"/>
    <x v="2"/>
    <x v="0"/>
    <x v="1"/>
    <x v="3"/>
    <x v="275"/>
    <x v="9"/>
  </r>
  <r>
    <x v="2"/>
    <x v="4"/>
    <x v="0"/>
    <x v="8"/>
    <x v="2"/>
    <x v="0"/>
    <x v="1"/>
    <x v="3"/>
    <x v="275"/>
    <x v="9"/>
  </r>
  <r>
    <x v="2"/>
    <x v="3"/>
    <x v="0"/>
    <x v="8"/>
    <x v="2"/>
    <x v="2"/>
    <x v="1"/>
    <x v="3"/>
    <x v="275"/>
    <x v="9"/>
  </r>
  <r>
    <x v="2"/>
    <x v="8"/>
    <x v="0"/>
    <x v="8"/>
    <x v="2"/>
    <x v="2"/>
    <x v="5"/>
    <x v="4"/>
    <x v="355"/>
    <x v="9"/>
  </r>
  <r>
    <x v="2"/>
    <x v="8"/>
    <x v="0"/>
    <x v="8"/>
    <x v="2"/>
    <x v="2"/>
    <x v="5"/>
    <x v="4"/>
    <x v="355"/>
    <x v="9"/>
  </r>
  <r>
    <x v="2"/>
    <x v="6"/>
    <x v="0"/>
    <x v="8"/>
    <x v="2"/>
    <x v="0"/>
    <x v="3"/>
    <x v="4"/>
    <x v="277"/>
    <x v="9"/>
  </r>
  <r>
    <x v="2"/>
    <x v="6"/>
    <x v="0"/>
    <x v="8"/>
    <x v="2"/>
    <x v="0"/>
    <x v="3"/>
    <x v="4"/>
    <x v="277"/>
    <x v="9"/>
  </r>
  <r>
    <x v="2"/>
    <x v="3"/>
    <x v="0"/>
    <x v="8"/>
    <x v="2"/>
    <x v="2"/>
    <x v="3"/>
    <x v="4"/>
    <x v="277"/>
    <x v="9"/>
  </r>
  <r>
    <x v="2"/>
    <x v="11"/>
    <x v="0"/>
    <x v="8"/>
    <x v="2"/>
    <x v="2"/>
    <x v="0"/>
    <x v="4"/>
    <x v="69"/>
    <x v="9"/>
  </r>
  <r>
    <x v="2"/>
    <x v="10"/>
    <x v="0"/>
    <x v="5"/>
    <x v="2"/>
    <x v="1"/>
    <x v="2"/>
    <x v="4"/>
    <x v="279"/>
    <x v="10"/>
  </r>
  <r>
    <x v="2"/>
    <x v="10"/>
    <x v="0"/>
    <x v="5"/>
    <x v="2"/>
    <x v="1"/>
    <x v="2"/>
    <x v="4"/>
    <x v="279"/>
    <x v="10"/>
  </r>
  <r>
    <x v="2"/>
    <x v="10"/>
    <x v="0"/>
    <x v="5"/>
    <x v="2"/>
    <x v="1"/>
    <x v="2"/>
    <x v="4"/>
    <x v="279"/>
    <x v="10"/>
  </r>
  <r>
    <x v="2"/>
    <x v="13"/>
    <x v="0"/>
    <x v="5"/>
    <x v="2"/>
    <x v="2"/>
    <x v="2"/>
    <x v="4"/>
    <x v="279"/>
    <x v="10"/>
  </r>
  <r>
    <x v="2"/>
    <x v="7"/>
    <x v="0"/>
    <x v="5"/>
    <x v="2"/>
    <x v="1"/>
    <x v="6"/>
    <x v="4"/>
    <x v="280"/>
    <x v="10"/>
  </r>
  <r>
    <x v="2"/>
    <x v="1"/>
    <x v="0"/>
    <x v="5"/>
    <x v="2"/>
    <x v="1"/>
    <x v="2"/>
    <x v="4"/>
    <x v="73"/>
    <x v="10"/>
  </r>
  <r>
    <x v="2"/>
    <x v="12"/>
    <x v="0"/>
    <x v="5"/>
    <x v="2"/>
    <x v="1"/>
    <x v="5"/>
    <x v="4"/>
    <x v="356"/>
    <x v="10"/>
  </r>
  <r>
    <x v="2"/>
    <x v="8"/>
    <x v="0"/>
    <x v="5"/>
    <x v="2"/>
    <x v="2"/>
    <x v="4"/>
    <x v="4"/>
    <x v="74"/>
    <x v="10"/>
  </r>
  <r>
    <x v="2"/>
    <x v="7"/>
    <x v="0"/>
    <x v="5"/>
    <x v="2"/>
    <x v="1"/>
    <x v="2"/>
    <x v="4"/>
    <x v="357"/>
    <x v="10"/>
  </r>
  <r>
    <x v="2"/>
    <x v="7"/>
    <x v="0"/>
    <x v="5"/>
    <x v="2"/>
    <x v="1"/>
    <x v="3"/>
    <x v="4"/>
    <x v="79"/>
    <x v="10"/>
  </r>
  <r>
    <x v="2"/>
    <x v="13"/>
    <x v="0"/>
    <x v="5"/>
    <x v="2"/>
    <x v="2"/>
    <x v="3"/>
    <x v="4"/>
    <x v="79"/>
    <x v="10"/>
  </r>
  <r>
    <x v="2"/>
    <x v="13"/>
    <x v="0"/>
    <x v="5"/>
    <x v="2"/>
    <x v="2"/>
    <x v="3"/>
    <x v="4"/>
    <x v="79"/>
    <x v="10"/>
  </r>
  <r>
    <x v="2"/>
    <x v="5"/>
    <x v="0"/>
    <x v="5"/>
    <x v="2"/>
    <x v="0"/>
    <x v="4"/>
    <x v="4"/>
    <x v="80"/>
    <x v="10"/>
  </r>
  <r>
    <x v="2"/>
    <x v="13"/>
    <x v="0"/>
    <x v="5"/>
    <x v="2"/>
    <x v="2"/>
    <x v="4"/>
    <x v="4"/>
    <x v="80"/>
    <x v="10"/>
  </r>
  <r>
    <x v="2"/>
    <x v="4"/>
    <x v="0"/>
    <x v="5"/>
    <x v="2"/>
    <x v="0"/>
    <x v="0"/>
    <x v="4"/>
    <x v="81"/>
    <x v="10"/>
  </r>
  <r>
    <x v="2"/>
    <x v="4"/>
    <x v="0"/>
    <x v="5"/>
    <x v="2"/>
    <x v="0"/>
    <x v="0"/>
    <x v="4"/>
    <x v="81"/>
    <x v="10"/>
  </r>
  <r>
    <x v="2"/>
    <x v="3"/>
    <x v="0"/>
    <x v="5"/>
    <x v="2"/>
    <x v="2"/>
    <x v="0"/>
    <x v="4"/>
    <x v="81"/>
    <x v="10"/>
  </r>
  <r>
    <x v="2"/>
    <x v="10"/>
    <x v="0"/>
    <x v="5"/>
    <x v="2"/>
    <x v="1"/>
    <x v="1"/>
    <x v="4"/>
    <x v="283"/>
    <x v="10"/>
  </r>
  <r>
    <x v="2"/>
    <x v="3"/>
    <x v="0"/>
    <x v="5"/>
    <x v="2"/>
    <x v="2"/>
    <x v="1"/>
    <x v="4"/>
    <x v="283"/>
    <x v="10"/>
  </r>
  <r>
    <x v="2"/>
    <x v="3"/>
    <x v="0"/>
    <x v="5"/>
    <x v="2"/>
    <x v="2"/>
    <x v="1"/>
    <x v="4"/>
    <x v="283"/>
    <x v="10"/>
  </r>
  <r>
    <x v="2"/>
    <x v="11"/>
    <x v="0"/>
    <x v="5"/>
    <x v="2"/>
    <x v="2"/>
    <x v="1"/>
    <x v="4"/>
    <x v="283"/>
    <x v="10"/>
  </r>
  <r>
    <x v="2"/>
    <x v="10"/>
    <x v="0"/>
    <x v="5"/>
    <x v="2"/>
    <x v="1"/>
    <x v="5"/>
    <x v="4"/>
    <x v="82"/>
    <x v="10"/>
  </r>
  <r>
    <x v="2"/>
    <x v="13"/>
    <x v="0"/>
    <x v="5"/>
    <x v="2"/>
    <x v="2"/>
    <x v="5"/>
    <x v="4"/>
    <x v="82"/>
    <x v="10"/>
  </r>
  <r>
    <x v="2"/>
    <x v="9"/>
    <x v="0"/>
    <x v="5"/>
    <x v="2"/>
    <x v="1"/>
    <x v="6"/>
    <x v="4"/>
    <x v="83"/>
    <x v="10"/>
  </r>
  <r>
    <x v="2"/>
    <x v="11"/>
    <x v="0"/>
    <x v="5"/>
    <x v="2"/>
    <x v="2"/>
    <x v="6"/>
    <x v="4"/>
    <x v="83"/>
    <x v="10"/>
  </r>
  <r>
    <x v="2"/>
    <x v="14"/>
    <x v="0"/>
    <x v="5"/>
    <x v="2"/>
    <x v="2"/>
    <x v="3"/>
    <x v="4"/>
    <x v="84"/>
    <x v="10"/>
  </r>
  <r>
    <x v="2"/>
    <x v="0"/>
    <x v="0"/>
    <x v="5"/>
    <x v="2"/>
    <x v="0"/>
    <x v="4"/>
    <x v="5"/>
    <x v="85"/>
    <x v="10"/>
  </r>
  <r>
    <x v="2"/>
    <x v="0"/>
    <x v="0"/>
    <x v="5"/>
    <x v="2"/>
    <x v="0"/>
    <x v="4"/>
    <x v="5"/>
    <x v="85"/>
    <x v="10"/>
  </r>
  <r>
    <x v="2"/>
    <x v="14"/>
    <x v="0"/>
    <x v="5"/>
    <x v="2"/>
    <x v="2"/>
    <x v="4"/>
    <x v="5"/>
    <x v="85"/>
    <x v="10"/>
  </r>
  <r>
    <x v="2"/>
    <x v="8"/>
    <x v="0"/>
    <x v="5"/>
    <x v="2"/>
    <x v="2"/>
    <x v="1"/>
    <x v="5"/>
    <x v="286"/>
    <x v="10"/>
  </r>
  <r>
    <x v="2"/>
    <x v="9"/>
    <x v="0"/>
    <x v="5"/>
    <x v="2"/>
    <x v="1"/>
    <x v="2"/>
    <x v="5"/>
    <x v="287"/>
    <x v="10"/>
  </r>
  <r>
    <x v="2"/>
    <x v="7"/>
    <x v="0"/>
    <x v="5"/>
    <x v="2"/>
    <x v="1"/>
    <x v="2"/>
    <x v="5"/>
    <x v="287"/>
    <x v="10"/>
  </r>
  <r>
    <x v="2"/>
    <x v="5"/>
    <x v="0"/>
    <x v="5"/>
    <x v="2"/>
    <x v="0"/>
    <x v="2"/>
    <x v="5"/>
    <x v="287"/>
    <x v="10"/>
  </r>
  <r>
    <x v="2"/>
    <x v="5"/>
    <x v="0"/>
    <x v="5"/>
    <x v="2"/>
    <x v="0"/>
    <x v="2"/>
    <x v="5"/>
    <x v="287"/>
    <x v="10"/>
  </r>
  <r>
    <x v="2"/>
    <x v="0"/>
    <x v="0"/>
    <x v="5"/>
    <x v="2"/>
    <x v="0"/>
    <x v="5"/>
    <x v="5"/>
    <x v="288"/>
    <x v="10"/>
  </r>
  <r>
    <x v="2"/>
    <x v="3"/>
    <x v="0"/>
    <x v="5"/>
    <x v="2"/>
    <x v="2"/>
    <x v="6"/>
    <x v="5"/>
    <x v="289"/>
    <x v="10"/>
  </r>
  <r>
    <x v="2"/>
    <x v="15"/>
    <x v="0"/>
    <x v="5"/>
    <x v="2"/>
    <x v="2"/>
    <x v="3"/>
    <x v="5"/>
    <x v="86"/>
    <x v="10"/>
  </r>
  <r>
    <x v="2"/>
    <x v="6"/>
    <x v="0"/>
    <x v="5"/>
    <x v="2"/>
    <x v="0"/>
    <x v="4"/>
    <x v="5"/>
    <x v="290"/>
    <x v="10"/>
  </r>
  <r>
    <x v="2"/>
    <x v="3"/>
    <x v="0"/>
    <x v="5"/>
    <x v="2"/>
    <x v="2"/>
    <x v="4"/>
    <x v="5"/>
    <x v="290"/>
    <x v="10"/>
  </r>
  <r>
    <x v="2"/>
    <x v="9"/>
    <x v="0"/>
    <x v="5"/>
    <x v="2"/>
    <x v="1"/>
    <x v="1"/>
    <x v="5"/>
    <x v="88"/>
    <x v="10"/>
  </r>
  <r>
    <x v="2"/>
    <x v="7"/>
    <x v="0"/>
    <x v="5"/>
    <x v="2"/>
    <x v="1"/>
    <x v="2"/>
    <x v="5"/>
    <x v="291"/>
    <x v="10"/>
  </r>
  <r>
    <x v="2"/>
    <x v="6"/>
    <x v="0"/>
    <x v="5"/>
    <x v="2"/>
    <x v="0"/>
    <x v="2"/>
    <x v="5"/>
    <x v="291"/>
    <x v="10"/>
  </r>
  <r>
    <x v="2"/>
    <x v="11"/>
    <x v="0"/>
    <x v="5"/>
    <x v="2"/>
    <x v="2"/>
    <x v="2"/>
    <x v="5"/>
    <x v="291"/>
    <x v="10"/>
  </r>
  <r>
    <x v="2"/>
    <x v="11"/>
    <x v="0"/>
    <x v="5"/>
    <x v="2"/>
    <x v="2"/>
    <x v="5"/>
    <x v="5"/>
    <x v="89"/>
    <x v="10"/>
  </r>
  <r>
    <x v="2"/>
    <x v="11"/>
    <x v="0"/>
    <x v="5"/>
    <x v="2"/>
    <x v="2"/>
    <x v="5"/>
    <x v="5"/>
    <x v="89"/>
    <x v="10"/>
  </r>
  <r>
    <x v="2"/>
    <x v="5"/>
    <x v="0"/>
    <x v="5"/>
    <x v="2"/>
    <x v="0"/>
    <x v="6"/>
    <x v="5"/>
    <x v="292"/>
    <x v="10"/>
  </r>
  <r>
    <x v="2"/>
    <x v="14"/>
    <x v="0"/>
    <x v="5"/>
    <x v="2"/>
    <x v="2"/>
    <x v="6"/>
    <x v="5"/>
    <x v="292"/>
    <x v="10"/>
  </r>
  <r>
    <x v="2"/>
    <x v="12"/>
    <x v="0"/>
    <x v="5"/>
    <x v="2"/>
    <x v="1"/>
    <x v="3"/>
    <x v="5"/>
    <x v="90"/>
    <x v="10"/>
  </r>
  <r>
    <x v="2"/>
    <x v="10"/>
    <x v="0"/>
    <x v="5"/>
    <x v="2"/>
    <x v="1"/>
    <x v="4"/>
    <x v="5"/>
    <x v="91"/>
    <x v="10"/>
  </r>
  <r>
    <x v="2"/>
    <x v="14"/>
    <x v="0"/>
    <x v="5"/>
    <x v="2"/>
    <x v="2"/>
    <x v="4"/>
    <x v="5"/>
    <x v="91"/>
    <x v="10"/>
  </r>
  <r>
    <x v="2"/>
    <x v="10"/>
    <x v="0"/>
    <x v="5"/>
    <x v="2"/>
    <x v="1"/>
    <x v="1"/>
    <x v="5"/>
    <x v="293"/>
    <x v="10"/>
  </r>
  <r>
    <x v="2"/>
    <x v="8"/>
    <x v="0"/>
    <x v="5"/>
    <x v="2"/>
    <x v="2"/>
    <x v="1"/>
    <x v="5"/>
    <x v="293"/>
    <x v="10"/>
  </r>
  <r>
    <x v="2"/>
    <x v="9"/>
    <x v="0"/>
    <x v="5"/>
    <x v="2"/>
    <x v="1"/>
    <x v="2"/>
    <x v="5"/>
    <x v="93"/>
    <x v="10"/>
  </r>
  <r>
    <x v="2"/>
    <x v="9"/>
    <x v="0"/>
    <x v="5"/>
    <x v="2"/>
    <x v="1"/>
    <x v="2"/>
    <x v="5"/>
    <x v="93"/>
    <x v="10"/>
  </r>
  <r>
    <x v="2"/>
    <x v="4"/>
    <x v="0"/>
    <x v="5"/>
    <x v="2"/>
    <x v="0"/>
    <x v="2"/>
    <x v="5"/>
    <x v="93"/>
    <x v="10"/>
  </r>
  <r>
    <x v="2"/>
    <x v="5"/>
    <x v="0"/>
    <x v="5"/>
    <x v="2"/>
    <x v="0"/>
    <x v="4"/>
    <x v="5"/>
    <x v="96"/>
    <x v="10"/>
  </r>
  <r>
    <x v="2"/>
    <x v="10"/>
    <x v="0"/>
    <x v="5"/>
    <x v="2"/>
    <x v="1"/>
    <x v="2"/>
    <x v="5"/>
    <x v="99"/>
    <x v="10"/>
  </r>
  <r>
    <x v="2"/>
    <x v="4"/>
    <x v="0"/>
    <x v="5"/>
    <x v="2"/>
    <x v="0"/>
    <x v="2"/>
    <x v="5"/>
    <x v="99"/>
    <x v="10"/>
  </r>
  <r>
    <x v="2"/>
    <x v="1"/>
    <x v="0"/>
    <x v="5"/>
    <x v="2"/>
    <x v="1"/>
    <x v="5"/>
    <x v="5"/>
    <x v="100"/>
    <x v="10"/>
  </r>
  <r>
    <x v="2"/>
    <x v="4"/>
    <x v="0"/>
    <x v="5"/>
    <x v="2"/>
    <x v="0"/>
    <x v="3"/>
    <x v="5"/>
    <x v="101"/>
    <x v="10"/>
  </r>
  <r>
    <x v="2"/>
    <x v="4"/>
    <x v="0"/>
    <x v="5"/>
    <x v="2"/>
    <x v="0"/>
    <x v="2"/>
    <x v="6"/>
    <x v="103"/>
    <x v="10"/>
  </r>
  <r>
    <x v="2"/>
    <x v="14"/>
    <x v="0"/>
    <x v="5"/>
    <x v="2"/>
    <x v="2"/>
    <x v="5"/>
    <x v="6"/>
    <x v="104"/>
    <x v="10"/>
  </r>
  <r>
    <x v="2"/>
    <x v="9"/>
    <x v="0"/>
    <x v="5"/>
    <x v="2"/>
    <x v="1"/>
    <x v="6"/>
    <x v="6"/>
    <x v="297"/>
    <x v="10"/>
  </r>
  <r>
    <x v="2"/>
    <x v="10"/>
    <x v="0"/>
    <x v="5"/>
    <x v="2"/>
    <x v="1"/>
    <x v="6"/>
    <x v="6"/>
    <x v="297"/>
    <x v="10"/>
  </r>
  <r>
    <x v="2"/>
    <x v="8"/>
    <x v="0"/>
    <x v="5"/>
    <x v="2"/>
    <x v="2"/>
    <x v="3"/>
    <x v="6"/>
    <x v="105"/>
    <x v="10"/>
  </r>
  <r>
    <x v="2"/>
    <x v="3"/>
    <x v="0"/>
    <x v="5"/>
    <x v="2"/>
    <x v="2"/>
    <x v="4"/>
    <x v="6"/>
    <x v="106"/>
    <x v="10"/>
  </r>
  <r>
    <x v="2"/>
    <x v="3"/>
    <x v="0"/>
    <x v="5"/>
    <x v="2"/>
    <x v="2"/>
    <x v="4"/>
    <x v="6"/>
    <x v="106"/>
    <x v="10"/>
  </r>
  <r>
    <x v="2"/>
    <x v="14"/>
    <x v="0"/>
    <x v="5"/>
    <x v="2"/>
    <x v="2"/>
    <x v="4"/>
    <x v="6"/>
    <x v="106"/>
    <x v="10"/>
  </r>
  <r>
    <x v="2"/>
    <x v="14"/>
    <x v="0"/>
    <x v="5"/>
    <x v="2"/>
    <x v="2"/>
    <x v="4"/>
    <x v="6"/>
    <x v="106"/>
    <x v="10"/>
  </r>
  <r>
    <x v="2"/>
    <x v="9"/>
    <x v="0"/>
    <x v="5"/>
    <x v="2"/>
    <x v="1"/>
    <x v="0"/>
    <x v="6"/>
    <x v="107"/>
    <x v="10"/>
  </r>
  <r>
    <x v="2"/>
    <x v="12"/>
    <x v="0"/>
    <x v="5"/>
    <x v="2"/>
    <x v="1"/>
    <x v="5"/>
    <x v="6"/>
    <x v="110"/>
    <x v="10"/>
  </r>
  <r>
    <x v="2"/>
    <x v="14"/>
    <x v="0"/>
    <x v="5"/>
    <x v="2"/>
    <x v="2"/>
    <x v="5"/>
    <x v="6"/>
    <x v="110"/>
    <x v="10"/>
  </r>
  <r>
    <x v="2"/>
    <x v="10"/>
    <x v="0"/>
    <x v="5"/>
    <x v="2"/>
    <x v="1"/>
    <x v="6"/>
    <x v="6"/>
    <x v="111"/>
    <x v="10"/>
  </r>
  <r>
    <x v="2"/>
    <x v="8"/>
    <x v="0"/>
    <x v="5"/>
    <x v="2"/>
    <x v="2"/>
    <x v="6"/>
    <x v="6"/>
    <x v="111"/>
    <x v="10"/>
  </r>
  <r>
    <x v="2"/>
    <x v="13"/>
    <x v="0"/>
    <x v="5"/>
    <x v="2"/>
    <x v="2"/>
    <x v="3"/>
    <x v="6"/>
    <x v="298"/>
    <x v="10"/>
  </r>
  <r>
    <x v="2"/>
    <x v="4"/>
    <x v="0"/>
    <x v="5"/>
    <x v="2"/>
    <x v="0"/>
    <x v="4"/>
    <x v="6"/>
    <x v="112"/>
    <x v="10"/>
  </r>
  <r>
    <x v="2"/>
    <x v="15"/>
    <x v="0"/>
    <x v="5"/>
    <x v="2"/>
    <x v="2"/>
    <x v="4"/>
    <x v="6"/>
    <x v="112"/>
    <x v="10"/>
  </r>
  <r>
    <x v="2"/>
    <x v="6"/>
    <x v="0"/>
    <x v="5"/>
    <x v="2"/>
    <x v="0"/>
    <x v="1"/>
    <x v="6"/>
    <x v="358"/>
    <x v="10"/>
  </r>
  <r>
    <x v="2"/>
    <x v="6"/>
    <x v="0"/>
    <x v="5"/>
    <x v="2"/>
    <x v="0"/>
    <x v="1"/>
    <x v="6"/>
    <x v="358"/>
    <x v="10"/>
  </r>
  <r>
    <x v="2"/>
    <x v="2"/>
    <x v="0"/>
    <x v="5"/>
    <x v="2"/>
    <x v="0"/>
    <x v="2"/>
    <x v="6"/>
    <x v="113"/>
    <x v="10"/>
  </r>
  <r>
    <x v="2"/>
    <x v="10"/>
    <x v="0"/>
    <x v="5"/>
    <x v="2"/>
    <x v="1"/>
    <x v="6"/>
    <x v="6"/>
    <x v="301"/>
    <x v="10"/>
  </r>
  <r>
    <x v="2"/>
    <x v="6"/>
    <x v="0"/>
    <x v="5"/>
    <x v="2"/>
    <x v="0"/>
    <x v="6"/>
    <x v="6"/>
    <x v="301"/>
    <x v="10"/>
  </r>
  <r>
    <x v="2"/>
    <x v="5"/>
    <x v="0"/>
    <x v="5"/>
    <x v="2"/>
    <x v="0"/>
    <x v="1"/>
    <x v="6"/>
    <x v="116"/>
    <x v="10"/>
  </r>
  <r>
    <x v="2"/>
    <x v="14"/>
    <x v="0"/>
    <x v="5"/>
    <x v="2"/>
    <x v="2"/>
    <x v="2"/>
    <x v="6"/>
    <x v="117"/>
    <x v="10"/>
  </r>
  <r>
    <x v="2"/>
    <x v="3"/>
    <x v="0"/>
    <x v="5"/>
    <x v="2"/>
    <x v="2"/>
    <x v="5"/>
    <x v="6"/>
    <x v="118"/>
    <x v="10"/>
  </r>
  <r>
    <x v="2"/>
    <x v="14"/>
    <x v="0"/>
    <x v="5"/>
    <x v="2"/>
    <x v="2"/>
    <x v="5"/>
    <x v="6"/>
    <x v="118"/>
    <x v="10"/>
  </r>
  <r>
    <x v="2"/>
    <x v="5"/>
    <x v="0"/>
    <x v="5"/>
    <x v="2"/>
    <x v="0"/>
    <x v="6"/>
    <x v="6"/>
    <x v="119"/>
    <x v="10"/>
  </r>
  <r>
    <x v="2"/>
    <x v="12"/>
    <x v="0"/>
    <x v="5"/>
    <x v="2"/>
    <x v="1"/>
    <x v="3"/>
    <x v="6"/>
    <x v="120"/>
    <x v="10"/>
  </r>
  <r>
    <x v="2"/>
    <x v="7"/>
    <x v="0"/>
    <x v="5"/>
    <x v="2"/>
    <x v="1"/>
    <x v="4"/>
    <x v="6"/>
    <x v="303"/>
    <x v="10"/>
  </r>
  <r>
    <x v="2"/>
    <x v="10"/>
    <x v="0"/>
    <x v="5"/>
    <x v="2"/>
    <x v="1"/>
    <x v="0"/>
    <x v="6"/>
    <x v="121"/>
    <x v="10"/>
  </r>
  <r>
    <x v="2"/>
    <x v="0"/>
    <x v="0"/>
    <x v="5"/>
    <x v="2"/>
    <x v="0"/>
    <x v="0"/>
    <x v="6"/>
    <x v="121"/>
    <x v="10"/>
  </r>
  <r>
    <x v="2"/>
    <x v="0"/>
    <x v="0"/>
    <x v="5"/>
    <x v="2"/>
    <x v="0"/>
    <x v="0"/>
    <x v="6"/>
    <x v="121"/>
    <x v="10"/>
  </r>
  <r>
    <x v="2"/>
    <x v="8"/>
    <x v="0"/>
    <x v="5"/>
    <x v="2"/>
    <x v="2"/>
    <x v="0"/>
    <x v="6"/>
    <x v="121"/>
    <x v="10"/>
  </r>
  <r>
    <x v="2"/>
    <x v="8"/>
    <x v="0"/>
    <x v="5"/>
    <x v="2"/>
    <x v="2"/>
    <x v="0"/>
    <x v="6"/>
    <x v="121"/>
    <x v="10"/>
  </r>
  <r>
    <x v="2"/>
    <x v="14"/>
    <x v="0"/>
    <x v="5"/>
    <x v="2"/>
    <x v="2"/>
    <x v="0"/>
    <x v="6"/>
    <x v="121"/>
    <x v="10"/>
  </r>
  <r>
    <x v="2"/>
    <x v="14"/>
    <x v="0"/>
    <x v="5"/>
    <x v="2"/>
    <x v="2"/>
    <x v="0"/>
    <x v="6"/>
    <x v="121"/>
    <x v="10"/>
  </r>
  <r>
    <x v="2"/>
    <x v="11"/>
    <x v="0"/>
    <x v="9"/>
    <x v="2"/>
    <x v="2"/>
    <x v="1"/>
    <x v="6"/>
    <x v="304"/>
    <x v="11"/>
  </r>
  <r>
    <x v="2"/>
    <x v="1"/>
    <x v="0"/>
    <x v="9"/>
    <x v="2"/>
    <x v="1"/>
    <x v="2"/>
    <x v="6"/>
    <x v="122"/>
    <x v="11"/>
  </r>
  <r>
    <x v="2"/>
    <x v="1"/>
    <x v="0"/>
    <x v="9"/>
    <x v="2"/>
    <x v="1"/>
    <x v="2"/>
    <x v="6"/>
    <x v="122"/>
    <x v="11"/>
  </r>
  <r>
    <x v="2"/>
    <x v="1"/>
    <x v="0"/>
    <x v="9"/>
    <x v="2"/>
    <x v="1"/>
    <x v="2"/>
    <x v="6"/>
    <x v="122"/>
    <x v="11"/>
  </r>
  <r>
    <x v="2"/>
    <x v="8"/>
    <x v="0"/>
    <x v="9"/>
    <x v="2"/>
    <x v="2"/>
    <x v="2"/>
    <x v="6"/>
    <x v="122"/>
    <x v="11"/>
  </r>
  <r>
    <x v="2"/>
    <x v="7"/>
    <x v="0"/>
    <x v="9"/>
    <x v="2"/>
    <x v="1"/>
    <x v="3"/>
    <x v="7"/>
    <x v="306"/>
    <x v="11"/>
  </r>
  <r>
    <x v="2"/>
    <x v="5"/>
    <x v="0"/>
    <x v="9"/>
    <x v="2"/>
    <x v="0"/>
    <x v="3"/>
    <x v="7"/>
    <x v="306"/>
    <x v="11"/>
  </r>
  <r>
    <x v="2"/>
    <x v="15"/>
    <x v="0"/>
    <x v="9"/>
    <x v="2"/>
    <x v="2"/>
    <x v="4"/>
    <x v="7"/>
    <x v="307"/>
    <x v="11"/>
  </r>
  <r>
    <x v="2"/>
    <x v="0"/>
    <x v="0"/>
    <x v="9"/>
    <x v="2"/>
    <x v="0"/>
    <x v="1"/>
    <x v="7"/>
    <x v="125"/>
    <x v="11"/>
  </r>
  <r>
    <x v="2"/>
    <x v="1"/>
    <x v="0"/>
    <x v="9"/>
    <x v="2"/>
    <x v="1"/>
    <x v="2"/>
    <x v="7"/>
    <x v="126"/>
    <x v="11"/>
  </r>
  <r>
    <x v="2"/>
    <x v="4"/>
    <x v="0"/>
    <x v="9"/>
    <x v="2"/>
    <x v="0"/>
    <x v="2"/>
    <x v="7"/>
    <x v="126"/>
    <x v="11"/>
  </r>
  <r>
    <x v="2"/>
    <x v="0"/>
    <x v="0"/>
    <x v="9"/>
    <x v="2"/>
    <x v="0"/>
    <x v="2"/>
    <x v="7"/>
    <x v="126"/>
    <x v="11"/>
  </r>
  <r>
    <x v="2"/>
    <x v="0"/>
    <x v="0"/>
    <x v="9"/>
    <x v="2"/>
    <x v="0"/>
    <x v="2"/>
    <x v="7"/>
    <x v="126"/>
    <x v="11"/>
  </r>
  <r>
    <x v="2"/>
    <x v="6"/>
    <x v="0"/>
    <x v="9"/>
    <x v="2"/>
    <x v="0"/>
    <x v="2"/>
    <x v="7"/>
    <x v="126"/>
    <x v="11"/>
  </r>
  <r>
    <x v="2"/>
    <x v="14"/>
    <x v="0"/>
    <x v="9"/>
    <x v="2"/>
    <x v="2"/>
    <x v="6"/>
    <x v="7"/>
    <x v="128"/>
    <x v="11"/>
  </r>
  <r>
    <x v="2"/>
    <x v="3"/>
    <x v="0"/>
    <x v="9"/>
    <x v="2"/>
    <x v="2"/>
    <x v="3"/>
    <x v="7"/>
    <x v="129"/>
    <x v="11"/>
  </r>
  <r>
    <x v="2"/>
    <x v="14"/>
    <x v="0"/>
    <x v="9"/>
    <x v="2"/>
    <x v="2"/>
    <x v="3"/>
    <x v="7"/>
    <x v="129"/>
    <x v="11"/>
  </r>
  <r>
    <x v="2"/>
    <x v="5"/>
    <x v="0"/>
    <x v="9"/>
    <x v="2"/>
    <x v="0"/>
    <x v="4"/>
    <x v="7"/>
    <x v="130"/>
    <x v="11"/>
  </r>
  <r>
    <x v="2"/>
    <x v="2"/>
    <x v="0"/>
    <x v="9"/>
    <x v="2"/>
    <x v="0"/>
    <x v="0"/>
    <x v="7"/>
    <x v="131"/>
    <x v="11"/>
  </r>
  <r>
    <x v="2"/>
    <x v="0"/>
    <x v="0"/>
    <x v="9"/>
    <x v="2"/>
    <x v="0"/>
    <x v="1"/>
    <x v="7"/>
    <x v="308"/>
    <x v="11"/>
  </r>
  <r>
    <x v="2"/>
    <x v="8"/>
    <x v="0"/>
    <x v="9"/>
    <x v="2"/>
    <x v="2"/>
    <x v="2"/>
    <x v="7"/>
    <x v="309"/>
    <x v="11"/>
  </r>
  <r>
    <x v="2"/>
    <x v="14"/>
    <x v="0"/>
    <x v="9"/>
    <x v="2"/>
    <x v="2"/>
    <x v="2"/>
    <x v="7"/>
    <x v="309"/>
    <x v="11"/>
  </r>
  <r>
    <x v="2"/>
    <x v="7"/>
    <x v="0"/>
    <x v="9"/>
    <x v="2"/>
    <x v="1"/>
    <x v="5"/>
    <x v="7"/>
    <x v="132"/>
    <x v="11"/>
  </r>
  <r>
    <x v="2"/>
    <x v="8"/>
    <x v="0"/>
    <x v="9"/>
    <x v="2"/>
    <x v="2"/>
    <x v="5"/>
    <x v="7"/>
    <x v="132"/>
    <x v="11"/>
  </r>
  <r>
    <x v="2"/>
    <x v="3"/>
    <x v="0"/>
    <x v="9"/>
    <x v="2"/>
    <x v="2"/>
    <x v="4"/>
    <x v="7"/>
    <x v="135"/>
    <x v="11"/>
  </r>
  <r>
    <x v="2"/>
    <x v="10"/>
    <x v="0"/>
    <x v="9"/>
    <x v="2"/>
    <x v="1"/>
    <x v="0"/>
    <x v="7"/>
    <x v="136"/>
    <x v="11"/>
  </r>
  <r>
    <x v="2"/>
    <x v="7"/>
    <x v="0"/>
    <x v="9"/>
    <x v="2"/>
    <x v="1"/>
    <x v="0"/>
    <x v="7"/>
    <x v="136"/>
    <x v="11"/>
  </r>
  <r>
    <x v="2"/>
    <x v="2"/>
    <x v="0"/>
    <x v="9"/>
    <x v="2"/>
    <x v="0"/>
    <x v="0"/>
    <x v="7"/>
    <x v="136"/>
    <x v="11"/>
  </r>
  <r>
    <x v="2"/>
    <x v="2"/>
    <x v="0"/>
    <x v="9"/>
    <x v="2"/>
    <x v="0"/>
    <x v="1"/>
    <x v="7"/>
    <x v="310"/>
    <x v="11"/>
  </r>
  <r>
    <x v="2"/>
    <x v="11"/>
    <x v="0"/>
    <x v="9"/>
    <x v="2"/>
    <x v="2"/>
    <x v="1"/>
    <x v="7"/>
    <x v="310"/>
    <x v="11"/>
  </r>
  <r>
    <x v="2"/>
    <x v="11"/>
    <x v="0"/>
    <x v="9"/>
    <x v="2"/>
    <x v="2"/>
    <x v="2"/>
    <x v="7"/>
    <x v="311"/>
    <x v="11"/>
  </r>
  <r>
    <x v="2"/>
    <x v="4"/>
    <x v="0"/>
    <x v="9"/>
    <x v="2"/>
    <x v="0"/>
    <x v="5"/>
    <x v="7"/>
    <x v="137"/>
    <x v="11"/>
  </r>
  <r>
    <x v="2"/>
    <x v="12"/>
    <x v="0"/>
    <x v="9"/>
    <x v="2"/>
    <x v="1"/>
    <x v="6"/>
    <x v="7"/>
    <x v="138"/>
    <x v="11"/>
  </r>
  <r>
    <x v="2"/>
    <x v="6"/>
    <x v="0"/>
    <x v="9"/>
    <x v="2"/>
    <x v="0"/>
    <x v="3"/>
    <x v="7"/>
    <x v="312"/>
    <x v="11"/>
  </r>
  <r>
    <x v="2"/>
    <x v="13"/>
    <x v="0"/>
    <x v="9"/>
    <x v="2"/>
    <x v="2"/>
    <x v="3"/>
    <x v="7"/>
    <x v="312"/>
    <x v="11"/>
  </r>
  <r>
    <x v="2"/>
    <x v="0"/>
    <x v="0"/>
    <x v="9"/>
    <x v="2"/>
    <x v="0"/>
    <x v="4"/>
    <x v="7"/>
    <x v="139"/>
    <x v="11"/>
  </r>
  <r>
    <x v="2"/>
    <x v="2"/>
    <x v="0"/>
    <x v="9"/>
    <x v="2"/>
    <x v="0"/>
    <x v="4"/>
    <x v="7"/>
    <x v="139"/>
    <x v="11"/>
  </r>
  <r>
    <x v="2"/>
    <x v="15"/>
    <x v="0"/>
    <x v="9"/>
    <x v="2"/>
    <x v="2"/>
    <x v="4"/>
    <x v="7"/>
    <x v="139"/>
    <x v="11"/>
  </r>
  <r>
    <x v="2"/>
    <x v="12"/>
    <x v="0"/>
    <x v="9"/>
    <x v="2"/>
    <x v="1"/>
    <x v="0"/>
    <x v="7"/>
    <x v="140"/>
    <x v="11"/>
  </r>
  <r>
    <x v="2"/>
    <x v="2"/>
    <x v="0"/>
    <x v="9"/>
    <x v="2"/>
    <x v="0"/>
    <x v="0"/>
    <x v="7"/>
    <x v="140"/>
    <x v="11"/>
  </r>
  <r>
    <x v="2"/>
    <x v="12"/>
    <x v="0"/>
    <x v="9"/>
    <x v="2"/>
    <x v="1"/>
    <x v="1"/>
    <x v="7"/>
    <x v="141"/>
    <x v="11"/>
  </r>
  <r>
    <x v="2"/>
    <x v="9"/>
    <x v="0"/>
    <x v="9"/>
    <x v="2"/>
    <x v="1"/>
    <x v="1"/>
    <x v="7"/>
    <x v="141"/>
    <x v="11"/>
  </r>
  <r>
    <x v="2"/>
    <x v="13"/>
    <x v="0"/>
    <x v="9"/>
    <x v="2"/>
    <x v="2"/>
    <x v="1"/>
    <x v="7"/>
    <x v="141"/>
    <x v="11"/>
  </r>
  <r>
    <x v="2"/>
    <x v="0"/>
    <x v="0"/>
    <x v="9"/>
    <x v="2"/>
    <x v="0"/>
    <x v="2"/>
    <x v="7"/>
    <x v="313"/>
    <x v="11"/>
  </r>
  <r>
    <x v="2"/>
    <x v="12"/>
    <x v="0"/>
    <x v="9"/>
    <x v="2"/>
    <x v="1"/>
    <x v="5"/>
    <x v="7"/>
    <x v="142"/>
    <x v="11"/>
  </r>
  <r>
    <x v="2"/>
    <x v="4"/>
    <x v="0"/>
    <x v="9"/>
    <x v="2"/>
    <x v="0"/>
    <x v="5"/>
    <x v="7"/>
    <x v="142"/>
    <x v="11"/>
  </r>
  <r>
    <x v="2"/>
    <x v="13"/>
    <x v="0"/>
    <x v="9"/>
    <x v="2"/>
    <x v="2"/>
    <x v="5"/>
    <x v="7"/>
    <x v="142"/>
    <x v="11"/>
  </r>
  <r>
    <x v="2"/>
    <x v="2"/>
    <x v="0"/>
    <x v="9"/>
    <x v="2"/>
    <x v="0"/>
    <x v="6"/>
    <x v="7"/>
    <x v="314"/>
    <x v="11"/>
  </r>
  <r>
    <x v="2"/>
    <x v="13"/>
    <x v="0"/>
    <x v="9"/>
    <x v="2"/>
    <x v="2"/>
    <x v="6"/>
    <x v="7"/>
    <x v="314"/>
    <x v="11"/>
  </r>
  <r>
    <x v="2"/>
    <x v="10"/>
    <x v="0"/>
    <x v="9"/>
    <x v="2"/>
    <x v="1"/>
    <x v="6"/>
    <x v="8"/>
    <x v="316"/>
    <x v="11"/>
  </r>
  <r>
    <x v="2"/>
    <x v="8"/>
    <x v="0"/>
    <x v="9"/>
    <x v="2"/>
    <x v="2"/>
    <x v="6"/>
    <x v="8"/>
    <x v="316"/>
    <x v="11"/>
  </r>
  <r>
    <x v="2"/>
    <x v="8"/>
    <x v="0"/>
    <x v="9"/>
    <x v="2"/>
    <x v="2"/>
    <x v="6"/>
    <x v="8"/>
    <x v="316"/>
    <x v="11"/>
  </r>
  <r>
    <x v="2"/>
    <x v="8"/>
    <x v="0"/>
    <x v="9"/>
    <x v="2"/>
    <x v="2"/>
    <x v="6"/>
    <x v="8"/>
    <x v="316"/>
    <x v="11"/>
  </r>
  <r>
    <x v="2"/>
    <x v="5"/>
    <x v="0"/>
    <x v="9"/>
    <x v="2"/>
    <x v="0"/>
    <x v="3"/>
    <x v="8"/>
    <x v="148"/>
    <x v="11"/>
  </r>
  <r>
    <x v="2"/>
    <x v="6"/>
    <x v="0"/>
    <x v="9"/>
    <x v="2"/>
    <x v="0"/>
    <x v="3"/>
    <x v="8"/>
    <x v="148"/>
    <x v="11"/>
  </r>
  <r>
    <x v="2"/>
    <x v="7"/>
    <x v="0"/>
    <x v="9"/>
    <x v="2"/>
    <x v="1"/>
    <x v="0"/>
    <x v="8"/>
    <x v="150"/>
    <x v="11"/>
  </r>
  <r>
    <x v="2"/>
    <x v="14"/>
    <x v="0"/>
    <x v="9"/>
    <x v="2"/>
    <x v="2"/>
    <x v="2"/>
    <x v="8"/>
    <x v="152"/>
    <x v="11"/>
  </r>
  <r>
    <x v="2"/>
    <x v="14"/>
    <x v="0"/>
    <x v="9"/>
    <x v="2"/>
    <x v="2"/>
    <x v="2"/>
    <x v="8"/>
    <x v="152"/>
    <x v="11"/>
  </r>
  <r>
    <x v="2"/>
    <x v="12"/>
    <x v="0"/>
    <x v="9"/>
    <x v="2"/>
    <x v="1"/>
    <x v="5"/>
    <x v="8"/>
    <x v="317"/>
    <x v="11"/>
  </r>
  <r>
    <x v="2"/>
    <x v="6"/>
    <x v="0"/>
    <x v="9"/>
    <x v="2"/>
    <x v="0"/>
    <x v="5"/>
    <x v="8"/>
    <x v="317"/>
    <x v="11"/>
  </r>
  <r>
    <x v="2"/>
    <x v="3"/>
    <x v="0"/>
    <x v="9"/>
    <x v="2"/>
    <x v="2"/>
    <x v="5"/>
    <x v="8"/>
    <x v="317"/>
    <x v="11"/>
  </r>
  <r>
    <x v="2"/>
    <x v="8"/>
    <x v="0"/>
    <x v="9"/>
    <x v="2"/>
    <x v="2"/>
    <x v="6"/>
    <x v="8"/>
    <x v="359"/>
    <x v="11"/>
  </r>
  <r>
    <x v="2"/>
    <x v="5"/>
    <x v="0"/>
    <x v="9"/>
    <x v="2"/>
    <x v="0"/>
    <x v="4"/>
    <x v="8"/>
    <x v="153"/>
    <x v="11"/>
  </r>
  <r>
    <x v="2"/>
    <x v="5"/>
    <x v="0"/>
    <x v="9"/>
    <x v="2"/>
    <x v="0"/>
    <x v="4"/>
    <x v="8"/>
    <x v="153"/>
    <x v="11"/>
  </r>
  <r>
    <x v="2"/>
    <x v="6"/>
    <x v="0"/>
    <x v="9"/>
    <x v="2"/>
    <x v="0"/>
    <x v="4"/>
    <x v="8"/>
    <x v="153"/>
    <x v="11"/>
  </r>
  <r>
    <x v="2"/>
    <x v="4"/>
    <x v="0"/>
    <x v="9"/>
    <x v="2"/>
    <x v="0"/>
    <x v="1"/>
    <x v="8"/>
    <x v="155"/>
    <x v="11"/>
  </r>
  <r>
    <x v="2"/>
    <x v="6"/>
    <x v="0"/>
    <x v="9"/>
    <x v="2"/>
    <x v="0"/>
    <x v="6"/>
    <x v="8"/>
    <x v="320"/>
    <x v="11"/>
  </r>
  <r>
    <x v="2"/>
    <x v="6"/>
    <x v="0"/>
    <x v="9"/>
    <x v="2"/>
    <x v="0"/>
    <x v="6"/>
    <x v="8"/>
    <x v="320"/>
    <x v="11"/>
  </r>
  <r>
    <x v="2"/>
    <x v="3"/>
    <x v="0"/>
    <x v="9"/>
    <x v="2"/>
    <x v="2"/>
    <x v="3"/>
    <x v="8"/>
    <x v="321"/>
    <x v="11"/>
  </r>
  <r>
    <x v="2"/>
    <x v="1"/>
    <x v="0"/>
    <x v="9"/>
    <x v="2"/>
    <x v="1"/>
    <x v="0"/>
    <x v="8"/>
    <x v="360"/>
    <x v="11"/>
  </r>
  <r>
    <x v="2"/>
    <x v="7"/>
    <x v="0"/>
    <x v="9"/>
    <x v="2"/>
    <x v="1"/>
    <x v="1"/>
    <x v="8"/>
    <x v="157"/>
    <x v="11"/>
  </r>
  <r>
    <x v="2"/>
    <x v="12"/>
    <x v="0"/>
    <x v="9"/>
    <x v="2"/>
    <x v="1"/>
    <x v="5"/>
    <x v="8"/>
    <x v="323"/>
    <x v="11"/>
  </r>
  <r>
    <x v="2"/>
    <x v="15"/>
    <x v="0"/>
    <x v="9"/>
    <x v="2"/>
    <x v="2"/>
    <x v="5"/>
    <x v="8"/>
    <x v="323"/>
    <x v="11"/>
  </r>
  <r>
    <x v="2"/>
    <x v="9"/>
    <x v="0"/>
    <x v="9"/>
    <x v="2"/>
    <x v="1"/>
    <x v="4"/>
    <x v="8"/>
    <x v="324"/>
    <x v="11"/>
  </r>
  <r>
    <x v="2"/>
    <x v="11"/>
    <x v="0"/>
    <x v="9"/>
    <x v="2"/>
    <x v="2"/>
    <x v="4"/>
    <x v="8"/>
    <x v="324"/>
    <x v="11"/>
  </r>
  <r>
    <x v="2"/>
    <x v="5"/>
    <x v="0"/>
    <x v="9"/>
    <x v="2"/>
    <x v="0"/>
    <x v="2"/>
    <x v="9"/>
    <x v="326"/>
    <x v="11"/>
  </r>
  <r>
    <x v="2"/>
    <x v="6"/>
    <x v="0"/>
    <x v="9"/>
    <x v="2"/>
    <x v="0"/>
    <x v="5"/>
    <x v="9"/>
    <x v="160"/>
    <x v="11"/>
  </r>
  <r>
    <x v="2"/>
    <x v="8"/>
    <x v="0"/>
    <x v="9"/>
    <x v="2"/>
    <x v="2"/>
    <x v="5"/>
    <x v="9"/>
    <x v="160"/>
    <x v="11"/>
  </r>
  <r>
    <x v="2"/>
    <x v="15"/>
    <x v="0"/>
    <x v="9"/>
    <x v="2"/>
    <x v="2"/>
    <x v="6"/>
    <x v="9"/>
    <x v="161"/>
    <x v="11"/>
  </r>
  <r>
    <x v="2"/>
    <x v="11"/>
    <x v="0"/>
    <x v="9"/>
    <x v="2"/>
    <x v="2"/>
    <x v="6"/>
    <x v="9"/>
    <x v="161"/>
    <x v="11"/>
  </r>
  <r>
    <x v="2"/>
    <x v="2"/>
    <x v="0"/>
    <x v="9"/>
    <x v="2"/>
    <x v="0"/>
    <x v="4"/>
    <x v="9"/>
    <x v="163"/>
    <x v="11"/>
  </r>
  <r>
    <x v="2"/>
    <x v="13"/>
    <x v="0"/>
    <x v="9"/>
    <x v="2"/>
    <x v="2"/>
    <x v="1"/>
    <x v="9"/>
    <x v="164"/>
    <x v="11"/>
  </r>
  <r>
    <x v="2"/>
    <x v="1"/>
    <x v="0"/>
    <x v="9"/>
    <x v="2"/>
    <x v="1"/>
    <x v="2"/>
    <x v="9"/>
    <x v="327"/>
    <x v="11"/>
  </r>
  <r>
    <x v="2"/>
    <x v="3"/>
    <x v="0"/>
    <x v="9"/>
    <x v="2"/>
    <x v="2"/>
    <x v="2"/>
    <x v="9"/>
    <x v="327"/>
    <x v="11"/>
  </r>
  <r>
    <x v="2"/>
    <x v="14"/>
    <x v="0"/>
    <x v="9"/>
    <x v="2"/>
    <x v="2"/>
    <x v="2"/>
    <x v="9"/>
    <x v="327"/>
    <x v="11"/>
  </r>
  <r>
    <x v="2"/>
    <x v="9"/>
    <x v="0"/>
    <x v="9"/>
    <x v="2"/>
    <x v="1"/>
    <x v="5"/>
    <x v="9"/>
    <x v="165"/>
    <x v="11"/>
  </r>
  <r>
    <x v="2"/>
    <x v="13"/>
    <x v="0"/>
    <x v="9"/>
    <x v="2"/>
    <x v="2"/>
    <x v="0"/>
    <x v="9"/>
    <x v="167"/>
    <x v="11"/>
  </r>
  <r>
    <x v="2"/>
    <x v="13"/>
    <x v="0"/>
    <x v="9"/>
    <x v="2"/>
    <x v="2"/>
    <x v="0"/>
    <x v="9"/>
    <x v="167"/>
    <x v="11"/>
  </r>
  <r>
    <x v="2"/>
    <x v="7"/>
    <x v="0"/>
    <x v="9"/>
    <x v="2"/>
    <x v="1"/>
    <x v="1"/>
    <x v="9"/>
    <x v="168"/>
    <x v="11"/>
  </r>
  <r>
    <x v="2"/>
    <x v="9"/>
    <x v="0"/>
    <x v="9"/>
    <x v="2"/>
    <x v="1"/>
    <x v="6"/>
    <x v="9"/>
    <x v="169"/>
    <x v="11"/>
  </r>
  <r>
    <x v="2"/>
    <x v="3"/>
    <x v="0"/>
    <x v="9"/>
    <x v="2"/>
    <x v="2"/>
    <x v="6"/>
    <x v="9"/>
    <x v="169"/>
    <x v="11"/>
  </r>
  <r>
    <x v="2"/>
    <x v="1"/>
    <x v="0"/>
    <x v="9"/>
    <x v="2"/>
    <x v="1"/>
    <x v="3"/>
    <x v="9"/>
    <x v="329"/>
    <x v="11"/>
  </r>
  <r>
    <x v="2"/>
    <x v="13"/>
    <x v="0"/>
    <x v="9"/>
    <x v="2"/>
    <x v="2"/>
    <x v="4"/>
    <x v="9"/>
    <x v="330"/>
    <x v="11"/>
  </r>
  <r>
    <x v="2"/>
    <x v="13"/>
    <x v="0"/>
    <x v="9"/>
    <x v="2"/>
    <x v="2"/>
    <x v="4"/>
    <x v="9"/>
    <x v="330"/>
    <x v="11"/>
  </r>
  <r>
    <x v="2"/>
    <x v="15"/>
    <x v="0"/>
    <x v="9"/>
    <x v="2"/>
    <x v="2"/>
    <x v="4"/>
    <x v="9"/>
    <x v="330"/>
    <x v="11"/>
  </r>
  <r>
    <x v="2"/>
    <x v="1"/>
    <x v="0"/>
    <x v="9"/>
    <x v="2"/>
    <x v="1"/>
    <x v="0"/>
    <x v="9"/>
    <x v="331"/>
    <x v="11"/>
  </r>
  <r>
    <x v="2"/>
    <x v="8"/>
    <x v="0"/>
    <x v="9"/>
    <x v="2"/>
    <x v="2"/>
    <x v="0"/>
    <x v="9"/>
    <x v="331"/>
    <x v="11"/>
  </r>
  <r>
    <x v="2"/>
    <x v="8"/>
    <x v="0"/>
    <x v="9"/>
    <x v="2"/>
    <x v="2"/>
    <x v="0"/>
    <x v="9"/>
    <x v="331"/>
    <x v="11"/>
  </r>
  <r>
    <x v="2"/>
    <x v="1"/>
    <x v="0"/>
    <x v="9"/>
    <x v="2"/>
    <x v="1"/>
    <x v="1"/>
    <x v="9"/>
    <x v="170"/>
    <x v="11"/>
  </r>
  <r>
    <x v="2"/>
    <x v="1"/>
    <x v="0"/>
    <x v="9"/>
    <x v="2"/>
    <x v="1"/>
    <x v="2"/>
    <x v="9"/>
    <x v="361"/>
    <x v="11"/>
  </r>
  <r>
    <x v="2"/>
    <x v="8"/>
    <x v="0"/>
    <x v="9"/>
    <x v="2"/>
    <x v="2"/>
    <x v="2"/>
    <x v="9"/>
    <x v="361"/>
    <x v="11"/>
  </r>
  <r>
    <x v="2"/>
    <x v="7"/>
    <x v="0"/>
    <x v="9"/>
    <x v="2"/>
    <x v="1"/>
    <x v="5"/>
    <x v="9"/>
    <x v="332"/>
    <x v="11"/>
  </r>
  <r>
    <x v="2"/>
    <x v="13"/>
    <x v="0"/>
    <x v="9"/>
    <x v="2"/>
    <x v="2"/>
    <x v="6"/>
    <x v="9"/>
    <x v="333"/>
    <x v="11"/>
  </r>
  <r>
    <x v="2"/>
    <x v="14"/>
    <x v="0"/>
    <x v="9"/>
    <x v="2"/>
    <x v="2"/>
    <x v="3"/>
    <x v="9"/>
    <x v="171"/>
    <x v="11"/>
  </r>
  <r>
    <x v="2"/>
    <x v="11"/>
    <x v="0"/>
    <x v="9"/>
    <x v="2"/>
    <x v="2"/>
    <x v="3"/>
    <x v="9"/>
    <x v="171"/>
    <x v="11"/>
  </r>
  <r>
    <x v="2"/>
    <x v="0"/>
    <x v="0"/>
    <x v="9"/>
    <x v="2"/>
    <x v="0"/>
    <x v="4"/>
    <x v="9"/>
    <x v="362"/>
    <x v="11"/>
  </r>
  <r>
    <x v="2"/>
    <x v="2"/>
    <x v="0"/>
    <x v="9"/>
    <x v="2"/>
    <x v="0"/>
    <x v="1"/>
    <x v="9"/>
    <x v="334"/>
    <x v="11"/>
  </r>
  <r>
    <x v="2"/>
    <x v="11"/>
    <x v="0"/>
    <x v="9"/>
    <x v="2"/>
    <x v="2"/>
    <x v="1"/>
    <x v="9"/>
    <x v="334"/>
    <x v="11"/>
  </r>
  <r>
    <x v="2"/>
    <x v="6"/>
    <x v="0"/>
    <x v="9"/>
    <x v="2"/>
    <x v="0"/>
    <x v="5"/>
    <x v="9"/>
    <x v="174"/>
    <x v="11"/>
  </r>
  <r>
    <x v="2"/>
    <x v="10"/>
    <x v="0"/>
    <x v="9"/>
    <x v="2"/>
    <x v="1"/>
    <x v="6"/>
    <x v="9"/>
    <x v="175"/>
    <x v="11"/>
  </r>
  <r>
    <x v="2"/>
    <x v="7"/>
    <x v="0"/>
    <x v="9"/>
    <x v="2"/>
    <x v="1"/>
    <x v="6"/>
    <x v="9"/>
    <x v="175"/>
    <x v="11"/>
  </r>
  <r>
    <x v="2"/>
    <x v="6"/>
    <x v="0"/>
    <x v="9"/>
    <x v="2"/>
    <x v="0"/>
    <x v="6"/>
    <x v="9"/>
    <x v="175"/>
    <x v="11"/>
  </r>
  <r>
    <x v="2"/>
    <x v="3"/>
    <x v="0"/>
    <x v="9"/>
    <x v="2"/>
    <x v="2"/>
    <x v="6"/>
    <x v="9"/>
    <x v="175"/>
    <x v="11"/>
  </r>
  <r>
    <x v="2"/>
    <x v="3"/>
    <x v="0"/>
    <x v="9"/>
    <x v="2"/>
    <x v="2"/>
    <x v="4"/>
    <x v="10"/>
    <x v="176"/>
    <x v="11"/>
  </r>
  <r>
    <x v="2"/>
    <x v="11"/>
    <x v="0"/>
    <x v="9"/>
    <x v="2"/>
    <x v="2"/>
    <x v="0"/>
    <x v="10"/>
    <x v="177"/>
    <x v="11"/>
  </r>
  <r>
    <x v="2"/>
    <x v="0"/>
    <x v="0"/>
    <x v="9"/>
    <x v="2"/>
    <x v="0"/>
    <x v="1"/>
    <x v="10"/>
    <x v="178"/>
    <x v="11"/>
  </r>
  <r>
    <x v="2"/>
    <x v="6"/>
    <x v="0"/>
    <x v="9"/>
    <x v="2"/>
    <x v="0"/>
    <x v="1"/>
    <x v="10"/>
    <x v="178"/>
    <x v="11"/>
  </r>
  <r>
    <x v="2"/>
    <x v="6"/>
    <x v="0"/>
    <x v="9"/>
    <x v="2"/>
    <x v="0"/>
    <x v="1"/>
    <x v="10"/>
    <x v="178"/>
    <x v="11"/>
  </r>
  <r>
    <x v="2"/>
    <x v="0"/>
    <x v="0"/>
    <x v="9"/>
    <x v="2"/>
    <x v="0"/>
    <x v="6"/>
    <x v="10"/>
    <x v="363"/>
    <x v="11"/>
  </r>
  <r>
    <x v="2"/>
    <x v="3"/>
    <x v="0"/>
    <x v="9"/>
    <x v="2"/>
    <x v="2"/>
    <x v="3"/>
    <x v="10"/>
    <x v="336"/>
    <x v="11"/>
  </r>
  <r>
    <x v="2"/>
    <x v="3"/>
    <x v="0"/>
    <x v="9"/>
    <x v="2"/>
    <x v="2"/>
    <x v="0"/>
    <x v="10"/>
    <x v="337"/>
    <x v="11"/>
  </r>
  <r>
    <x v="2"/>
    <x v="2"/>
    <x v="0"/>
    <x v="9"/>
    <x v="2"/>
    <x v="0"/>
    <x v="1"/>
    <x v="10"/>
    <x v="181"/>
    <x v="11"/>
  </r>
  <r>
    <x v="2"/>
    <x v="2"/>
    <x v="0"/>
    <x v="9"/>
    <x v="2"/>
    <x v="0"/>
    <x v="5"/>
    <x v="10"/>
    <x v="338"/>
    <x v="11"/>
  </r>
  <r>
    <x v="2"/>
    <x v="13"/>
    <x v="0"/>
    <x v="9"/>
    <x v="2"/>
    <x v="2"/>
    <x v="6"/>
    <x v="10"/>
    <x v="339"/>
    <x v="11"/>
  </r>
  <r>
    <x v="2"/>
    <x v="0"/>
    <x v="0"/>
    <x v="9"/>
    <x v="2"/>
    <x v="0"/>
    <x v="3"/>
    <x v="10"/>
    <x v="183"/>
    <x v="11"/>
  </r>
  <r>
    <x v="2"/>
    <x v="5"/>
    <x v="0"/>
    <x v="9"/>
    <x v="2"/>
    <x v="0"/>
    <x v="3"/>
    <x v="10"/>
    <x v="183"/>
    <x v="11"/>
  </r>
  <r>
    <x v="2"/>
    <x v="15"/>
    <x v="0"/>
    <x v="9"/>
    <x v="2"/>
    <x v="2"/>
    <x v="3"/>
    <x v="10"/>
    <x v="183"/>
    <x v="11"/>
  </r>
  <r>
    <x v="2"/>
    <x v="8"/>
    <x v="0"/>
    <x v="9"/>
    <x v="2"/>
    <x v="2"/>
    <x v="4"/>
    <x v="10"/>
    <x v="340"/>
    <x v="11"/>
  </r>
  <r>
    <x v="2"/>
    <x v="9"/>
    <x v="0"/>
    <x v="9"/>
    <x v="2"/>
    <x v="1"/>
    <x v="0"/>
    <x v="10"/>
    <x v="341"/>
    <x v="11"/>
  </r>
  <r>
    <x v="2"/>
    <x v="14"/>
    <x v="0"/>
    <x v="9"/>
    <x v="2"/>
    <x v="2"/>
    <x v="5"/>
    <x v="10"/>
    <x v="184"/>
    <x v="11"/>
  </r>
  <r>
    <x v="2"/>
    <x v="14"/>
    <x v="0"/>
    <x v="9"/>
    <x v="2"/>
    <x v="2"/>
    <x v="5"/>
    <x v="10"/>
    <x v="184"/>
    <x v="11"/>
  </r>
  <r>
    <x v="2"/>
    <x v="13"/>
    <x v="0"/>
    <x v="9"/>
    <x v="2"/>
    <x v="2"/>
    <x v="3"/>
    <x v="10"/>
    <x v="343"/>
    <x v="11"/>
  </r>
  <r>
    <x v="2"/>
    <x v="0"/>
    <x v="0"/>
    <x v="9"/>
    <x v="2"/>
    <x v="0"/>
    <x v="0"/>
    <x v="10"/>
    <x v="186"/>
    <x v="11"/>
  </r>
  <r>
    <x v="2"/>
    <x v="0"/>
    <x v="0"/>
    <x v="9"/>
    <x v="2"/>
    <x v="0"/>
    <x v="1"/>
    <x v="10"/>
    <x v="187"/>
    <x v="11"/>
  </r>
  <r>
    <x v="2"/>
    <x v="2"/>
    <x v="0"/>
    <x v="9"/>
    <x v="2"/>
    <x v="0"/>
    <x v="1"/>
    <x v="10"/>
    <x v="187"/>
    <x v="11"/>
  </r>
  <r>
    <x v="2"/>
    <x v="4"/>
    <x v="0"/>
    <x v="9"/>
    <x v="2"/>
    <x v="0"/>
    <x v="5"/>
    <x v="10"/>
    <x v="189"/>
    <x v="11"/>
  </r>
  <r>
    <x v="2"/>
    <x v="14"/>
    <x v="0"/>
    <x v="9"/>
    <x v="2"/>
    <x v="2"/>
    <x v="6"/>
    <x v="10"/>
    <x v="190"/>
    <x v="11"/>
  </r>
  <r>
    <x v="2"/>
    <x v="10"/>
    <x v="0"/>
    <x v="9"/>
    <x v="2"/>
    <x v="1"/>
    <x v="0"/>
    <x v="10"/>
    <x v="193"/>
    <x v="11"/>
  </r>
  <r>
    <x v="2"/>
    <x v="10"/>
    <x v="0"/>
    <x v="9"/>
    <x v="2"/>
    <x v="1"/>
    <x v="0"/>
    <x v="10"/>
    <x v="193"/>
    <x v="11"/>
  </r>
  <r>
    <x v="2"/>
    <x v="2"/>
    <x v="0"/>
    <x v="9"/>
    <x v="2"/>
    <x v="0"/>
    <x v="0"/>
    <x v="10"/>
    <x v="193"/>
    <x v="11"/>
  </r>
  <r>
    <x v="2"/>
    <x v="2"/>
    <x v="0"/>
    <x v="9"/>
    <x v="2"/>
    <x v="0"/>
    <x v="1"/>
    <x v="11"/>
    <x v="344"/>
    <x v="11"/>
  </r>
  <r>
    <x v="2"/>
    <x v="2"/>
    <x v="0"/>
    <x v="9"/>
    <x v="2"/>
    <x v="0"/>
    <x v="1"/>
    <x v="11"/>
    <x v="344"/>
    <x v="11"/>
  </r>
  <r>
    <x v="2"/>
    <x v="8"/>
    <x v="0"/>
    <x v="9"/>
    <x v="2"/>
    <x v="2"/>
    <x v="1"/>
    <x v="11"/>
    <x v="344"/>
    <x v="11"/>
  </r>
  <r>
    <x v="2"/>
    <x v="1"/>
    <x v="0"/>
    <x v="9"/>
    <x v="2"/>
    <x v="1"/>
    <x v="2"/>
    <x v="11"/>
    <x v="345"/>
    <x v="11"/>
  </r>
  <r>
    <x v="2"/>
    <x v="1"/>
    <x v="0"/>
    <x v="9"/>
    <x v="2"/>
    <x v="1"/>
    <x v="2"/>
    <x v="11"/>
    <x v="345"/>
    <x v="11"/>
  </r>
  <r>
    <x v="2"/>
    <x v="12"/>
    <x v="0"/>
    <x v="9"/>
    <x v="2"/>
    <x v="1"/>
    <x v="5"/>
    <x v="11"/>
    <x v="194"/>
    <x v="11"/>
  </r>
  <r>
    <x v="2"/>
    <x v="1"/>
    <x v="0"/>
    <x v="9"/>
    <x v="2"/>
    <x v="1"/>
    <x v="5"/>
    <x v="11"/>
    <x v="194"/>
    <x v="11"/>
  </r>
  <r>
    <x v="2"/>
    <x v="0"/>
    <x v="0"/>
    <x v="9"/>
    <x v="2"/>
    <x v="0"/>
    <x v="5"/>
    <x v="11"/>
    <x v="194"/>
    <x v="11"/>
  </r>
  <r>
    <x v="2"/>
    <x v="0"/>
    <x v="0"/>
    <x v="9"/>
    <x v="2"/>
    <x v="0"/>
    <x v="5"/>
    <x v="11"/>
    <x v="194"/>
    <x v="11"/>
  </r>
  <r>
    <x v="2"/>
    <x v="2"/>
    <x v="0"/>
    <x v="9"/>
    <x v="2"/>
    <x v="0"/>
    <x v="3"/>
    <x v="11"/>
    <x v="196"/>
    <x v="11"/>
  </r>
  <r>
    <x v="2"/>
    <x v="5"/>
    <x v="0"/>
    <x v="9"/>
    <x v="2"/>
    <x v="0"/>
    <x v="3"/>
    <x v="11"/>
    <x v="196"/>
    <x v="11"/>
  </r>
  <r>
    <x v="2"/>
    <x v="8"/>
    <x v="0"/>
    <x v="9"/>
    <x v="2"/>
    <x v="2"/>
    <x v="3"/>
    <x v="11"/>
    <x v="196"/>
    <x v="11"/>
  </r>
  <r>
    <x v="2"/>
    <x v="8"/>
    <x v="0"/>
    <x v="9"/>
    <x v="2"/>
    <x v="2"/>
    <x v="3"/>
    <x v="11"/>
    <x v="196"/>
    <x v="11"/>
  </r>
  <r>
    <x v="2"/>
    <x v="8"/>
    <x v="0"/>
    <x v="9"/>
    <x v="2"/>
    <x v="2"/>
    <x v="3"/>
    <x v="11"/>
    <x v="196"/>
    <x v="11"/>
  </r>
  <r>
    <x v="2"/>
    <x v="2"/>
    <x v="0"/>
    <x v="9"/>
    <x v="2"/>
    <x v="0"/>
    <x v="4"/>
    <x v="11"/>
    <x v="197"/>
    <x v="11"/>
  </r>
  <r>
    <x v="2"/>
    <x v="13"/>
    <x v="0"/>
    <x v="9"/>
    <x v="2"/>
    <x v="2"/>
    <x v="4"/>
    <x v="11"/>
    <x v="197"/>
    <x v="11"/>
  </r>
  <r>
    <x v="2"/>
    <x v="5"/>
    <x v="0"/>
    <x v="9"/>
    <x v="2"/>
    <x v="0"/>
    <x v="5"/>
    <x v="11"/>
    <x v="201"/>
    <x v="11"/>
  </r>
  <r>
    <x v="2"/>
    <x v="12"/>
    <x v="0"/>
    <x v="9"/>
    <x v="2"/>
    <x v="1"/>
    <x v="3"/>
    <x v="11"/>
    <x v="203"/>
    <x v="11"/>
  </r>
  <r>
    <x v="2"/>
    <x v="3"/>
    <x v="0"/>
    <x v="9"/>
    <x v="2"/>
    <x v="2"/>
    <x v="3"/>
    <x v="11"/>
    <x v="203"/>
    <x v="11"/>
  </r>
  <r>
    <x v="2"/>
    <x v="15"/>
    <x v="0"/>
    <x v="9"/>
    <x v="2"/>
    <x v="2"/>
    <x v="3"/>
    <x v="11"/>
    <x v="203"/>
    <x v="11"/>
  </r>
  <r>
    <x v="2"/>
    <x v="8"/>
    <x v="0"/>
    <x v="9"/>
    <x v="2"/>
    <x v="2"/>
    <x v="4"/>
    <x v="11"/>
    <x v="204"/>
    <x v="11"/>
  </r>
  <r>
    <x v="2"/>
    <x v="5"/>
    <x v="0"/>
    <x v="9"/>
    <x v="2"/>
    <x v="0"/>
    <x v="0"/>
    <x v="11"/>
    <x v="205"/>
    <x v="11"/>
  </r>
  <r>
    <x v="2"/>
    <x v="5"/>
    <x v="0"/>
    <x v="9"/>
    <x v="2"/>
    <x v="0"/>
    <x v="0"/>
    <x v="11"/>
    <x v="205"/>
    <x v="11"/>
  </r>
  <r>
    <x v="2"/>
    <x v="5"/>
    <x v="0"/>
    <x v="9"/>
    <x v="2"/>
    <x v="0"/>
    <x v="0"/>
    <x v="11"/>
    <x v="205"/>
    <x v="11"/>
  </r>
  <r>
    <x v="2"/>
    <x v="10"/>
    <x v="0"/>
    <x v="9"/>
    <x v="2"/>
    <x v="1"/>
    <x v="1"/>
    <x v="11"/>
    <x v="206"/>
    <x v="11"/>
  </r>
  <r>
    <x v="2"/>
    <x v="4"/>
    <x v="0"/>
    <x v="9"/>
    <x v="2"/>
    <x v="0"/>
    <x v="1"/>
    <x v="11"/>
    <x v="206"/>
    <x v="11"/>
  </r>
  <r>
    <x v="2"/>
    <x v="2"/>
    <x v="0"/>
    <x v="9"/>
    <x v="2"/>
    <x v="0"/>
    <x v="1"/>
    <x v="11"/>
    <x v="206"/>
    <x v="11"/>
  </r>
  <r>
    <x v="2"/>
    <x v="16"/>
    <x v="0"/>
    <x v="9"/>
    <x v="2"/>
    <x v="1"/>
    <x v="5"/>
    <x v="11"/>
    <x v="208"/>
    <x v="11"/>
  </r>
  <r>
    <x v="2"/>
    <x v="4"/>
    <x v="0"/>
    <x v="9"/>
    <x v="2"/>
    <x v="0"/>
    <x v="5"/>
    <x v="11"/>
    <x v="208"/>
    <x v="11"/>
  </r>
  <r>
    <x v="2"/>
    <x v="9"/>
    <x v="0"/>
    <x v="9"/>
    <x v="2"/>
    <x v="1"/>
    <x v="3"/>
    <x v="11"/>
    <x v="210"/>
    <x v="11"/>
  </r>
  <r>
    <x v="2"/>
    <x v="10"/>
    <x v="0"/>
    <x v="9"/>
    <x v="2"/>
    <x v="1"/>
    <x v="3"/>
    <x v="11"/>
    <x v="210"/>
    <x v="11"/>
  </r>
  <r>
    <x v="2"/>
    <x v="5"/>
    <x v="0"/>
    <x v="9"/>
    <x v="2"/>
    <x v="0"/>
    <x v="3"/>
    <x v="11"/>
    <x v="210"/>
    <x v="11"/>
  </r>
  <r>
    <x v="2"/>
    <x v="3"/>
    <x v="0"/>
    <x v="9"/>
    <x v="2"/>
    <x v="2"/>
    <x v="3"/>
    <x v="11"/>
    <x v="210"/>
    <x v="11"/>
  </r>
  <r>
    <x v="2"/>
    <x v="8"/>
    <x v="0"/>
    <x v="9"/>
    <x v="2"/>
    <x v="2"/>
    <x v="3"/>
    <x v="11"/>
    <x v="210"/>
    <x v="11"/>
  </r>
  <r>
    <x v="2"/>
    <x v="12"/>
    <x v="0"/>
    <x v="9"/>
    <x v="2"/>
    <x v="1"/>
    <x v="4"/>
    <x v="11"/>
    <x v="211"/>
    <x v="11"/>
  </r>
  <r>
    <x v="2"/>
    <x v="1"/>
    <x v="0"/>
    <x v="9"/>
    <x v="2"/>
    <x v="1"/>
    <x v="4"/>
    <x v="11"/>
    <x v="211"/>
    <x v="11"/>
  </r>
  <r>
    <x v="2"/>
    <x v="6"/>
    <x v="0"/>
    <x v="9"/>
    <x v="2"/>
    <x v="0"/>
    <x v="4"/>
    <x v="11"/>
    <x v="211"/>
    <x v="11"/>
  </r>
  <r>
    <x v="2"/>
    <x v="6"/>
    <x v="0"/>
    <x v="9"/>
    <x v="2"/>
    <x v="0"/>
    <x v="4"/>
    <x v="11"/>
    <x v="211"/>
    <x v="11"/>
  </r>
  <r>
    <x v="2"/>
    <x v="10"/>
    <x v="0"/>
    <x v="9"/>
    <x v="2"/>
    <x v="1"/>
    <x v="0"/>
    <x v="11"/>
    <x v="212"/>
    <x v="11"/>
  </r>
  <r>
    <x v="2"/>
    <x v="5"/>
    <x v="0"/>
    <x v="9"/>
    <x v="2"/>
    <x v="0"/>
    <x v="0"/>
    <x v="11"/>
    <x v="212"/>
    <x v="11"/>
  </r>
  <r>
    <x v="2"/>
    <x v="13"/>
    <x v="0"/>
    <x v="9"/>
    <x v="2"/>
    <x v="2"/>
    <x v="0"/>
    <x v="11"/>
    <x v="212"/>
    <x v="11"/>
  </r>
  <r>
    <x v="2"/>
    <x v="0"/>
    <x v="0"/>
    <x v="9"/>
    <x v="2"/>
    <x v="0"/>
    <x v="2"/>
    <x v="11"/>
    <x v="214"/>
    <x v="11"/>
  </r>
  <r>
    <x v="2"/>
    <x v="6"/>
    <x v="0"/>
    <x v="9"/>
    <x v="2"/>
    <x v="0"/>
    <x v="5"/>
    <x v="11"/>
    <x v="215"/>
    <x v="11"/>
  </r>
  <r>
    <x v="2"/>
    <x v="4"/>
    <x v="0"/>
    <x v="9"/>
    <x v="2"/>
    <x v="0"/>
    <x v="6"/>
    <x v="11"/>
    <x v="216"/>
    <x v="11"/>
  </r>
  <r>
    <x v="2"/>
    <x v="2"/>
    <x v="0"/>
    <x v="9"/>
    <x v="2"/>
    <x v="0"/>
    <x v="6"/>
    <x v="11"/>
    <x v="216"/>
    <x v="11"/>
  </r>
  <r>
    <x v="2"/>
    <x v="13"/>
    <x v="0"/>
    <x v="9"/>
    <x v="2"/>
    <x v="2"/>
    <x v="6"/>
    <x v="11"/>
    <x v="216"/>
    <x v="11"/>
  </r>
  <r>
    <x v="2"/>
    <x v="8"/>
    <x v="0"/>
    <x v="9"/>
    <x v="2"/>
    <x v="2"/>
    <x v="3"/>
    <x v="11"/>
    <x v="217"/>
    <x v="11"/>
  </r>
  <r>
    <x v="2"/>
    <x v="12"/>
    <x v="0"/>
    <x v="9"/>
    <x v="2"/>
    <x v="1"/>
    <x v="4"/>
    <x v="11"/>
    <x v="218"/>
    <x v="11"/>
  </r>
  <r>
    <x v="2"/>
    <x v="12"/>
    <x v="0"/>
    <x v="9"/>
    <x v="2"/>
    <x v="1"/>
    <x v="4"/>
    <x v="11"/>
    <x v="218"/>
    <x v="11"/>
  </r>
  <r>
    <x v="2"/>
    <x v="8"/>
    <x v="0"/>
    <x v="9"/>
    <x v="2"/>
    <x v="2"/>
    <x v="4"/>
    <x v="11"/>
    <x v="218"/>
    <x v="11"/>
  </r>
  <r>
    <x v="2"/>
    <x v="14"/>
    <x v="0"/>
    <x v="9"/>
    <x v="2"/>
    <x v="2"/>
    <x v="4"/>
    <x v="11"/>
    <x v="218"/>
    <x v="11"/>
  </r>
  <r>
    <x v="2"/>
    <x v="12"/>
    <x v="0"/>
    <x v="9"/>
    <x v="2"/>
    <x v="1"/>
    <x v="0"/>
    <x v="11"/>
    <x v="219"/>
    <x v="11"/>
  </r>
  <r>
    <x v="2"/>
    <x v="1"/>
    <x v="0"/>
    <x v="9"/>
    <x v="2"/>
    <x v="1"/>
    <x v="1"/>
    <x v="0"/>
    <x v="220"/>
    <x v="11"/>
  </r>
  <r>
    <x v="2"/>
    <x v="6"/>
    <x v="0"/>
    <x v="9"/>
    <x v="2"/>
    <x v="0"/>
    <x v="1"/>
    <x v="0"/>
    <x v="220"/>
    <x v="11"/>
  </r>
  <r>
    <x v="2"/>
    <x v="9"/>
    <x v="0"/>
    <x v="9"/>
    <x v="2"/>
    <x v="1"/>
    <x v="5"/>
    <x v="0"/>
    <x v="222"/>
    <x v="11"/>
  </r>
  <r>
    <x v="2"/>
    <x v="4"/>
    <x v="0"/>
    <x v="9"/>
    <x v="2"/>
    <x v="0"/>
    <x v="5"/>
    <x v="0"/>
    <x v="222"/>
    <x v="11"/>
  </r>
  <r>
    <x v="2"/>
    <x v="6"/>
    <x v="0"/>
    <x v="9"/>
    <x v="2"/>
    <x v="0"/>
    <x v="5"/>
    <x v="0"/>
    <x v="222"/>
    <x v="11"/>
  </r>
  <r>
    <x v="2"/>
    <x v="6"/>
    <x v="0"/>
    <x v="9"/>
    <x v="2"/>
    <x v="0"/>
    <x v="5"/>
    <x v="0"/>
    <x v="222"/>
    <x v="11"/>
  </r>
  <r>
    <x v="2"/>
    <x v="12"/>
    <x v="0"/>
    <x v="9"/>
    <x v="2"/>
    <x v="1"/>
    <x v="6"/>
    <x v="0"/>
    <x v="223"/>
    <x v="11"/>
  </r>
  <r>
    <x v="2"/>
    <x v="1"/>
    <x v="0"/>
    <x v="9"/>
    <x v="2"/>
    <x v="1"/>
    <x v="3"/>
    <x v="0"/>
    <x v="224"/>
    <x v="11"/>
  </r>
  <r>
    <x v="2"/>
    <x v="7"/>
    <x v="0"/>
    <x v="9"/>
    <x v="2"/>
    <x v="1"/>
    <x v="3"/>
    <x v="0"/>
    <x v="224"/>
    <x v="11"/>
  </r>
  <r>
    <x v="2"/>
    <x v="8"/>
    <x v="0"/>
    <x v="9"/>
    <x v="2"/>
    <x v="2"/>
    <x v="3"/>
    <x v="0"/>
    <x v="224"/>
    <x v="11"/>
  </r>
  <r>
    <x v="2"/>
    <x v="7"/>
    <x v="0"/>
    <x v="9"/>
    <x v="2"/>
    <x v="1"/>
    <x v="4"/>
    <x v="0"/>
    <x v="225"/>
    <x v="11"/>
  </r>
  <r>
    <x v="2"/>
    <x v="8"/>
    <x v="0"/>
    <x v="9"/>
    <x v="2"/>
    <x v="2"/>
    <x v="4"/>
    <x v="0"/>
    <x v="225"/>
    <x v="11"/>
  </r>
  <r>
    <x v="2"/>
    <x v="12"/>
    <x v="0"/>
    <x v="9"/>
    <x v="2"/>
    <x v="1"/>
    <x v="0"/>
    <x v="0"/>
    <x v="226"/>
    <x v="11"/>
  </r>
  <r>
    <x v="2"/>
    <x v="2"/>
    <x v="0"/>
    <x v="9"/>
    <x v="2"/>
    <x v="0"/>
    <x v="0"/>
    <x v="0"/>
    <x v="226"/>
    <x v="11"/>
  </r>
  <r>
    <x v="2"/>
    <x v="0"/>
    <x v="0"/>
    <x v="9"/>
    <x v="2"/>
    <x v="0"/>
    <x v="1"/>
    <x v="0"/>
    <x v="227"/>
    <x v="11"/>
  </r>
  <r>
    <x v="2"/>
    <x v="0"/>
    <x v="0"/>
    <x v="9"/>
    <x v="2"/>
    <x v="0"/>
    <x v="2"/>
    <x v="0"/>
    <x v="228"/>
    <x v="11"/>
  </r>
  <r>
    <x v="2"/>
    <x v="5"/>
    <x v="0"/>
    <x v="9"/>
    <x v="2"/>
    <x v="0"/>
    <x v="2"/>
    <x v="0"/>
    <x v="228"/>
    <x v="11"/>
  </r>
  <r>
    <x v="2"/>
    <x v="6"/>
    <x v="0"/>
    <x v="9"/>
    <x v="2"/>
    <x v="0"/>
    <x v="5"/>
    <x v="0"/>
    <x v="229"/>
    <x v="11"/>
  </r>
  <r>
    <x v="2"/>
    <x v="10"/>
    <x v="0"/>
    <x v="9"/>
    <x v="2"/>
    <x v="1"/>
    <x v="6"/>
    <x v="0"/>
    <x v="230"/>
    <x v="11"/>
  </r>
  <r>
    <x v="2"/>
    <x v="3"/>
    <x v="0"/>
    <x v="9"/>
    <x v="2"/>
    <x v="2"/>
    <x v="6"/>
    <x v="0"/>
    <x v="230"/>
    <x v="11"/>
  </r>
  <r>
    <x v="2"/>
    <x v="7"/>
    <x v="0"/>
    <x v="9"/>
    <x v="2"/>
    <x v="1"/>
    <x v="3"/>
    <x v="0"/>
    <x v="231"/>
    <x v="11"/>
  </r>
  <r>
    <x v="2"/>
    <x v="6"/>
    <x v="0"/>
    <x v="9"/>
    <x v="2"/>
    <x v="0"/>
    <x v="3"/>
    <x v="0"/>
    <x v="231"/>
    <x v="11"/>
  </r>
  <r>
    <x v="2"/>
    <x v="8"/>
    <x v="0"/>
    <x v="9"/>
    <x v="2"/>
    <x v="2"/>
    <x v="3"/>
    <x v="0"/>
    <x v="231"/>
    <x v="11"/>
  </r>
  <r>
    <x v="2"/>
    <x v="12"/>
    <x v="0"/>
    <x v="9"/>
    <x v="2"/>
    <x v="1"/>
    <x v="4"/>
    <x v="0"/>
    <x v="232"/>
    <x v="11"/>
  </r>
  <r>
    <x v="2"/>
    <x v="8"/>
    <x v="0"/>
    <x v="9"/>
    <x v="2"/>
    <x v="2"/>
    <x v="4"/>
    <x v="0"/>
    <x v="232"/>
    <x v="11"/>
  </r>
  <r>
    <x v="2"/>
    <x v="1"/>
    <x v="0"/>
    <x v="9"/>
    <x v="2"/>
    <x v="1"/>
    <x v="0"/>
    <x v="0"/>
    <x v="233"/>
    <x v="11"/>
  </r>
  <r>
    <x v="2"/>
    <x v="1"/>
    <x v="0"/>
    <x v="9"/>
    <x v="2"/>
    <x v="1"/>
    <x v="1"/>
    <x v="0"/>
    <x v="234"/>
    <x v="11"/>
  </r>
  <r>
    <x v="2"/>
    <x v="3"/>
    <x v="0"/>
    <x v="9"/>
    <x v="2"/>
    <x v="2"/>
    <x v="1"/>
    <x v="0"/>
    <x v="234"/>
    <x v="11"/>
  </r>
  <r>
    <x v="2"/>
    <x v="13"/>
    <x v="0"/>
    <x v="9"/>
    <x v="2"/>
    <x v="2"/>
    <x v="1"/>
    <x v="0"/>
    <x v="234"/>
    <x v="11"/>
  </r>
  <r>
    <x v="2"/>
    <x v="10"/>
    <x v="0"/>
    <x v="9"/>
    <x v="2"/>
    <x v="1"/>
    <x v="2"/>
    <x v="0"/>
    <x v="235"/>
    <x v="11"/>
  </r>
  <r>
    <x v="2"/>
    <x v="5"/>
    <x v="0"/>
    <x v="9"/>
    <x v="2"/>
    <x v="0"/>
    <x v="5"/>
    <x v="0"/>
    <x v="236"/>
    <x v="11"/>
  </r>
  <r>
    <x v="2"/>
    <x v="12"/>
    <x v="0"/>
    <x v="9"/>
    <x v="2"/>
    <x v="1"/>
    <x v="3"/>
    <x v="0"/>
    <x v="238"/>
    <x v="11"/>
  </r>
  <r>
    <x v="2"/>
    <x v="6"/>
    <x v="0"/>
    <x v="9"/>
    <x v="2"/>
    <x v="0"/>
    <x v="3"/>
    <x v="0"/>
    <x v="238"/>
    <x v="11"/>
  </r>
  <r>
    <x v="2"/>
    <x v="6"/>
    <x v="0"/>
    <x v="9"/>
    <x v="2"/>
    <x v="0"/>
    <x v="3"/>
    <x v="0"/>
    <x v="238"/>
    <x v="11"/>
  </r>
  <r>
    <x v="2"/>
    <x v="2"/>
    <x v="0"/>
    <x v="9"/>
    <x v="2"/>
    <x v="0"/>
    <x v="4"/>
    <x v="0"/>
    <x v="239"/>
    <x v="11"/>
  </r>
  <r>
    <x v="2"/>
    <x v="2"/>
    <x v="0"/>
    <x v="9"/>
    <x v="2"/>
    <x v="0"/>
    <x v="4"/>
    <x v="0"/>
    <x v="239"/>
    <x v="11"/>
  </r>
  <r>
    <x v="2"/>
    <x v="6"/>
    <x v="0"/>
    <x v="9"/>
    <x v="2"/>
    <x v="0"/>
    <x v="4"/>
    <x v="0"/>
    <x v="239"/>
    <x v="11"/>
  </r>
  <r>
    <x v="2"/>
    <x v="13"/>
    <x v="0"/>
    <x v="9"/>
    <x v="2"/>
    <x v="2"/>
    <x v="4"/>
    <x v="0"/>
    <x v="239"/>
    <x v="11"/>
  </r>
  <r>
    <x v="2"/>
    <x v="9"/>
    <x v="0"/>
    <x v="9"/>
    <x v="2"/>
    <x v="1"/>
    <x v="0"/>
    <x v="0"/>
    <x v="240"/>
    <x v="11"/>
  </r>
  <r>
    <x v="2"/>
    <x v="2"/>
    <x v="0"/>
    <x v="9"/>
    <x v="2"/>
    <x v="0"/>
    <x v="0"/>
    <x v="0"/>
    <x v="240"/>
    <x v="11"/>
  </r>
  <r>
    <x v="2"/>
    <x v="5"/>
    <x v="0"/>
    <x v="9"/>
    <x v="2"/>
    <x v="0"/>
    <x v="0"/>
    <x v="0"/>
    <x v="240"/>
    <x v="11"/>
  </r>
  <r>
    <x v="2"/>
    <x v="5"/>
    <x v="0"/>
    <x v="9"/>
    <x v="2"/>
    <x v="0"/>
    <x v="0"/>
    <x v="0"/>
    <x v="240"/>
    <x v="11"/>
  </r>
  <r>
    <x v="2"/>
    <x v="1"/>
    <x v="0"/>
    <x v="9"/>
    <x v="2"/>
    <x v="1"/>
    <x v="2"/>
    <x v="0"/>
    <x v="242"/>
    <x v="11"/>
  </r>
  <r>
    <x v="3"/>
    <x v="13"/>
    <x v="0"/>
    <x v="7"/>
    <x v="3"/>
    <x v="2"/>
    <x v="0"/>
    <x v="0"/>
    <x v="0"/>
    <x v="12"/>
  </r>
  <r>
    <x v="3"/>
    <x v="3"/>
    <x v="0"/>
    <x v="7"/>
    <x v="3"/>
    <x v="2"/>
    <x v="2"/>
    <x v="0"/>
    <x v="2"/>
    <x v="12"/>
  </r>
  <r>
    <x v="3"/>
    <x v="3"/>
    <x v="0"/>
    <x v="7"/>
    <x v="3"/>
    <x v="2"/>
    <x v="6"/>
    <x v="0"/>
    <x v="364"/>
    <x v="12"/>
  </r>
  <r>
    <x v="3"/>
    <x v="6"/>
    <x v="0"/>
    <x v="7"/>
    <x v="3"/>
    <x v="0"/>
    <x v="3"/>
    <x v="0"/>
    <x v="346"/>
    <x v="12"/>
  </r>
  <r>
    <x v="3"/>
    <x v="0"/>
    <x v="0"/>
    <x v="7"/>
    <x v="3"/>
    <x v="0"/>
    <x v="1"/>
    <x v="0"/>
    <x v="245"/>
    <x v="12"/>
  </r>
  <r>
    <x v="3"/>
    <x v="1"/>
    <x v="0"/>
    <x v="7"/>
    <x v="3"/>
    <x v="1"/>
    <x v="6"/>
    <x v="0"/>
    <x v="15"/>
    <x v="12"/>
  </r>
  <r>
    <x v="3"/>
    <x v="4"/>
    <x v="0"/>
    <x v="7"/>
    <x v="3"/>
    <x v="0"/>
    <x v="6"/>
    <x v="1"/>
    <x v="28"/>
    <x v="12"/>
  </r>
  <r>
    <x v="3"/>
    <x v="8"/>
    <x v="0"/>
    <x v="7"/>
    <x v="3"/>
    <x v="2"/>
    <x v="6"/>
    <x v="1"/>
    <x v="28"/>
    <x v="12"/>
  </r>
  <r>
    <x v="3"/>
    <x v="8"/>
    <x v="0"/>
    <x v="7"/>
    <x v="3"/>
    <x v="2"/>
    <x v="0"/>
    <x v="1"/>
    <x v="249"/>
    <x v="12"/>
  </r>
  <r>
    <x v="3"/>
    <x v="13"/>
    <x v="0"/>
    <x v="8"/>
    <x v="3"/>
    <x v="2"/>
    <x v="0"/>
    <x v="1"/>
    <x v="35"/>
    <x v="13"/>
  </r>
  <r>
    <x v="3"/>
    <x v="1"/>
    <x v="0"/>
    <x v="8"/>
    <x v="3"/>
    <x v="1"/>
    <x v="6"/>
    <x v="2"/>
    <x v="41"/>
    <x v="13"/>
  </r>
  <r>
    <x v="3"/>
    <x v="6"/>
    <x v="0"/>
    <x v="8"/>
    <x v="3"/>
    <x v="0"/>
    <x v="6"/>
    <x v="2"/>
    <x v="41"/>
    <x v="13"/>
  </r>
  <r>
    <x v="3"/>
    <x v="3"/>
    <x v="0"/>
    <x v="8"/>
    <x v="3"/>
    <x v="2"/>
    <x v="1"/>
    <x v="2"/>
    <x v="252"/>
    <x v="13"/>
  </r>
  <r>
    <x v="3"/>
    <x v="14"/>
    <x v="0"/>
    <x v="8"/>
    <x v="3"/>
    <x v="2"/>
    <x v="5"/>
    <x v="2"/>
    <x v="48"/>
    <x v="13"/>
  </r>
  <r>
    <x v="3"/>
    <x v="2"/>
    <x v="0"/>
    <x v="8"/>
    <x v="3"/>
    <x v="0"/>
    <x v="5"/>
    <x v="2"/>
    <x v="53"/>
    <x v="13"/>
  </r>
  <r>
    <x v="3"/>
    <x v="2"/>
    <x v="0"/>
    <x v="8"/>
    <x v="3"/>
    <x v="0"/>
    <x v="6"/>
    <x v="2"/>
    <x v="54"/>
    <x v="13"/>
  </r>
  <r>
    <x v="3"/>
    <x v="14"/>
    <x v="0"/>
    <x v="8"/>
    <x v="3"/>
    <x v="2"/>
    <x v="3"/>
    <x v="2"/>
    <x v="55"/>
    <x v="13"/>
  </r>
  <r>
    <x v="3"/>
    <x v="1"/>
    <x v="0"/>
    <x v="8"/>
    <x v="3"/>
    <x v="1"/>
    <x v="0"/>
    <x v="2"/>
    <x v="258"/>
    <x v="13"/>
  </r>
  <r>
    <x v="3"/>
    <x v="14"/>
    <x v="0"/>
    <x v="8"/>
    <x v="3"/>
    <x v="2"/>
    <x v="1"/>
    <x v="3"/>
    <x v="259"/>
    <x v="13"/>
  </r>
  <r>
    <x v="3"/>
    <x v="14"/>
    <x v="0"/>
    <x v="8"/>
    <x v="3"/>
    <x v="2"/>
    <x v="3"/>
    <x v="3"/>
    <x v="56"/>
    <x v="13"/>
  </r>
  <r>
    <x v="3"/>
    <x v="4"/>
    <x v="0"/>
    <x v="8"/>
    <x v="3"/>
    <x v="0"/>
    <x v="1"/>
    <x v="3"/>
    <x v="61"/>
    <x v="13"/>
  </r>
  <r>
    <x v="3"/>
    <x v="7"/>
    <x v="0"/>
    <x v="8"/>
    <x v="3"/>
    <x v="1"/>
    <x v="3"/>
    <x v="3"/>
    <x v="64"/>
    <x v="13"/>
  </r>
  <r>
    <x v="3"/>
    <x v="4"/>
    <x v="0"/>
    <x v="8"/>
    <x v="3"/>
    <x v="0"/>
    <x v="0"/>
    <x v="4"/>
    <x v="69"/>
    <x v="13"/>
  </r>
  <r>
    <x v="3"/>
    <x v="2"/>
    <x v="0"/>
    <x v="5"/>
    <x v="3"/>
    <x v="0"/>
    <x v="2"/>
    <x v="4"/>
    <x v="279"/>
    <x v="14"/>
  </r>
  <r>
    <x v="3"/>
    <x v="2"/>
    <x v="0"/>
    <x v="5"/>
    <x v="3"/>
    <x v="0"/>
    <x v="0"/>
    <x v="4"/>
    <x v="75"/>
    <x v="14"/>
  </r>
  <r>
    <x v="3"/>
    <x v="1"/>
    <x v="0"/>
    <x v="5"/>
    <x v="3"/>
    <x v="1"/>
    <x v="2"/>
    <x v="4"/>
    <x v="357"/>
    <x v="14"/>
  </r>
  <r>
    <x v="3"/>
    <x v="9"/>
    <x v="0"/>
    <x v="5"/>
    <x v="3"/>
    <x v="1"/>
    <x v="6"/>
    <x v="4"/>
    <x v="78"/>
    <x v="14"/>
  </r>
  <r>
    <x v="3"/>
    <x v="11"/>
    <x v="0"/>
    <x v="5"/>
    <x v="3"/>
    <x v="2"/>
    <x v="4"/>
    <x v="4"/>
    <x v="80"/>
    <x v="14"/>
  </r>
  <r>
    <x v="3"/>
    <x v="15"/>
    <x v="0"/>
    <x v="5"/>
    <x v="3"/>
    <x v="2"/>
    <x v="5"/>
    <x v="4"/>
    <x v="82"/>
    <x v="14"/>
  </r>
  <r>
    <x v="3"/>
    <x v="0"/>
    <x v="0"/>
    <x v="5"/>
    <x v="3"/>
    <x v="0"/>
    <x v="3"/>
    <x v="4"/>
    <x v="84"/>
    <x v="14"/>
  </r>
  <r>
    <x v="3"/>
    <x v="14"/>
    <x v="0"/>
    <x v="5"/>
    <x v="3"/>
    <x v="2"/>
    <x v="3"/>
    <x v="4"/>
    <x v="84"/>
    <x v="14"/>
  </r>
  <r>
    <x v="3"/>
    <x v="14"/>
    <x v="0"/>
    <x v="5"/>
    <x v="3"/>
    <x v="2"/>
    <x v="5"/>
    <x v="5"/>
    <x v="288"/>
    <x v="14"/>
  </r>
  <r>
    <x v="3"/>
    <x v="14"/>
    <x v="0"/>
    <x v="5"/>
    <x v="3"/>
    <x v="2"/>
    <x v="5"/>
    <x v="5"/>
    <x v="288"/>
    <x v="14"/>
  </r>
  <r>
    <x v="3"/>
    <x v="3"/>
    <x v="0"/>
    <x v="5"/>
    <x v="3"/>
    <x v="2"/>
    <x v="6"/>
    <x v="5"/>
    <x v="289"/>
    <x v="14"/>
  </r>
  <r>
    <x v="3"/>
    <x v="14"/>
    <x v="0"/>
    <x v="5"/>
    <x v="3"/>
    <x v="2"/>
    <x v="3"/>
    <x v="5"/>
    <x v="86"/>
    <x v="14"/>
  </r>
  <r>
    <x v="3"/>
    <x v="15"/>
    <x v="0"/>
    <x v="5"/>
    <x v="3"/>
    <x v="2"/>
    <x v="1"/>
    <x v="5"/>
    <x v="88"/>
    <x v="14"/>
  </r>
  <r>
    <x v="3"/>
    <x v="15"/>
    <x v="0"/>
    <x v="5"/>
    <x v="3"/>
    <x v="2"/>
    <x v="1"/>
    <x v="5"/>
    <x v="88"/>
    <x v="14"/>
  </r>
  <r>
    <x v="3"/>
    <x v="15"/>
    <x v="0"/>
    <x v="5"/>
    <x v="3"/>
    <x v="2"/>
    <x v="1"/>
    <x v="5"/>
    <x v="88"/>
    <x v="14"/>
  </r>
  <r>
    <x v="3"/>
    <x v="5"/>
    <x v="0"/>
    <x v="5"/>
    <x v="3"/>
    <x v="0"/>
    <x v="2"/>
    <x v="5"/>
    <x v="291"/>
    <x v="14"/>
  </r>
  <r>
    <x v="3"/>
    <x v="14"/>
    <x v="0"/>
    <x v="5"/>
    <x v="3"/>
    <x v="2"/>
    <x v="6"/>
    <x v="5"/>
    <x v="292"/>
    <x v="14"/>
  </r>
  <r>
    <x v="3"/>
    <x v="15"/>
    <x v="0"/>
    <x v="5"/>
    <x v="3"/>
    <x v="2"/>
    <x v="5"/>
    <x v="5"/>
    <x v="294"/>
    <x v="14"/>
  </r>
  <r>
    <x v="3"/>
    <x v="1"/>
    <x v="0"/>
    <x v="5"/>
    <x v="3"/>
    <x v="1"/>
    <x v="0"/>
    <x v="5"/>
    <x v="97"/>
    <x v="14"/>
  </r>
  <r>
    <x v="3"/>
    <x v="14"/>
    <x v="0"/>
    <x v="5"/>
    <x v="3"/>
    <x v="2"/>
    <x v="5"/>
    <x v="6"/>
    <x v="104"/>
    <x v="14"/>
  </r>
  <r>
    <x v="3"/>
    <x v="9"/>
    <x v="0"/>
    <x v="5"/>
    <x v="3"/>
    <x v="1"/>
    <x v="6"/>
    <x v="6"/>
    <x v="297"/>
    <x v="14"/>
  </r>
  <r>
    <x v="3"/>
    <x v="10"/>
    <x v="0"/>
    <x v="5"/>
    <x v="3"/>
    <x v="1"/>
    <x v="6"/>
    <x v="6"/>
    <x v="297"/>
    <x v="14"/>
  </r>
  <r>
    <x v="3"/>
    <x v="10"/>
    <x v="0"/>
    <x v="5"/>
    <x v="3"/>
    <x v="1"/>
    <x v="6"/>
    <x v="6"/>
    <x v="297"/>
    <x v="14"/>
  </r>
  <r>
    <x v="3"/>
    <x v="10"/>
    <x v="0"/>
    <x v="5"/>
    <x v="3"/>
    <x v="1"/>
    <x v="6"/>
    <x v="6"/>
    <x v="297"/>
    <x v="14"/>
  </r>
  <r>
    <x v="3"/>
    <x v="13"/>
    <x v="0"/>
    <x v="5"/>
    <x v="3"/>
    <x v="2"/>
    <x v="1"/>
    <x v="6"/>
    <x v="108"/>
    <x v="14"/>
  </r>
  <r>
    <x v="3"/>
    <x v="7"/>
    <x v="0"/>
    <x v="5"/>
    <x v="3"/>
    <x v="1"/>
    <x v="1"/>
    <x v="6"/>
    <x v="116"/>
    <x v="14"/>
  </r>
  <r>
    <x v="3"/>
    <x v="6"/>
    <x v="0"/>
    <x v="5"/>
    <x v="3"/>
    <x v="0"/>
    <x v="2"/>
    <x v="6"/>
    <x v="117"/>
    <x v="14"/>
  </r>
  <r>
    <x v="3"/>
    <x v="11"/>
    <x v="0"/>
    <x v="9"/>
    <x v="3"/>
    <x v="2"/>
    <x v="1"/>
    <x v="6"/>
    <x v="304"/>
    <x v="15"/>
  </r>
  <r>
    <x v="3"/>
    <x v="0"/>
    <x v="0"/>
    <x v="9"/>
    <x v="3"/>
    <x v="0"/>
    <x v="4"/>
    <x v="7"/>
    <x v="307"/>
    <x v="15"/>
  </r>
  <r>
    <x v="3"/>
    <x v="3"/>
    <x v="0"/>
    <x v="9"/>
    <x v="3"/>
    <x v="2"/>
    <x v="0"/>
    <x v="7"/>
    <x v="124"/>
    <x v="15"/>
  </r>
  <r>
    <x v="3"/>
    <x v="10"/>
    <x v="0"/>
    <x v="9"/>
    <x v="3"/>
    <x v="1"/>
    <x v="1"/>
    <x v="7"/>
    <x v="125"/>
    <x v="15"/>
  </r>
  <r>
    <x v="3"/>
    <x v="10"/>
    <x v="0"/>
    <x v="9"/>
    <x v="3"/>
    <x v="1"/>
    <x v="5"/>
    <x v="7"/>
    <x v="127"/>
    <x v="15"/>
  </r>
  <r>
    <x v="3"/>
    <x v="9"/>
    <x v="0"/>
    <x v="9"/>
    <x v="3"/>
    <x v="1"/>
    <x v="0"/>
    <x v="7"/>
    <x v="131"/>
    <x v="15"/>
  </r>
  <r>
    <x v="3"/>
    <x v="9"/>
    <x v="0"/>
    <x v="9"/>
    <x v="3"/>
    <x v="1"/>
    <x v="0"/>
    <x v="7"/>
    <x v="131"/>
    <x v="15"/>
  </r>
  <r>
    <x v="3"/>
    <x v="2"/>
    <x v="0"/>
    <x v="9"/>
    <x v="3"/>
    <x v="0"/>
    <x v="0"/>
    <x v="7"/>
    <x v="131"/>
    <x v="15"/>
  </r>
  <r>
    <x v="3"/>
    <x v="10"/>
    <x v="0"/>
    <x v="9"/>
    <x v="3"/>
    <x v="1"/>
    <x v="5"/>
    <x v="7"/>
    <x v="132"/>
    <x v="15"/>
  </r>
  <r>
    <x v="3"/>
    <x v="13"/>
    <x v="0"/>
    <x v="9"/>
    <x v="3"/>
    <x v="2"/>
    <x v="6"/>
    <x v="7"/>
    <x v="133"/>
    <x v="15"/>
  </r>
  <r>
    <x v="3"/>
    <x v="9"/>
    <x v="0"/>
    <x v="9"/>
    <x v="3"/>
    <x v="1"/>
    <x v="0"/>
    <x v="7"/>
    <x v="136"/>
    <x v="15"/>
  </r>
  <r>
    <x v="3"/>
    <x v="9"/>
    <x v="0"/>
    <x v="9"/>
    <x v="3"/>
    <x v="1"/>
    <x v="0"/>
    <x v="7"/>
    <x v="136"/>
    <x v="15"/>
  </r>
  <r>
    <x v="3"/>
    <x v="10"/>
    <x v="0"/>
    <x v="9"/>
    <x v="3"/>
    <x v="1"/>
    <x v="0"/>
    <x v="7"/>
    <x v="136"/>
    <x v="15"/>
  </r>
  <r>
    <x v="3"/>
    <x v="10"/>
    <x v="0"/>
    <x v="9"/>
    <x v="3"/>
    <x v="1"/>
    <x v="0"/>
    <x v="7"/>
    <x v="136"/>
    <x v="15"/>
  </r>
  <r>
    <x v="3"/>
    <x v="15"/>
    <x v="0"/>
    <x v="9"/>
    <x v="3"/>
    <x v="2"/>
    <x v="0"/>
    <x v="7"/>
    <x v="136"/>
    <x v="15"/>
  </r>
  <r>
    <x v="3"/>
    <x v="15"/>
    <x v="0"/>
    <x v="9"/>
    <x v="3"/>
    <x v="2"/>
    <x v="0"/>
    <x v="7"/>
    <x v="136"/>
    <x v="15"/>
  </r>
  <r>
    <x v="3"/>
    <x v="15"/>
    <x v="0"/>
    <x v="9"/>
    <x v="3"/>
    <x v="2"/>
    <x v="1"/>
    <x v="7"/>
    <x v="310"/>
    <x v="15"/>
  </r>
  <r>
    <x v="3"/>
    <x v="9"/>
    <x v="0"/>
    <x v="9"/>
    <x v="3"/>
    <x v="1"/>
    <x v="2"/>
    <x v="7"/>
    <x v="311"/>
    <x v="15"/>
  </r>
  <r>
    <x v="3"/>
    <x v="8"/>
    <x v="0"/>
    <x v="9"/>
    <x v="3"/>
    <x v="2"/>
    <x v="2"/>
    <x v="7"/>
    <x v="311"/>
    <x v="15"/>
  </r>
  <r>
    <x v="3"/>
    <x v="8"/>
    <x v="0"/>
    <x v="9"/>
    <x v="3"/>
    <x v="2"/>
    <x v="2"/>
    <x v="7"/>
    <x v="311"/>
    <x v="15"/>
  </r>
  <r>
    <x v="3"/>
    <x v="15"/>
    <x v="0"/>
    <x v="9"/>
    <x v="3"/>
    <x v="2"/>
    <x v="2"/>
    <x v="7"/>
    <x v="311"/>
    <x v="15"/>
  </r>
  <r>
    <x v="3"/>
    <x v="6"/>
    <x v="0"/>
    <x v="9"/>
    <x v="3"/>
    <x v="0"/>
    <x v="5"/>
    <x v="7"/>
    <x v="137"/>
    <x v="15"/>
  </r>
  <r>
    <x v="3"/>
    <x v="11"/>
    <x v="0"/>
    <x v="9"/>
    <x v="3"/>
    <x v="2"/>
    <x v="5"/>
    <x v="7"/>
    <x v="137"/>
    <x v="15"/>
  </r>
  <r>
    <x v="3"/>
    <x v="8"/>
    <x v="0"/>
    <x v="9"/>
    <x v="3"/>
    <x v="2"/>
    <x v="3"/>
    <x v="7"/>
    <x v="312"/>
    <x v="15"/>
  </r>
  <r>
    <x v="3"/>
    <x v="9"/>
    <x v="0"/>
    <x v="9"/>
    <x v="3"/>
    <x v="1"/>
    <x v="0"/>
    <x v="7"/>
    <x v="140"/>
    <x v="15"/>
  </r>
  <r>
    <x v="3"/>
    <x v="9"/>
    <x v="0"/>
    <x v="9"/>
    <x v="3"/>
    <x v="1"/>
    <x v="0"/>
    <x v="7"/>
    <x v="140"/>
    <x v="15"/>
  </r>
  <r>
    <x v="3"/>
    <x v="7"/>
    <x v="0"/>
    <x v="9"/>
    <x v="3"/>
    <x v="1"/>
    <x v="0"/>
    <x v="7"/>
    <x v="140"/>
    <x v="15"/>
  </r>
  <r>
    <x v="3"/>
    <x v="7"/>
    <x v="0"/>
    <x v="9"/>
    <x v="3"/>
    <x v="1"/>
    <x v="0"/>
    <x v="7"/>
    <x v="140"/>
    <x v="15"/>
  </r>
  <r>
    <x v="3"/>
    <x v="4"/>
    <x v="0"/>
    <x v="9"/>
    <x v="3"/>
    <x v="0"/>
    <x v="1"/>
    <x v="7"/>
    <x v="141"/>
    <x v="15"/>
  </r>
  <r>
    <x v="3"/>
    <x v="3"/>
    <x v="0"/>
    <x v="9"/>
    <x v="3"/>
    <x v="2"/>
    <x v="5"/>
    <x v="7"/>
    <x v="142"/>
    <x v="15"/>
  </r>
  <r>
    <x v="3"/>
    <x v="3"/>
    <x v="0"/>
    <x v="9"/>
    <x v="3"/>
    <x v="2"/>
    <x v="5"/>
    <x v="7"/>
    <x v="142"/>
    <x v="15"/>
  </r>
  <r>
    <x v="3"/>
    <x v="6"/>
    <x v="0"/>
    <x v="9"/>
    <x v="3"/>
    <x v="0"/>
    <x v="6"/>
    <x v="7"/>
    <x v="314"/>
    <x v="15"/>
  </r>
  <r>
    <x v="3"/>
    <x v="6"/>
    <x v="0"/>
    <x v="9"/>
    <x v="3"/>
    <x v="0"/>
    <x v="6"/>
    <x v="7"/>
    <x v="314"/>
    <x v="15"/>
  </r>
  <r>
    <x v="3"/>
    <x v="9"/>
    <x v="0"/>
    <x v="9"/>
    <x v="3"/>
    <x v="1"/>
    <x v="0"/>
    <x v="8"/>
    <x v="144"/>
    <x v="15"/>
  </r>
  <r>
    <x v="3"/>
    <x v="4"/>
    <x v="0"/>
    <x v="9"/>
    <x v="3"/>
    <x v="0"/>
    <x v="0"/>
    <x v="8"/>
    <x v="144"/>
    <x v="15"/>
  </r>
  <r>
    <x v="3"/>
    <x v="4"/>
    <x v="0"/>
    <x v="9"/>
    <x v="3"/>
    <x v="0"/>
    <x v="0"/>
    <x v="8"/>
    <x v="144"/>
    <x v="15"/>
  </r>
  <r>
    <x v="3"/>
    <x v="1"/>
    <x v="0"/>
    <x v="9"/>
    <x v="3"/>
    <x v="1"/>
    <x v="1"/>
    <x v="8"/>
    <x v="145"/>
    <x v="15"/>
  </r>
  <r>
    <x v="3"/>
    <x v="0"/>
    <x v="0"/>
    <x v="9"/>
    <x v="3"/>
    <x v="0"/>
    <x v="2"/>
    <x v="8"/>
    <x v="146"/>
    <x v="15"/>
  </r>
  <r>
    <x v="3"/>
    <x v="14"/>
    <x v="0"/>
    <x v="9"/>
    <x v="3"/>
    <x v="2"/>
    <x v="2"/>
    <x v="8"/>
    <x v="146"/>
    <x v="15"/>
  </r>
  <r>
    <x v="3"/>
    <x v="2"/>
    <x v="0"/>
    <x v="9"/>
    <x v="3"/>
    <x v="0"/>
    <x v="5"/>
    <x v="8"/>
    <x v="147"/>
    <x v="15"/>
  </r>
  <r>
    <x v="3"/>
    <x v="2"/>
    <x v="0"/>
    <x v="9"/>
    <x v="3"/>
    <x v="0"/>
    <x v="5"/>
    <x v="8"/>
    <x v="147"/>
    <x v="15"/>
  </r>
  <r>
    <x v="3"/>
    <x v="12"/>
    <x v="0"/>
    <x v="9"/>
    <x v="3"/>
    <x v="1"/>
    <x v="6"/>
    <x v="8"/>
    <x v="316"/>
    <x v="15"/>
  </r>
  <r>
    <x v="3"/>
    <x v="7"/>
    <x v="0"/>
    <x v="9"/>
    <x v="3"/>
    <x v="1"/>
    <x v="6"/>
    <x v="8"/>
    <x v="316"/>
    <x v="15"/>
  </r>
  <r>
    <x v="3"/>
    <x v="15"/>
    <x v="0"/>
    <x v="9"/>
    <x v="3"/>
    <x v="2"/>
    <x v="6"/>
    <x v="8"/>
    <x v="316"/>
    <x v="15"/>
  </r>
  <r>
    <x v="3"/>
    <x v="15"/>
    <x v="0"/>
    <x v="9"/>
    <x v="3"/>
    <x v="2"/>
    <x v="6"/>
    <x v="8"/>
    <x v="316"/>
    <x v="15"/>
  </r>
  <r>
    <x v="3"/>
    <x v="8"/>
    <x v="0"/>
    <x v="9"/>
    <x v="3"/>
    <x v="2"/>
    <x v="4"/>
    <x v="8"/>
    <x v="149"/>
    <x v="15"/>
  </r>
  <r>
    <x v="3"/>
    <x v="6"/>
    <x v="0"/>
    <x v="9"/>
    <x v="3"/>
    <x v="0"/>
    <x v="1"/>
    <x v="8"/>
    <x v="151"/>
    <x v="15"/>
  </r>
  <r>
    <x v="3"/>
    <x v="11"/>
    <x v="0"/>
    <x v="9"/>
    <x v="3"/>
    <x v="2"/>
    <x v="1"/>
    <x v="8"/>
    <x v="151"/>
    <x v="15"/>
  </r>
  <r>
    <x v="3"/>
    <x v="3"/>
    <x v="0"/>
    <x v="9"/>
    <x v="3"/>
    <x v="2"/>
    <x v="2"/>
    <x v="8"/>
    <x v="152"/>
    <x v="15"/>
  </r>
  <r>
    <x v="3"/>
    <x v="6"/>
    <x v="0"/>
    <x v="9"/>
    <x v="3"/>
    <x v="0"/>
    <x v="6"/>
    <x v="8"/>
    <x v="359"/>
    <x v="15"/>
  </r>
  <r>
    <x v="3"/>
    <x v="14"/>
    <x v="0"/>
    <x v="9"/>
    <x v="3"/>
    <x v="2"/>
    <x v="6"/>
    <x v="8"/>
    <x v="359"/>
    <x v="15"/>
  </r>
  <r>
    <x v="3"/>
    <x v="14"/>
    <x v="0"/>
    <x v="9"/>
    <x v="3"/>
    <x v="2"/>
    <x v="4"/>
    <x v="8"/>
    <x v="153"/>
    <x v="15"/>
  </r>
  <r>
    <x v="3"/>
    <x v="4"/>
    <x v="0"/>
    <x v="9"/>
    <x v="3"/>
    <x v="0"/>
    <x v="0"/>
    <x v="8"/>
    <x v="154"/>
    <x v="15"/>
  </r>
  <r>
    <x v="3"/>
    <x v="4"/>
    <x v="0"/>
    <x v="9"/>
    <x v="3"/>
    <x v="0"/>
    <x v="0"/>
    <x v="8"/>
    <x v="154"/>
    <x v="15"/>
  </r>
  <r>
    <x v="3"/>
    <x v="12"/>
    <x v="0"/>
    <x v="9"/>
    <x v="3"/>
    <x v="1"/>
    <x v="6"/>
    <x v="8"/>
    <x v="320"/>
    <x v="15"/>
  </r>
  <r>
    <x v="3"/>
    <x v="6"/>
    <x v="0"/>
    <x v="9"/>
    <x v="3"/>
    <x v="0"/>
    <x v="6"/>
    <x v="8"/>
    <x v="320"/>
    <x v="15"/>
  </r>
  <r>
    <x v="3"/>
    <x v="6"/>
    <x v="0"/>
    <x v="9"/>
    <x v="3"/>
    <x v="0"/>
    <x v="6"/>
    <x v="8"/>
    <x v="320"/>
    <x v="15"/>
  </r>
  <r>
    <x v="3"/>
    <x v="4"/>
    <x v="0"/>
    <x v="9"/>
    <x v="3"/>
    <x v="0"/>
    <x v="4"/>
    <x v="8"/>
    <x v="322"/>
    <x v="15"/>
  </r>
  <r>
    <x v="3"/>
    <x v="0"/>
    <x v="0"/>
    <x v="9"/>
    <x v="3"/>
    <x v="0"/>
    <x v="4"/>
    <x v="8"/>
    <x v="322"/>
    <x v="15"/>
  </r>
  <r>
    <x v="3"/>
    <x v="7"/>
    <x v="0"/>
    <x v="9"/>
    <x v="3"/>
    <x v="1"/>
    <x v="0"/>
    <x v="8"/>
    <x v="360"/>
    <x v="15"/>
  </r>
  <r>
    <x v="3"/>
    <x v="7"/>
    <x v="0"/>
    <x v="9"/>
    <x v="3"/>
    <x v="1"/>
    <x v="6"/>
    <x v="8"/>
    <x v="158"/>
    <x v="15"/>
  </r>
  <r>
    <x v="3"/>
    <x v="7"/>
    <x v="0"/>
    <x v="9"/>
    <x v="3"/>
    <x v="1"/>
    <x v="6"/>
    <x v="8"/>
    <x v="158"/>
    <x v="15"/>
  </r>
  <r>
    <x v="3"/>
    <x v="7"/>
    <x v="0"/>
    <x v="9"/>
    <x v="3"/>
    <x v="1"/>
    <x v="6"/>
    <x v="8"/>
    <x v="158"/>
    <x v="15"/>
  </r>
  <r>
    <x v="3"/>
    <x v="13"/>
    <x v="0"/>
    <x v="9"/>
    <x v="3"/>
    <x v="2"/>
    <x v="6"/>
    <x v="8"/>
    <x v="158"/>
    <x v="15"/>
  </r>
  <r>
    <x v="3"/>
    <x v="12"/>
    <x v="0"/>
    <x v="9"/>
    <x v="3"/>
    <x v="1"/>
    <x v="0"/>
    <x v="8"/>
    <x v="325"/>
    <x v="15"/>
  </r>
  <r>
    <x v="3"/>
    <x v="14"/>
    <x v="0"/>
    <x v="9"/>
    <x v="3"/>
    <x v="2"/>
    <x v="0"/>
    <x v="8"/>
    <x v="325"/>
    <x v="15"/>
  </r>
  <r>
    <x v="3"/>
    <x v="4"/>
    <x v="0"/>
    <x v="9"/>
    <x v="3"/>
    <x v="0"/>
    <x v="1"/>
    <x v="8"/>
    <x v="159"/>
    <x v="15"/>
  </r>
  <r>
    <x v="3"/>
    <x v="2"/>
    <x v="0"/>
    <x v="9"/>
    <x v="3"/>
    <x v="0"/>
    <x v="1"/>
    <x v="8"/>
    <x v="159"/>
    <x v="15"/>
  </r>
  <r>
    <x v="3"/>
    <x v="5"/>
    <x v="0"/>
    <x v="9"/>
    <x v="3"/>
    <x v="0"/>
    <x v="2"/>
    <x v="9"/>
    <x v="326"/>
    <x v="15"/>
  </r>
  <r>
    <x v="3"/>
    <x v="5"/>
    <x v="0"/>
    <x v="9"/>
    <x v="3"/>
    <x v="0"/>
    <x v="2"/>
    <x v="9"/>
    <x v="326"/>
    <x v="15"/>
  </r>
  <r>
    <x v="3"/>
    <x v="9"/>
    <x v="0"/>
    <x v="9"/>
    <x v="3"/>
    <x v="1"/>
    <x v="5"/>
    <x v="9"/>
    <x v="160"/>
    <x v="15"/>
  </r>
  <r>
    <x v="3"/>
    <x v="14"/>
    <x v="0"/>
    <x v="9"/>
    <x v="3"/>
    <x v="2"/>
    <x v="6"/>
    <x v="9"/>
    <x v="161"/>
    <x v="15"/>
  </r>
  <r>
    <x v="3"/>
    <x v="15"/>
    <x v="0"/>
    <x v="9"/>
    <x v="3"/>
    <x v="2"/>
    <x v="5"/>
    <x v="9"/>
    <x v="165"/>
    <x v="15"/>
  </r>
  <r>
    <x v="3"/>
    <x v="3"/>
    <x v="0"/>
    <x v="9"/>
    <x v="3"/>
    <x v="2"/>
    <x v="3"/>
    <x v="9"/>
    <x v="365"/>
    <x v="15"/>
  </r>
  <r>
    <x v="3"/>
    <x v="13"/>
    <x v="0"/>
    <x v="9"/>
    <x v="3"/>
    <x v="2"/>
    <x v="4"/>
    <x v="9"/>
    <x v="166"/>
    <x v="15"/>
  </r>
  <r>
    <x v="3"/>
    <x v="13"/>
    <x v="0"/>
    <x v="9"/>
    <x v="3"/>
    <x v="2"/>
    <x v="4"/>
    <x v="9"/>
    <x v="166"/>
    <x v="15"/>
  </r>
  <r>
    <x v="3"/>
    <x v="6"/>
    <x v="0"/>
    <x v="9"/>
    <x v="3"/>
    <x v="0"/>
    <x v="0"/>
    <x v="9"/>
    <x v="167"/>
    <x v="15"/>
  </r>
  <r>
    <x v="3"/>
    <x v="10"/>
    <x v="0"/>
    <x v="9"/>
    <x v="3"/>
    <x v="1"/>
    <x v="1"/>
    <x v="9"/>
    <x v="168"/>
    <x v="15"/>
  </r>
  <r>
    <x v="3"/>
    <x v="6"/>
    <x v="0"/>
    <x v="9"/>
    <x v="3"/>
    <x v="0"/>
    <x v="1"/>
    <x v="9"/>
    <x v="168"/>
    <x v="15"/>
  </r>
  <r>
    <x v="3"/>
    <x v="7"/>
    <x v="0"/>
    <x v="9"/>
    <x v="3"/>
    <x v="1"/>
    <x v="2"/>
    <x v="9"/>
    <x v="366"/>
    <x v="15"/>
  </r>
  <r>
    <x v="3"/>
    <x v="9"/>
    <x v="0"/>
    <x v="9"/>
    <x v="3"/>
    <x v="1"/>
    <x v="5"/>
    <x v="9"/>
    <x v="328"/>
    <x v="15"/>
  </r>
  <r>
    <x v="3"/>
    <x v="6"/>
    <x v="0"/>
    <x v="9"/>
    <x v="3"/>
    <x v="0"/>
    <x v="6"/>
    <x v="9"/>
    <x v="169"/>
    <x v="15"/>
  </r>
  <r>
    <x v="3"/>
    <x v="8"/>
    <x v="0"/>
    <x v="9"/>
    <x v="3"/>
    <x v="2"/>
    <x v="6"/>
    <x v="9"/>
    <x v="169"/>
    <x v="15"/>
  </r>
  <r>
    <x v="3"/>
    <x v="3"/>
    <x v="0"/>
    <x v="9"/>
    <x v="3"/>
    <x v="2"/>
    <x v="1"/>
    <x v="9"/>
    <x v="170"/>
    <x v="15"/>
  </r>
  <r>
    <x v="3"/>
    <x v="15"/>
    <x v="0"/>
    <x v="9"/>
    <x v="3"/>
    <x v="2"/>
    <x v="2"/>
    <x v="9"/>
    <x v="361"/>
    <x v="15"/>
  </r>
  <r>
    <x v="3"/>
    <x v="15"/>
    <x v="0"/>
    <x v="9"/>
    <x v="3"/>
    <x v="2"/>
    <x v="3"/>
    <x v="9"/>
    <x v="171"/>
    <x v="15"/>
  </r>
  <r>
    <x v="3"/>
    <x v="15"/>
    <x v="0"/>
    <x v="9"/>
    <x v="3"/>
    <x v="2"/>
    <x v="3"/>
    <x v="9"/>
    <x v="171"/>
    <x v="15"/>
  </r>
  <r>
    <x v="3"/>
    <x v="11"/>
    <x v="0"/>
    <x v="9"/>
    <x v="3"/>
    <x v="2"/>
    <x v="0"/>
    <x v="9"/>
    <x v="172"/>
    <x v="15"/>
  </r>
  <r>
    <x v="3"/>
    <x v="10"/>
    <x v="0"/>
    <x v="9"/>
    <x v="3"/>
    <x v="1"/>
    <x v="6"/>
    <x v="9"/>
    <x v="175"/>
    <x v="15"/>
  </r>
  <r>
    <x v="3"/>
    <x v="0"/>
    <x v="0"/>
    <x v="9"/>
    <x v="3"/>
    <x v="0"/>
    <x v="4"/>
    <x v="10"/>
    <x v="176"/>
    <x v="15"/>
  </r>
  <r>
    <x v="3"/>
    <x v="0"/>
    <x v="0"/>
    <x v="9"/>
    <x v="3"/>
    <x v="0"/>
    <x v="4"/>
    <x v="10"/>
    <x v="176"/>
    <x v="15"/>
  </r>
  <r>
    <x v="3"/>
    <x v="5"/>
    <x v="0"/>
    <x v="9"/>
    <x v="3"/>
    <x v="0"/>
    <x v="1"/>
    <x v="10"/>
    <x v="178"/>
    <x v="15"/>
  </r>
  <r>
    <x v="3"/>
    <x v="11"/>
    <x v="0"/>
    <x v="9"/>
    <x v="3"/>
    <x v="2"/>
    <x v="6"/>
    <x v="10"/>
    <x v="363"/>
    <x v="15"/>
  </r>
  <r>
    <x v="3"/>
    <x v="11"/>
    <x v="0"/>
    <x v="9"/>
    <x v="3"/>
    <x v="2"/>
    <x v="6"/>
    <x v="10"/>
    <x v="363"/>
    <x v="15"/>
  </r>
  <r>
    <x v="3"/>
    <x v="12"/>
    <x v="0"/>
    <x v="9"/>
    <x v="3"/>
    <x v="1"/>
    <x v="0"/>
    <x v="10"/>
    <x v="341"/>
    <x v="15"/>
  </r>
  <r>
    <x v="3"/>
    <x v="2"/>
    <x v="0"/>
    <x v="9"/>
    <x v="3"/>
    <x v="0"/>
    <x v="0"/>
    <x v="10"/>
    <x v="341"/>
    <x v="15"/>
  </r>
  <r>
    <x v="3"/>
    <x v="2"/>
    <x v="0"/>
    <x v="9"/>
    <x v="3"/>
    <x v="0"/>
    <x v="0"/>
    <x v="10"/>
    <x v="341"/>
    <x v="15"/>
  </r>
  <r>
    <x v="3"/>
    <x v="9"/>
    <x v="0"/>
    <x v="9"/>
    <x v="3"/>
    <x v="1"/>
    <x v="6"/>
    <x v="10"/>
    <x v="185"/>
    <x v="15"/>
  </r>
  <r>
    <x v="3"/>
    <x v="8"/>
    <x v="0"/>
    <x v="9"/>
    <x v="3"/>
    <x v="2"/>
    <x v="3"/>
    <x v="10"/>
    <x v="343"/>
    <x v="15"/>
  </r>
  <r>
    <x v="3"/>
    <x v="5"/>
    <x v="0"/>
    <x v="9"/>
    <x v="3"/>
    <x v="0"/>
    <x v="0"/>
    <x v="10"/>
    <x v="186"/>
    <x v="15"/>
  </r>
  <r>
    <x v="3"/>
    <x v="15"/>
    <x v="0"/>
    <x v="9"/>
    <x v="3"/>
    <x v="2"/>
    <x v="0"/>
    <x v="10"/>
    <x v="186"/>
    <x v="15"/>
  </r>
  <r>
    <x v="3"/>
    <x v="6"/>
    <x v="0"/>
    <x v="9"/>
    <x v="3"/>
    <x v="0"/>
    <x v="6"/>
    <x v="10"/>
    <x v="190"/>
    <x v="15"/>
  </r>
  <r>
    <x v="3"/>
    <x v="10"/>
    <x v="0"/>
    <x v="9"/>
    <x v="3"/>
    <x v="1"/>
    <x v="0"/>
    <x v="10"/>
    <x v="193"/>
    <x v="15"/>
  </r>
  <r>
    <x v="3"/>
    <x v="3"/>
    <x v="0"/>
    <x v="9"/>
    <x v="3"/>
    <x v="2"/>
    <x v="5"/>
    <x v="11"/>
    <x v="194"/>
    <x v="15"/>
  </r>
  <r>
    <x v="3"/>
    <x v="14"/>
    <x v="0"/>
    <x v="9"/>
    <x v="3"/>
    <x v="2"/>
    <x v="5"/>
    <x v="11"/>
    <x v="194"/>
    <x v="15"/>
  </r>
  <r>
    <x v="3"/>
    <x v="13"/>
    <x v="0"/>
    <x v="9"/>
    <x v="3"/>
    <x v="2"/>
    <x v="6"/>
    <x v="11"/>
    <x v="195"/>
    <x v="15"/>
  </r>
  <r>
    <x v="3"/>
    <x v="13"/>
    <x v="0"/>
    <x v="9"/>
    <x v="3"/>
    <x v="2"/>
    <x v="6"/>
    <x v="11"/>
    <x v="195"/>
    <x v="15"/>
  </r>
  <r>
    <x v="3"/>
    <x v="13"/>
    <x v="0"/>
    <x v="9"/>
    <x v="3"/>
    <x v="2"/>
    <x v="6"/>
    <x v="11"/>
    <x v="195"/>
    <x v="15"/>
  </r>
  <r>
    <x v="3"/>
    <x v="6"/>
    <x v="0"/>
    <x v="9"/>
    <x v="3"/>
    <x v="0"/>
    <x v="3"/>
    <x v="11"/>
    <x v="196"/>
    <x v="15"/>
  </r>
  <r>
    <x v="3"/>
    <x v="8"/>
    <x v="0"/>
    <x v="9"/>
    <x v="3"/>
    <x v="2"/>
    <x v="3"/>
    <x v="11"/>
    <x v="196"/>
    <x v="15"/>
  </r>
  <r>
    <x v="3"/>
    <x v="14"/>
    <x v="0"/>
    <x v="9"/>
    <x v="3"/>
    <x v="2"/>
    <x v="3"/>
    <x v="11"/>
    <x v="196"/>
    <x v="15"/>
  </r>
  <r>
    <x v="3"/>
    <x v="6"/>
    <x v="0"/>
    <x v="9"/>
    <x v="3"/>
    <x v="0"/>
    <x v="4"/>
    <x v="11"/>
    <x v="197"/>
    <x v="15"/>
  </r>
  <r>
    <x v="3"/>
    <x v="3"/>
    <x v="0"/>
    <x v="9"/>
    <x v="3"/>
    <x v="2"/>
    <x v="4"/>
    <x v="11"/>
    <x v="197"/>
    <x v="15"/>
  </r>
  <r>
    <x v="3"/>
    <x v="3"/>
    <x v="0"/>
    <x v="9"/>
    <x v="3"/>
    <x v="2"/>
    <x v="4"/>
    <x v="11"/>
    <x v="197"/>
    <x v="15"/>
  </r>
  <r>
    <x v="3"/>
    <x v="14"/>
    <x v="0"/>
    <x v="9"/>
    <x v="3"/>
    <x v="2"/>
    <x v="4"/>
    <x v="11"/>
    <x v="197"/>
    <x v="15"/>
  </r>
  <r>
    <x v="3"/>
    <x v="14"/>
    <x v="0"/>
    <x v="9"/>
    <x v="3"/>
    <x v="2"/>
    <x v="4"/>
    <x v="11"/>
    <x v="197"/>
    <x v="15"/>
  </r>
  <r>
    <x v="3"/>
    <x v="4"/>
    <x v="0"/>
    <x v="9"/>
    <x v="3"/>
    <x v="0"/>
    <x v="0"/>
    <x v="11"/>
    <x v="198"/>
    <x v="15"/>
  </r>
  <r>
    <x v="3"/>
    <x v="8"/>
    <x v="0"/>
    <x v="9"/>
    <x v="3"/>
    <x v="2"/>
    <x v="0"/>
    <x v="11"/>
    <x v="198"/>
    <x v="15"/>
  </r>
  <r>
    <x v="3"/>
    <x v="8"/>
    <x v="0"/>
    <x v="9"/>
    <x v="3"/>
    <x v="2"/>
    <x v="0"/>
    <x v="11"/>
    <x v="198"/>
    <x v="15"/>
  </r>
  <r>
    <x v="3"/>
    <x v="8"/>
    <x v="0"/>
    <x v="9"/>
    <x v="3"/>
    <x v="2"/>
    <x v="0"/>
    <x v="11"/>
    <x v="198"/>
    <x v="15"/>
  </r>
  <r>
    <x v="3"/>
    <x v="14"/>
    <x v="0"/>
    <x v="9"/>
    <x v="3"/>
    <x v="2"/>
    <x v="0"/>
    <x v="11"/>
    <x v="198"/>
    <x v="15"/>
  </r>
  <r>
    <x v="3"/>
    <x v="9"/>
    <x v="0"/>
    <x v="9"/>
    <x v="3"/>
    <x v="1"/>
    <x v="2"/>
    <x v="11"/>
    <x v="200"/>
    <x v="15"/>
  </r>
  <r>
    <x v="3"/>
    <x v="5"/>
    <x v="0"/>
    <x v="9"/>
    <x v="3"/>
    <x v="0"/>
    <x v="2"/>
    <x v="11"/>
    <x v="200"/>
    <x v="15"/>
  </r>
  <r>
    <x v="3"/>
    <x v="5"/>
    <x v="0"/>
    <x v="9"/>
    <x v="3"/>
    <x v="0"/>
    <x v="2"/>
    <x v="11"/>
    <x v="200"/>
    <x v="15"/>
  </r>
  <r>
    <x v="3"/>
    <x v="0"/>
    <x v="0"/>
    <x v="9"/>
    <x v="3"/>
    <x v="0"/>
    <x v="5"/>
    <x v="11"/>
    <x v="201"/>
    <x v="15"/>
  </r>
  <r>
    <x v="3"/>
    <x v="2"/>
    <x v="0"/>
    <x v="9"/>
    <x v="3"/>
    <x v="0"/>
    <x v="5"/>
    <x v="11"/>
    <x v="201"/>
    <x v="15"/>
  </r>
  <r>
    <x v="3"/>
    <x v="2"/>
    <x v="0"/>
    <x v="9"/>
    <x v="3"/>
    <x v="0"/>
    <x v="5"/>
    <x v="11"/>
    <x v="201"/>
    <x v="15"/>
  </r>
  <r>
    <x v="3"/>
    <x v="6"/>
    <x v="0"/>
    <x v="9"/>
    <x v="3"/>
    <x v="0"/>
    <x v="5"/>
    <x v="11"/>
    <x v="201"/>
    <x v="15"/>
  </r>
  <r>
    <x v="3"/>
    <x v="7"/>
    <x v="0"/>
    <x v="9"/>
    <x v="3"/>
    <x v="1"/>
    <x v="6"/>
    <x v="11"/>
    <x v="202"/>
    <x v="15"/>
  </r>
  <r>
    <x v="3"/>
    <x v="13"/>
    <x v="0"/>
    <x v="9"/>
    <x v="3"/>
    <x v="2"/>
    <x v="6"/>
    <x v="11"/>
    <x v="202"/>
    <x v="15"/>
  </r>
  <r>
    <x v="3"/>
    <x v="9"/>
    <x v="0"/>
    <x v="9"/>
    <x v="3"/>
    <x v="1"/>
    <x v="3"/>
    <x v="11"/>
    <x v="203"/>
    <x v="15"/>
  </r>
  <r>
    <x v="3"/>
    <x v="14"/>
    <x v="0"/>
    <x v="9"/>
    <x v="3"/>
    <x v="2"/>
    <x v="3"/>
    <x v="11"/>
    <x v="203"/>
    <x v="15"/>
  </r>
  <r>
    <x v="3"/>
    <x v="10"/>
    <x v="0"/>
    <x v="9"/>
    <x v="3"/>
    <x v="1"/>
    <x v="4"/>
    <x v="11"/>
    <x v="204"/>
    <x v="15"/>
  </r>
  <r>
    <x v="3"/>
    <x v="3"/>
    <x v="0"/>
    <x v="9"/>
    <x v="3"/>
    <x v="2"/>
    <x v="0"/>
    <x v="11"/>
    <x v="205"/>
    <x v="15"/>
  </r>
  <r>
    <x v="3"/>
    <x v="0"/>
    <x v="0"/>
    <x v="9"/>
    <x v="3"/>
    <x v="0"/>
    <x v="6"/>
    <x v="11"/>
    <x v="209"/>
    <x v="15"/>
  </r>
  <r>
    <x v="3"/>
    <x v="3"/>
    <x v="0"/>
    <x v="9"/>
    <x v="3"/>
    <x v="2"/>
    <x v="6"/>
    <x v="11"/>
    <x v="209"/>
    <x v="15"/>
  </r>
  <r>
    <x v="3"/>
    <x v="3"/>
    <x v="0"/>
    <x v="9"/>
    <x v="3"/>
    <x v="2"/>
    <x v="6"/>
    <x v="11"/>
    <x v="209"/>
    <x v="15"/>
  </r>
  <r>
    <x v="3"/>
    <x v="13"/>
    <x v="0"/>
    <x v="9"/>
    <x v="3"/>
    <x v="2"/>
    <x v="6"/>
    <x v="11"/>
    <x v="209"/>
    <x v="15"/>
  </r>
  <r>
    <x v="3"/>
    <x v="14"/>
    <x v="0"/>
    <x v="9"/>
    <x v="3"/>
    <x v="2"/>
    <x v="6"/>
    <x v="11"/>
    <x v="209"/>
    <x v="15"/>
  </r>
  <r>
    <x v="3"/>
    <x v="4"/>
    <x v="0"/>
    <x v="9"/>
    <x v="3"/>
    <x v="0"/>
    <x v="3"/>
    <x v="11"/>
    <x v="210"/>
    <x v="15"/>
  </r>
  <r>
    <x v="3"/>
    <x v="13"/>
    <x v="0"/>
    <x v="9"/>
    <x v="3"/>
    <x v="2"/>
    <x v="3"/>
    <x v="11"/>
    <x v="210"/>
    <x v="15"/>
  </r>
  <r>
    <x v="3"/>
    <x v="14"/>
    <x v="0"/>
    <x v="9"/>
    <x v="3"/>
    <x v="2"/>
    <x v="3"/>
    <x v="11"/>
    <x v="210"/>
    <x v="15"/>
  </r>
  <r>
    <x v="3"/>
    <x v="13"/>
    <x v="0"/>
    <x v="9"/>
    <x v="3"/>
    <x v="2"/>
    <x v="4"/>
    <x v="11"/>
    <x v="211"/>
    <x v="15"/>
  </r>
  <r>
    <x v="3"/>
    <x v="6"/>
    <x v="0"/>
    <x v="9"/>
    <x v="3"/>
    <x v="0"/>
    <x v="0"/>
    <x v="11"/>
    <x v="212"/>
    <x v="15"/>
  </r>
  <r>
    <x v="3"/>
    <x v="13"/>
    <x v="0"/>
    <x v="9"/>
    <x v="3"/>
    <x v="2"/>
    <x v="0"/>
    <x v="11"/>
    <x v="212"/>
    <x v="15"/>
  </r>
  <r>
    <x v="3"/>
    <x v="13"/>
    <x v="0"/>
    <x v="9"/>
    <x v="3"/>
    <x v="2"/>
    <x v="0"/>
    <x v="11"/>
    <x v="212"/>
    <x v="15"/>
  </r>
  <r>
    <x v="3"/>
    <x v="2"/>
    <x v="0"/>
    <x v="9"/>
    <x v="3"/>
    <x v="0"/>
    <x v="2"/>
    <x v="11"/>
    <x v="214"/>
    <x v="15"/>
  </r>
  <r>
    <x v="3"/>
    <x v="1"/>
    <x v="0"/>
    <x v="9"/>
    <x v="3"/>
    <x v="1"/>
    <x v="5"/>
    <x v="11"/>
    <x v="215"/>
    <x v="15"/>
  </r>
  <r>
    <x v="3"/>
    <x v="0"/>
    <x v="0"/>
    <x v="9"/>
    <x v="3"/>
    <x v="0"/>
    <x v="5"/>
    <x v="11"/>
    <x v="215"/>
    <x v="15"/>
  </r>
  <r>
    <x v="3"/>
    <x v="6"/>
    <x v="0"/>
    <x v="9"/>
    <x v="3"/>
    <x v="0"/>
    <x v="5"/>
    <x v="11"/>
    <x v="215"/>
    <x v="15"/>
  </r>
  <r>
    <x v="3"/>
    <x v="13"/>
    <x v="0"/>
    <x v="9"/>
    <x v="3"/>
    <x v="2"/>
    <x v="5"/>
    <x v="11"/>
    <x v="215"/>
    <x v="15"/>
  </r>
  <r>
    <x v="3"/>
    <x v="14"/>
    <x v="0"/>
    <x v="9"/>
    <x v="3"/>
    <x v="2"/>
    <x v="5"/>
    <x v="11"/>
    <x v="215"/>
    <x v="15"/>
  </r>
  <r>
    <x v="3"/>
    <x v="8"/>
    <x v="0"/>
    <x v="9"/>
    <x v="3"/>
    <x v="2"/>
    <x v="6"/>
    <x v="11"/>
    <x v="216"/>
    <x v="15"/>
  </r>
  <r>
    <x v="3"/>
    <x v="0"/>
    <x v="0"/>
    <x v="9"/>
    <x v="3"/>
    <x v="0"/>
    <x v="3"/>
    <x v="11"/>
    <x v="217"/>
    <x v="15"/>
  </r>
  <r>
    <x v="3"/>
    <x v="7"/>
    <x v="0"/>
    <x v="9"/>
    <x v="3"/>
    <x v="1"/>
    <x v="4"/>
    <x v="11"/>
    <x v="218"/>
    <x v="15"/>
  </r>
  <r>
    <x v="3"/>
    <x v="4"/>
    <x v="0"/>
    <x v="9"/>
    <x v="3"/>
    <x v="0"/>
    <x v="4"/>
    <x v="11"/>
    <x v="218"/>
    <x v="15"/>
  </r>
  <r>
    <x v="3"/>
    <x v="8"/>
    <x v="0"/>
    <x v="9"/>
    <x v="3"/>
    <x v="2"/>
    <x v="4"/>
    <x v="11"/>
    <x v="218"/>
    <x v="15"/>
  </r>
  <r>
    <x v="3"/>
    <x v="8"/>
    <x v="0"/>
    <x v="9"/>
    <x v="3"/>
    <x v="2"/>
    <x v="4"/>
    <x v="11"/>
    <x v="218"/>
    <x v="15"/>
  </r>
  <r>
    <x v="3"/>
    <x v="6"/>
    <x v="0"/>
    <x v="9"/>
    <x v="3"/>
    <x v="0"/>
    <x v="0"/>
    <x v="11"/>
    <x v="219"/>
    <x v="15"/>
  </r>
  <r>
    <x v="3"/>
    <x v="10"/>
    <x v="0"/>
    <x v="9"/>
    <x v="3"/>
    <x v="1"/>
    <x v="2"/>
    <x v="0"/>
    <x v="221"/>
    <x v="15"/>
  </r>
  <r>
    <x v="3"/>
    <x v="10"/>
    <x v="0"/>
    <x v="9"/>
    <x v="3"/>
    <x v="1"/>
    <x v="5"/>
    <x v="0"/>
    <x v="222"/>
    <x v="15"/>
  </r>
  <r>
    <x v="3"/>
    <x v="6"/>
    <x v="0"/>
    <x v="9"/>
    <x v="3"/>
    <x v="0"/>
    <x v="5"/>
    <x v="0"/>
    <x v="222"/>
    <x v="15"/>
  </r>
  <r>
    <x v="3"/>
    <x v="4"/>
    <x v="0"/>
    <x v="9"/>
    <x v="3"/>
    <x v="0"/>
    <x v="6"/>
    <x v="0"/>
    <x v="223"/>
    <x v="15"/>
  </r>
  <r>
    <x v="3"/>
    <x v="8"/>
    <x v="0"/>
    <x v="9"/>
    <x v="3"/>
    <x v="2"/>
    <x v="6"/>
    <x v="0"/>
    <x v="223"/>
    <x v="15"/>
  </r>
  <r>
    <x v="3"/>
    <x v="7"/>
    <x v="0"/>
    <x v="9"/>
    <x v="3"/>
    <x v="1"/>
    <x v="3"/>
    <x v="0"/>
    <x v="224"/>
    <x v="15"/>
  </r>
  <r>
    <x v="3"/>
    <x v="13"/>
    <x v="0"/>
    <x v="9"/>
    <x v="3"/>
    <x v="2"/>
    <x v="3"/>
    <x v="0"/>
    <x v="224"/>
    <x v="15"/>
  </r>
  <r>
    <x v="3"/>
    <x v="3"/>
    <x v="0"/>
    <x v="9"/>
    <x v="3"/>
    <x v="2"/>
    <x v="4"/>
    <x v="0"/>
    <x v="225"/>
    <x v="15"/>
  </r>
  <r>
    <x v="3"/>
    <x v="1"/>
    <x v="0"/>
    <x v="9"/>
    <x v="3"/>
    <x v="1"/>
    <x v="0"/>
    <x v="0"/>
    <x v="226"/>
    <x v="15"/>
  </r>
  <r>
    <x v="3"/>
    <x v="7"/>
    <x v="0"/>
    <x v="9"/>
    <x v="3"/>
    <x v="1"/>
    <x v="0"/>
    <x v="0"/>
    <x v="226"/>
    <x v="15"/>
  </r>
  <r>
    <x v="3"/>
    <x v="5"/>
    <x v="0"/>
    <x v="9"/>
    <x v="3"/>
    <x v="0"/>
    <x v="2"/>
    <x v="0"/>
    <x v="228"/>
    <x v="15"/>
  </r>
  <r>
    <x v="3"/>
    <x v="10"/>
    <x v="0"/>
    <x v="9"/>
    <x v="3"/>
    <x v="1"/>
    <x v="5"/>
    <x v="0"/>
    <x v="229"/>
    <x v="15"/>
  </r>
  <r>
    <x v="3"/>
    <x v="6"/>
    <x v="0"/>
    <x v="9"/>
    <x v="3"/>
    <x v="0"/>
    <x v="6"/>
    <x v="0"/>
    <x v="230"/>
    <x v="15"/>
  </r>
  <r>
    <x v="3"/>
    <x v="14"/>
    <x v="0"/>
    <x v="9"/>
    <x v="3"/>
    <x v="2"/>
    <x v="6"/>
    <x v="0"/>
    <x v="230"/>
    <x v="15"/>
  </r>
  <r>
    <x v="3"/>
    <x v="7"/>
    <x v="0"/>
    <x v="9"/>
    <x v="3"/>
    <x v="1"/>
    <x v="3"/>
    <x v="0"/>
    <x v="231"/>
    <x v="15"/>
  </r>
  <r>
    <x v="3"/>
    <x v="8"/>
    <x v="0"/>
    <x v="9"/>
    <x v="3"/>
    <x v="2"/>
    <x v="3"/>
    <x v="0"/>
    <x v="231"/>
    <x v="15"/>
  </r>
  <r>
    <x v="3"/>
    <x v="6"/>
    <x v="0"/>
    <x v="9"/>
    <x v="3"/>
    <x v="0"/>
    <x v="0"/>
    <x v="0"/>
    <x v="233"/>
    <x v="15"/>
  </r>
  <r>
    <x v="3"/>
    <x v="6"/>
    <x v="0"/>
    <x v="9"/>
    <x v="3"/>
    <x v="0"/>
    <x v="0"/>
    <x v="0"/>
    <x v="233"/>
    <x v="15"/>
  </r>
  <r>
    <x v="3"/>
    <x v="6"/>
    <x v="0"/>
    <x v="9"/>
    <x v="3"/>
    <x v="0"/>
    <x v="0"/>
    <x v="0"/>
    <x v="233"/>
    <x v="15"/>
  </r>
  <r>
    <x v="3"/>
    <x v="2"/>
    <x v="0"/>
    <x v="9"/>
    <x v="3"/>
    <x v="0"/>
    <x v="5"/>
    <x v="0"/>
    <x v="236"/>
    <x v="15"/>
  </r>
  <r>
    <x v="3"/>
    <x v="2"/>
    <x v="0"/>
    <x v="9"/>
    <x v="3"/>
    <x v="0"/>
    <x v="5"/>
    <x v="0"/>
    <x v="236"/>
    <x v="15"/>
  </r>
  <r>
    <x v="3"/>
    <x v="8"/>
    <x v="0"/>
    <x v="9"/>
    <x v="3"/>
    <x v="2"/>
    <x v="6"/>
    <x v="0"/>
    <x v="237"/>
    <x v="15"/>
  </r>
  <r>
    <x v="3"/>
    <x v="8"/>
    <x v="0"/>
    <x v="9"/>
    <x v="3"/>
    <x v="2"/>
    <x v="6"/>
    <x v="0"/>
    <x v="237"/>
    <x v="15"/>
  </r>
  <r>
    <x v="3"/>
    <x v="14"/>
    <x v="0"/>
    <x v="9"/>
    <x v="3"/>
    <x v="2"/>
    <x v="6"/>
    <x v="0"/>
    <x v="237"/>
    <x v="15"/>
  </r>
  <r>
    <x v="3"/>
    <x v="14"/>
    <x v="0"/>
    <x v="9"/>
    <x v="3"/>
    <x v="2"/>
    <x v="6"/>
    <x v="0"/>
    <x v="237"/>
    <x v="15"/>
  </r>
  <r>
    <x v="3"/>
    <x v="3"/>
    <x v="0"/>
    <x v="9"/>
    <x v="3"/>
    <x v="2"/>
    <x v="3"/>
    <x v="0"/>
    <x v="238"/>
    <x v="15"/>
  </r>
  <r>
    <x v="3"/>
    <x v="13"/>
    <x v="0"/>
    <x v="9"/>
    <x v="3"/>
    <x v="2"/>
    <x v="4"/>
    <x v="0"/>
    <x v="239"/>
    <x v="15"/>
  </r>
  <r>
    <x v="3"/>
    <x v="7"/>
    <x v="0"/>
    <x v="9"/>
    <x v="3"/>
    <x v="1"/>
    <x v="1"/>
    <x v="0"/>
    <x v="241"/>
    <x v="15"/>
  </r>
  <r>
    <x v="3"/>
    <x v="2"/>
    <x v="0"/>
    <x v="9"/>
    <x v="3"/>
    <x v="0"/>
    <x v="2"/>
    <x v="0"/>
    <x v="242"/>
    <x v="15"/>
  </r>
  <r>
    <x v="3"/>
    <x v="2"/>
    <x v="0"/>
    <x v="9"/>
    <x v="3"/>
    <x v="0"/>
    <x v="2"/>
    <x v="0"/>
    <x v="242"/>
    <x v="15"/>
  </r>
  <r>
    <x v="4"/>
    <x v="7"/>
    <x v="0"/>
    <x v="0"/>
    <x v="4"/>
    <x v="1"/>
    <x v="2"/>
    <x v="0"/>
    <x v="2"/>
    <x v="16"/>
  </r>
  <r>
    <x v="4"/>
    <x v="3"/>
    <x v="0"/>
    <x v="0"/>
    <x v="4"/>
    <x v="2"/>
    <x v="2"/>
    <x v="0"/>
    <x v="2"/>
    <x v="16"/>
  </r>
  <r>
    <x v="4"/>
    <x v="3"/>
    <x v="0"/>
    <x v="0"/>
    <x v="4"/>
    <x v="2"/>
    <x v="6"/>
    <x v="0"/>
    <x v="364"/>
    <x v="16"/>
  </r>
  <r>
    <x v="4"/>
    <x v="0"/>
    <x v="0"/>
    <x v="0"/>
    <x v="4"/>
    <x v="0"/>
    <x v="3"/>
    <x v="0"/>
    <x v="3"/>
    <x v="16"/>
  </r>
  <r>
    <x v="4"/>
    <x v="1"/>
    <x v="0"/>
    <x v="0"/>
    <x v="4"/>
    <x v="1"/>
    <x v="0"/>
    <x v="0"/>
    <x v="5"/>
    <x v="16"/>
  </r>
  <r>
    <x v="4"/>
    <x v="0"/>
    <x v="0"/>
    <x v="0"/>
    <x v="4"/>
    <x v="0"/>
    <x v="1"/>
    <x v="0"/>
    <x v="6"/>
    <x v="16"/>
  </r>
  <r>
    <x v="4"/>
    <x v="13"/>
    <x v="0"/>
    <x v="0"/>
    <x v="4"/>
    <x v="2"/>
    <x v="2"/>
    <x v="0"/>
    <x v="367"/>
    <x v="16"/>
  </r>
  <r>
    <x v="4"/>
    <x v="6"/>
    <x v="0"/>
    <x v="0"/>
    <x v="4"/>
    <x v="0"/>
    <x v="5"/>
    <x v="0"/>
    <x v="7"/>
    <x v="16"/>
  </r>
  <r>
    <x v="4"/>
    <x v="1"/>
    <x v="0"/>
    <x v="0"/>
    <x v="4"/>
    <x v="1"/>
    <x v="6"/>
    <x v="0"/>
    <x v="8"/>
    <x v="16"/>
  </r>
  <r>
    <x v="4"/>
    <x v="0"/>
    <x v="0"/>
    <x v="0"/>
    <x v="4"/>
    <x v="0"/>
    <x v="4"/>
    <x v="0"/>
    <x v="10"/>
    <x v="16"/>
  </r>
  <r>
    <x v="4"/>
    <x v="13"/>
    <x v="0"/>
    <x v="0"/>
    <x v="4"/>
    <x v="2"/>
    <x v="4"/>
    <x v="0"/>
    <x v="10"/>
    <x v="16"/>
  </r>
  <r>
    <x v="4"/>
    <x v="5"/>
    <x v="0"/>
    <x v="0"/>
    <x v="4"/>
    <x v="0"/>
    <x v="1"/>
    <x v="0"/>
    <x v="12"/>
    <x v="16"/>
  </r>
  <r>
    <x v="4"/>
    <x v="6"/>
    <x v="0"/>
    <x v="0"/>
    <x v="4"/>
    <x v="0"/>
    <x v="1"/>
    <x v="0"/>
    <x v="12"/>
    <x v="16"/>
  </r>
  <r>
    <x v="4"/>
    <x v="6"/>
    <x v="0"/>
    <x v="0"/>
    <x v="4"/>
    <x v="0"/>
    <x v="1"/>
    <x v="0"/>
    <x v="12"/>
    <x v="16"/>
  </r>
  <r>
    <x v="4"/>
    <x v="4"/>
    <x v="0"/>
    <x v="0"/>
    <x v="4"/>
    <x v="0"/>
    <x v="2"/>
    <x v="0"/>
    <x v="368"/>
    <x v="16"/>
  </r>
  <r>
    <x v="4"/>
    <x v="7"/>
    <x v="0"/>
    <x v="0"/>
    <x v="4"/>
    <x v="1"/>
    <x v="5"/>
    <x v="0"/>
    <x v="13"/>
    <x v="16"/>
  </r>
  <r>
    <x v="4"/>
    <x v="7"/>
    <x v="0"/>
    <x v="0"/>
    <x v="4"/>
    <x v="1"/>
    <x v="3"/>
    <x v="0"/>
    <x v="346"/>
    <x v="16"/>
  </r>
  <r>
    <x v="4"/>
    <x v="4"/>
    <x v="0"/>
    <x v="0"/>
    <x v="4"/>
    <x v="0"/>
    <x v="3"/>
    <x v="0"/>
    <x v="346"/>
    <x v="16"/>
  </r>
  <r>
    <x v="4"/>
    <x v="4"/>
    <x v="0"/>
    <x v="0"/>
    <x v="4"/>
    <x v="0"/>
    <x v="4"/>
    <x v="0"/>
    <x v="347"/>
    <x v="16"/>
  </r>
  <r>
    <x v="4"/>
    <x v="3"/>
    <x v="0"/>
    <x v="0"/>
    <x v="4"/>
    <x v="2"/>
    <x v="4"/>
    <x v="0"/>
    <x v="347"/>
    <x v="16"/>
  </r>
  <r>
    <x v="4"/>
    <x v="6"/>
    <x v="0"/>
    <x v="0"/>
    <x v="4"/>
    <x v="0"/>
    <x v="1"/>
    <x v="0"/>
    <x v="245"/>
    <x v="16"/>
  </r>
  <r>
    <x v="4"/>
    <x v="7"/>
    <x v="0"/>
    <x v="0"/>
    <x v="4"/>
    <x v="1"/>
    <x v="6"/>
    <x v="0"/>
    <x v="15"/>
    <x v="16"/>
  </r>
  <r>
    <x v="4"/>
    <x v="0"/>
    <x v="0"/>
    <x v="0"/>
    <x v="4"/>
    <x v="0"/>
    <x v="6"/>
    <x v="0"/>
    <x v="15"/>
    <x v="16"/>
  </r>
  <r>
    <x v="4"/>
    <x v="0"/>
    <x v="0"/>
    <x v="0"/>
    <x v="4"/>
    <x v="0"/>
    <x v="6"/>
    <x v="0"/>
    <x v="15"/>
    <x v="16"/>
  </r>
  <r>
    <x v="4"/>
    <x v="7"/>
    <x v="0"/>
    <x v="0"/>
    <x v="4"/>
    <x v="1"/>
    <x v="3"/>
    <x v="0"/>
    <x v="16"/>
    <x v="16"/>
  </r>
  <r>
    <x v="4"/>
    <x v="8"/>
    <x v="0"/>
    <x v="0"/>
    <x v="4"/>
    <x v="2"/>
    <x v="3"/>
    <x v="0"/>
    <x v="16"/>
    <x v="16"/>
  </r>
  <r>
    <x v="4"/>
    <x v="2"/>
    <x v="0"/>
    <x v="0"/>
    <x v="4"/>
    <x v="0"/>
    <x v="4"/>
    <x v="0"/>
    <x v="17"/>
    <x v="16"/>
  </r>
  <r>
    <x v="4"/>
    <x v="3"/>
    <x v="0"/>
    <x v="0"/>
    <x v="4"/>
    <x v="2"/>
    <x v="4"/>
    <x v="0"/>
    <x v="17"/>
    <x v="16"/>
  </r>
  <r>
    <x v="4"/>
    <x v="6"/>
    <x v="0"/>
    <x v="0"/>
    <x v="4"/>
    <x v="0"/>
    <x v="6"/>
    <x v="1"/>
    <x v="19"/>
    <x v="16"/>
  </r>
  <r>
    <x v="4"/>
    <x v="1"/>
    <x v="0"/>
    <x v="0"/>
    <x v="4"/>
    <x v="1"/>
    <x v="3"/>
    <x v="1"/>
    <x v="20"/>
    <x v="16"/>
  </r>
  <r>
    <x v="4"/>
    <x v="4"/>
    <x v="0"/>
    <x v="0"/>
    <x v="4"/>
    <x v="0"/>
    <x v="4"/>
    <x v="1"/>
    <x v="350"/>
    <x v="16"/>
  </r>
  <r>
    <x v="4"/>
    <x v="7"/>
    <x v="0"/>
    <x v="0"/>
    <x v="4"/>
    <x v="1"/>
    <x v="0"/>
    <x v="1"/>
    <x v="21"/>
    <x v="16"/>
  </r>
  <r>
    <x v="4"/>
    <x v="2"/>
    <x v="0"/>
    <x v="0"/>
    <x v="4"/>
    <x v="0"/>
    <x v="0"/>
    <x v="1"/>
    <x v="21"/>
    <x v="16"/>
  </r>
  <r>
    <x v="4"/>
    <x v="2"/>
    <x v="0"/>
    <x v="0"/>
    <x v="4"/>
    <x v="0"/>
    <x v="2"/>
    <x v="1"/>
    <x v="248"/>
    <x v="16"/>
  </r>
  <r>
    <x v="4"/>
    <x v="13"/>
    <x v="0"/>
    <x v="0"/>
    <x v="4"/>
    <x v="2"/>
    <x v="0"/>
    <x v="1"/>
    <x v="369"/>
    <x v="16"/>
  </r>
  <r>
    <x v="4"/>
    <x v="0"/>
    <x v="0"/>
    <x v="0"/>
    <x v="4"/>
    <x v="0"/>
    <x v="2"/>
    <x v="1"/>
    <x v="26"/>
    <x v="16"/>
  </r>
  <r>
    <x v="4"/>
    <x v="6"/>
    <x v="0"/>
    <x v="0"/>
    <x v="4"/>
    <x v="0"/>
    <x v="2"/>
    <x v="1"/>
    <x v="26"/>
    <x v="16"/>
  </r>
  <r>
    <x v="4"/>
    <x v="4"/>
    <x v="0"/>
    <x v="0"/>
    <x v="4"/>
    <x v="0"/>
    <x v="6"/>
    <x v="1"/>
    <x v="28"/>
    <x v="16"/>
  </r>
  <r>
    <x v="4"/>
    <x v="8"/>
    <x v="0"/>
    <x v="0"/>
    <x v="4"/>
    <x v="2"/>
    <x v="3"/>
    <x v="1"/>
    <x v="29"/>
    <x v="16"/>
  </r>
  <r>
    <x v="4"/>
    <x v="0"/>
    <x v="0"/>
    <x v="0"/>
    <x v="4"/>
    <x v="0"/>
    <x v="4"/>
    <x v="1"/>
    <x v="30"/>
    <x v="16"/>
  </r>
  <r>
    <x v="4"/>
    <x v="6"/>
    <x v="0"/>
    <x v="1"/>
    <x v="4"/>
    <x v="0"/>
    <x v="0"/>
    <x v="1"/>
    <x v="35"/>
    <x v="17"/>
  </r>
  <r>
    <x v="4"/>
    <x v="7"/>
    <x v="0"/>
    <x v="1"/>
    <x v="4"/>
    <x v="1"/>
    <x v="5"/>
    <x v="1"/>
    <x v="37"/>
    <x v="17"/>
  </r>
  <r>
    <x v="4"/>
    <x v="0"/>
    <x v="0"/>
    <x v="1"/>
    <x v="4"/>
    <x v="0"/>
    <x v="5"/>
    <x v="1"/>
    <x v="37"/>
    <x v="17"/>
  </r>
  <r>
    <x v="4"/>
    <x v="0"/>
    <x v="0"/>
    <x v="1"/>
    <x v="4"/>
    <x v="0"/>
    <x v="5"/>
    <x v="1"/>
    <x v="37"/>
    <x v="17"/>
  </r>
  <r>
    <x v="4"/>
    <x v="1"/>
    <x v="0"/>
    <x v="1"/>
    <x v="4"/>
    <x v="1"/>
    <x v="5"/>
    <x v="2"/>
    <x v="40"/>
    <x v="17"/>
  </r>
  <r>
    <x v="4"/>
    <x v="0"/>
    <x v="0"/>
    <x v="1"/>
    <x v="4"/>
    <x v="0"/>
    <x v="5"/>
    <x v="2"/>
    <x v="40"/>
    <x v="17"/>
  </r>
  <r>
    <x v="4"/>
    <x v="7"/>
    <x v="0"/>
    <x v="1"/>
    <x v="4"/>
    <x v="1"/>
    <x v="6"/>
    <x v="2"/>
    <x v="41"/>
    <x v="17"/>
  </r>
  <r>
    <x v="4"/>
    <x v="0"/>
    <x v="0"/>
    <x v="1"/>
    <x v="4"/>
    <x v="0"/>
    <x v="6"/>
    <x v="2"/>
    <x v="41"/>
    <x v="17"/>
  </r>
  <r>
    <x v="4"/>
    <x v="2"/>
    <x v="0"/>
    <x v="1"/>
    <x v="4"/>
    <x v="0"/>
    <x v="3"/>
    <x v="2"/>
    <x v="45"/>
    <x v="17"/>
  </r>
  <r>
    <x v="4"/>
    <x v="2"/>
    <x v="0"/>
    <x v="1"/>
    <x v="4"/>
    <x v="0"/>
    <x v="3"/>
    <x v="2"/>
    <x v="45"/>
    <x v="17"/>
  </r>
  <r>
    <x v="4"/>
    <x v="14"/>
    <x v="0"/>
    <x v="1"/>
    <x v="4"/>
    <x v="2"/>
    <x v="5"/>
    <x v="2"/>
    <x v="48"/>
    <x v="17"/>
  </r>
  <r>
    <x v="4"/>
    <x v="7"/>
    <x v="0"/>
    <x v="1"/>
    <x v="4"/>
    <x v="1"/>
    <x v="3"/>
    <x v="2"/>
    <x v="49"/>
    <x v="17"/>
  </r>
  <r>
    <x v="4"/>
    <x v="13"/>
    <x v="0"/>
    <x v="1"/>
    <x v="4"/>
    <x v="2"/>
    <x v="4"/>
    <x v="2"/>
    <x v="256"/>
    <x v="17"/>
  </r>
  <r>
    <x v="4"/>
    <x v="7"/>
    <x v="0"/>
    <x v="1"/>
    <x v="4"/>
    <x v="1"/>
    <x v="0"/>
    <x v="2"/>
    <x v="50"/>
    <x v="17"/>
  </r>
  <r>
    <x v="4"/>
    <x v="8"/>
    <x v="0"/>
    <x v="1"/>
    <x v="4"/>
    <x v="2"/>
    <x v="0"/>
    <x v="2"/>
    <x v="50"/>
    <x v="17"/>
  </r>
  <r>
    <x v="4"/>
    <x v="8"/>
    <x v="0"/>
    <x v="1"/>
    <x v="4"/>
    <x v="2"/>
    <x v="0"/>
    <x v="2"/>
    <x v="50"/>
    <x v="17"/>
  </r>
  <r>
    <x v="4"/>
    <x v="2"/>
    <x v="0"/>
    <x v="1"/>
    <x v="4"/>
    <x v="0"/>
    <x v="2"/>
    <x v="2"/>
    <x v="52"/>
    <x v="17"/>
  </r>
  <r>
    <x v="4"/>
    <x v="15"/>
    <x v="0"/>
    <x v="1"/>
    <x v="4"/>
    <x v="2"/>
    <x v="2"/>
    <x v="2"/>
    <x v="52"/>
    <x v="17"/>
  </r>
  <r>
    <x v="4"/>
    <x v="6"/>
    <x v="0"/>
    <x v="1"/>
    <x v="4"/>
    <x v="0"/>
    <x v="6"/>
    <x v="2"/>
    <x v="54"/>
    <x v="17"/>
  </r>
  <r>
    <x v="4"/>
    <x v="8"/>
    <x v="0"/>
    <x v="1"/>
    <x v="4"/>
    <x v="2"/>
    <x v="3"/>
    <x v="2"/>
    <x v="55"/>
    <x v="17"/>
  </r>
  <r>
    <x v="4"/>
    <x v="11"/>
    <x v="0"/>
    <x v="1"/>
    <x v="4"/>
    <x v="2"/>
    <x v="0"/>
    <x v="2"/>
    <x v="258"/>
    <x v="17"/>
  </r>
  <r>
    <x v="4"/>
    <x v="9"/>
    <x v="0"/>
    <x v="1"/>
    <x v="4"/>
    <x v="1"/>
    <x v="1"/>
    <x v="3"/>
    <x v="259"/>
    <x v="17"/>
  </r>
  <r>
    <x v="4"/>
    <x v="10"/>
    <x v="0"/>
    <x v="1"/>
    <x v="4"/>
    <x v="1"/>
    <x v="6"/>
    <x v="3"/>
    <x v="262"/>
    <x v="17"/>
  </r>
  <r>
    <x v="4"/>
    <x v="3"/>
    <x v="0"/>
    <x v="1"/>
    <x v="4"/>
    <x v="2"/>
    <x v="6"/>
    <x v="3"/>
    <x v="262"/>
    <x v="17"/>
  </r>
  <r>
    <x v="4"/>
    <x v="15"/>
    <x v="0"/>
    <x v="1"/>
    <x v="4"/>
    <x v="2"/>
    <x v="6"/>
    <x v="3"/>
    <x v="262"/>
    <x v="17"/>
  </r>
  <r>
    <x v="4"/>
    <x v="14"/>
    <x v="0"/>
    <x v="1"/>
    <x v="4"/>
    <x v="2"/>
    <x v="3"/>
    <x v="3"/>
    <x v="56"/>
    <x v="17"/>
  </r>
  <r>
    <x v="4"/>
    <x v="6"/>
    <x v="0"/>
    <x v="1"/>
    <x v="4"/>
    <x v="0"/>
    <x v="0"/>
    <x v="3"/>
    <x v="263"/>
    <x v="17"/>
  </r>
  <r>
    <x v="4"/>
    <x v="6"/>
    <x v="0"/>
    <x v="1"/>
    <x v="4"/>
    <x v="0"/>
    <x v="0"/>
    <x v="3"/>
    <x v="263"/>
    <x v="17"/>
  </r>
  <r>
    <x v="4"/>
    <x v="10"/>
    <x v="0"/>
    <x v="1"/>
    <x v="4"/>
    <x v="1"/>
    <x v="1"/>
    <x v="3"/>
    <x v="264"/>
    <x v="17"/>
  </r>
  <r>
    <x v="4"/>
    <x v="7"/>
    <x v="0"/>
    <x v="1"/>
    <x v="4"/>
    <x v="1"/>
    <x v="2"/>
    <x v="3"/>
    <x v="58"/>
    <x v="17"/>
  </r>
  <r>
    <x v="4"/>
    <x v="5"/>
    <x v="0"/>
    <x v="1"/>
    <x v="4"/>
    <x v="0"/>
    <x v="2"/>
    <x v="3"/>
    <x v="58"/>
    <x v="17"/>
  </r>
  <r>
    <x v="4"/>
    <x v="10"/>
    <x v="0"/>
    <x v="1"/>
    <x v="4"/>
    <x v="1"/>
    <x v="4"/>
    <x v="3"/>
    <x v="59"/>
    <x v="17"/>
  </r>
  <r>
    <x v="4"/>
    <x v="12"/>
    <x v="0"/>
    <x v="1"/>
    <x v="4"/>
    <x v="1"/>
    <x v="0"/>
    <x v="3"/>
    <x v="60"/>
    <x v="17"/>
  </r>
  <r>
    <x v="4"/>
    <x v="1"/>
    <x v="0"/>
    <x v="1"/>
    <x v="4"/>
    <x v="1"/>
    <x v="5"/>
    <x v="3"/>
    <x v="62"/>
    <x v="17"/>
  </r>
  <r>
    <x v="4"/>
    <x v="1"/>
    <x v="0"/>
    <x v="1"/>
    <x v="4"/>
    <x v="1"/>
    <x v="5"/>
    <x v="3"/>
    <x v="62"/>
    <x v="17"/>
  </r>
  <r>
    <x v="4"/>
    <x v="14"/>
    <x v="0"/>
    <x v="1"/>
    <x v="4"/>
    <x v="2"/>
    <x v="6"/>
    <x v="3"/>
    <x v="63"/>
    <x v="17"/>
  </r>
  <r>
    <x v="4"/>
    <x v="9"/>
    <x v="0"/>
    <x v="1"/>
    <x v="4"/>
    <x v="1"/>
    <x v="3"/>
    <x v="3"/>
    <x v="64"/>
    <x v="17"/>
  </r>
  <r>
    <x v="4"/>
    <x v="9"/>
    <x v="0"/>
    <x v="1"/>
    <x v="4"/>
    <x v="1"/>
    <x v="1"/>
    <x v="3"/>
    <x v="269"/>
    <x v="17"/>
  </r>
  <r>
    <x v="4"/>
    <x v="6"/>
    <x v="0"/>
    <x v="1"/>
    <x v="4"/>
    <x v="0"/>
    <x v="4"/>
    <x v="3"/>
    <x v="273"/>
    <x v="17"/>
  </r>
  <r>
    <x v="4"/>
    <x v="9"/>
    <x v="0"/>
    <x v="1"/>
    <x v="4"/>
    <x v="1"/>
    <x v="0"/>
    <x v="3"/>
    <x v="274"/>
    <x v="17"/>
  </r>
  <r>
    <x v="4"/>
    <x v="9"/>
    <x v="0"/>
    <x v="2"/>
    <x v="4"/>
    <x v="1"/>
    <x v="0"/>
    <x v="4"/>
    <x v="370"/>
    <x v="18"/>
  </r>
  <r>
    <x v="4"/>
    <x v="7"/>
    <x v="0"/>
    <x v="2"/>
    <x v="4"/>
    <x v="1"/>
    <x v="4"/>
    <x v="4"/>
    <x v="74"/>
    <x v="18"/>
  </r>
  <r>
    <x v="4"/>
    <x v="0"/>
    <x v="0"/>
    <x v="2"/>
    <x v="4"/>
    <x v="0"/>
    <x v="2"/>
    <x v="4"/>
    <x v="357"/>
    <x v="18"/>
  </r>
  <r>
    <x v="4"/>
    <x v="15"/>
    <x v="0"/>
    <x v="2"/>
    <x v="4"/>
    <x v="2"/>
    <x v="4"/>
    <x v="4"/>
    <x v="80"/>
    <x v="18"/>
  </r>
  <r>
    <x v="4"/>
    <x v="11"/>
    <x v="0"/>
    <x v="2"/>
    <x v="4"/>
    <x v="2"/>
    <x v="4"/>
    <x v="4"/>
    <x v="80"/>
    <x v="18"/>
  </r>
  <r>
    <x v="4"/>
    <x v="10"/>
    <x v="0"/>
    <x v="2"/>
    <x v="4"/>
    <x v="1"/>
    <x v="0"/>
    <x v="4"/>
    <x v="81"/>
    <x v="18"/>
  </r>
  <r>
    <x v="4"/>
    <x v="10"/>
    <x v="0"/>
    <x v="2"/>
    <x v="4"/>
    <x v="1"/>
    <x v="0"/>
    <x v="4"/>
    <x v="81"/>
    <x v="18"/>
  </r>
  <r>
    <x v="4"/>
    <x v="9"/>
    <x v="0"/>
    <x v="2"/>
    <x v="4"/>
    <x v="1"/>
    <x v="6"/>
    <x v="4"/>
    <x v="83"/>
    <x v="18"/>
  </r>
  <r>
    <x v="4"/>
    <x v="1"/>
    <x v="0"/>
    <x v="2"/>
    <x v="4"/>
    <x v="1"/>
    <x v="6"/>
    <x v="4"/>
    <x v="83"/>
    <x v="18"/>
  </r>
  <r>
    <x v="4"/>
    <x v="6"/>
    <x v="0"/>
    <x v="2"/>
    <x v="4"/>
    <x v="0"/>
    <x v="6"/>
    <x v="4"/>
    <x v="83"/>
    <x v="18"/>
  </r>
  <r>
    <x v="4"/>
    <x v="3"/>
    <x v="0"/>
    <x v="2"/>
    <x v="4"/>
    <x v="2"/>
    <x v="3"/>
    <x v="4"/>
    <x v="84"/>
    <x v="18"/>
  </r>
  <r>
    <x v="4"/>
    <x v="13"/>
    <x v="0"/>
    <x v="2"/>
    <x v="4"/>
    <x v="2"/>
    <x v="3"/>
    <x v="4"/>
    <x v="84"/>
    <x v="18"/>
  </r>
  <r>
    <x v="4"/>
    <x v="14"/>
    <x v="0"/>
    <x v="2"/>
    <x v="4"/>
    <x v="2"/>
    <x v="3"/>
    <x v="4"/>
    <x v="84"/>
    <x v="18"/>
  </r>
  <r>
    <x v="4"/>
    <x v="14"/>
    <x v="0"/>
    <x v="2"/>
    <x v="4"/>
    <x v="2"/>
    <x v="3"/>
    <x v="4"/>
    <x v="84"/>
    <x v="18"/>
  </r>
  <r>
    <x v="4"/>
    <x v="0"/>
    <x v="0"/>
    <x v="2"/>
    <x v="4"/>
    <x v="0"/>
    <x v="4"/>
    <x v="5"/>
    <x v="85"/>
    <x v="18"/>
  </r>
  <r>
    <x v="4"/>
    <x v="7"/>
    <x v="0"/>
    <x v="2"/>
    <x v="4"/>
    <x v="1"/>
    <x v="0"/>
    <x v="5"/>
    <x v="285"/>
    <x v="18"/>
  </r>
  <r>
    <x v="4"/>
    <x v="7"/>
    <x v="0"/>
    <x v="2"/>
    <x v="4"/>
    <x v="1"/>
    <x v="1"/>
    <x v="5"/>
    <x v="286"/>
    <x v="18"/>
  </r>
  <r>
    <x v="4"/>
    <x v="7"/>
    <x v="0"/>
    <x v="2"/>
    <x v="4"/>
    <x v="1"/>
    <x v="1"/>
    <x v="5"/>
    <x v="286"/>
    <x v="18"/>
  </r>
  <r>
    <x v="4"/>
    <x v="9"/>
    <x v="0"/>
    <x v="2"/>
    <x v="4"/>
    <x v="1"/>
    <x v="5"/>
    <x v="5"/>
    <x v="288"/>
    <x v="18"/>
  </r>
  <r>
    <x v="4"/>
    <x v="7"/>
    <x v="0"/>
    <x v="2"/>
    <x v="4"/>
    <x v="1"/>
    <x v="5"/>
    <x v="5"/>
    <x v="288"/>
    <x v="18"/>
  </r>
  <r>
    <x v="4"/>
    <x v="1"/>
    <x v="0"/>
    <x v="2"/>
    <x v="4"/>
    <x v="1"/>
    <x v="6"/>
    <x v="5"/>
    <x v="289"/>
    <x v="18"/>
  </r>
  <r>
    <x v="4"/>
    <x v="9"/>
    <x v="0"/>
    <x v="2"/>
    <x v="4"/>
    <x v="1"/>
    <x v="4"/>
    <x v="5"/>
    <x v="290"/>
    <x v="18"/>
  </r>
  <r>
    <x v="4"/>
    <x v="4"/>
    <x v="0"/>
    <x v="2"/>
    <x v="4"/>
    <x v="0"/>
    <x v="4"/>
    <x v="5"/>
    <x v="290"/>
    <x v="18"/>
  </r>
  <r>
    <x v="4"/>
    <x v="4"/>
    <x v="0"/>
    <x v="2"/>
    <x v="4"/>
    <x v="0"/>
    <x v="4"/>
    <x v="5"/>
    <x v="290"/>
    <x v="18"/>
  </r>
  <r>
    <x v="4"/>
    <x v="1"/>
    <x v="0"/>
    <x v="2"/>
    <x v="4"/>
    <x v="1"/>
    <x v="0"/>
    <x v="5"/>
    <x v="87"/>
    <x v="18"/>
  </r>
  <r>
    <x v="4"/>
    <x v="9"/>
    <x v="0"/>
    <x v="2"/>
    <x v="4"/>
    <x v="1"/>
    <x v="1"/>
    <x v="5"/>
    <x v="88"/>
    <x v="18"/>
  </r>
  <r>
    <x v="4"/>
    <x v="7"/>
    <x v="0"/>
    <x v="2"/>
    <x v="4"/>
    <x v="1"/>
    <x v="1"/>
    <x v="5"/>
    <x v="88"/>
    <x v="18"/>
  </r>
  <r>
    <x v="4"/>
    <x v="4"/>
    <x v="0"/>
    <x v="2"/>
    <x v="4"/>
    <x v="0"/>
    <x v="2"/>
    <x v="5"/>
    <x v="291"/>
    <x v="18"/>
  </r>
  <r>
    <x v="4"/>
    <x v="15"/>
    <x v="0"/>
    <x v="2"/>
    <x v="4"/>
    <x v="2"/>
    <x v="2"/>
    <x v="5"/>
    <x v="291"/>
    <x v="18"/>
  </r>
  <r>
    <x v="4"/>
    <x v="1"/>
    <x v="0"/>
    <x v="2"/>
    <x v="4"/>
    <x v="1"/>
    <x v="6"/>
    <x v="5"/>
    <x v="292"/>
    <x v="18"/>
  </r>
  <r>
    <x v="4"/>
    <x v="15"/>
    <x v="0"/>
    <x v="2"/>
    <x v="4"/>
    <x v="2"/>
    <x v="6"/>
    <x v="5"/>
    <x v="292"/>
    <x v="18"/>
  </r>
  <r>
    <x v="4"/>
    <x v="1"/>
    <x v="0"/>
    <x v="2"/>
    <x v="4"/>
    <x v="1"/>
    <x v="3"/>
    <x v="5"/>
    <x v="90"/>
    <x v="18"/>
  </r>
  <r>
    <x v="4"/>
    <x v="8"/>
    <x v="0"/>
    <x v="2"/>
    <x v="4"/>
    <x v="2"/>
    <x v="3"/>
    <x v="5"/>
    <x v="90"/>
    <x v="18"/>
  </r>
  <r>
    <x v="4"/>
    <x v="13"/>
    <x v="0"/>
    <x v="2"/>
    <x v="4"/>
    <x v="2"/>
    <x v="3"/>
    <x v="5"/>
    <x v="90"/>
    <x v="18"/>
  </r>
  <r>
    <x v="4"/>
    <x v="10"/>
    <x v="0"/>
    <x v="2"/>
    <x v="4"/>
    <x v="1"/>
    <x v="4"/>
    <x v="5"/>
    <x v="91"/>
    <x v="18"/>
  </r>
  <r>
    <x v="4"/>
    <x v="7"/>
    <x v="0"/>
    <x v="2"/>
    <x v="4"/>
    <x v="1"/>
    <x v="1"/>
    <x v="5"/>
    <x v="293"/>
    <x v="18"/>
  </r>
  <r>
    <x v="4"/>
    <x v="7"/>
    <x v="0"/>
    <x v="2"/>
    <x v="4"/>
    <x v="1"/>
    <x v="1"/>
    <x v="5"/>
    <x v="293"/>
    <x v="18"/>
  </r>
  <r>
    <x v="4"/>
    <x v="6"/>
    <x v="0"/>
    <x v="2"/>
    <x v="4"/>
    <x v="0"/>
    <x v="1"/>
    <x v="5"/>
    <x v="293"/>
    <x v="18"/>
  </r>
  <r>
    <x v="4"/>
    <x v="9"/>
    <x v="0"/>
    <x v="2"/>
    <x v="4"/>
    <x v="1"/>
    <x v="2"/>
    <x v="5"/>
    <x v="93"/>
    <x v="18"/>
  </r>
  <r>
    <x v="4"/>
    <x v="9"/>
    <x v="0"/>
    <x v="2"/>
    <x v="4"/>
    <x v="1"/>
    <x v="6"/>
    <x v="5"/>
    <x v="94"/>
    <x v="18"/>
  </r>
  <r>
    <x v="4"/>
    <x v="9"/>
    <x v="0"/>
    <x v="2"/>
    <x v="4"/>
    <x v="1"/>
    <x v="6"/>
    <x v="5"/>
    <x v="94"/>
    <x v="18"/>
  </r>
  <r>
    <x v="4"/>
    <x v="9"/>
    <x v="0"/>
    <x v="2"/>
    <x v="4"/>
    <x v="1"/>
    <x v="3"/>
    <x v="5"/>
    <x v="95"/>
    <x v="18"/>
  </r>
  <r>
    <x v="4"/>
    <x v="7"/>
    <x v="0"/>
    <x v="2"/>
    <x v="4"/>
    <x v="1"/>
    <x v="3"/>
    <x v="5"/>
    <x v="95"/>
    <x v="18"/>
  </r>
  <r>
    <x v="4"/>
    <x v="10"/>
    <x v="0"/>
    <x v="2"/>
    <x v="4"/>
    <x v="1"/>
    <x v="4"/>
    <x v="5"/>
    <x v="96"/>
    <x v="18"/>
  </r>
  <r>
    <x v="4"/>
    <x v="9"/>
    <x v="0"/>
    <x v="2"/>
    <x v="4"/>
    <x v="1"/>
    <x v="0"/>
    <x v="5"/>
    <x v="97"/>
    <x v="18"/>
  </r>
  <r>
    <x v="4"/>
    <x v="1"/>
    <x v="0"/>
    <x v="2"/>
    <x v="4"/>
    <x v="1"/>
    <x v="0"/>
    <x v="5"/>
    <x v="97"/>
    <x v="18"/>
  </r>
  <r>
    <x v="4"/>
    <x v="9"/>
    <x v="0"/>
    <x v="2"/>
    <x v="4"/>
    <x v="1"/>
    <x v="1"/>
    <x v="5"/>
    <x v="98"/>
    <x v="18"/>
  </r>
  <r>
    <x v="4"/>
    <x v="9"/>
    <x v="0"/>
    <x v="2"/>
    <x v="4"/>
    <x v="1"/>
    <x v="1"/>
    <x v="5"/>
    <x v="98"/>
    <x v="18"/>
  </r>
  <r>
    <x v="4"/>
    <x v="9"/>
    <x v="0"/>
    <x v="2"/>
    <x v="4"/>
    <x v="1"/>
    <x v="1"/>
    <x v="5"/>
    <x v="98"/>
    <x v="18"/>
  </r>
  <r>
    <x v="4"/>
    <x v="9"/>
    <x v="0"/>
    <x v="2"/>
    <x v="4"/>
    <x v="1"/>
    <x v="2"/>
    <x v="5"/>
    <x v="99"/>
    <x v="18"/>
  </r>
  <r>
    <x v="4"/>
    <x v="9"/>
    <x v="0"/>
    <x v="2"/>
    <x v="4"/>
    <x v="1"/>
    <x v="5"/>
    <x v="5"/>
    <x v="100"/>
    <x v="18"/>
  </r>
  <r>
    <x v="4"/>
    <x v="10"/>
    <x v="0"/>
    <x v="2"/>
    <x v="4"/>
    <x v="1"/>
    <x v="1"/>
    <x v="5"/>
    <x v="296"/>
    <x v="18"/>
  </r>
  <r>
    <x v="4"/>
    <x v="7"/>
    <x v="0"/>
    <x v="2"/>
    <x v="4"/>
    <x v="1"/>
    <x v="1"/>
    <x v="5"/>
    <x v="296"/>
    <x v="18"/>
  </r>
  <r>
    <x v="4"/>
    <x v="7"/>
    <x v="0"/>
    <x v="2"/>
    <x v="4"/>
    <x v="1"/>
    <x v="1"/>
    <x v="5"/>
    <x v="296"/>
    <x v="18"/>
  </r>
  <r>
    <x v="4"/>
    <x v="10"/>
    <x v="0"/>
    <x v="2"/>
    <x v="4"/>
    <x v="1"/>
    <x v="2"/>
    <x v="6"/>
    <x v="103"/>
    <x v="18"/>
  </r>
  <r>
    <x v="4"/>
    <x v="4"/>
    <x v="0"/>
    <x v="2"/>
    <x v="4"/>
    <x v="0"/>
    <x v="6"/>
    <x v="6"/>
    <x v="297"/>
    <x v="18"/>
  </r>
  <r>
    <x v="4"/>
    <x v="10"/>
    <x v="0"/>
    <x v="2"/>
    <x v="4"/>
    <x v="1"/>
    <x v="1"/>
    <x v="6"/>
    <x v="108"/>
    <x v="18"/>
  </r>
  <r>
    <x v="4"/>
    <x v="10"/>
    <x v="0"/>
    <x v="2"/>
    <x v="4"/>
    <x v="1"/>
    <x v="1"/>
    <x v="6"/>
    <x v="108"/>
    <x v="18"/>
  </r>
  <r>
    <x v="4"/>
    <x v="10"/>
    <x v="0"/>
    <x v="2"/>
    <x v="4"/>
    <x v="1"/>
    <x v="1"/>
    <x v="6"/>
    <x v="108"/>
    <x v="18"/>
  </r>
  <r>
    <x v="4"/>
    <x v="1"/>
    <x v="0"/>
    <x v="2"/>
    <x v="4"/>
    <x v="1"/>
    <x v="1"/>
    <x v="6"/>
    <x v="108"/>
    <x v="18"/>
  </r>
  <r>
    <x v="4"/>
    <x v="9"/>
    <x v="0"/>
    <x v="2"/>
    <x v="4"/>
    <x v="1"/>
    <x v="2"/>
    <x v="6"/>
    <x v="109"/>
    <x v="18"/>
  </r>
  <r>
    <x v="4"/>
    <x v="10"/>
    <x v="0"/>
    <x v="2"/>
    <x v="4"/>
    <x v="1"/>
    <x v="2"/>
    <x v="6"/>
    <x v="109"/>
    <x v="18"/>
  </r>
  <r>
    <x v="4"/>
    <x v="10"/>
    <x v="0"/>
    <x v="2"/>
    <x v="4"/>
    <x v="1"/>
    <x v="2"/>
    <x v="6"/>
    <x v="109"/>
    <x v="18"/>
  </r>
  <r>
    <x v="4"/>
    <x v="1"/>
    <x v="0"/>
    <x v="2"/>
    <x v="4"/>
    <x v="1"/>
    <x v="2"/>
    <x v="6"/>
    <x v="109"/>
    <x v="18"/>
  </r>
  <r>
    <x v="4"/>
    <x v="4"/>
    <x v="0"/>
    <x v="2"/>
    <x v="4"/>
    <x v="0"/>
    <x v="2"/>
    <x v="6"/>
    <x v="109"/>
    <x v="18"/>
  </r>
  <r>
    <x v="4"/>
    <x v="5"/>
    <x v="0"/>
    <x v="2"/>
    <x v="4"/>
    <x v="0"/>
    <x v="6"/>
    <x v="6"/>
    <x v="111"/>
    <x v="18"/>
  </r>
  <r>
    <x v="4"/>
    <x v="5"/>
    <x v="0"/>
    <x v="2"/>
    <x v="4"/>
    <x v="0"/>
    <x v="6"/>
    <x v="6"/>
    <x v="111"/>
    <x v="18"/>
  </r>
  <r>
    <x v="4"/>
    <x v="15"/>
    <x v="0"/>
    <x v="2"/>
    <x v="4"/>
    <x v="2"/>
    <x v="3"/>
    <x v="6"/>
    <x v="298"/>
    <x v="18"/>
  </r>
  <r>
    <x v="4"/>
    <x v="4"/>
    <x v="0"/>
    <x v="2"/>
    <x v="4"/>
    <x v="0"/>
    <x v="4"/>
    <x v="6"/>
    <x v="112"/>
    <x v="18"/>
  </r>
  <r>
    <x v="4"/>
    <x v="4"/>
    <x v="0"/>
    <x v="2"/>
    <x v="4"/>
    <x v="0"/>
    <x v="4"/>
    <x v="6"/>
    <x v="112"/>
    <x v="18"/>
  </r>
  <r>
    <x v="4"/>
    <x v="4"/>
    <x v="0"/>
    <x v="2"/>
    <x v="4"/>
    <x v="0"/>
    <x v="4"/>
    <x v="6"/>
    <x v="112"/>
    <x v="18"/>
  </r>
  <r>
    <x v="4"/>
    <x v="4"/>
    <x v="0"/>
    <x v="2"/>
    <x v="4"/>
    <x v="0"/>
    <x v="4"/>
    <x v="6"/>
    <x v="112"/>
    <x v="18"/>
  </r>
  <r>
    <x v="4"/>
    <x v="15"/>
    <x v="0"/>
    <x v="2"/>
    <x v="4"/>
    <x v="2"/>
    <x v="4"/>
    <x v="6"/>
    <x v="112"/>
    <x v="18"/>
  </r>
  <r>
    <x v="4"/>
    <x v="2"/>
    <x v="0"/>
    <x v="2"/>
    <x v="4"/>
    <x v="0"/>
    <x v="2"/>
    <x v="6"/>
    <x v="113"/>
    <x v="18"/>
  </r>
  <r>
    <x v="4"/>
    <x v="2"/>
    <x v="0"/>
    <x v="2"/>
    <x v="4"/>
    <x v="0"/>
    <x v="2"/>
    <x v="6"/>
    <x v="113"/>
    <x v="18"/>
  </r>
  <r>
    <x v="4"/>
    <x v="12"/>
    <x v="0"/>
    <x v="2"/>
    <x v="4"/>
    <x v="1"/>
    <x v="6"/>
    <x v="6"/>
    <x v="301"/>
    <x v="18"/>
  </r>
  <r>
    <x v="4"/>
    <x v="9"/>
    <x v="0"/>
    <x v="2"/>
    <x v="4"/>
    <x v="1"/>
    <x v="6"/>
    <x v="6"/>
    <x v="301"/>
    <x v="18"/>
  </r>
  <r>
    <x v="4"/>
    <x v="0"/>
    <x v="0"/>
    <x v="2"/>
    <x v="4"/>
    <x v="0"/>
    <x v="6"/>
    <x v="6"/>
    <x v="301"/>
    <x v="18"/>
  </r>
  <r>
    <x v="4"/>
    <x v="9"/>
    <x v="0"/>
    <x v="2"/>
    <x v="4"/>
    <x v="1"/>
    <x v="4"/>
    <x v="6"/>
    <x v="114"/>
    <x v="18"/>
  </r>
  <r>
    <x v="4"/>
    <x v="0"/>
    <x v="0"/>
    <x v="2"/>
    <x v="4"/>
    <x v="0"/>
    <x v="4"/>
    <x v="6"/>
    <x v="114"/>
    <x v="18"/>
  </r>
  <r>
    <x v="4"/>
    <x v="7"/>
    <x v="0"/>
    <x v="2"/>
    <x v="4"/>
    <x v="1"/>
    <x v="1"/>
    <x v="6"/>
    <x v="116"/>
    <x v="18"/>
  </r>
  <r>
    <x v="4"/>
    <x v="7"/>
    <x v="0"/>
    <x v="2"/>
    <x v="4"/>
    <x v="1"/>
    <x v="1"/>
    <x v="6"/>
    <x v="116"/>
    <x v="18"/>
  </r>
  <r>
    <x v="4"/>
    <x v="7"/>
    <x v="0"/>
    <x v="2"/>
    <x v="4"/>
    <x v="1"/>
    <x v="2"/>
    <x v="6"/>
    <x v="117"/>
    <x v="18"/>
  </r>
  <r>
    <x v="4"/>
    <x v="7"/>
    <x v="0"/>
    <x v="2"/>
    <x v="4"/>
    <x v="1"/>
    <x v="2"/>
    <x v="6"/>
    <x v="117"/>
    <x v="18"/>
  </r>
  <r>
    <x v="4"/>
    <x v="1"/>
    <x v="0"/>
    <x v="2"/>
    <x v="4"/>
    <x v="1"/>
    <x v="5"/>
    <x v="6"/>
    <x v="118"/>
    <x v="18"/>
  </r>
  <r>
    <x v="4"/>
    <x v="2"/>
    <x v="0"/>
    <x v="2"/>
    <x v="4"/>
    <x v="0"/>
    <x v="6"/>
    <x v="6"/>
    <x v="119"/>
    <x v="18"/>
  </r>
  <r>
    <x v="4"/>
    <x v="7"/>
    <x v="0"/>
    <x v="2"/>
    <x v="4"/>
    <x v="1"/>
    <x v="3"/>
    <x v="6"/>
    <x v="120"/>
    <x v="18"/>
  </r>
  <r>
    <x v="4"/>
    <x v="11"/>
    <x v="0"/>
    <x v="2"/>
    <x v="4"/>
    <x v="2"/>
    <x v="4"/>
    <x v="6"/>
    <x v="303"/>
    <x v="18"/>
  </r>
  <r>
    <x v="4"/>
    <x v="10"/>
    <x v="0"/>
    <x v="2"/>
    <x v="4"/>
    <x v="1"/>
    <x v="0"/>
    <x v="6"/>
    <x v="121"/>
    <x v="18"/>
  </r>
  <r>
    <x v="4"/>
    <x v="11"/>
    <x v="0"/>
    <x v="3"/>
    <x v="4"/>
    <x v="2"/>
    <x v="1"/>
    <x v="6"/>
    <x v="304"/>
    <x v="19"/>
  </r>
  <r>
    <x v="4"/>
    <x v="4"/>
    <x v="0"/>
    <x v="3"/>
    <x v="4"/>
    <x v="0"/>
    <x v="2"/>
    <x v="6"/>
    <x v="122"/>
    <x v="19"/>
  </r>
  <r>
    <x v="4"/>
    <x v="9"/>
    <x v="0"/>
    <x v="3"/>
    <x v="4"/>
    <x v="1"/>
    <x v="5"/>
    <x v="6"/>
    <x v="305"/>
    <x v="19"/>
  </r>
  <r>
    <x v="4"/>
    <x v="9"/>
    <x v="0"/>
    <x v="3"/>
    <x v="4"/>
    <x v="1"/>
    <x v="5"/>
    <x v="6"/>
    <x v="305"/>
    <x v="19"/>
  </r>
  <r>
    <x v="4"/>
    <x v="1"/>
    <x v="0"/>
    <x v="3"/>
    <x v="4"/>
    <x v="1"/>
    <x v="5"/>
    <x v="6"/>
    <x v="305"/>
    <x v="19"/>
  </r>
  <r>
    <x v="4"/>
    <x v="13"/>
    <x v="0"/>
    <x v="3"/>
    <x v="4"/>
    <x v="2"/>
    <x v="5"/>
    <x v="6"/>
    <x v="305"/>
    <x v="19"/>
  </r>
  <r>
    <x v="4"/>
    <x v="9"/>
    <x v="0"/>
    <x v="3"/>
    <x v="4"/>
    <x v="1"/>
    <x v="3"/>
    <x v="7"/>
    <x v="306"/>
    <x v="19"/>
  </r>
  <r>
    <x v="4"/>
    <x v="14"/>
    <x v="0"/>
    <x v="3"/>
    <x v="4"/>
    <x v="2"/>
    <x v="4"/>
    <x v="7"/>
    <x v="307"/>
    <x v="19"/>
  </r>
  <r>
    <x v="4"/>
    <x v="10"/>
    <x v="0"/>
    <x v="3"/>
    <x v="4"/>
    <x v="1"/>
    <x v="0"/>
    <x v="7"/>
    <x v="124"/>
    <x v="19"/>
  </r>
  <r>
    <x v="4"/>
    <x v="10"/>
    <x v="0"/>
    <x v="3"/>
    <x v="4"/>
    <x v="1"/>
    <x v="0"/>
    <x v="7"/>
    <x v="124"/>
    <x v="19"/>
  </r>
  <r>
    <x v="4"/>
    <x v="10"/>
    <x v="0"/>
    <x v="3"/>
    <x v="4"/>
    <x v="1"/>
    <x v="1"/>
    <x v="7"/>
    <x v="125"/>
    <x v="19"/>
  </r>
  <r>
    <x v="4"/>
    <x v="10"/>
    <x v="0"/>
    <x v="3"/>
    <x v="4"/>
    <x v="1"/>
    <x v="1"/>
    <x v="7"/>
    <x v="125"/>
    <x v="19"/>
  </r>
  <r>
    <x v="4"/>
    <x v="9"/>
    <x v="0"/>
    <x v="3"/>
    <x v="4"/>
    <x v="1"/>
    <x v="2"/>
    <x v="7"/>
    <x v="126"/>
    <x v="19"/>
  </r>
  <r>
    <x v="4"/>
    <x v="1"/>
    <x v="0"/>
    <x v="3"/>
    <x v="4"/>
    <x v="1"/>
    <x v="2"/>
    <x v="7"/>
    <x v="126"/>
    <x v="19"/>
  </r>
  <r>
    <x v="4"/>
    <x v="1"/>
    <x v="0"/>
    <x v="3"/>
    <x v="4"/>
    <x v="1"/>
    <x v="4"/>
    <x v="7"/>
    <x v="130"/>
    <x v="19"/>
  </r>
  <r>
    <x v="4"/>
    <x v="1"/>
    <x v="0"/>
    <x v="3"/>
    <x v="4"/>
    <x v="1"/>
    <x v="4"/>
    <x v="7"/>
    <x v="130"/>
    <x v="19"/>
  </r>
  <r>
    <x v="4"/>
    <x v="9"/>
    <x v="0"/>
    <x v="3"/>
    <x v="4"/>
    <x v="1"/>
    <x v="0"/>
    <x v="7"/>
    <x v="131"/>
    <x v="19"/>
  </r>
  <r>
    <x v="4"/>
    <x v="10"/>
    <x v="0"/>
    <x v="3"/>
    <x v="4"/>
    <x v="1"/>
    <x v="0"/>
    <x v="7"/>
    <x v="131"/>
    <x v="19"/>
  </r>
  <r>
    <x v="4"/>
    <x v="9"/>
    <x v="0"/>
    <x v="3"/>
    <x v="4"/>
    <x v="1"/>
    <x v="1"/>
    <x v="7"/>
    <x v="308"/>
    <x v="19"/>
  </r>
  <r>
    <x v="4"/>
    <x v="1"/>
    <x v="0"/>
    <x v="3"/>
    <x v="4"/>
    <x v="1"/>
    <x v="1"/>
    <x v="7"/>
    <x v="308"/>
    <x v="19"/>
  </r>
  <r>
    <x v="4"/>
    <x v="1"/>
    <x v="0"/>
    <x v="3"/>
    <x v="4"/>
    <x v="1"/>
    <x v="1"/>
    <x v="7"/>
    <x v="308"/>
    <x v="19"/>
  </r>
  <r>
    <x v="4"/>
    <x v="10"/>
    <x v="0"/>
    <x v="3"/>
    <x v="4"/>
    <x v="1"/>
    <x v="2"/>
    <x v="7"/>
    <x v="309"/>
    <x v="19"/>
  </r>
  <r>
    <x v="4"/>
    <x v="0"/>
    <x v="0"/>
    <x v="3"/>
    <x v="4"/>
    <x v="0"/>
    <x v="2"/>
    <x v="7"/>
    <x v="309"/>
    <x v="19"/>
  </r>
  <r>
    <x v="4"/>
    <x v="0"/>
    <x v="0"/>
    <x v="3"/>
    <x v="4"/>
    <x v="0"/>
    <x v="2"/>
    <x v="7"/>
    <x v="309"/>
    <x v="19"/>
  </r>
  <r>
    <x v="4"/>
    <x v="1"/>
    <x v="0"/>
    <x v="3"/>
    <x v="4"/>
    <x v="1"/>
    <x v="5"/>
    <x v="7"/>
    <x v="132"/>
    <x v="19"/>
  </r>
  <r>
    <x v="4"/>
    <x v="9"/>
    <x v="0"/>
    <x v="3"/>
    <x v="4"/>
    <x v="1"/>
    <x v="6"/>
    <x v="7"/>
    <x v="133"/>
    <x v="19"/>
  </r>
  <r>
    <x v="4"/>
    <x v="2"/>
    <x v="0"/>
    <x v="3"/>
    <x v="4"/>
    <x v="0"/>
    <x v="2"/>
    <x v="7"/>
    <x v="311"/>
    <x v="19"/>
  </r>
  <r>
    <x v="4"/>
    <x v="15"/>
    <x v="0"/>
    <x v="3"/>
    <x v="4"/>
    <x v="2"/>
    <x v="2"/>
    <x v="7"/>
    <x v="311"/>
    <x v="19"/>
  </r>
  <r>
    <x v="4"/>
    <x v="1"/>
    <x v="0"/>
    <x v="3"/>
    <x v="4"/>
    <x v="1"/>
    <x v="5"/>
    <x v="7"/>
    <x v="137"/>
    <x v="19"/>
  </r>
  <r>
    <x v="4"/>
    <x v="1"/>
    <x v="0"/>
    <x v="3"/>
    <x v="4"/>
    <x v="1"/>
    <x v="5"/>
    <x v="7"/>
    <x v="137"/>
    <x v="19"/>
  </r>
  <r>
    <x v="4"/>
    <x v="5"/>
    <x v="0"/>
    <x v="3"/>
    <x v="4"/>
    <x v="0"/>
    <x v="5"/>
    <x v="7"/>
    <x v="137"/>
    <x v="19"/>
  </r>
  <r>
    <x v="4"/>
    <x v="10"/>
    <x v="0"/>
    <x v="3"/>
    <x v="4"/>
    <x v="1"/>
    <x v="6"/>
    <x v="7"/>
    <x v="138"/>
    <x v="19"/>
  </r>
  <r>
    <x v="4"/>
    <x v="1"/>
    <x v="0"/>
    <x v="3"/>
    <x v="4"/>
    <x v="1"/>
    <x v="6"/>
    <x v="7"/>
    <x v="138"/>
    <x v="19"/>
  </r>
  <r>
    <x v="4"/>
    <x v="1"/>
    <x v="0"/>
    <x v="3"/>
    <x v="4"/>
    <x v="1"/>
    <x v="3"/>
    <x v="7"/>
    <x v="312"/>
    <x v="19"/>
  </r>
  <r>
    <x v="4"/>
    <x v="4"/>
    <x v="0"/>
    <x v="3"/>
    <x v="4"/>
    <x v="0"/>
    <x v="0"/>
    <x v="7"/>
    <x v="140"/>
    <x v="19"/>
  </r>
  <r>
    <x v="4"/>
    <x v="9"/>
    <x v="0"/>
    <x v="3"/>
    <x v="4"/>
    <x v="1"/>
    <x v="1"/>
    <x v="7"/>
    <x v="141"/>
    <x v="19"/>
  </r>
  <r>
    <x v="4"/>
    <x v="5"/>
    <x v="0"/>
    <x v="3"/>
    <x v="4"/>
    <x v="0"/>
    <x v="1"/>
    <x v="7"/>
    <x v="141"/>
    <x v="19"/>
  </r>
  <r>
    <x v="4"/>
    <x v="5"/>
    <x v="0"/>
    <x v="3"/>
    <x v="4"/>
    <x v="0"/>
    <x v="1"/>
    <x v="7"/>
    <x v="141"/>
    <x v="19"/>
  </r>
  <r>
    <x v="4"/>
    <x v="2"/>
    <x v="0"/>
    <x v="3"/>
    <x v="4"/>
    <x v="0"/>
    <x v="6"/>
    <x v="7"/>
    <x v="314"/>
    <x v="19"/>
  </r>
  <r>
    <x v="4"/>
    <x v="2"/>
    <x v="0"/>
    <x v="3"/>
    <x v="4"/>
    <x v="0"/>
    <x v="6"/>
    <x v="7"/>
    <x v="314"/>
    <x v="19"/>
  </r>
  <r>
    <x v="4"/>
    <x v="5"/>
    <x v="0"/>
    <x v="3"/>
    <x v="4"/>
    <x v="0"/>
    <x v="0"/>
    <x v="8"/>
    <x v="144"/>
    <x v="19"/>
  </r>
  <r>
    <x v="4"/>
    <x v="9"/>
    <x v="0"/>
    <x v="3"/>
    <x v="4"/>
    <x v="1"/>
    <x v="1"/>
    <x v="8"/>
    <x v="145"/>
    <x v="19"/>
  </r>
  <r>
    <x v="4"/>
    <x v="9"/>
    <x v="0"/>
    <x v="3"/>
    <x v="4"/>
    <x v="1"/>
    <x v="2"/>
    <x v="8"/>
    <x v="146"/>
    <x v="19"/>
  </r>
  <r>
    <x v="4"/>
    <x v="7"/>
    <x v="0"/>
    <x v="3"/>
    <x v="4"/>
    <x v="1"/>
    <x v="1"/>
    <x v="8"/>
    <x v="151"/>
    <x v="19"/>
  </r>
  <r>
    <x v="4"/>
    <x v="7"/>
    <x v="0"/>
    <x v="3"/>
    <x v="4"/>
    <x v="1"/>
    <x v="1"/>
    <x v="8"/>
    <x v="151"/>
    <x v="19"/>
  </r>
  <r>
    <x v="4"/>
    <x v="1"/>
    <x v="0"/>
    <x v="3"/>
    <x v="4"/>
    <x v="1"/>
    <x v="5"/>
    <x v="8"/>
    <x v="317"/>
    <x v="19"/>
  </r>
  <r>
    <x v="4"/>
    <x v="1"/>
    <x v="0"/>
    <x v="3"/>
    <x v="4"/>
    <x v="1"/>
    <x v="1"/>
    <x v="8"/>
    <x v="155"/>
    <x v="19"/>
  </r>
  <r>
    <x v="4"/>
    <x v="1"/>
    <x v="0"/>
    <x v="3"/>
    <x v="4"/>
    <x v="1"/>
    <x v="1"/>
    <x v="8"/>
    <x v="155"/>
    <x v="19"/>
  </r>
  <r>
    <x v="4"/>
    <x v="7"/>
    <x v="0"/>
    <x v="3"/>
    <x v="4"/>
    <x v="1"/>
    <x v="4"/>
    <x v="8"/>
    <x v="322"/>
    <x v="19"/>
  </r>
  <r>
    <x v="4"/>
    <x v="3"/>
    <x v="0"/>
    <x v="3"/>
    <x v="4"/>
    <x v="2"/>
    <x v="4"/>
    <x v="8"/>
    <x v="322"/>
    <x v="19"/>
  </r>
  <r>
    <x v="4"/>
    <x v="10"/>
    <x v="0"/>
    <x v="3"/>
    <x v="4"/>
    <x v="1"/>
    <x v="1"/>
    <x v="8"/>
    <x v="157"/>
    <x v="19"/>
  </r>
  <r>
    <x v="4"/>
    <x v="10"/>
    <x v="0"/>
    <x v="3"/>
    <x v="4"/>
    <x v="1"/>
    <x v="1"/>
    <x v="8"/>
    <x v="157"/>
    <x v="19"/>
  </r>
  <r>
    <x v="4"/>
    <x v="1"/>
    <x v="0"/>
    <x v="3"/>
    <x v="4"/>
    <x v="1"/>
    <x v="5"/>
    <x v="8"/>
    <x v="323"/>
    <x v="19"/>
  </r>
  <r>
    <x v="4"/>
    <x v="7"/>
    <x v="0"/>
    <x v="3"/>
    <x v="4"/>
    <x v="1"/>
    <x v="5"/>
    <x v="9"/>
    <x v="160"/>
    <x v="19"/>
  </r>
  <r>
    <x v="4"/>
    <x v="9"/>
    <x v="0"/>
    <x v="3"/>
    <x v="4"/>
    <x v="1"/>
    <x v="3"/>
    <x v="9"/>
    <x v="162"/>
    <x v="19"/>
  </r>
  <r>
    <x v="4"/>
    <x v="10"/>
    <x v="0"/>
    <x v="3"/>
    <x v="4"/>
    <x v="1"/>
    <x v="4"/>
    <x v="9"/>
    <x v="163"/>
    <x v="19"/>
  </r>
  <r>
    <x v="4"/>
    <x v="9"/>
    <x v="0"/>
    <x v="3"/>
    <x v="4"/>
    <x v="1"/>
    <x v="2"/>
    <x v="9"/>
    <x v="327"/>
    <x v="19"/>
  </r>
  <r>
    <x v="4"/>
    <x v="4"/>
    <x v="0"/>
    <x v="3"/>
    <x v="4"/>
    <x v="0"/>
    <x v="2"/>
    <x v="9"/>
    <x v="327"/>
    <x v="19"/>
  </r>
  <r>
    <x v="4"/>
    <x v="0"/>
    <x v="0"/>
    <x v="3"/>
    <x v="4"/>
    <x v="0"/>
    <x v="5"/>
    <x v="9"/>
    <x v="165"/>
    <x v="19"/>
  </r>
  <r>
    <x v="4"/>
    <x v="4"/>
    <x v="0"/>
    <x v="3"/>
    <x v="4"/>
    <x v="0"/>
    <x v="6"/>
    <x v="9"/>
    <x v="371"/>
    <x v="19"/>
  </r>
  <r>
    <x v="4"/>
    <x v="1"/>
    <x v="0"/>
    <x v="3"/>
    <x v="4"/>
    <x v="1"/>
    <x v="3"/>
    <x v="9"/>
    <x v="365"/>
    <x v="19"/>
  </r>
  <r>
    <x v="4"/>
    <x v="9"/>
    <x v="0"/>
    <x v="3"/>
    <x v="4"/>
    <x v="1"/>
    <x v="6"/>
    <x v="9"/>
    <x v="169"/>
    <x v="19"/>
  </r>
  <r>
    <x v="4"/>
    <x v="9"/>
    <x v="0"/>
    <x v="3"/>
    <x v="4"/>
    <x v="1"/>
    <x v="0"/>
    <x v="9"/>
    <x v="331"/>
    <x v="19"/>
  </r>
  <r>
    <x v="4"/>
    <x v="1"/>
    <x v="0"/>
    <x v="3"/>
    <x v="4"/>
    <x v="1"/>
    <x v="0"/>
    <x v="9"/>
    <x v="331"/>
    <x v="19"/>
  </r>
  <r>
    <x v="4"/>
    <x v="2"/>
    <x v="0"/>
    <x v="3"/>
    <x v="4"/>
    <x v="0"/>
    <x v="0"/>
    <x v="9"/>
    <x v="331"/>
    <x v="19"/>
  </r>
  <r>
    <x v="4"/>
    <x v="8"/>
    <x v="0"/>
    <x v="3"/>
    <x v="4"/>
    <x v="2"/>
    <x v="1"/>
    <x v="9"/>
    <x v="170"/>
    <x v="19"/>
  </r>
  <r>
    <x v="4"/>
    <x v="13"/>
    <x v="0"/>
    <x v="3"/>
    <x v="4"/>
    <x v="2"/>
    <x v="1"/>
    <x v="9"/>
    <x v="170"/>
    <x v="19"/>
  </r>
  <r>
    <x v="4"/>
    <x v="15"/>
    <x v="0"/>
    <x v="3"/>
    <x v="4"/>
    <x v="2"/>
    <x v="1"/>
    <x v="9"/>
    <x v="170"/>
    <x v="19"/>
  </r>
  <r>
    <x v="4"/>
    <x v="11"/>
    <x v="0"/>
    <x v="3"/>
    <x v="4"/>
    <x v="2"/>
    <x v="1"/>
    <x v="9"/>
    <x v="170"/>
    <x v="19"/>
  </r>
  <r>
    <x v="4"/>
    <x v="15"/>
    <x v="0"/>
    <x v="3"/>
    <x v="4"/>
    <x v="2"/>
    <x v="2"/>
    <x v="9"/>
    <x v="361"/>
    <x v="19"/>
  </r>
  <r>
    <x v="4"/>
    <x v="10"/>
    <x v="0"/>
    <x v="3"/>
    <x v="4"/>
    <x v="1"/>
    <x v="5"/>
    <x v="9"/>
    <x v="332"/>
    <x v="19"/>
  </r>
  <r>
    <x v="4"/>
    <x v="3"/>
    <x v="0"/>
    <x v="3"/>
    <x v="4"/>
    <x v="2"/>
    <x v="5"/>
    <x v="9"/>
    <x v="332"/>
    <x v="19"/>
  </r>
  <r>
    <x v="4"/>
    <x v="14"/>
    <x v="0"/>
    <x v="3"/>
    <x v="4"/>
    <x v="2"/>
    <x v="5"/>
    <x v="9"/>
    <x v="332"/>
    <x v="19"/>
  </r>
  <r>
    <x v="4"/>
    <x v="3"/>
    <x v="0"/>
    <x v="3"/>
    <x v="4"/>
    <x v="2"/>
    <x v="6"/>
    <x v="9"/>
    <x v="333"/>
    <x v="19"/>
  </r>
  <r>
    <x v="4"/>
    <x v="9"/>
    <x v="0"/>
    <x v="3"/>
    <x v="4"/>
    <x v="1"/>
    <x v="0"/>
    <x v="9"/>
    <x v="172"/>
    <x v="19"/>
  </r>
  <r>
    <x v="4"/>
    <x v="10"/>
    <x v="0"/>
    <x v="3"/>
    <x v="4"/>
    <x v="1"/>
    <x v="0"/>
    <x v="9"/>
    <x v="172"/>
    <x v="19"/>
  </r>
  <r>
    <x v="4"/>
    <x v="10"/>
    <x v="0"/>
    <x v="3"/>
    <x v="4"/>
    <x v="1"/>
    <x v="1"/>
    <x v="9"/>
    <x v="334"/>
    <x v="19"/>
  </r>
  <r>
    <x v="4"/>
    <x v="10"/>
    <x v="0"/>
    <x v="3"/>
    <x v="4"/>
    <x v="1"/>
    <x v="1"/>
    <x v="9"/>
    <x v="334"/>
    <x v="19"/>
  </r>
  <r>
    <x v="4"/>
    <x v="0"/>
    <x v="0"/>
    <x v="3"/>
    <x v="4"/>
    <x v="0"/>
    <x v="2"/>
    <x v="9"/>
    <x v="173"/>
    <x v="19"/>
  </r>
  <r>
    <x v="4"/>
    <x v="3"/>
    <x v="0"/>
    <x v="3"/>
    <x v="4"/>
    <x v="2"/>
    <x v="2"/>
    <x v="9"/>
    <x v="173"/>
    <x v="19"/>
  </r>
  <r>
    <x v="4"/>
    <x v="13"/>
    <x v="0"/>
    <x v="3"/>
    <x v="4"/>
    <x v="2"/>
    <x v="2"/>
    <x v="9"/>
    <x v="173"/>
    <x v="19"/>
  </r>
  <r>
    <x v="4"/>
    <x v="10"/>
    <x v="0"/>
    <x v="3"/>
    <x v="4"/>
    <x v="1"/>
    <x v="5"/>
    <x v="9"/>
    <x v="174"/>
    <x v="19"/>
  </r>
  <r>
    <x v="4"/>
    <x v="9"/>
    <x v="0"/>
    <x v="3"/>
    <x v="4"/>
    <x v="1"/>
    <x v="6"/>
    <x v="9"/>
    <x v="175"/>
    <x v="19"/>
  </r>
  <r>
    <x v="4"/>
    <x v="10"/>
    <x v="0"/>
    <x v="3"/>
    <x v="4"/>
    <x v="1"/>
    <x v="6"/>
    <x v="9"/>
    <x v="175"/>
    <x v="19"/>
  </r>
  <r>
    <x v="4"/>
    <x v="2"/>
    <x v="0"/>
    <x v="3"/>
    <x v="4"/>
    <x v="0"/>
    <x v="4"/>
    <x v="10"/>
    <x v="176"/>
    <x v="19"/>
  </r>
  <r>
    <x v="4"/>
    <x v="2"/>
    <x v="0"/>
    <x v="3"/>
    <x v="4"/>
    <x v="0"/>
    <x v="4"/>
    <x v="10"/>
    <x v="176"/>
    <x v="19"/>
  </r>
  <r>
    <x v="4"/>
    <x v="10"/>
    <x v="0"/>
    <x v="3"/>
    <x v="4"/>
    <x v="1"/>
    <x v="0"/>
    <x v="10"/>
    <x v="177"/>
    <x v="19"/>
  </r>
  <r>
    <x v="4"/>
    <x v="9"/>
    <x v="0"/>
    <x v="3"/>
    <x v="4"/>
    <x v="1"/>
    <x v="1"/>
    <x v="10"/>
    <x v="178"/>
    <x v="19"/>
  </r>
  <r>
    <x v="4"/>
    <x v="6"/>
    <x v="0"/>
    <x v="3"/>
    <x v="4"/>
    <x v="0"/>
    <x v="1"/>
    <x v="10"/>
    <x v="178"/>
    <x v="19"/>
  </r>
  <r>
    <x v="4"/>
    <x v="1"/>
    <x v="0"/>
    <x v="3"/>
    <x v="4"/>
    <x v="1"/>
    <x v="3"/>
    <x v="10"/>
    <x v="336"/>
    <x v="19"/>
  </r>
  <r>
    <x v="4"/>
    <x v="5"/>
    <x v="0"/>
    <x v="3"/>
    <x v="4"/>
    <x v="0"/>
    <x v="4"/>
    <x v="10"/>
    <x v="180"/>
    <x v="19"/>
  </r>
  <r>
    <x v="4"/>
    <x v="3"/>
    <x v="0"/>
    <x v="3"/>
    <x v="4"/>
    <x v="2"/>
    <x v="1"/>
    <x v="10"/>
    <x v="181"/>
    <x v="19"/>
  </r>
  <r>
    <x v="4"/>
    <x v="3"/>
    <x v="0"/>
    <x v="3"/>
    <x v="4"/>
    <x v="2"/>
    <x v="1"/>
    <x v="10"/>
    <x v="181"/>
    <x v="19"/>
  </r>
  <r>
    <x v="4"/>
    <x v="0"/>
    <x v="0"/>
    <x v="3"/>
    <x v="4"/>
    <x v="0"/>
    <x v="5"/>
    <x v="10"/>
    <x v="338"/>
    <x v="19"/>
  </r>
  <r>
    <x v="4"/>
    <x v="10"/>
    <x v="0"/>
    <x v="3"/>
    <x v="4"/>
    <x v="1"/>
    <x v="6"/>
    <x v="10"/>
    <x v="339"/>
    <x v="19"/>
  </r>
  <r>
    <x v="4"/>
    <x v="4"/>
    <x v="0"/>
    <x v="3"/>
    <x v="4"/>
    <x v="0"/>
    <x v="4"/>
    <x v="10"/>
    <x v="340"/>
    <x v="19"/>
  </r>
  <r>
    <x v="4"/>
    <x v="15"/>
    <x v="0"/>
    <x v="3"/>
    <x v="4"/>
    <x v="2"/>
    <x v="4"/>
    <x v="10"/>
    <x v="340"/>
    <x v="19"/>
  </r>
  <r>
    <x v="4"/>
    <x v="7"/>
    <x v="0"/>
    <x v="3"/>
    <x v="4"/>
    <x v="1"/>
    <x v="5"/>
    <x v="10"/>
    <x v="184"/>
    <x v="19"/>
  </r>
  <r>
    <x v="4"/>
    <x v="4"/>
    <x v="0"/>
    <x v="3"/>
    <x v="4"/>
    <x v="0"/>
    <x v="5"/>
    <x v="10"/>
    <x v="184"/>
    <x v="19"/>
  </r>
  <r>
    <x v="4"/>
    <x v="9"/>
    <x v="0"/>
    <x v="3"/>
    <x v="4"/>
    <x v="1"/>
    <x v="6"/>
    <x v="10"/>
    <x v="185"/>
    <x v="19"/>
  </r>
  <r>
    <x v="4"/>
    <x v="0"/>
    <x v="0"/>
    <x v="3"/>
    <x v="4"/>
    <x v="0"/>
    <x v="0"/>
    <x v="10"/>
    <x v="186"/>
    <x v="19"/>
  </r>
  <r>
    <x v="4"/>
    <x v="9"/>
    <x v="0"/>
    <x v="3"/>
    <x v="4"/>
    <x v="1"/>
    <x v="5"/>
    <x v="10"/>
    <x v="189"/>
    <x v="19"/>
  </r>
  <r>
    <x v="4"/>
    <x v="5"/>
    <x v="0"/>
    <x v="3"/>
    <x v="4"/>
    <x v="0"/>
    <x v="5"/>
    <x v="10"/>
    <x v="189"/>
    <x v="19"/>
  </r>
  <r>
    <x v="4"/>
    <x v="6"/>
    <x v="0"/>
    <x v="3"/>
    <x v="4"/>
    <x v="0"/>
    <x v="6"/>
    <x v="10"/>
    <x v="190"/>
    <x v="19"/>
  </r>
  <r>
    <x v="4"/>
    <x v="7"/>
    <x v="0"/>
    <x v="3"/>
    <x v="4"/>
    <x v="1"/>
    <x v="4"/>
    <x v="10"/>
    <x v="192"/>
    <x v="19"/>
  </r>
  <r>
    <x v="4"/>
    <x v="8"/>
    <x v="0"/>
    <x v="3"/>
    <x v="4"/>
    <x v="2"/>
    <x v="4"/>
    <x v="10"/>
    <x v="192"/>
    <x v="19"/>
  </r>
  <r>
    <x v="4"/>
    <x v="0"/>
    <x v="0"/>
    <x v="3"/>
    <x v="4"/>
    <x v="0"/>
    <x v="1"/>
    <x v="11"/>
    <x v="344"/>
    <x v="19"/>
  </r>
  <r>
    <x v="4"/>
    <x v="0"/>
    <x v="0"/>
    <x v="3"/>
    <x v="4"/>
    <x v="0"/>
    <x v="1"/>
    <x v="11"/>
    <x v="344"/>
    <x v="19"/>
  </r>
  <r>
    <x v="4"/>
    <x v="0"/>
    <x v="0"/>
    <x v="3"/>
    <x v="4"/>
    <x v="0"/>
    <x v="6"/>
    <x v="11"/>
    <x v="195"/>
    <x v="19"/>
  </r>
  <r>
    <x v="4"/>
    <x v="13"/>
    <x v="0"/>
    <x v="3"/>
    <x v="4"/>
    <x v="2"/>
    <x v="6"/>
    <x v="11"/>
    <x v="195"/>
    <x v="19"/>
  </r>
  <r>
    <x v="4"/>
    <x v="6"/>
    <x v="0"/>
    <x v="3"/>
    <x v="4"/>
    <x v="0"/>
    <x v="0"/>
    <x v="11"/>
    <x v="198"/>
    <x v="19"/>
  </r>
  <r>
    <x v="4"/>
    <x v="8"/>
    <x v="0"/>
    <x v="3"/>
    <x v="4"/>
    <x v="2"/>
    <x v="0"/>
    <x v="11"/>
    <x v="198"/>
    <x v="19"/>
  </r>
  <r>
    <x v="4"/>
    <x v="14"/>
    <x v="0"/>
    <x v="3"/>
    <x v="4"/>
    <x v="2"/>
    <x v="0"/>
    <x v="11"/>
    <x v="198"/>
    <x v="19"/>
  </r>
  <r>
    <x v="4"/>
    <x v="7"/>
    <x v="0"/>
    <x v="3"/>
    <x v="4"/>
    <x v="1"/>
    <x v="1"/>
    <x v="11"/>
    <x v="199"/>
    <x v="19"/>
  </r>
  <r>
    <x v="4"/>
    <x v="6"/>
    <x v="0"/>
    <x v="3"/>
    <x v="4"/>
    <x v="0"/>
    <x v="2"/>
    <x v="11"/>
    <x v="200"/>
    <x v="19"/>
  </r>
  <r>
    <x v="4"/>
    <x v="5"/>
    <x v="0"/>
    <x v="3"/>
    <x v="4"/>
    <x v="0"/>
    <x v="3"/>
    <x v="11"/>
    <x v="217"/>
    <x v="19"/>
  </r>
  <r>
    <x v="4"/>
    <x v="8"/>
    <x v="0"/>
    <x v="3"/>
    <x v="4"/>
    <x v="2"/>
    <x v="3"/>
    <x v="0"/>
    <x v="238"/>
    <x v="19"/>
  </r>
  <r>
    <x v="4"/>
    <x v="2"/>
    <x v="0"/>
    <x v="3"/>
    <x v="4"/>
    <x v="0"/>
    <x v="4"/>
    <x v="0"/>
    <x v="239"/>
    <x v="19"/>
  </r>
  <r>
    <x v="5"/>
    <x v="2"/>
    <x v="0"/>
    <x v="10"/>
    <x v="5"/>
    <x v="0"/>
    <x v="5"/>
    <x v="0"/>
    <x v="243"/>
    <x v="20"/>
  </r>
  <r>
    <x v="5"/>
    <x v="4"/>
    <x v="0"/>
    <x v="10"/>
    <x v="5"/>
    <x v="0"/>
    <x v="1"/>
    <x v="0"/>
    <x v="6"/>
    <x v="20"/>
  </r>
  <r>
    <x v="5"/>
    <x v="7"/>
    <x v="0"/>
    <x v="10"/>
    <x v="5"/>
    <x v="1"/>
    <x v="2"/>
    <x v="0"/>
    <x v="367"/>
    <x v="20"/>
  </r>
  <r>
    <x v="5"/>
    <x v="5"/>
    <x v="0"/>
    <x v="10"/>
    <x v="5"/>
    <x v="0"/>
    <x v="3"/>
    <x v="0"/>
    <x v="9"/>
    <x v="20"/>
  </r>
  <r>
    <x v="5"/>
    <x v="5"/>
    <x v="0"/>
    <x v="10"/>
    <x v="5"/>
    <x v="0"/>
    <x v="3"/>
    <x v="0"/>
    <x v="9"/>
    <x v="20"/>
  </r>
  <r>
    <x v="5"/>
    <x v="6"/>
    <x v="0"/>
    <x v="10"/>
    <x v="5"/>
    <x v="0"/>
    <x v="3"/>
    <x v="0"/>
    <x v="9"/>
    <x v="20"/>
  </r>
  <r>
    <x v="5"/>
    <x v="0"/>
    <x v="0"/>
    <x v="10"/>
    <x v="5"/>
    <x v="0"/>
    <x v="4"/>
    <x v="0"/>
    <x v="10"/>
    <x v="20"/>
  </r>
  <r>
    <x v="5"/>
    <x v="6"/>
    <x v="0"/>
    <x v="10"/>
    <x v="5"/>
    <x v="0"/>
    <x v="4"/>
    <x v="0"/>
    <x v="10"/>
    <x v="20"/>
  </r>
  <r>
    <x v="5"/>
    <x v="3"/>
    <x v="0"/>
    <x v="10"/>
    <x v="5"/>
    <x v="2"/>
    <x v="0"/>
    <x v="0"/>
    <x v="14"/>
    <x v="20"/>
  </r>
  <r>
    <x v="5"/>
    <x v="6"/>
    <x v="0"/>
    <x v="10"/>
    <x v="5"/>
    <x v="0"/>
    <x v="0"/>
    <x v="1"/>
    <x v="21"/>
    <x v="20"/>
  </r>
  <r>
    <x v="5"/>
    <x v="2"/>
    <x v="0"/>
    <x v="10"/>
    <x v="5"/>
    <x v="0"/>
    <x v="2"/>
    <x v="1"/>
    <x v="248"/>
    <x v="20"/>
  </r>
  <r>
    <x v="5"/>
    <x v="3"/>
    <x v="0"/>
    <x v="10"/>
    <x v="5"/>
    <x v="2"/>
    <x v="3"/>
    <x v="1"/>
    <x v="351"/>
    <x v="20"/>
  </r>
  <r>
    <x v="5"/>
    <x v="0"/>
    <x v="0"/>
    <x v="10"/>
    <x v="5"/>
    <x v="0"/>
    <x v="3"/>
    <x v="1"/>
    <x v="29"/>
    <x v="20"/>
  </r>
  <r>
    <x v="5"/>
    <x v="7"/>
    <x v="0"/>
    <x v="2"/>
    <x v="5"/>
    <x v="1"/>
    <x v="3"/>
    <x v="2"/>
    <x v="45"/>
    <x v="21"/>
  </r>
  <r>
    <x v="5"/>
    <x v="3"/>
    <x v="0"/>
    <x v="2"/>
    <x v="5"/>
    <x v="2"/>
    <x v="3"/>
    <x v="2"/>
    <x v="45"/>
    <x v="21"/>
  </r>
  <r>
    <x v="5"/>
    <x v="8"/>
    <x v="0"/>
    <x v="2"/>
    <x v="5"/>
    <x v="2"/>
    <x v="2"/>
    <x v="2"/>
    <x v="47"/>
    <x v="21"/>
  </r>
  <r>
    <x v="5"/>
    <x v="8"/>
    <x v="0"/>
    <x v="2"/>
    <x v="5"/>
    <x v="2"/>
    <x v="6"/>
    <x v="2"/>
    <x v="353"/>
    <x v="21"/>
  </r>
  <r>
    <x v="5"/>
    <x v="4"/>
    <x v="0"/>
    <x v="2"/>
    <x v="5"/>
    <x v="0"/>
    <x v="4"/>
    <x v="2"/>
    <x v="256"/>
    <x v="21"/>
  </r>
  <r>
    <x v="5"/>
    <x v="5"/>
    <x v="0"/>
    <x v="2"/>
    <x v="5"/>
    <x v="0"/>
    <x v="4"/>
    <x v="2"/>
    <x v="257"/>
    <x v="21"/>
  </r>
  <r>
    <x v="5"/>
    <x v="5"/>
    <x v="0"/>
    <x v="2"/>
    <x v="5"/>
    <x v="0"/>
    <x v="4"/>
    <x v="2"/>
    <x v="257"/>
    <x v="21"/>
  </r>
  <r>
    <x v="5"/>
    <x v="1"/>
    <x v="0"/>
    <x v="2"/>
    <x v="5"/>
    <x v="1"/>
    <x v="0"/>
    <x v="3"/>
    <x v="263"/>
    <x v="21"/>
  </r>
  <r>
    <x v="5"/>
    <x v="7"/>
    <x v="0"/>
    <x v="2"/>
    <x v="5"/>
    <x v="1"/>
    <x v="2"/>
    <x v="3"/>
    <x v="58"/>
    <x v="21"/>
  </r>
  <r>
    <x v="5"/>
    <x v="14"/>
    <x v="0"/>
    <x v="2"/>
    <x v="5"/>
    <x v="2"/>
    <x v="4"/>
    <x v="3"/>
    <x v="59"/>
    <x v="21"/>
  </r>
  <r>
    <x v="5"/>
    <x v="14"/>
    <x v="0"/>
    <x v="2"/>
    <x v="5"/>
    <x v="2"/>
    <x v="4"/>
    <x v="3"/>
    <x v="59"/>
    <x v="21"/>
  </r>
  <r>
    <x v="5"/>
    <x v="4"/>
    <x v="0"/>
    <x v="2"/>
    <x v="5"/>
    <x v="0"/>
    <x v="1"/>
    <x v="3"/>
    <x v="61"/>
    <x v="21"/>
  </r>
  <r>
    <x v="5"/>
    <x v="2"/>
    <x v="0"/>
    <x v="2"/>
    <x v="5"/>
    <x v="0"/>
    <x v="2"/>
    <x v="3"/>
    <x v="267"/>
    <x v="21"/>
  </r>
  <r>
    <x v="5"/>
    <x v="8"/>
    <x v="0"/>
    <x v="2"/>
    <x v="5"/>
    <x v="2"/>
    <x v="0"/>
    <x v="3"/>
    <x v="65"/>
    <x v="21"/>
  </r>
  <r>
    <x v="5"/>
    <x v="6"/>
    <x v="0"/>
    <x v="2"/>
    <x v="5"/>
    <x v="0"/>
    <x v="3"/>
    <x v="3"/>
    <x v="66"/>
    <x v="21"/>
  </r>
  <r>
    <x v="5"/>
    <x v="3"/>
    <x v="0"/>
    <x v="2"/>
    <x v="5"/>
    <x v="2"/>
    <x v="0"/>
    <x v="3"/>
    <x v="274"/>
    <x v="21"/>
  </r>
  <r>
    <x v="5"/>
    <x v="0"/>
    <x v="0"/>
    <x v="2"/>
    <x v="5"/>
    <x v="0"/>
    <x v="2"/>
    <x v="3"/>
    <x v="276"/>
    <x v="21"/>
  </r>
  <r>
    <x v="5"/>
    <x v="8"/>
    <x v="0"/>
    <x v="2"/>
    <x v="5"/>
    <x v="2"/>
    <x v="5"/>
    <x v="4"/>
    <x v="355"/>
    <x v="21"/>
  </r>
  <r>
    <x v="5"/>
    <x v="6"/>
    <x v="0"/>
    <x v="2"/>
    <x v="5"/>
    <x v="0"/>
    <x v="3"/>
    <x v="4"/>
    <x v="277"/>
    <x v="21"/>
  </r>
  <r>
    <x v="5"/>
    <x v="8"/>
    <x v="0"/>
    <x v="2"/>
    <x v="5"/>
    <x v="2"/>
    <x v="0"/>
    <x v="4"/>
    <x v="69"/>
    <x v="21"/>
  </r>
  <r>
    <x v="5"/>
    <x v="11"/>
    <x v="0"/>
    <x v="2"/>
    <x v="5"/>
    <x v="2"/>
    <x v="0"/>
    <x v="4"/>
    <x v="69"/>
    <x v="21"/>
  </r>
  <r>
    <x v="5"/>
    <x v="7"/>
    <x v="0"/>
    <x v="11"/>
    <x v="5"/>
    <x v="1"/>
    <x v="4"/>
    <x v="4"/>
    <x v="74"/>
    <x v="22"/>
  </r>
  <r>
    <x v="5"/>
    <x v="10"/>
    <x v="0"/>
    <x v="11"/>
    <x v="5"/>
    <x v="1"/>
    <x v="3"/>
    <x v="4"/>
    <x v="79"/>
    <x v="22"/>
  </r>
  <r>
    <x v="5"/>
    <x v="2"/>
    <x v="0"/>
    <x v="11"/>
    <x v="5"/>
    <x v="0"/>
    <x v="3"/>
    <x v="4"/>
    <x v="79"/>
    <x v="22"/>
  </r>
  <r>
    <x v="5"/>
    <x v="15"/>
    <x v="0"/>
    <x v="11"/>
    <x v="5"/>
    <x v="2"/>
    <x v="4"/>
    <x v="4"/>
    <x v="80"/>
    <x v="22"/>
  </r>
  <r>
    <x v="5"/>
    <x v="10"/>
    <x v="0"/>
    <x v="11"/>
    <x v="5"/>
    <x v="1"/>
    <x v="0"/>
    <x v="4"/>
    <x v="81"/>
    <x v="22"/>
  </r>
  <r>
    <x v="5"/>
    <x v="4"/>
    <x v="0"/>
    <x v="11"/>
    <x v="5"/>
    <x v="0"/>
    <x v="1"/>
    <x v="4"/>
    <x v="283"/>
    <x v="22"/>
  </r>
  <r>
    <x v="5"/>
    <x v="2"/>
    <x v="0"/>
    <x v="11"/>
    <x v="5"/>
    <x v="0"/>
    <x v="1"/>
    <x v="4"/>
    <x v="283"/>
    <x v="22"/>
  </r>
  <r>
    <x v="5"/>
    <x v="7"/>
    <x v="0"/>
    <x v="11"/>
    <x v="5"/>
    <x v="1"/>
    <x v="2"/>
    <x v="4"/>
    <x v="284"/>
    <x v="22"/>
  </r>
  <r>
    <x v="5"/>
    <x v="7"/>
    <x v="0"/>
    <x v="11"/>
    <x v="5"/>
    <x v="1"/>
    <x v="6"/>
    <x v="4"/>
    <x v="83"/>
    <x v="22"/>
  </r>
  <r>
    <x v="5"/>
    <x v="14"/>
    <x v="0"/>
    <x v="11"/>
    <x v="5"/>
    <x v="2"/>
    <x v="6"/>
    <x v="4"/>
    <x v="83"/>
    <x v="22"/>
  </r>
  <r>
    <x v="5"/>
    <x v="7"/>
    <x v="0"/>
    <x v="11"/>
    <x v="5"/>
    <x v="1"/>
    <x v="1"/>
    <x v="5"/>
    <x v="286"/>
    <x v="22"/>
  </r>
  <r>
    <x v="5"/>
    <x v="0"/>
    <x v="0"/>
    <x v="11"/>
    <x v="5"/>
    <x v="0"/>
    <x v="3"/>
    <x v="5"/>
    <x v="86"/>
    <x v="22"/>
  </r>
  <r>
    <x v="5"/>
    <x v="9"/>
    <x v="0"/>
    <x v="11"/>
    <x v="5"/>
    <x v="1"/>
    <x v="4"/>
    <x v="5"/>
    <x v="290"/>
    <x v="22"/>
  </r>
  <r>
    <x v="5"/>
    <x v="6"/>
    <x v="0"/>
    <x v="11"/>
    <x v="5"/>
    <x v="0"/>
    <x v="2"/>
    <x v="5"/>
    <x v="291"/>
    <x v="22"/>
  </r>
  <r>
    <x v="5"/>
    <x v="2"/>
    <x v="0"/>
    <x v="11"/>
    <x v="5"/>
    <x v="0"/>
    <x v="5"/>
    <x v="5"/>
    <x v="89"/>
    <x v="22"/>
  </r>
  <r>
    <x v="5"/>
    <x v="7"/>
    <x v="0"/>
    <x v="11"/>
    <x v="5"/>
    <x v="1"/>
    <x v="3"/>
    <x v="5"/>
    <x v="90"/>
    <x v="22"/>
  </r>
  <r>
    <x v="5"/>
    <x v="2"/>
    <x v="0"/>
    <x v="11"/>
    <x v="5"/>
    <x v="0"/>
    <x v="4"/>
    <x v="5"/>
    <x v="91"/>
    <x v="22"/>
  </r>
  <r>
    <x v="5"/>
    <x v="15"/>
    <x v="0"/>
    <x v="11"/>
    <x v="5"/>
    <x v="2"/>
    <x v="4"/>
    <x v="5"/>
    <x v="91"/>
    <x v="22"/>
  </r>
  <r>
    <x v="5"/>
    <x v="5"/>
    <x v="0"/>
    <x v="11"/>
    <x v="5"/>
    <x v="0"/>
    <x v="0"/>
    <x v="5"/>
    <x v="92"/>
    <x v="22"/>
  </r>
  <r>
    <x v="5"/>
    <x v="5"/>
    <x v="0"/>
    <x v="11"/>
    <x v="5"/>
    <x v="0"/>
    <x v="0"/>
    <x v="5"/>
    <x v="92"/>
    <x v="22"/>
  </r>
  <r>
    <x v="5"/>
    <x v="9"/>
    <x v="0"/>
    <x v="11"/>
    <x v="5"/>
    <x v="1"/>
    <x v="6"/>
    <x v="5"/>
    <x v="94"/>
    <x v="22"/>
  </r>
  <r>
    <x v="5"/>
    <x v="1"/>
    <x v="0"/>
    <x v="11"/>
    <x v="5"/>
    <x v="1"/>
    <x v="1"/>
    <x v="5"/>
    <x v="98"/>
    <x v="22"/>
  </r>
  <r>
    <x v="5"/>
    <x v="1"/>
    <x v="0"/>
    <x v="11"/>
    <x v="5"/>
    <x v="1"/>
    <x v="1"/>
    <x v="5"/>
    <x v="98"/>
    <x v="22"/>
  </r>
  <r>
    <x v="5"/>
    <x v="1"/>
    <x v="0"/>
    <x v="11"/>
    <x v="5"/>
    <x v="1"/>
    <x v="1"/>
    <x v="5"/>
    <x v="296"/>
    <x v="22"/>
  </r>
  <r>
    <x v="5"/>
    <x v="10"/>
    <x v="0"/>
    <x v="11"/>
    <x v="5"/>
    <x v="1"/>
    <x v="0"/>
    <x v="6"/>
    <x v="107"/>
    <x v="22"/>
  </r>
  <r>
    <x v="5"/>
    <x v="7"/>
    <x v="0"/>
    <x v="11"/>
    <x v="5"/>
    <x v="1"/>
    <x v="0"/>
    <x v="6"/>
    <x v="107"/>
    <x v="22"/>
  </r>
  <r>
    <x v="5"/>
    <x v="7"/>
    <x v="0"/>
    <x v="11"/>
    <x v="5"/>
    <x v="1"/>
    <x v="0"/>
    <x v="6"/>
    <x v="107"/>
    <x v="22"/>
  </r>
  <r>
    <x v="5"/>
    <x v="1"/>
    <x v="0"/>
    <x v="11"/>
    <x v="5"/>
    <x v="1"/>
    <x v="1"/>
    <x v="6"/>
    <x v="108"/>
    <x v="22"/>
  </r>
  <r>
    <x v="5"/>
    <x v="1"/>
    <x v="0"/>
    <x v="11"/>
    <x v="5"/>
    <x v="1"/>
    <x v="1"/>
    <x v="6"/>
    <x v="108"/>
    <x v="22"/>
  </r>
  <r>
    <x v="5"/>
    <x v="7"/>
    <x v="0"/>
    <x v="11"/>
    <x v="5"/>
    <x v="1"/>
    <x v="1"/>
    <x v="6"/>
    <x v="108"/>
    <x v="22"/>
  </r>
  <r>
    <x v="5"/>
    <x v="6"/>
    <x v="0"/>
    <x v="11"/>
    <x v="5"/>
    <x v="0"/>
    <x v="1"/>
    <x v="6"/>
    <x v="108"/>
    <x v="22"/>
  </r>
  <r>
    <x v="5"/>
    <x v="4"/>
    <x v="0"/>
    <x v="11"/>
    <x v="5"/>
    <x v="0"/>
    <x v="5"/>
    <x v="6"/>
    <x v="110"/>
    <x v="22"/>
  </r>
  <r>
    <x v="5"/>
    <x v="1"/>
    <x v="0"/>
    <x v="11"/>
    <x v="5"/>
    <x v="1"/>
    <x v="4"/>
    <x v="6"/>
    <x v="112"/>
    <x v="22"/>
  </r>
  <r>
    <x v="5"/>
    <x v="9"/>
    <x v="0"/>
    <x v="11"/>
    <x v="5"/>
    <x v="1"/>
    <x v="2"/>
    <x v="6"/>
    <x v="113"/>
    <x v="22"/>
  </r>
  <r>
    <x v="5"/>
    <x v="4"/>
    <x v="0"/>
    <x v="11"/>
    <x v="5"/>
    <x v="0"/>
    <x v="6"/>
    <x v="6"/>
    <x v="301"/>
    <x v="22"/>
  </r>
  <r>
    <x v="5"/>
    <x v="1"/>
    <x v="0"/>
    <x v="11"/>
    <x v="5"/>
    <x v="1"/>
    <x v="4"/>
    <x v="6"/>
    <x v="303"/>
    <x v="22"/>
  </r>
  <r>
    <x v="5"/>
    <x v="6"/>
    <x v="0"/>
    <x v="12"/>
    <x v="5"/>
    <x v="0"/>
    <x v="2"/>
    <x v="7"/>
    <x v="126"/>
    <x v="23"/>
  </r>
  <r>
    <x v="5"/>
    <x v="1"/>
    <x v="0"/>
    <x v="12"/>
    <x v="5"/>
    <x v="1"/>
    <x v="3"/>
    <x v="7"/>
    <x v="129"/>
    <x v="23"/>
  </r>
  <r>
    <x v="5"/>
    <x v="3"/>
    <x v="0"/>
    <x v="12"/>
    <x v="5"/>
    <x v="2"/>
    <x v="3"/>
    <x v="7"/>
    <x v="129"/>
    <x v="23"/>
  </r>
  <r>
    <x v="5"/>
    <x v="0"/>
    <x v="0"/>
    <x v="12"/>
    <x v="5"/>
    <x v="0"/>
    <x v="2"/>
    <x v="7"/>
    <x v="309"/>
    <x v="23"/>
  </r>
  <r>
    <x v="5"/>
    <x v="9"/>
    <x v="0"/>
    <x v="12"/>
    <x v="5"/>
    <x v="1"/>
    <x v="6"/>
    <x v="7"/>
    <x v="133"/>
    <x v="23"/>
  </r>
  <r>
    <x v="5"/>
    <x v="5"/>
    <x v="0"/>
    <x v="12"/>
    <x v="5"/>
    <x v="0"/>
    <x v="6"/>
    <x v="7"/>
    <x v="133"/>
    <x v="23"/>
  </r>
  <r>
    <x v="5"/>
    <x v="7"/>
    <x v="0"/>
    <x v="12"/>
    <x v="5"/>
    <x v="1"/>
    <x v="5"/>
    <x v="7"/>
    <x v="137"/>
    <x v="23"/>
  </r>
  <r>
    <x v="5"/>
    <x v="1"/>
    <x v="0"/>
    <x v="12"/>
    <x v="5"/>
    <x v="1"/>
    <x v="6"/>
    <x v="7"/>
    <x v="138"/>
    <x v="23"/>
  </r>
  <r>
    <x v="5"/>
    <x v="3"/>
    <x v="0"/>
    <x v="12"/>
    <x v="5"/>
    <x v="2"/>
    <x v="3"/>
    <x v="7"/>
    <x v="312"/>
    <x v="23"/>
  </r>
  <r>
    <x v="5"/>
    <x v="12"/>
    <x v="0"/>
    <x v="12"/>
    <x v="5"/>
    <x v="1"/>
    <x v="0"/>
    <x v="7"/>
    <x v="140"/>
    <x v="23"/>
  </r>
  <r>
    <x v="5"/>
    <x v="11"/>
    <x v="0"/>
    <x v="12"/>
    <x v="5"/>
    <x v="2"/>
    <x v="0"/>
    <x v="7"/>
    <x v="140"/>
    <x v="23"/>
  </r>
  <r>
    <x v="5"/>
    <x v="4"/>
    <x v="0"/>
    <x v="12"/>
    <x v="5"/>
    <x v="0"/>
    <x v="6"/>
    <x v="7"/>
    <x v="314"/>
    <x v="23"/>
  </r>
  <r>
    <x v="5"/>
    <x v="7"/>
    <x v="0"/>
    <x v="12"/>
    <x v="5"/>
    <x v="1"/>
    <x v="3"/>
    <x v="8"/>
    <x v="148"/>
    <x v="23"/>
  </r>
  <r>
    <x v="5"/>
    <x v="4"/>
    <x v="0"/>
    <x v="12"/>
    <x v="5"/>
    <x v="0"/>
    <x v="4"/>
    <x v="8"/>
    <x v="153"/>
    <x v="23"/>
  </r>
  <r>
    <x v="5"/>
    <x v="12"/>
    <x v="0"/>
    <x v="12"/>
    <x v="5"/>
    <x v="1"/>
    <x v="6"/>
    <x v="8"/>
    <x v="320"/>
    <x v="23"/>
  </r>
  <r>
    <x v="5"/>
    <x v="5"/>
    <x v="0"/>
    <x v="12"/>
    <x v="5"/>
    <x v="0"/>
    <x v="5"/>
    <x v="9"/>
    <x v="160"/>
    <x v="23"/>
  </r>
  <r>
    <x v="5"/>
    <x v="8"/>
    <x v="0"/>
    <x v="12"/>
    <x v="5"/>
    <x v="2"/>
    <x v="2"/>
    <x v="9"/>
    <x v="327"/>
    <x v="23"/>
  </r>
  <r>
    <x v="5"/>
    <x v="4"/>
    <x v="0"/>
    <x v="12"/>
    <x v="5"/>
    <x v="0"/>
    <x v="3"/>
    <x v="9"/>
    <x v="365"/>
    <x v="23"/>
  </r>
  <r>
    <x v="5"/>
    <x v="6"/>
    <x v="0"/>
    <x v="12"/>
    <x v="5"/>
    <x v="0"/>
    <x v="4"/>
    <x v="9"/>
    <x v="166"/>
    <x v="23"/>
  </r>
  <r>
    <x v="5"/>
    <x v="6"/>
    <x v="0"/>
    <x v="12"/>
    <x v="5"/>
    <x v="0"/>
    <x v="4"/>
    <x v="9"/>
    <x v="166"/>
    <x v="23"/>
  </r>
  <r>
    <x v="5"/>
    <x v="4"/>
    <x v="0"/>
    <x v="12"/>
    <x v="5"/>
    <x v="0"/>
    <x v="4"/>
    <x v="9"/>
    <x v="330"/>
    <x v="23"/>
  </r>
  <r>
    <x v="5"/>
    <x v="4"/>
    <x v="0"/>
    <x v="12"/>
    <x v="5"/>
    <x v="0"/>
    <x v="0"/>
    <x v="9"/>
    <x v="331"/>
    <x v="23"/>
  </r>
  <r>
    <x v="5"/>
    <x v="13"/>
    <x v="0"/>
    <x v="12"/>
    <x v="5"/>
    <x v="2"/>
    <x v="6"/>
    <x v="9"/>
    <x v="333"/>
    <x v="23"/>
  </r>
  <r>
    <x v="5"/>
    <x v="5"/>
    <x v="0"/>
    <x v="12"/>
    <x v="5"/>
    <x v="0"/>
    <x v="4"/>
    <x v="9"/>
    <x v="362"/>
    <x v="23"/>
  </r>
  <r>
    <x v="5"/>
    <x v="5"/>
    <x v="0"/>
    <x v="12"/>
    <x v="5"/>
    <x v="0"/>
    <x v="2"/>
    <x v="9"/>
    <x v="173"/>
    <x v="23"/>
  </r>
  <r>
    <x v="5"/>
    <x v="3"/>
    <x v="0"/>
    <x v="12"/>
    <x v="5"/>
    <x v="2"/>
    <x v="2"/>
    <x v="9"/>
    <x v="173"/>
    <x v="23"/>
  </r>
  <r>
    <x v="5"/>
    <x v="5"/>
    <x v="0"/>
    <x v="12"/>
    <x v="5"/>
    <x v="0"/>
    <x v="6"/>
    <x v="9"/>
    <x v="175"/>
    <x v="23"/>
  </r>
  <r>
    <x v="5"/>
    <x v="2"/>
    <x v="0"/>
    <x v="12"/>
    <x v="5"/>
    <x v="0"/>
    <x v="4"/>
    <x v="10"/>
    <x v="180"/>
    <x v="23"/>
  </r>
  <r>
    <x v="5"/>
    <x v="14"/>
    <x v="0"/>
    <x v="12"/>
    <x v="5"/>
    <x v="2"/>
    <x v="5"/>
    <x v="10"/>
    <x v="338"/>
    <x v="23"/>
  </r>
  <r>
    <x v="5"/>
    <x v="7"/>
    <x v="0"/>
    <x v="12"/>
    <x v="5"/>
    <x v="1"/>
    <x v="3"/>
    <x v="10"/>
    <x v="343"/>
    <x v="23"/>
  </r>
  <r>
    <x v="5"/>
    <x v="4"/>
    <x v="0"/>
    <x v="12"/>
    <x v="5"/>
    <x v="0"/>
    <x v="2"/>
    <x v="10"/>
    <x v="188"/>
    <x v="23"/>
  </r>
  <r>
    <x v="5"/>
    <x v="13"/>
    <x v="0"/>
    <x v="12"/>
    <x v="5"/>
    <x v="2"/>
    <x v="3"/>
    <x v="10"/>
    <x v="191"/>
    <x v="23"/>
  </r>
  <r>
    <x v="5"/>
    <x v="9"/>
    <x v="0"/>
    <x v="12"/>
    <x v="5"/>
    <x v="1"/>
    <x v="5"/>
    <x v="11"/>
    <x v="194"/>
    <x v="23"/>
  </r>
  <r>
    <x v="5"/>
    <x v="0"/>
    <x v="0"/>
    <x v="12"/>
    <x v="5"/>
    <x v="0"/>
    <x v="3"/>
    <x v="11"/>
    <x v="196"/>
    <x v="23"/>
  </r>
  <r>
    <x v="5"/>
    <x v="0"/>
    <x v="0"/>
    <x v="12"/>
    <x v="5"/>
    <x v="0"/>
    <x v="3"/>
    <x v="11"/>
    <x v="196"/>
    <x v="23"/>
  </r>
  <r>
    <x v="5"/>
    <x v="13"/>
    <x v="0"/>
    <x v="12"/>
    <x v="5"/>
    <x v="2"/>
    <x v="4"/>
    <x v="11"/>
    <x v="197"/>
    <x v="23"/>
  </r>
  <r>
    <x v="5"/>
    <x v="6"/>
    <x v="0"/>
    <x v="12"/>
    <x v="5"/>
    <x v="0"/>
    <x v="6"/>
    <x v="11"/>
    <x v="202"/>
    <x v="23"/>
  </r>
  <r>
    <x v="5"/>
    <x v="10"/>
    <x v="0"/>
    <x v="12"/>
    <x v="5"/>
    <x v="1"/>
    <x v="4"/>
    <x v="11"/>
    <x v="204"/>
    <x v="23"/>
  </r>
  <r>
    <x v="5"/>
    <x v="2"/>
    <x v="0"/>
    <x v="12"/>
    <x v="5"/>
    <x v="0"/>
    <x v="0"/>
    <x v="11"/>
    <x v="205"/>
    <x v="23"/>
  </r>
  <r>
    <x v="5"/>
    <x v="3"/>
    <x v="0"/>
    <x v="12"/>
    <x v="5"/>
    <x v="2"/>
    <x v="0"/>
    <x v="11"/>
    <x v="205"/>
    <x v="23"/>
  </r>
  <r>
    <x v="5"/>
    <x v="7"/>
    <x v="0"/>
    <x v="12"/>
    <x v="5"/>
    <x v="1"/>
    <x v="5"/>
    <x v="11"/>
    <x v="208"/>
    <x v="23"/>
  </r>
  <r>
    <x v="5"/>
    <x v="6"/>
    <x v="0"/>
    <x v="12"/>
    <x v="5"/>
    <x v="0"/>
    <x v="5"/>
    <x v="11"/>
    <x v="208"/>
    <x v="23"/>
  </r>
  <r>
    <x v="5"/>
    <x v="3"/>
    <x v="0"/>
    <x v="12"/>
    <x v="5"/>
    <x v="2"/>
    <x v="6"/>
    <x v="11"/>
    <x v="209"/>
    <x v="23"/>
  </r>
  <r>
    <x v="5"/>
    <x v="5"/>
    <x v="0"/>
    <x v="12"/>
    <x v="5"/>
    <x v="0"/>
    <x v="4"/>
    <x v="11"/>
    <x v="211"/>
    <x v="23"/>
  </r>
  <r>
    <x v="5"/>
    <x v="10"/>
    <x v="0"/>
    <x v="12"/>
    <x v="5"/>
    <x v="1"/>
    <x v="0"/>
    <x v="11"/>
    <x v="212"/>
    <x v="23"/>
  </r>
  <r>
    <x v="5"/>
    <x v="4"/>
    <x v="0"/>
    <x v="12"/>
    <x v="5"/>
    <x v="0"/>
    <x v="1"/>
    <x v="11"/>
    <x v="213"/>
    <x v="23"/>
  </r>
  <r>
    <x v="5"/>
    <x v="1"/>
    <x v="0"/>
    <x v="12"/>
    <x v="5"/>
    <x v="1"/>
    <x v="6"/>
    <x v="11"/>
    <x v="216"/>
    <x v="23"/>
  </r>
  <r>
    <x v="5"/>
    <x v="1"/>
    <x v="0"/>
    <x v="12"/>
    <x v="5"/>
    <x v="1"/>
    <x v="4"/>
    <x v="11"/>
    <x v="218"/>
    <x v="23"/>
  </r>
  <r>
    <x v="5"/>
    <x v="9"/>
    <x v="0"/>
    <x v="12"/>
    <x v="5"/>
    <x v="1"/>
    <x v="0"/>
    <x v="11"/>
    <x v="219"/>
    <x v="23"/>
  </r>
  <r>
    <x v="5"/>
    <x v="3"/>
    <x v="0"/>
    <x v="12"/>
    <x v="5"/>
    <x v="2"/>
    <x v="3"/>
    <x v="0"/>
    <x v="224"/>
    <x v="23"/>
  </r>
  <r>
    <x v="5"/>
    <x v="10"/>
    <x v="0"/>
    <x v="12"/>
    <x v="5"/>
    <x v="1"/>
    <x v="4"/>
    <x v="0"/>
    <x v="225"/>
    <x v="23"/>
  </r>
  <r>
    <x v="5"/>
    <x v="10"/>
    <x v="0"/>
    <x v="12"/>
    <x v="5"/>
    <x v="1"/>
    <x v="2"/>
    <x v="0"/>
    <x v="228"/>
    <x v="23"/>
  </r>
  <r>
    <x v="5"/>
    <x v="10"/>
    <x v="0"/>
    <x v="12"/>
    <x v="5"/>
    <x v="1"/>
    <x v="4"/>
    <x v="0"/>
    <x v="232"/>
    <x v="23"/>
  </r>
  <r>
    <x v="5"/>
    <x v="10"/>
    <x v="0"/>
    <x v="12"/>
    <x v="5"/>
    <x v="1"/>
    <x v="0"/>
    <x v="0"/>
    <x v="233"/>
    <x v="23"/>
  </r>
  <r>
    <x v="5"/>
    <x v="6"/>
    <x v="0"/>
    <x v="12"/>
    <x v="5"/>
    <x v="0"/>
    <x v="6"/>
    <x v="0"/>
    <x v="237"/>
    <x v="23"/>
  </r>
  <r>
    <x v="5"/>
    <x v="8"/>
    <x v="0"/>
    <x v="12"/>
    <x v="5"/>
    <x v="2"/>
    <x v="3"/>
    <x v="0"/>
    <x v="238"/>
    <x v="23"/>
  </r>
  <r>
    <x v="5"/>
    <x v="8"/>
    <x v="0"/>
    <x v="12"/>
    <x v="5"/>
    <x v="2"/>
    <x v="3"/>
    <x v="0"/>
    <x v="238"/>
    <x v="23"/>
  </r>
  <r>
    <x v="5"/>
    <x v="2"/>
    <x v="0"/>
    <x v="12"/>
    <x v="5"/>
    <x v="0"/>
    <x v="4"/>
    <x v="0"/>
    <x v="239"/>
    <x v="23"/>
  </r>
  <r>
    <x v="5"/>
    <x v="5"/>
    <x v="0"/>
    <x v="12"/>
    <x v="5"/>
    <x v="0"/>
    <x v="1"/>
    <x v="0"/>
    <x v="241"/>
    <x v="23"/>
  </r>
  <r>
    <x v="6"/>
    <x v="4"/>
    <x v="0"/>
    <x v="7"/>
    <x v="6"/>
    <x v="0"/>
    <x v="0"/>
    <x v="0"/>
    <x v="0"/>
    <x v="24"/>
  </r>
  <r>
    <x v="6"/>
    <x v="4"/>
    <x v="0"/>
    <x v="7"/>
    <x v="6"/>
    <x v="0"/>
    <x v="0"/>
    <x v="0"/>
    <x v="0"/>
    <x v="24"/>
  </r>
  <r>
    <x v="6"/>
    <x v="6"/>
    <x v="0"/>
    <x v="7"/>
    <x v="6"/>
    <x v="0"/>
    <x v="0"/>
    <x v="0"/>
    <x v="0"/>
    <x v="24"/>
  </r>
  <r>
    <x v="6"/>
    <x v="0"/>
    <x v="0"/>
    <x v="7"/>
    <x v="6"/>
    <x v="0"/>
    <x v="2"/>
    <x v="0"/>
    <x v="2"/>
    <x v="24"/>
  </r>
  <r>
    <x v="6"/>
    <x v="8"/>
    <x v="0"/>
    <x v="7"/>
    <x v="6"/>
    <x v="2"/>
    <x v="2"/>
    <x v="0"/>
    <x v="2"/>
    <x v="24"/>
  </r>
  <r>
    <x v="6"/>
    <x v="3"/>
    <x v="0"/>
    <x v="7"/>
    <x v="6"/>
    <x v="2"/>
    <x v="6"/>
    <x v="0"/>
    <x v="364"/>
    <x v="24"/>
  </r>
  <r>
    <x v="6"/>
    <x v="3"/>
    <x v="0"/>
    <x v="7"/>
    <x v="6"/>
    <x v="2"/>
    <x v="6"/>
    <x v="0"/>
    <x v="364"/>
    <x v="24"/>
  </r>
  <r>
    <x v="6"/>
    <x v="3"/>
    <x v="0"/>
    <x v="7"/>
    <x v="6"/>
    <x v="2"/>
    <x v="6"/>
    <x v="0"/>
    <x v="364"/>
    <x v="24"/>
  </r>
  <r>
    <x v="6"/>
    <x v="8"/>
    <x v="0"/>
    <x v="7"/>
    <x v="6"/>
    <x v="2"/>
    <x v="6"/>
    <x v="0"/>
    <x v="364"/>
    <x v="24"/>
  </r>
  <r>
    <x v="6"/>
    <x v="1"/>
    <x v="0"/>
    <x v="7"/>
    <x v="6"/>
    <x v="1"/>
    <x v="4"/>
    <x v="0"/>
    <x v="4"/>
    <x v="24"/>
  </r>
  <r>
    <x v="6"/>
    <x v="2"/>
    <x v="0"/>
    <x v="7"/>
    <x v="6"/>
    <x v="0"/>
    <x v="1"/>
    <x v="0"/>
    <x v="6"/>
    <x v="24"/>
  </r>
  <r>
    <x v="6"/>
    <x v="13"/>
    <x v="0"/>
    <x v="7"/>
    <x v="6"/>
    <x v="2"/>
    <x v="1"/>
    <x v="0"/>
    <x v="6"/>
    <x v="24"/>
  </r>
  <r>
    <x v="6"/>
    <x v="7"/>
    <x v="0"/>
    <x v="7"/>
    <x v="6"/>
    <x v="1"/>
    <x v="6"/>
    <x v="0"/>
    <x v="8"/>
    <x v="24"/>
  </r>
  <r>
    <x v="6"/>
    <x v="7"/>
    <x v="0"/>
    <x v="7"/>
    <x v="6"/>
    <x v="1"/>
    <x v="3"/>
    <x v="0"/>
    <x v="9"/>
    <x v="24"/>
  </r>
  <r>
    <x v="6"/>
    <x v="1"/>
    <x v="0"/>
    <x v="7"/>
    <x v="6"/>
    <x v="1"/>
    <x v="4"/>
    <x v="0"/>
    <x v="10"/>
    <x v="24"/>
  </r>
  <r>
    <x v="6"/>
    <x v="8"/>
    <x v="0"/>
    <x v="7"/>
    <x v="6"/>
    <x v="2"/>
    <x v="4"/>
    <x v="0"/>
    <x v="10"/>
    <x v="24"/>
  </r>
  <r>
    <x v="6"/>
    <x v="1"/>
    <x v="0"/>
    <x v="7"/>
    <x v="6"/>
    <x v="1"/>
    <x v="0"/>
    <x v="0"/>
    <x v="11"/>
    <x v="24"/>
  </r>
  <r>
    <x v="6"/>
    <x v="5"/>
    <x v="0"/>
    <x v="7"/>
    <x v="6"/>
    <x v="0"/>
    <x v="6"/>
    <x v="0"/>
    <x v="244"/>
    <x v="24"/>
  </r>
  <r>
    <x v="6"/>
    <x v="8"/>
    <x v="0"/>
    <x v="7"/>
    <x v="6"/>
    <x v="2"/>
    <x v="6"/>
    <x v="0"/>
    <x v="15"/>
    <x v="24"/>
  </r>
  <r>
    <x v="6"/>
    <x v="0"/>
    <x v="0"/>
    <x v="7"/>
    <x v="6"/>
    <x v="0"/>
    <x v="3"/>
    <x v="0"/>
    <x v="16"/>
    <x v="24"/>
  </r>
  <r>
    <x v="6"/>
    <x v="8"/>
    <x v="0"/>
    <x v="7"/>
    <x v="6"/>
    <x v="2"/>
    <x v="5"/>
    <x v="1"/>
    <x v="18"/>
    <x v="24"/>
  </r>
  <r>
    <x v="6"/>
    <x v="8"/>
    <x v="0"/>
    <x v="7"/>
    <x v="6"/>
    <x v="2"/>
    <x v="2"/>
    <x v="1"/>
    <x v="248"/>
    <x v="24"/>
  </r>
  <r>
    <x v="6"/>
    <x v="5"/>
    <x v="0"/>
    <x v="7"/>
    <x v="6"/>
    <x v="0"/>
    <x v="6"/>
    <x v="1"/>
    <x v="372"/>
    <x v="24"/>
  </r>
  <r>
    <x v="6"/>
    <x v="3"/>
    <x v="0"/>
    <x v="7"/>
    <x v="6"/>
    <x v="2"/>
    <x v="6"/>
    <x v="1"/>
    <x v="372"/>
    <x v="24"/>
  </r>
  <r>
    <x v="6"/>
    <x v="13"/>
    <x v="0"/>
    <x v="7"/>
    <x v="6"/>
    <x v="2"/>
    <x v="0"/>
    <x v="1"/>
    <x v="369"/>
    <x v="24"/>
  </r>
  <r>
    <x v="6"/>
    <x v="13"/>
    <x v="0"/>
    <x v="7"/>
    <x v="6"/>
    <x v="2"/>
    <x v="4"/>
    <x v="1"/>
    <x v="30"/>
    <x v="24"/>
  </r>
  <r>
    <x v="6"/>
    <x v="13"/>
    <x v="0"/>
    <x v="7"/>
    <x v="6"/>
    <x v="2"/>
    <x v="4"/>
    <x v="1"/>
    <x v="30"/>
    <x v="24"/>
  </r>
  <r>
    <x v="6"/>
    <x v="0"/>
    <x v="0"/>
    <x v="7"/>
    <x v="6"/>
    <x v="0"/>
    <x v="0"/>
    <x v="1"/>
    <x v="249"/>
    <x v="24"/>
  </r>
  <r>
    <x v="6"/>
    <x v="0"/>
    <x v="0"/>
    <x v="7"/>
    <x v="6"/>
    <x v="0"/>
    <x v="1"/>
    <x v="1"/>
    <x v="31"/>
    <x v="24"/>
  </r>
  <r>
    <x v="6"/>
    <x v="13"/>
    <x v="0"/>
    <x v="8"/>
    <x v="6"/>
    <x v="2"/>
    <x v="0"/>
    <x v="1"/>
    <x v="35"/>
    <x v="25"/>
  </r>
  <r>
    <x v="6"/>
    <x v="11"/>
    <x v="0"/>
    <x v="8"/>
    <x v="6"/>
    <x v="2"/>
    <x v="6"/>
    <x v="2"/>
    <x v="44"/>
    <x v="25"/>
  </r>
  <r>
    <x v="6"/>
    <x v="5"/>
    <x v="0"/>
    <x v="8"/>
    <x v="6"/>
    <x v="0"/>
    <x v="4"/>
    <x v="2"/>
    <x v="254"/>
    <x v="25"/>
  </r>
  <r>
    <x v="6"/>
    <x v="8"/>
    <x v="0"/>
    <x v="8"/>
    <x v="6"/>
    <x v="2"/>
    <x v="4"/>
    <x v="2"/>
    <x v="254"/>
    <x v="25"/>
  </r>
  <r>
    <x v="6"/>
    <x v="8"/>
    <x v="0"/>
    <x v="8"/>
    <x v="6"/>
    <x v="2"/>
    <x v="2"/>
    <x v="2"/>
    <x v="47"/>
    <x v="25"/>
  </r>
  <r>
    <x v="6"/>
    <x v="15"/>
    <x v="0"/>
    <x v="8"/>
    <x v="6"/>
    <x v="2"/>
    <x v="3"/>
    <x v="2"/>
    <x v="49"/>
    <x v="25"/>
  </r>
  <r>
    <x v="6"/>
    <x v="6"/>
    <x v="0"/>
    <x v="8"/>
    <x v="6"/>
    <x v="0"/>
    <x v="0"/>
    <x v="2"/>
    <x v="50"/>
    <x v="25"/>
  </r>
  <r>
    <x v="6"/>
    <x v="8"/>
    <x v="0"/>
    <x v="8"/>
    <x v="6"/>
    <x v="2"/>
    <x v="2"/>
    <x v="2"/>
    <x v="52"/>
    <x v="25"/>
  </r>
  <r>
    <x v="6"/>
    <x v="8"/>
    <x v="0"/>
    <x v="8"/>
    <x v="6"/>
    <x v="2"/>
    <x v="2"/>
    <x v="2"/>
    <x v="52"/>
    <x v="25"/>
  </r>
  <r>
    <x v="6"/>
    <x v="14"/>
    <x v="0"/>
    <x v="8"/>
    <x v="6"/>
    <x v="2"/>
    <x v="2"/>
    <x v="2"/>
    <x v="52"/>
    <x v="25"/>
  </r>
  <r>
    <x v="6"/>
    <x v="7"/>
    <x v="0"/>
    <x v="8"/>
    <x v="6"/>
    <x v="1"/>
    <x v="3"/>
    <x v="2"/>
    <x v="55"/>
    <x v="25"/>
  </r>
  <r>
    <x v="6"/>
    <x v="14"/>
    <x v="0"/>
    <x v="8"/>
    <x v="6"/>
    <x v="2"/>
    <x v="3"/>
    <x v="2"/>
    <x v="55"/>
    <x v="25"/>
  </r>
  <r>
    <x v="6"/>
    <x v="14"/>
    <x v="0"/>
    <x v="8"/>
    <x v="6"/>
    <x v="2"/>
    <x v="4"/>
    <x v="2"/>
    <x v="257"/>
    <x v="25"/>
  </r>
  <r>
    <x v="6"/>
    <x v="1"/>
    <x v="0"/>
    <x v="8"/>
    <x v="6"/>
    <x v="1"/>
    <x v="0"/>
    <x v="2"/>
    <x v="258"/>
    <x v="25"/>
  </r>
  <r>
    <x v="6"/>
    <x v="4"/>
    <x v="0"/>
    <x v="8"/>
    <x v="6"/>
    <x v="0"/>
    <x v="6"/>
    <x v="3"/>
    <x v="262"/>
    <x v="25"/>
  </r>
  <r>
    <x v="6"/>
    <x v="14"/>
    <x v="0"/>
    <x v="8"/>
    <x v="6"/>
    <x v="2"/>
    <x v="6"/>
    <x v="3"/>
    <x v="262"/>
    <x v="25"/>
  </r>
  <r>
    <x v="6"/>
    <x v="13"/>
    <x v="0"/>
    <x v="8"/>
    <x v="6"/>
    <x v="2"/>
    <x v="5"/>
    <x v="3"/>
    <x v="354"/>
    <x v="25"/>
  </r>
  <r>
    <x v="6"/>
    <x v="13"/>
    <x v="0"/>
    <x v="8"/>
    <x v="6"/>
    <x v="2"/>
    <x v="5"/>
    <x v="3"/>
    <x v="354"/>
    <x v="25"/>
  </r>
  <r>
    <x v="6"/>
    <x v="15"/>
    <x v="0"/>
    <x v="8"/>
    <x v="6"/>
    <x v="2"/>
    <x v="6"/>
    <x v="3"/>
    <x v="265"/>
    <x v="25"/>
  </r>
  <r>
    <x v="6"/>
    <x v="1"/>
    <x v="0"/>
    <x v="8"/>
    <x v="6"/>
    <x v="1"/>
    <x v="3"/>
    <x v="3"/>
    <x v="266"/>
    <x v="25"/>
  </r>
  <r>
    <x v="6"/>
    <x v="14"/>
    <x v="0"/>
    <x v="8"/>
    <x v="6"/>
    <x v="2"/>
    <x v="3"/>
    <x v="3"/>
    <x v="266"/>
    <x v="25"/>
  </r>
  <r>
    <x v="6"/>
    <x v="3"/>
    <x v="0"/>
    <x v="8"/>
    <x v="6"/>
    <x v="2"/>
    <x v="4"/>
    <x v="3"/>
    <x v="59"/>
    <x v="25"/>
  </r>
  <r>
    <x v="6"/>
    <x v="7"/>
    <x v="0"/>
    <x v="8"/>
    <x v="6"/>
    <x v="1"/>
    <x v="2"/>
    <x v="3"/>
    <x v="267"/>
    <x v="25"/>
  </r>
  <r>
    <x v="6"/>
    <x v="7"/>
    <x v="0"/>
    <x v="8"/>
    <x v="6"/>
    <x v="1"/>
    <x v="2"/>
    <x v="3"/>
    <x v="267"/>
    <x v="25"/>
  </r>
  <r>
    <x v="6"/>
    <x v="5"/>
    <x v="0"/>
    <x v="8"/>
    <x v="6"/>
    <x v="0"/>
    <x v="2"/>
    <x v="3"/>
    <x v="267"/>
    <x v="25"/>
  </r>
  <r>
    <x v="6"/>
    <x v="6"/>
    <x v="0"/>
    <x v="8"/>
    <x v="6"/>
    <x v="0"/>
    <x v="2"/>
    <x v="3"/>
    <x v="267"/>
    <x v="25"/>
  </r>
  <r>
    <x v="6"/>
    <x v="3"/>
    <x v="0"/>
    <x v="8"/>
    <x v="6"/>
    <x v="2"/>
    <x v="1"/>
    <x v="3"/>
    <x v="275"/>
    <x v="25"/>
  </r>
  <r>
    <x v="6"/>
    <x v="6"/>
    <x v="0"/>
    <x v="8"/>
    <x v="6"/>
    <x v="0"/>
    <x v="2"/>
    <x v="3"/>
    <x v="276"/>
    <x v="25"/>
  </r>
  <r>
    <x v="6"/>
    <x v="2"/>
    <x v="0"/>
    <x v="5"/>
    <x v="6"/>
    <x v="0"/>
    <x v="2"/>
    <x v="4"/>
    <x v="279"/>
    <x v="26"/>
  </r>
  <r>
    <x v="6"/>
    <x v="14"/>
    <x v="0"/>
    <x v="5"/>
    <x v="6"/>
    <x v="2"/>
    <x v="2"/>
    <x v="4"/>
    <x v="279"/>
    <x v="26"/>
  </r>
  <r>
    <x v="6"/>
    <x v="7"/>
    <x v="0"/>
    <x v="5"/>
    <x v="6"/>
    <x v="1"/>
    <x v="4"/>
    <x v="4"/>
    <x v="72"/>
    <x v="26"/>
  </r>
  <r>
    <x v="6"/>
    <x v="7"/>
    <x v="0"/>
    <x v="5"/>
    <x v="6"/>
    <x v="1"/>
    <x v="0"/>
    <x v="4"/>
    <x v="370"/>
    <x v="26"/>
  </r>
  <r>
    <x v="6"/>
    <x v="11"/>
    <x v="0"/>
    <x v="5"/>
    <x v="6"/>
    <x v="2"/>
    <x v="0"/>
    <x v="4"/>
    <x v="370"/>
    <x v="26"/>
  </r>
  <r>
    <x v="6"/>
    <x v="11"/>
    <x v="0"/>
    <x v="5"/>
    <x v="6"/>
    <x v="2"/>
    <x v="0"/>
    <x v="4"/>
    <x v="370"/>
    <x v="26"/>
  </r>
  <r>
    <x v="6"/>
    <x v="11"/>
    <x v="0"/>
    <x v="5"/>
    <x v="6"/>
    <x v="2"/>
    <x v="0"/>
    <x v="4"/>
    <x v="370"/>
    <x v="26"/>
  </r>
  <r>
    <x v="6"/>
    <x v="13"/>
    <x v="0"/>
    <x v="5"/>
    <x v="6"/>
    <x v="2"/>
    <x v="6"/>
    <x v="4"/>
    <x v="281"/>
    <x v="26"/>
  </r>
  <r>
    <x v="6"/>
    <x v="15"/>
    <x v="0"/>
    <x v="5"/>
    <x v="6"/>
    <x v="2"/>
    <x v="4"/>
    <x v="4"/>
    <x v="74"/>
    <x v="26"/>
  </r>
  <r>
    <x v="6"/>
    <x v="1"/>
    <x v="0"/>
    <x v="5"/>
    <x v="6"/>
    <x v="1"/>
    <x v="5"/>
    <x v="4"/>
    <x v="82"/>
    <x v="26"/>
  </r>
  <r>
    <x v="6"/>
    <x v="1"/>
    <x v="0"/>
    <x v="5"/>
    <x v="6"/>
    <x v="1"/>
    <x v="5"/>
    <x v="4"/>
    <x v="82"/>
    <x v="26"/>
  </r>
  <r>
    <x v="6"/>
    <x v="1"/>
    <x v="0"/>
    <x v="5"/>
    <x v="6"/>
    <x v="1"/>
    <x v="6"/>
    <x v="5"/>
    <x v="289"/>
    <x v="26"/>
  </r>
  <r>
    <x v="6"/>
    <x v="13"/>
    <x v="0"/>
    <x v="5"/>
    <x v="6"/>
    <x v="2"/>
    <x v="0"/>
    <x v="5"/>
    <x v="87"/>
    <x v="26"/>
  </r>
  <r>
    <x v="6"/>
    <x v="9"/>
    <x v="0"/>
    <x v="5"/>
    <x v="6"/>
    <x v="1"/>
    <x v="5"/>
    <x v="5"/>
    <x v="89"/>
    <x v="26"/>
  </r>
  <r>
    <x v="6"/>
    <x v="10"/>
    <x v="0"/>
    <x v="5"/>
    <x v="6"/>
    <x v="1"/>
    <x v="4"/>
    <x v="5"/>
    <x v="91"/>
    <x v="26"/>
  </r>
  <r>
    <x v="6"/>
    <x v="13"/>
    <x v="0"/>
    <x v="5"/>
    <x v="6"/>
    <x v="2"/>
    <x v="4"/>
    <x v="5"/>
    <x v="91"/>
    <x v="26"/>
  </r>
  <r>
    <x v="6"/>
    <x v="7"/>
    <x v="0"/>
    <x v="5"/>
    <x v="6"/>
    <x v="1"/>
    <x v="0"/>
    <x v="5"/>
    <x v="97"/>
    <x v="26"/>
  </r>
  <r>
    <x v="6"/>
    <x v="1"/>
    <x v="0"/>
    <x v="5"/>
    <x v="6"/>
    <x v="1"/>
    <x v="0"/>
    <x v="6"/>
    <x v="107"/>
    <x v="26"/>
  </r>
  <r>
    <x v="6"/>
    <x v="10"/>
    <x v="0"/>
    <x v="5"/>
    <x v="6"/>
    <x v="1"/>
    <x v="5"/>
    <x v="6"/>
    <x v="110"/>
    <x v="26"/>
  </r>
  <r>
    <x v="6"/>
    <x v="9"/>
    <x v="0"/>
    <x v="5"/>
    <x v="6"/>
    <x v="1"/>
    <x v="6"/>
    <x v="6"/>
    <x v="111"/>
    <x v="26"/>
  </r>
  <r>
    <x v="6"/>
    <x v="8"/>
    <x v="0"/>
    <x v="5"/>
    <x v="6"/>
    <x v="2"/>
    <x v="6"/>
    <x v="6"/>
    <x v="301"/>
    <x v="26"/>
  </r>
  <r>
    <x v="6"/>
    <x v="11"/>
    <x v="0"/>
    <x v="5"/>
    <x v="6"/>
    <x v="2"/>
    <x v="6"/>
    <x v="6"/>
    <x v="301"/>
    <x v="26"/>
  </r>
  <r>
    <x v="6"/>
    <x v="11"/>
    <x v="0"/>
    <x v="5"/>
    <x v="6"/>
    <x v="2"/>
    <x v="6"/>
    <x v="6"/>
    <x v="301"/>
    <x v="26"/>
  </r>
  <r>
    <x v="6"/>
    <x v="15"/>
    <x v="0"/>
    <x v="5"/>
    <x v="6"/>
    <x v="2"/>
    <x v="2"/>
    <x v="6"/>
    <x v="117"/>
    <x v="26"/>
  </r>
  <r>
    <x v="6"/>
    <x v="15"/>
    <x v="0"/>
    <x v="5"/>
    <x v="6"/>
    <x v="2"/>
    <x v="2"/>
    <x v="6"/>
    <x v="117"/>
    <x v="26"/>
  </r>
  <r>
    <x v="6"/>
    <x v="14"/>
    <x v="0"/>
    <x v="5"/>
    <x v="6"/>
    <x v="2"/>
    <x v="6"/>
    <x v="6"/>
    <x v="119"/>
    <x v="26"/>
  </r>
  <r>
    <x v="6"/>
    <x v="11"/>
    <x v="0"/>
    <x v="9"/>
    <x v="6"/>
    <x v="2"/>
    <x v="1"/>
    <x v="6"/>
    <x v="304"/>
    <x v="27"/>
  </r>
  <r>
    <x v="6"/>
    <x v="10"/>
    <x v="0"/>
    <x v="9"/>
    <x v="6"/>
    <x v="1"/>
    <x v="5"/>
    <x v="6"/>
    <x v="305"/>
    <x v="27"/>
  </r>
  <r>
    <x v="6"/>
    <x v="6"/>
    <x v="0"/>
    <x v="9"/>
    <x v="6"/>
    <x v="0"/>
    <x v="6"/>
    <x v="7"/>
    <x v="123"/>
    <x v="27"/>
  </r>
  <r>
    <x v="6"/>
    <x v="8"/>
    <x v="0"/>
    <x v="9"/>
    <x v="6"/>
    <x v="2"/>
    <x v="6"/>
    <x v="7"/>
    <x v="123"/>
    <x v="27"/>
  </r>
  <r>
    <x v="6"/>
    <x v="14"/>
    <x v="0"/>
    <x v="9"/>
    <x v="6"/>
    <x v="2"/>
    <x v="6"/>
    <x v="7"/>
    <x v="123"/>
    <x v="27"/>
  </r>
  <r>
    <x v="6"/>
    <x v="8"/>
    <x v="0"/>
    <x v="9"/>
    <x v="6"/>
    <x v="2"/>
    <x v="3"/>
    <x v="7"/>
    <x v="306"/>
    <x v="27"/>
  </r>
  <r>
    <x v="6"/>
    <x v="11"/>
    <x v="0"/>
    <x v="9"/>
    <x v="6"/>
    <x v="2"/>
    <x v="3"/>
    <x v="7"/>
    <x v="306"/>
    <x v="27"/>
  </r>
  <r>
    <x v="6"/>
    <x v="11"/>
    <x v="0"/>
    <x v="9"/>
    <x v="6"/>
    <x v="2"/>
    <x v="3"/>
    <x v="7"/>
    <x v="306"/>
    <x v="27"/>
  </r>
  <r>
    <x v="6"/>
    <x v="11"/>
    <x v="0"/>
    <x v="9"/>
    <x v="6"/>
    <x v="2"/>
    <x v="3"/>
    <x v="7"/>
    <x v="306"/>
    <x v="27"/>
  </r>
  <r>
    <x v="6"/>
    <x v="14"/>
    <x v="0"/>
    <x v="9"/>
    <x v="6"/>
    <x v="2"/>
    <x v="4"/>
    <x v="7"/>
    <x v="307"/>
    <x v="27"/>
  </r>
  <r>
    <x v="6"/>
    <x v="15"/>
    <x v="0"/>
    <x v="9"/>
    <x v="6"/>
    <x v="2"/>
    <x v="4"/>
    <x v="7"/>
    <x v="307"/>
    <x v="27"/>
  </r>
  <r>
    <x v="6"/>
    <x v="15"/>
    <x v="0"/>
    <x v="9"/>
    <x v="6"/>
    <x v="2"/>
    <x v="4"/>
    <x v="7"/>
    <x v="307"/>
    <x v="27"/>
  </r>
  <r>
    <x v="6"/>
    <x v="15"/>
    <x v="0"/>
    <x v="9"/>
    <x v="6"/>
    <x v="2"/>
    <x v="4"/>
    <x v="7"/>
    <x v="307"/>
    <x v="27"/>
  </r>
  <r>
    <x v="6"/>
    <x v="3"/>
    <x v="0"/>
    <x v="9"/>
    <x v="6"/>
    <x v="2"/>
    <x v="0"/>
    <x v="7"/>
    <x v="124"/>
    <x v="27"/>
  </r>
  <r>
    <x v="6"/>
    <x v="8"/>
    <x v="0"/>
    <x v="9"/>
    <x v="6"/>
    <x v="2"/>
    <x v="2"/>
    <x v="7"/>
    <x v="126"/>
    <x v="27"/>
  </r>
  <r>
    <x v="6"/>
    <x v="15"/>
    <x v="0"/>
    <x v="9"/>
    <x v="6"/>
    <x v="2"/>
    <x v="2"/>
    <x v="7"/>
    <x v="126"/>
    <x v="27"/>
  </r>
  <r>
    <x v="6"/>
    <x v="15"/>
    <x v="0"/>
    <x v="9"/>
    <x v="6"/>
    <x v="2"/>
    <x v="2"/>
    <x v="7"/>
    <x v="126"/>
    <x v="27"/>
  </r>
  <r>
    <x v="6"/>
    <x v="15"/>
    <x v="0"/>
    <x v="9"/>
    <x v="6"/>
    <x v="2"/>
    <x v="2"/>
    <x v="7"/>
    <x v="126"/>
    <x v="27"/>
  </r>
  <r>
    <x v="6"/>
    <x v="15"/>
    <x v="0"/>
    <x v="9"/>
    <x v="6"/>
    <x v="2"/>
    <x v="5"/>
    <x v="7"/>
    <x v="127"/>
    <x v="27"/>
  </r>
  <r>
    <x v="6"/>
    <x v="15"/>
    <x v="0"/>
    <x v="9"/>
    <x v="6"/>
    <x v="2"/>
    <x v="5"/>
    <x v="7"/>
    <x v="127"/>
    <x v="27"/>
  </r>
  <r>
    <x v="6"/>
    <x v="14"/>
    <x v="0"/>
    <x v="9"/>
    <x v="6"/>
    <x v="2"/>
    <x v="6"/>
    <x v="7"/>
    <x v="128"/>
    <x v="27"/>
  </r>
  <r>
    <x v="6"/>
    <x v="10"/>
    <x v="0"/>
    <x v="9"/>
    <x v="6"/>
    <x v="1"/>
    <x v="4"/>
    <x v="7"/>
    <x v="130"/>
    <x v="27"/>
  </r>
  <r>
    <x v="6"/>
    <x v="11"/>
    <x v="0"/>
    <x v="9"/>
    <x v="6"/>
    <x v="2"/>
    <x v="4"/>
    <x v="7"/>
    <x v="130"/>
    <x v="27"/>
  </r>
  <r>
    <x v="6"/>
    <x v="11"/>
    <x v="0"/>
    <x v="9"/>
    <x v="6"/>
    <x v="2"/>
    <x v="4"/>
    <x v="7"/>
    <x v="130"/>
    <x v="27"/>
  </r>
  <r>
    <x v="6"/>
    <x v="9"/>
    <x v="0"/>
    <x v="9"/>
    <x v="6"/>
    <x v="1"/>
    <x v="0"/>
    <x v="7"/>
    <x v="131"/>
    <x v="27"/>
  </r>
  <r>
    <x v="6"/>
    <x v="3"/>
    <x v="0"/>
    <x v="9"/>
    <x v="6"/>
    <x v="2"/>
    <x v="0"/>
    <x v="7"/>
    <x v="131"/>
    <x v="27"/>
  </r>
  <r>
    <x v="6"/>
    <x v="3"/>
    <x v="0"/>
    <x v="9"/>
    <x v="6"/>
    <x v="2"/>
    <x v="0"/>
    <x v="7"/>
    <x v="131"/>
    <x v="27"/>
  </r>
  <r>
    <x v="6"/>
    <x v="11"/>
    <x v="0"/>
    <x v="9"/>
    <x v="6"/>
    <x v="2"/>
    <x v="0"/>
    <x v="7"/>
    <x v="131"/>
    <x v="27"/>
  </r>
  <r>
    <x v="6"/>
    <x v="11"/>
    <x v="0"/>
    <x v="9"/>
    <x v="6"/>
    <x v="2"/>
    <x v="0"/>
    <x v="7"/>
    <x v="131"/>
    <x v="27"/>
  </r>
  <r>
    <x v="6"/>
    <x v="7"/>
    <x v="0"/>
    <x v="9"/>
    <x v="6"/>
    <x v="1"/>
    <x v="6"/>
    <x v="7"/>
    <x v="133"/>
    <x v="27"/>
  </r>
  <r>
    <x v="6"/>
    <x v="7"/>
    <x v="0"/>
    <x v="9"/>
    <x v="6"/>
    <x v="1"/>
    <x v="6"/>
    <x v="7"/>
    <x v="133"/>
    <x v="27"/>
  </r>
  <r>
    <x v="6"/>
    <x v="3"/>
    <x v="0"/>
    <x v="9"/>
    <x v="6"/>
    <x v="2"/>
    <x v="6"/>
    <x v="7"/>
    <x v="133"/>
    <x v="27"/>
  </r>
  <r>
    <x v="6"/>
    <x v="15"/>
    <x v="0"/>
    <x v="9"/>
    <x v="6"/>
    <x v="2"/>
    <x v="6"/>
    <x v="7"/>
    <x v="133"/>
    <x v="27"/>
  </r>
  <r>
    <x v="6"/>
    <x v="15"/>
    <x v="0"/>
    <x v="9"/>
    <x v="6"/>
    <x v="2"/>
    <x v="6"/>
    <x v="7"/>
    <x v="133"/>
    <x v="27"/>
  </r>
  <r>
    <x v="6"/>
    <x v="9"/>
    <x v="0"/>
    <x v="9"/>
    <x v="6"/>
    <x v="1"/>
    <x v="3"/>
    <x v="7"/>
    <x v="134"/>
    <x v="27"/>
  </r>
  <r>
    <x v="6"/>
    <x v="15"/>
    <x v="0"/>
    <x v="9"/>
    <x v="6"/>
    <x v="2"/>
    <x v="3"/>
    <x v="7"/>
    <x v="134"/>
    <x v="27"/>
  </r>
  <r>
    <x v="6"/>
    <x v="1"/>
    <x v="0"/>
    <x v="9"/>
    <x v="6"/>
    <x v="1"/>
    <x v="4"/>
    <x v="7"/>
    <x v="135"/>
    <x v="27"/>
  </r>
  <r>
    <x v="6"/>
    <x v="6"/>
    <x v="0"/>
    <x v="9"/>
    <x v="6"/>
    <x v="0"/>
    <x v="4"/>
    <x v="7"/>
    <x v="135"/>
    <x v="27"/>
  </r>
  <r>
    <x v="6"/>
    <x v="6"/>
    <x v="0"/>
    <x v="9"/>
    <x v="6"/>
    <x v="0"/>
    <x v="4"/>
    <x v="7"/>
    <x v="135"/>
    <x v="27"/>
  </r>
  <r>
    <x v="6"/>
    <x v="6"/>
    <x v="0"/>
    <x v="9"/>
    <x v="6"/>
    <x v="0"/>
    <x v="4"/>
    <x v="7"/>
    <x v="135"/>
    <x v="27"/>
  </r>
  <r>
    <x v="6"/>
    <x v="6"/>
    <x v="0"/>
    <x v="9"/>
    <x v="6"/>
    <x v="0"/>
    <x v="4"/>
    <x v="7"/>
    <x v="135"/>
    <x v="27"/>
  </r>
  <r>
    <x v="6"/>
    <x v="3"/>
    <x v="0"/>
    <x v="9"/>
    <x v="6"/>
    <x v="2"/>
    <x v="4"/>
    <x v="7"/>
    <x v="135"/>
    <x v="27"/>
  </r>
  <r>
    <x v="6"/>
    <x v="15"/>
    <x v="0"/>
    <x v="9"/>
    <x v="6"/>
    <x v="2"/>
    <x v="4"/>
    <x v="7"/>
    <x v="135"/>
    <x v="27"/>
  </r>
  <r>
    <x v="6"/>
    <x v="3"/>
    <x v="0"/>
    <x v="9"/>
    <x v="6"/>
    <x v="2"/>
    <x v="0"/>
    <x v="7"/>
    <x v="136"/>
    <x v="27"/>
  </r>
  <r>
    <x v="6"/>
    <x v="5"/>
    <x v="0"/>
    <x v="9"/>
    <x v="6"/>
    <x v="0"/>
    <x v="1"/>
    <x v="7"/>
    <x v="310"/>
    <x v="27"/>
  </r>
  <r>
    <x v="6"/>
    <x v="2"/>
    <x v="0"/>
    <x v="9"/>
    <x v="6"/>
    <x v="0"/>
    <x v="2"/>
    <x v="7"/>
    <x v="311"/>
    <x v="27"/>
  </r>
  <r>
    <x v="6"/>
    <x v="15"/>
    <x v="0"/>
    <x v="9"/>
    <x v="6"/>
    <x v="2"/>
    <x v="2"/>
    <x v="7"/>
    <x v="311"/>
    <x v="27"/>
  </r>
  <r>
    <x v="6"/>
    <x v="13"/>
    <x v="0"/>
    <x v="9"/>
    <x v="6"/>
    <x v="2"/>
    <x v="5"/>
    <x v="7"/>
    <x v="137"/>
    <x v="27"/>
  </r>
  <r>
    <x v="6"/>
    <x v="11"/>
    <x v="0"/>
    <x v="9"/>
    <x v="6"/>
    <x v="2"/>
    <x v="5"/>
    <x v="7"/>
    <x v="137"/>
    <x v="27"/>
  </r>
  <r>
    <x v="6"/>
    <x v="13"/>
    <x v="0"/>
    <x v="9"/>
    <x v="6"/>
    <x v="2"/>
    <x v="6"/>
    <x v="7"/>
    <x v="138"/>
    <x v="27"/>
  </r>
  <r>
    <x v="6"/>
    <x v="15"/>
    <x v="0"/>
    <x v="9"/>
    <x v="6"/>
    <x v="2"/>
    <x v="3"/>
    <x v="7"/>
    <x v="312"/>
    <x v="27"/>
  </r>
  <r>
    <x v="6"/>
    <x v="2"/>
    <x v="0"/>
    <x v="9"/>
    <x v="6"/>
    <x v="0"/>
    <x v="4"/>
    <x v="7"/>
    <x v="139"/>
    <x v="27"/>
  </r>
  <r>
    <x v="6"/>
    <x v="15"/>
    <x v="0"/>
    <x v="9"/>
    <x v="6"/>
    <x v="2"/>
    <x v="4"/>
    <x v="7"/>
    <x v="139"/>
    <x v="27"/>
  </r>
  <r>
    <x v="6"/>
    <x v="15"/>
    <x v="0"/>
    <x v="9"/>
    <x v="6"/>
    <x v="2"/>
    <x v="4"/>
    <x v="7"/>
    <x v="139"/>
    <x v="27"/>
  </r>
  <r>
    <x v="6"/>
    <x v="15"/>
    <x v="0"/>
    <x v="9"/>
    <x v="6"/>
    <x v="2"/>
    <x v="4"/>
    <x v="7"/>
    <x v="139"/>
    <x v="27"/>
  </r>
  <r>
    <x v="6"/>
    <x v="11"/>
    <x v="0"/>
    <x v="9"/>
    <x v="6"/>
    <x v="2"/>
    <x v="0"/>
    <x v="7"/>
    <x v="140"/>
    <x v="27"/>
  </r>
  <r>
    <x v="6"/>
    <x v="4"/>
    <x v="0"/>
    <x v="9"/>
    <x v="6"/>
    <x v="0"/>
    <x v="5"/>
    <x v="7"/>
    <x v="142"/>
    <x v="27"/>
  </r>
  <r>
    <x v="6"/>
    <x v="6"/>
    <x v="0"/>
    <x v="9"/>
    <x v="6"/>
    <x v="0"/>
    <x v="6"/>
    <x v="7"/>
    <x v="314"/>
    <x v="27"/>
  </r>
  <r>
    <x v="6"/>
    <x v="13"/>
    <x v="0"/>
    <x v="9"/>
    <x v="6"/>
    <x v="2"/>
    <x v="6"/>
    <x v="7"/>
    <x v="314"/>
    <x v="27"/>
  </r>
  <r>
    <x v="6"/>
    <x v="8"/>
    <x v="0"/>
    <x v="9"/>
    <x v="6"/>
    <x v="2"/>
    <x v="3"/>
    <x v="7"/>
    <x v="143"/>
    <x v="27"/>
  </r>
  <r>
    <x v="6"/>
    <x v="6"/>
    <x v="0"/>
    <x v="9"/>
    <x v="6"/>
    <x v="0"/>
    <x v="1"/>
    <x v="8"/>
    <x v="145"/>
    <x v="27"/>
  </r>
  <r>
    <x v="6"/>
    <x v="6"/>
    <x v="0"/>
    <x v="9"/>
    <x v="6"/>
    <x v="0"/>
    <x v="2"/>
    <x v="8"/>
    <x v="146"/>
    <x v="27"/>
  </r>
  <r>
    <x v="6"/>
    <x v="6"/>
    <x v="0"/>
    <x v="9"/>
    <x v="6"/>
    <x v="0"/>
    <x v="2"/>
    <x v="8"/>
    <x v="146"/>
    <x v="27"/>
  </r>
  <r>
    <x v="6"/>
    <x v="15"/>
    <x v="0"/>
    <x v="9"/>
    <x v="6"/>
    <x v="2"/>
    <x v="6"/>
    <x v="8"/>
    <x v="316"/>
    <x v="27"/>
  </r>
  <r>
    <x v="6"/>
    <x v="11"/>
    <x v="0"/>
    <x v="9"/>
    <x v="6"/>
    <x v="2"/>
    <x v="6"/>
    <x v="8"/>
    <x v="316"/>
    <x v="27"/>
  </r>
  <r>
    <x v="6"/>
    <x v="8"/>
    <x v="0"/>
    <x v="9"/>
    <x v="6"/>
    <x v="2"/>
    <x v="3"/>
    <x v="8"/>
    <x v="148"/>
    <x v="27"/>
  </r>
  <r>
    <x v="6"/>
    <x v="8"/>
    <x v="0"/>
    <x v="9"/>
    <x v="6"/>
    <x v="2"/>
    <x v="3"/>
    <x v="8"/>
    <x v="148"/>
    <x v="27"/>
  </r>
  <r>
    <x v="6"/>
    <x v="13"/>
    <x v="0"/>
    <x v="9"/>
    <x v="6"/>
    <x v="2"/>
    <x v="4"/>
    <x v="8"/>
    <x v="149"/>
    <x v="27"/>
  </r>
  <r>
    <x v="6"/>
    <x v="14"/>
    <x v="0"/>
    <x v="9"/>
    <x v="6"/>
    <x v="2"/>
    <x v="0"/>
    <x v="8"/>
    <x v="150"/>
    <x v="27"/>
  </r>
  <r>
    <x v="6"/>
    <x v="14"/>
    <x v="0"/>
    <x v="9"/>
    <x v="6"/>
    <x v="2"/>
    <x v="0"/>
    <x v="8"/>
    <x v="150"/>
    <x v="27"/>
  </r>
  <r>
    <x v="6"/>
    <x v="14"/>
    <x v="0"/>
    <x v="9"/>
    <x v="6"/>
    <x v="2"/>
    <x v="0"/>
    <x v="8"/>
    <x v="150"/>
    <x v="27"/>
  </r>
  <r>
    <x v="6"/>
    <x v="0"/>
    <x v="0"/>
    <x v="9"/>
    <x v="6"/>
    <x v="0"/>
    <x v="1"/>
    <x v="8"/>
    <x v="151"/>
    <x v="27"/>
  </r>
  <r>
    <x v="6"/>
    <x v="0"/>
    <x v="0"/>
    <x v="9"/>
    <x v="6"/>
    <x v="0"/>
    <x v="1"/>
    <x v="8"/>
    <x v="151"/>
    <x v="27"/>
  </r>
  <r>
    <x v="6"/>
    <x v="2"/>
    <x v="0"/>
    <x v="9"/>
    <x v="6"/>
    <x v="0"/>
    <x v="1"/>
    <x v="8"/>
    <x v="151"/>
    <x v="27"/>
  </r>
  <r>
    <x v="6"/>
    <x v="2"/>
    <x v="0"/>
    <x v="9"/>
    <x v="6"/>
    <x v="0"/>
    <x v="1"/>
    <x v="8"/>
    <x v="151"/>
    <x v="27"/>
  </r>
  <r>
    <x v="6"/>
    <x v="8"/>
    <x v="0"/>
    <x v="9"/>
    <x v="6"/>
    <x v="2"/>
    <x v="2"/>
    <x v="8"/>
    <x v="152"/>
    <x v="27"/>
  </r>
  <r>
    <x v="6"/>
    <x v="8"/>
    <x v="0"/>
    <x v="9"/>
    <x v="6"/>
    <x v="2"/>
    <x v="2"/>
    <x v="8"/>
    <x v="152"/>
    <x v="27"/>
  </r>
  <r>
    <x v="6"/>
    <x v="6"/>
    <x v="0"/>
    <x v="9"/>
    <x v="6"/>
    <x v="0"/>
    <x v="5"/>
    <x v="8"/>
    <x v="317"/>
    <x v="27"/>
  </r>
  <r>
    <x v="6"/>
    <x v="13"/>
    <x v="0"/>
    <x v="9"/>
    <x v="6"/>
    <x v="2"/>
    <x v="5"/>
    <x v="8"/>
    <x v="317"/>
    <x v="27"/>
  </r>
  <r>
    <x v="6"/>
    <x v="6"/>
    <x v="0"/>
    <x v="9"/>
    <x v="6"/>
    <x v="0"/>
    <x v="6"/>
    <x v="8"/>
    <x v="359"/>
    <x v="27"/>
  </r>
  <r>
    <x v="6"/>
    <x v="6"/>
    <x v="0"/>
    <x v="9"/>
    <x v="6"/>
    <x v="0"/>
    <x v="6"/>
    <x v="8"/>
    <x v="359"/>
    <x v="27"/>
  </r>
  <r>
    <x v="6"/>
    <x v="13"/>
    <x v="0"/>
    <x v="9"/>
    <x v="6"/>
    <x v="2"/>
    <x v="4"/>
    <x v="8"/>
    <x v="153"/>
    <x v="27"/>
  </r>
  <r>
    <x v="6"/>
    <x v="13"/>
    <x v="0"/>
    <x v="9"/>
    <x v="6"/>
    <x v="2"/>
    <x v="4"/>
    <x v="8"/>
    <x v="153"/>
    <x v="27"/>
  </r>
  <r>
    <x v="6"/>
    <x v="14"/>
    <x v="0"/>
    <x v="9"/>
    <x v="6"/>
    <x v="2"/>
    <x v="4"/>
    <x v="8"/>
    <x v="153"/>
    <x v="27"/>
  </r>
  <r>
    <x v="6"/>
    <x v="8"/>
    <x v="0"/>
    <x v="9"/>
    <x v="6"/>
    <x v="2"/>
    <x v="0"/>
    <x v="8"/>
    <x v="154"/>
    <x v="27"/>
  </r>
  <r>
    <x v="6"/>
    <x v="7"/>
    <x v="0"/>
    <x v="9"/>
    <x v="6"/>
    <x v="1"/>
    <x v="1"/>
    <x v="8"/>
    <x v="155"/>
    <x v="27"/>
  </r>
  <r>
    <x v="6"/>
    <x v="8"/>
    <x v="0"/>
    <x v="9"/>
    <x v="6"/>
    <x v="2"/>
    <x v="2"/>
    <x v="8"/>
    <x v="156"/>
    <x v="27"/>
  </r>
  <r>
    <x v="6"/>
    <x v="13"/>
    <x v="0"/>
    <x v="9"/>
    <x v="6"/>
    <x v="2"/>
    <x v="2"/>
    <x v="8"/>
    <x v="156"/>
    <x v="27"/>
  </r>
  <r>
    <x v="6"/>
    <x v="13"/>
    <x v="0"/>
    <x v="9"/>
    <x v="6"/>
    <x v="2"/>
    <x v="2"/>
    <x v="8"/>
    <x v="156"/>
    <x v="27"/>
  </r>
  <r>
    <x v="6"/>
    <x v="3"/>
    <x v="0"/>
    <x v="9"/>
    <x v="6"/>
    <x v="2"/>
    <x v="3"/>
    <x v="8"/>
    <x v="321"/>
    <x v="27"/>
  </r>
  <r>
    <x v="6"/>
    <x v="13"/>
    <x v="0"/>
    <x v="9"/>
    <x v="6"/>
    <x v="2"/>
    <x v="4"/>
    <x v="8"/>
    <x v="322"/>
    <x v="27"/>
  </r>
  <r>
    <x v="6"/>
    <x v="6"/>
    <x v="0"/>
    <x v="9"/>
    <x v="6"/>
    <x v="0"/>
    <x v="0"/>
    <x v="8"/>
    <x v="360"/>
    <x v="27"/>
  </r>
  <r>
    <x v="6"/>
    <x v="7"/>
    <x v="0"/>
    <x v="9"/>
    <x v="6"/>
    <x v="1"/>
    <x v="1"/>
    <x v="8"/>
    <x v="157"/>
    <x v="27"/>
  </r>
  <r>
    <x v="6"/>
    <x v="6"/>
    <x v="0"/>
    <x v="9"/>
    <x v="6"/>
    <x v="0"/>
    <x v="5"/>
    <x v="8"/>
    <x v="323"/>
    <x v="27"/>
  </r>
  <r>
    <x v="6"/>
    <x v="13"/>
    <x v="0"/>
    <x v="9"/>
    <x v="6"/>
    <x v="2"/>
    <x v="5"/>
    <x v="8"/>
    <x v="323"/>
    <x v="27"/>
  </r>
  <r>
    <x v="6"/>
    <x v="15"/>
    <x v="0"/>
    <x v="9"/>
    <x v="6"/>
    <x v="2"/>
    <x v="5"/>
    <x v="8"/>
    <x v="323"/>
    <x v="27"/>
  </r>
  <r>
    <x v="6"/>
    <x v="2"/>
    <x v="0"/>
    <x v="9"/>
    <x v="6"/>
    <x v="0"/>
    <x v="1"/>
    <x v="8"/>
    <x v="159"/>
    <x v="27"/>
  </r>
  <r>
    <x v="6"/>
    <x v="15"/>
    <x v="0"/>
    <x v="9"/>
    <x v="6"/>
    <x v="2"/>
    <x v="6"/>
    <x v="9"/>
    <x v="161"/>
    <x v="27"/>
  </r>
  <r>
    <x v="6"/>
    <x v="1"/>
    <x v="0"/>
    <x v="9"/>
    <x v="6"/>
    <x v="1"/>
    <x v="3"/>
    <x v="9"/>
    <x v="162"/>
    <x v="27"/>
  </r>
  <r>
    <x v="6"/>
    <x v="2"/>
    <x v="0"/>
    <x v="9"/>
    <x v="6"/>
    <x v="0"/>
    <x v="3"/>
    <x v="9"/>
    <x v="162"/>
    <x v="27"/>
  </r>
  <r>
    <x v="6"/>
    <x v="6"/>
    <x v="0"/>
    <x v="9"/>
    <x v="6"/>
    <x v="0"/>
    <x v="0"/>
    <x v="9"/>
    <x v="373"/>
    <x v="27"/>
  </r>
  <r>
    <x v="6"/>
    <x v="11"/>
    <x v="0"/>
    <x v="9"/>
    <x v="6"/>
    <x v="2"/>
    <x v="0"/>
    <x v="9"/>
    <x v="373"/>
    <x v="27"/>
  </r>
  <r>
    <x v="6"/>
    <x v="8"/>
    <x v="0"/>
    <x v="9"/>
    <x v="6"/>
    <x v="2"/>
    <x v="6"/>
    <x v="9"/>
    <x v="371"/>
    <x v="27"/>
  </r>
  <r>
    <x v="6"/>
    <x v="4"/>
    <x v="0"/>
    <x v="9"/>
    <x v="6"/>
    <x v="0"/>
    <x v="3"/>
    <x v="9"/>
    <x v="365"/>
    <x v="27"/>
  </r>
  <r>
    <x v="6"/>
    <x v="4"/>
    <x v="0"/>
    <x v="9"/>
    <x v="6"/>
    <x v="0"/>
    <x v="0"/>
    <x v="9"/>
    <x v="167"/>
    <x v="27"/>
  </r>
  <r>
    <x v="6"/>
    <x v="2"/>
    <x v="0"/>
    <x v="9"/>
    <x v="6"/>
    <x v="0"/>
    <x v="0"/>
    <x v="9"/>
    <x v="167"/>
    <x v="27"/>
  </r>
  <r>
    <x v="6"/>
    <x v="3"/>
    <x v="0"/>
    <x v="9"/>
    <x v="6"/>
    <x v="2"/>
    <x v="2"/>
    <x v="9"/>
    <x v="366"/>
    <x v="27"/>
  </r>
  <r>
    <x v="6"/>
    <x v="9"/>
    <x v="0"/>
    <x v="9"/>
    <x v="6"/>
    <x v="1"/>
    <x v="5"/>
    <x v="9"/>
    <x v="328"/>
    <x v="27"/>
  </r>
  <r>
    <x v="6"/>
    <x v="2"/>
    <x v="0"/>
    <x v="9"/>
    <x v="6"/>
    <x v="0"/>
    <x v="5"/>
    <x v="9"/>
    <x v="328"/>
    <x v="27"/>
  </r>
  <r>
    <x v="6"/>
    <x v="1"/>
    <x v="0"/>
    <x v="9"/>
    <x v="6"/>
    <x v="1"/>
    <x v="4"/>
    <x v="9"/>
    <x v="330"/>
    <x v="27"/>
  </r>
  <r>
    <x v="6"/>
    <x v="0"/>
    <x v="0"/>
    <x v="9"/>
    <x v="6"/>
    <x v="0"/>
    <x v="4"/>
    <x v="9"/>
    <x v="330"/>
    <x v="27"/>
  </r>
  <r>
    <x v="6"/>
    <x v="13"/>
    <x v="0"/>
    <x v="9"/>
    <x v="6"/>
    <x v="2"/>
    <x v="4"/>
    <x v="9"/>
    <x v="330"/>
    <x v="27"/>
  </r>
  <r>
    <x v="6"/>
    <x v="5"/>
    <x v="0"/>
    <x v="9"/>
    <x v="6"/>
    <x v="0"/>
    <x v="1"/>
    <x v="9"/>
    <x v="170"/>
    <x v="27"/>
  </r>
  <r>
    <x v="6"/>
    <x v="8"/>
    <x v="0"/>
    <x v="9"/>
    <x v="6"/>
    <x v="2"/>
    <x v="1"/>
    <x v="9"/>
    <x v="170"/>
    <x v="27"/>
  </r>
  <r>
    <x v="6"/>
    <x v="13"/>
    <x v="0"/>
    <x v="9"/>
    <x v="6"/>
    <x v="2"/>
    <x v="2"/>
    <x v="9"/>
    <x v="361"/>
    <x v="27"/>
  </r>
  <r>
    <x v="6"/>
    <x v="13"/>
    <x v="0"/>
    <x v="9"/>
    <x v="6"/>
    <x v="2"/>
    <x v="2"/>
    <x v="9"/>
    <x v="361"/>
    <x v="27"/>
  </r>
  <r>
    <x v="6"/>
    <x v="14"/>
    <x v="0"/>
    <x v="9"/>
    <x v="6"/>
    <x v="2"/>
    <x v="2"/>
    <x v="9"/>
    <x v="361"/>
    <x v="27"/>
  </r>
  <r>
    <x v="6"/>
    <x v="6"/>
    <x v="0"/>
    <x v="9"/>
    <x v="6"/>
    <x v="0"/>
    <x v="6"/>
    <x v="9"/>
    <x v="333"/>
    <x v="27"/>
  </r>
  <r>
    <x v="6"/>
    <x v="13"/>
    <x v="0"/>
    <x v="9"/>
    <x v="6"/>
    <x v="2"/>
    <x v="6"/>
    <x v="9"/>
    <x v="333"/>
    <x v="27"/>
  </r>
  <r>
    <x v="6"/>
    <x v="2"/>
    <x v="0"/>
    <x v="9"/>
    <x v="6"/>
    <x v="0"/>
    <x v="1"/>
    <x v="9"/>
    <x v="334"/>
    <x v="27"/>
  </r>
  <r>
    <x v="6"/>
    <x v="14"/>
    <x v="0"/>
    <x v="9"/>
    <x v="6"/>
    <x v="2"/>
    <x v="2"/>
    <x v="9"/>
    <x v="173"/>
    <x v="27"/>
  </r>
  <r>
    <x v="6"/>
    <x v="0"/>
    <x v="0"/>
    <x v="9"/>
    <x v="6"/>
    <x v="0"/>
    <x v="5"/>
    <x v="9"/>
    <x v="174"/>
    <x v="27"/>
  </r>
  <r>
    <x v="6"/>
    <x v="13"/>
    <x v="0"/>
    <x v="9"/>
    <x v="6"/>
    <x v="2"/>
    <x v="6"/>
    <x v="9"/>
    <x v="175"/>
    <x v="27"/>
  </r>
  <r>
    <x v="6"/>
    <x v="6"/>
    <x v="0"/>
    <x v="9"/>
    <x v="6"/>
    <x v="0"/>
    <x v="4"/>
    <x v="10"/>
    <x v="176"/>
    <x v="27"/>
  </r>
  <r>
    <x v="6"/>
    <x v="3"/>
    <x v="0"/>
    <x v="9"/>
    <x v="6"/>
    <x v="2"/>
    <x v="0"/>
    <x v="10"/>
    <x v="337"/>
    <x v="27"/>
  </r>
  <r>
    <x v="6"/>
    <x v="1"/>
    <x v="0"/>
    <x v="9"/>
    <x v="6"/>
    <x v="1"/>
    <x v="1"/>
    <x v="10"/>
    <x v="181"/>
    <x v="27"/>
  </r>
  <r>
    <x v="6"/>
    <x v="6"/>
    <x v="0"/>
    <x v="9"/>
    <x v="6"/>
    <x v="0"/>
    <x v="2"/>
    <x v="10"/>
    <x v="182"/>
    <x v="27"/>
  </r>
  <r>
    <x v="6"/>
    <x v="15"/>
    <x v="0"/>
    <x v="9"/>
    <x v="6"/>
    <x v="2"/>
    <x v="4"/>
    <x v="10"/>
    <x v="340"/>
    <x v="27"/>
  </r>
  <r>
    <x v="6"/>
    <x v="15"/>
    <x v="0"/>
    <x v="9"/>
    <x v="6"/>
    <x v="2"/>
    <x v="4"/>
    <x v="10"/>
    <x v="340"/>
    <x v="27"/>
  </r>
  <r>
    <x v="6"/>
    <x v="3"/>
    <x v="0"/>
    <x v="9"/>
    <x v="6"/>
    <x v="2"/>
    <x v="0"/>
    <x v="10"/>
    <x v="341"/>
    <x v="27"/>
  </r>
  <r>
    <x v="6"/>
    <x v="15"/>
    <x v="0"/>
    <x v="9"/>
    <x v="6"/>
    <x v="2"/>
    <x v="0"/>
    <x v="10"/>
    <x v="341"/>
    <x v="27"/>
  </r>
  <r>
    <x v="6"/>
    <x v="6"/>
    <x v="0"/>
    <x v="9"/>
    <x v="6"/>
    <x v="0"/>
    <x v="1"/>
    <x v="10"/>
    <x v="342"/>
    <x v="27"/>
  </r>
  <r>
    <x v="6"/>
    <x v="6"/>
    <x v="0"/>
    <x v="9"/>
    <x v="6"/>
    <x v="0"/>
    <x v="1"/>
    <x v="10"/>
    <x v="342"/>
    <x v="27"/>
  </r>
  <r>
    <x v="6"/>
    <x v="14"/>
    <x v="0"/>
    <x v="9"/>
    <x v="6"/>
    <x v="2"/>
    <x v="5"/>
    <x v="10"/>
    <x v="184"/>
    <x v="27"/>
  </r>
  <r>
    <x v="6"/>
    <x v="8"/>
    <x v="0"/>
    <x v="9"/>
    <x v="6"/>
    <x v="2"/>
    <x v="6"/>
    <x v="10"/>
    <x v="185"/>
    <x v="27"/>
  </r>
  <r>
    <x v="6"/>
    <x v="11"/>
    <x v="0"/>
    <x v="9"/>
    <x v="6"/>
    <x v="2"/>
    <x v="0"/>
    <x v="10"/>
    <x v="186"/>
    <x v="27"/>
  </r>
  <r>
    <x v="6"/>
    <x v="4"/>
    <x v="0"/>
    <x v="9"/>
    <x v="6"/>
    <x v="0"/>
    <x v="4"/>
    <x v="10"/>
    <x v="192"/>
    <x v="27"/>
  </r>
  <r>
    <x v="6"/>
    <x v="3"/>
    <x v="0"/>
    <x v="9"/>
    <x v="6"/>
    <x v="2"/>
    <x v="4"/>
    <x v="10"/>
    <x v="192"/>
    <x v="27"/>
  </r>
  <r>
    <x v="6"/>
    <x v="3"/>
    <x v="0"/>
    <x v="9"/>
    <x v="6"/>
    <x v="2"/>
    <x v="5"/>
    <x v="11"/>
    <x v="194"/>
    <x v="27"/>
  </r>
  <r>
    <x v="6"/>
    <x v="3"/>
    <x v="0"/>
    <x v="9"/>
    <x v="6"/>
    <x v="2"/>
    <x v="5"/>
    <x v="11"/>
    <x v="194"/>
    <x v="27"/>
  </r>
  <r>
    <x v="6"/>
    <x v="6"/>
    <x v="0"/>
    <x v="9"/>
    <x v="6"/>
    <x v="0"/>
    <x v="3"/>
    <x v="11"/>
    <x v="196"/>
    <x v="27"/>
  </r>
  <r>
    <x v="6"/>
    <x v="6"/>
    <x v="0"/>
    <x v="9"/>
    <x v="6"/>
    <x v="0"/>
    <x v="3"/>
    <x v="11"/>
    <x v="196"/>
    <x v="27"/>
  </r>
  <r>
    <x v="6"/>
    <x v="13"/>
    <x v="0"/>
    <x v="9"/>
    <x v="6"/>
    <x v="2"/>
    <x v="3"/>
    <x v="11"/>
    <x v="196"/>
    <x v="27"/>
  </r>
  <r>
    <x v="6"/>
    <x v="6"/>
    <x v="0"/>
    <x v="9"/>
    <x v="6"/>
    <x v="0"/>
    <x v="0"/>
    <x v="11"/>
    <x v="198"/>
    <x v="27"/>
  </r>
  <r>
    <x v="6"/>
    <x v="5"/>
    <x v="0"/>
    <x v="9"/>
    <x v="6"/>
    <x v="0"/>
    <x v="2"/>
    <x v="11"/>
    <x v="200"/>
    <x v="27"/>
  </r>
  <r>
    <x v="6"/>
    <x v="5"/>
    <x v="0"/>
    <x v="9"/>
    <x v="6"/>
    <x v="0"/>
    <x v="5"/>
    <x v="11"/>
    <x v="201"/>
    <x v="27"/>
  </r>
  <r>
    <x v="6"/>
    <x v="5"/>
    <x v="0"/>
    <x v="9"/>
    <x v="6"/>
    <x v="0"/>
    <x v="6"/>
    <x v="11"/>
    <x v="202"/>
    <x v="27"/>
  </r>
  <r>
    <x v="6"/>
    <x v="0"/>
    <x v="0"/>
    <x v="9"/>
    <x v="6"/>
    <x v="0"/>
    <x v="3"/>
    <x v="11"/>
    <x v="203"/>
    <x v="27"/>
  </r>
  <r>
    <x v="6"/>
    <x v="5"/>
    <x v="0"/>
    <x v="9"/>
    <x v="6"/>
    <x v="0"/>
    <x v="3"/>
    <x v="11"/>
    <x v="203"/>
    <x v="27"/>
  </r>
  <r>
    <x v="6"/>
    <x v="5"/>
    <x v="0"/>
    <x v="9"/>
    <x v="6"/>
    <x v="0"/>
    <x v="3"/>
    <x v="11"/>
    <x v="203"/>
    <x v="27"/>
  </r>
  <r>
    <x v="6"/>
    <x v="2"/>
    <x v="0"/>
    <x v="9"/>
    <x v="6"/>
    <x v="0"/>
    <x v="0"/>
    <x v="11"/>
    <x v="205"/>
    <x v="27"/>
  </r>
  <r>
    <x v="6"/>
    <x v="5"/>
    <x v="0"/>
    <x v="9"/>
    <x v="6"/>
    <x v="0"/>
    <x v="0"/>
    <x v="11"/>
    <x v="205"/>
    <x v="27"/>
  </r>
  <r>
    <x v="6"/>
    <x v="5"/>
    <x v="0"/>
    <x v="9"/>
    <x v="6"/>
    <x v="0"/>
    <x v="1"/>
    <x v="11"/>
    <x v="206"/>
    <x v="27"/>
  </r>
  <r>
    <x v="6"/>
    <x v="5"/>
    <x v="0"/>
    <x v="9"/>
    <x v="6"/>
    <x v="0"/>
    <x v="1"/>
    <x v="11"/>
    <x v="206"/>
    <x v="27"/>
  </r>
  <r>
    <x v="6"/>
    <x v="7"/>
    <x v="0"/>
    <x v="9"/>
    <x v="6"/>
    <x v="1"/>
    <x v="2"/>
    <x v="11"/>
    <x v="207"/>
    <x v="27"/>
  </r>
  <r>
    <x v="6"/>
    <x v="2"/>
    <x v="0"/>
    <x v="9"/>
    <x v="6"/>
    <x v="0"/>
    <x v="2"/>
    <x v="11"/>
    <x v="207"/>
    <x v="27"/>
  </r>
  <r>
    <x v="6"/>
    <x v="3"/>
    <x v="0"/>
    <x v="9"/>
    <x v="6"/>
    <x v="2"/>
    <x v="2"/>
    <x v="11"/>
    <x v="207"/>
    <x v="27"/>
  </r>
  <r>
    <x v="6"/>
    <x v="10"/>
    <x v="0"/>
    <x v="9"/>
    <x v="6"/>
    <x v="1"/>
    <x v="5"/>
    <x v="11"/>
    <x v="208"/>
    <x v="27"/>
  </r>
  <r>
    <x v="6"/>
    <x v="3"/>
    <x v="0"/>
    <x v="9"/>
    <x v="6"/>
    <x v="2"/>
    <x v="6"/>
    <x v="11"/>
    <x v="209"/>
    <x v="27"/>
  </r>
  <r>
    <x v="6"/>
    <x v="14"/>
    <x v="0"/>
    <x v="9"/>
    <x v="6"/>
    <x v="2"/>
    <x v="6"/>
    <x v="11"/>
    <x v="209"/>
    <x v="27"/>
  </r>
  <r>
    <x v="6"/>
    <x v="1"/>
    <x v="0"/>
    <x v="9"/>
    <x v="6"/>
    <x v="1"/>
    <x v="3"/>
    <x v="11"/>
    <x v="210"/>
    <x v="27"/>
  </r>
  <r>
    <x v="6"/>
    <x v="13"/>
    <x v="0"/>
    <x v="9"/>
    <x v="6"/>
    <x v="2"/>
    <x v="3"/>
    <x v="11"/>
    <x v="210"/>
    <x v="27"/>
  </r>
  <r>
    <x v="6"/>
    <x v="3"/>
    <x v="0"/>
    <x v="9"/>
    <x v="6"/>
    <x v="2"/>
    <x v="4"/>
    <x v="11"/>
    <x v="211"/>
    <x v="27"/>
  </r>
  <r>
    <x v="6"/>
    <x v="13"/>
    <x v="0"/>
    <x v="9"/>
    <x v="6"/>
    <x v="2"/>
    <x v="4"/>
    <x v="11"/>
    <x v="211"/>
    <x v="27"/>
  </r>
  <r>
    <x v="6"/>
    <x v="6"/>
    <x v="0"/>
    <x v="9"/>
    <x v="6"/>
    <x v="0"/>
    <x v="0"/>
    <x v="11"/>
    <x v="212"/>
    <x v="27"/>
  </r>
  <r>
    <x v="6"/>
    <x v="1"/>
    <x v="0"/>
    <x v="9"/>
    <x v="6"/>
    <x v="1"/>
    <x v="1"/>
    <x v="11"/>
    <x v="213"/>
    <x v="27"/>
  </r>
  <r>
    <x v="6"/>
    <x v="13"/>
    <x v="0"/>
    <x v="9"/>
    <x v="6"/>
    <x v="2"/>
    <x v="5"/>
    <x v="11"/>
    <x v="215"/>
    <x v="27"/>
  </r>
  <r>
    <x v="6"/>
    <x v="1"/>
    <x v="0"/>
    <x v="9"/>
    <x v="6"/>
    <x v="1"/>
    <x v="3"/>
    <x v="11"/>
    <x v="217"/>
    <x v="27"/>
  </r>
  <r>
    <x v="6"/>
    <x v="5"/>
    <x v="0"/>
    <x v="9"/>
    <x v="6"/>
    <x v="0"/>
    <x v="3"/>
    <x v="11"/>
    <x v="217"/>
    <x v="27"/>
  </r>
  <r>
    <x v="6"/>
    <x v="6"/>
    <x v="0"/>
    <x v="9"/>
    <x v="6"/>
    <x v="0"/>
    <x v="3"/>
    <x v="11"/>
    <x v="217"/>
    <x v="27"/>
  </r>
  <r>
    <x v="6"/>
    <x v="1"/>
    <x v="0"/>
    <x v="9"/>
    <x v="6"/>
    <x v="1"/>
    <x v="5"/>
    <x v="0"/>
    <x v="222"/>
    <x v="27"/>
  </r>
  <r>
    <x v="6"/>
    <x v="1"/>
    <x v="0"/>
    <x v="9"/>
    <x v="6"/>
    <x v="1"/>
    <x v="5"/>
    <x v="0"/>
    <x v="222"/>
    <x v="27"/>
  </r>
  <r>
    <x v="6"/>
    <x v="3"/>
    <x v="0"/>
    <x v="9"/>
    <x v="6"/>
    <x v="2"/>
    <x v="5"/>
    <x v="0"/>
    <x v="222"/>
    <x v="27"/>
  </r>
  <r>
    <x v="6"/>
    <x v="3"/>
    <x v="0"/>
    <x v="9"/>
    <x v="6"/>
    <x v="2"/>
    <x v="5"/>
    <x v="0"/>
    <x v="222"/>
    <x v="27"/>
  </r>
  <r>
    <x v="6"/>
    <x v="3"/>
    <x v="0"/>
    <x v="9"/>
    <x v="6"/>
    <x v="2"/>
    <x v="5"/>
    <x v="0"/>
    <x v="222"/>
    <x v="27"/>
  </r>
  <r>
    <x v="6"/>
    <x v="5"/>
    <x v="0"/>
    <x v="9"/>
    <x v="6"/>
    <x v="0"/>
    <x v="3"/>
    <x v="0"/>
    <x v="224"/>
    <x v="27"/>
  </r>
  <r>
    <x v="6"/>
    <x v="10"/>
    <x v="0"/>
    <x v="9"/>
    <x v="6"/>
    <x v="1"/>
    <x v="4"/>
    <x v="0"/>
    <x v="225"/>
    <x v="27"/>
  </r>
  <r>
    <x v="6"/>
    <x v="1"/>
    <x v="0"/>
    <x v="9"/>
    <x v="6"/>
    <x v="1"/>
    <x v="0"/>
    <x v="0"/>
    <x v="226"/>
    <x v="27"/>
  </r>
  <r>
    <x v="6"/>
    <x v="0"/>
    <x v="0"/>
    <x v="9"/>
    <x v="6"/>
    <x v="0"/>
    <x v="0"/>
    <x v="0"/>
    <x v="226"/>
    <x v="27"/>
  </r>
  <r>
    <x v="6"/>
    <x v="3"/>
    <x v="0"/>
    <x v="9"/>
    <x v="6"/>
    <x v="2"/>
    <x v="0"/>
    <x v="0"/>
    <x v="226"/>
    <x v="27"/>
  </r>
  <r>
    <x v="6"/>
    <x v="10"/>
    <x v="0"/>
    <x v="9"/>
    <x v="6"/>
    <x v="1"/>
    <x v="5"/>
    <x v="0"/>
    <x v="229"/>
    <x v="27"/>
  </r>
  <r>
    <x v="6"/>
    <x v="1"/>
    <x v="0"/>
    <x v="9"/>
    <x v="6"/>
    <x v="1"/>
    <x v="5"/>
    <x v="0"/>
    <x v="229"/>
    <x v="27"/>
  </r>
  <r>
    <x v="6"/>
    <x v="5"/>
    <x v="0"/>
    <x v="9"/>
    <x v="6"/>
    <x v="0"/>
    <x v="5"/>
    <x v="0"/>
    <x v="229"/>
    <x v="27"/>
  </r>
  <r>
    <x v="6"/>
    <x v="6"/>
    <x v="0"/>
    <x v="9"/>
    <x v="6"/>
    <x v="0"/>
    <x v="6"/>
    <x v="0"/>
    <x v="230"/>
    <x v="27"/>
  </r>
  <r>
    <x v="6"/>
    <x v="6"/>
    <x v="0"/>
    <x v="9"/>
    <x v="6"/>
    <x v="0"/>
    <x v="6"/>
    <x v="0"/>
    <x v="230"/>
    <x v="27"/>
  </r>
  <r>
    <x v="6"/>
    <x v="4"/>
    <x v="0"/>
    <x v="9"/>
    <x v="6"/>
    <x v="0"/>
    <x v="3"/>
    <x v="0"/>
    <x v="231"/>
    <x v="27"/>
  </r>
  <r>
    <x v="6"/>
    <x v="4"/>
    <x v="0"/>
    <x v="9"/>
    <x v="6"/>
    <x v="0"/>
    <x v="2"/>
    <x v="0"/>
    <x v="235"/>
    <x v="27"/>
  </r>
  <r>
    <x v="6"/>
    <x v="7"/>
    <x v="0"/>
    <x v="9"/>
    <x v="6"/>
    <x v="1"/>
    <x v="6"/>
    <x v="0"/>
    <x v="237"/>
    <x v="27"/>
  </r>
  <r>
    <x v="6"/>
    <x v="7"/>
    <x v="0"/>
    <x v="9"/>
    <x v="6"/>
    <x v="1"/>
    <x v="6"/>
    <x v="0"/>
    <x v="237"/>
    <x v="27"/>
  </r>
  <r>
    <x v="6"/>
    <x v="1"/>
    <x v="0"/>
    <x v="9"/>
    <x v="6"/>
    <x v="1"/>
    <x v="3"/>
    <x v="0"/>
    <x v="238"/>
    <x v="27"/>
  </r>
  <r>
    <x v="6"/>
    <x v="8"/>
    <x v="0"/>
    <x v="9"/>
    <x v="6"/>
    <x v="2"/>
    <x v="4"/>
    <x v="0"/>
    <x v="239"/>
    <x v="27"/>
  </r>
  <r>
    <x v="6"/>
    <x v="3"/>
    <x v="0"/>
    <x v="9"/>
    <x v="6"/>
    <x v="2"/>
    <x v="0"/>
    <x v="0"/>
    <x v="240"/>
    <x v="27"/>
  </r>
  <r>
    <x v="6"/>
    <x v="7"/>
    <x v="0"/>
    <x v="9"/>
    <x v="6"/>
    <x v="1"/>
    <x v="1"/>
    <x v="0"/>
    <x v="241"/>
    <x v="27"/>
  </r>
  <r>
    <x v="7"/>
    <x v="1"/>
    <x v="0"/>
    <x v="7"/>
    <x v="7"/>
    <x v="1"/>
    <x v="0"/>
    <x v="0"/>
    <x v="0"/>
    <x v="28"/>
  </r>
  <r>
    <x v="7"/>
    <x v="0"/>
    <x v="0"/>
    <x v="7"/>
    <x v="7"/>
    <x v="0"/>
    <x v="0"/>
    <x v="0"/>
    <x v="0"/>
    <x v="28"/>
  </r>
  <r>
    <x v="7"/>
    <x v="1"/>
    <x v="0"/>
    <x v="7"/>
    <x v="7"/>
    <x v="1"/>
    <x v="2"/>
    <x v="0"/>
    <x v="2"/>
    <x v="28"/>
  </r>
  <r>
    <x v="7"/>
    <x v="1"/>
    <x v="0"/>
    <x v="7"/>
    <x v="7"/>
    <x v="1"/>
    <x v="5"/>
    <x v="0"/>
    <x v="243"/>
    <x v="28"/>
  </r>
  <r>
    <x v="7"/>
    <x v="1"/>
    <x v="0"/>
    <x v="7"/>
    <x v="7"/>
    <x v="1"/>
    <x v="5"/>
    <x v="0"/>
    <x v="243"/>
    <x v="28"/>
  </r>
  <r>
    <x v="7"/>
    <x v="10"/>
    <x v="0"/>
    <x v="7"/>
    <x v="7"/>
    <x v="1"/>
    <x v="6"/>
    <x v="0"/>
    <x v="364"/>
    <x v="28"/>
  </r>
  <r>
    <x v="7"/>
    <x v="2"/>
    <x v="0"/>
    <x v="7"/>
    <x v="7"/>
    <x v="0"/>
    <x v="6"/>
    <x v="0"/>
    <x v="364"/>
    <x v="28"/>
  </r>
  <r>
    <x v="7"/>
    <x v="3"/>
    <x v="0"/>
    <x v="7"/>
    <x v="7"/>
    <x v="2"/>
    <x v="6"/>
    <x v="0"/>
    <x v="364"/>
    <x v="28"/>
  </r>
  <r>
    <x v="7"/>
    <x v="7"/>
    <x v="0"/>
    <x v="7"/>
    <x v="7"/>
    <x v="1"/>
    <x v="4"/>
    <x v="0"/>
    <x v="4"/>
    <x v="28"/>
  </r>
  <r>
    <x v="7"/>
    <x v="8"/>
    <x v="0"/>
    <x v="7"/>
    <x v="7"/>
    <x v="2"/>
    <x v="0"/>
    <x v="0"/>
    <x v="5"/>
    <x v="28"/>
  </r>
  <r>
    <x v="7"/>
    <x v="8"/>
    <x v="0"/>
    <x v="7"/>
    <x v="7"/>
    <x v="2"/>
    <x v="0"/>
    <x v="0"/>
    <x v="5"/>
    <x v="28"/>
  </r>
  <r>
    <x v="7"/>
    <x v="0"/>
    <x v="0"/>
    <x v="7"/>
    <x v="7"/>
    <x v="0"/>
    <x v="1"/>
    <x v="0"/>
    <x v="6"/>
    <x v="28"/>
  </r>
  <r>
    <x v="7"/>
    <x v="13"/>
    <x v="0"/>
    <x v="7"/>
    <x v="7"/>
    <x v="2"/>
    <x v="2"/>
    <x v="0"/>
    <x v="367"/>
    <x v="28"/>
  </r>
  <r>
    <x v="7"/>
    <x v="6"/>
    <x v="0"/>
    <x v="7"/>
    <x v="7"/>
    <x v="0"/>
    <x v="5"/>
    <x v="0"/>
    <x v="7"/>
    <x v="28"/>
  </r>
  <r>
    <x v="7"/>
    <x v="1"/>
    <x v="0"/>
    <x v="7"/>
    <x v="7"/>
    <x v="1"/>
    <x v="4"/>
    <x v="0"/>
    <x v="10"/>
    <x v="28"/>
  </r>
  <r>
    <x v="7"/>
    <x v="5"/>
    <x v="0"/>
    <x v="7"/>
    <x v="7"/>
    <x v="0"/>
    <x v="4"/>
    <x v="0"/>
    <x v="10"/>
    <x v="28"/>
  </r>
  <r>
    <x v="7"/>
    <x v="2"/>
    <x v="0"/>
    <x v="7"/>
    <x v="7"/>
    <x v="0"/>
    <x v="6"/>
    <x v="0"/>
    <x v="244"/>
    <x v="28"/>
  </r>
  <r>
    <x v="7"/>
    <x v="2"/>
    <x v="0"/>
    <x v="7"/>
    <x v="7"/>
    <x v="0"/>
    <x v="6"/>
    <x v="0"/>
    <x v="244"/>
    <x v="28"/>
  </r>
  <r>
    <x v="7"/>
    <x v="3"/>
    <x v="0"/>
    <x v="7"/>
    <x v="7"/>
    <x v="2"/>
    <x v="3"/>
    <x v="0"/>
    <x v="346"/>
    <x v="28"/>
  </r>
  <r>
    <x v="7"/>
    <x v="13"/>
    <x v="0"/>
    <x v="7"/>
    <x v="7"/>
    <x v="2"/>
    <x v="4"/>
    <x v="0"/>
    <x v="347"/>
    <x v="28"/>
  </r>
  <r>
    <x v="7"/>
    <x v="1"/>
    <x v="0"/>
    <x v="7"/>
    <x v="7"/>
    <x v="1"/>
    <x v="1"/>
    <x v="0"/>
    <x v="245"/>
    <x v="28"/>
  </r>
  <r>
    <x v="7"/>
    <x v="5"/>
    <x v="0"/>
    <x v="7"/>
    <x v="7"/>
    <x v="0"/>
    <x v="1"/>
    <x v="0"/>
    <x v="245"/>
    <x v="28"/>
  </r>
  <r>
    <x v="7"/>
    <x v="8"/>
    <x v="0"/>
    <x v="7"/>
    <x v="7"/>
    <x v="2"/>
    <x v="2"/>
    <x v="0"/>
    <x v="374"/>
    <x v="28"/>
  </r>
  <r>
    <x v="7"/>
    <x v="1"/>
    <x v="0"/>
    <x v="7"/>
    <x v="7"/>
    <x v="1"/>
    <x v="5"/>
    <x v="0"/>
    <x v="246"/>
    <x v="28"/>
  </r>
  <r>
    <x v="7"/>
    <x v="2"/>
    <x v="0"/>
    <x v="7"/>
    <x v="7"/>
    <x v="0"/>
    <x v="5"/>
    <x v="0"/>
    <x v="246"/>
    <x v="28"/>
  </r>
  <r>
    <x v="7"/>
    <x v="2"/>
    <x v="0"/>
    <x v="7"/>
    <x v="7"/>
    <x v="0"/>
    <x v="5"/>
    <x v="0"/>
    <x v="246"/>
    <x v="28"/>
  </r>
  <r>
    <x v="7"/>
    <x v="1"/>
    <x v="0"/>
    <x v="7"/>
    <x v="7"/>
    <x v="1"/>
    <x v="6"/>
    <x v="0"/>
    <x v="15"/>
    <x v="28"/>
  </r>
  <r>
    <x v="7"/>
    <x v="1"/>
    <x v="0"/>
    <x v="7"/>
    <x v="7"/>
    <x v="1"/>
    <x v="6"/>
    <x v="0"/>
    <x v="15"/>
    <x v="28"/>
  </r>
  <r>
    <x v="7"/>
    <x v="5"/>
    <x v="0"/>
    <x v="7"/>
    <x v="7"/>
    <x v="0"/>
    <x v="6"/>
    <x v="0"/>
    <x v="15"/>
    <x v="28"/>
  </r>
  <r>
    <x v="7"/>
    <x v="8"/>
    <x v="0"/>
    <x v="7"/>
    <x v="7"/>
    <x v="2"/>
    <x v="6"/>
    <x v="0"/>
    <x v="15"/>
    <x v="28"/>
  </r>
  <r>
    <x v="7"/>
    <x v="3"/>
    <x v="0"/>
    <x v="7"/>
    <x v="7"/>
    <x v="2"/>
    <x v="4"/>
    <x v="0"/>
    <x v="17"/>
    <x v="28"/>
  </r>
  <r>
    <x v="7"/>
    <x v="1"/>
    <x v="0"/>
    <x v="7"/>
    <x v="7"/>
    <x v="1"/>
    <x v="0"/>
    <x v="0"/>
    <x v="348"/>
    <x v="28"/>
  </r>
  <r>
    <x v="7"/>
    <x v="7"/>
    <x v="0"/>
    <x v="7"/>
    <x v="7"/>
    <x v="1"/>
    <x v="1"/>
    <x v="0"/>
    <x v="247"/>
    <x v="28"/>
  </r>
  <r>
    <x v="7"/>
    <x v="6"/>
    <x v="0"/>
    <x v="7"/>
    <x v="7"/>
    <x v="0"/>
    <x v="1"/>
    <x v="0"/>
    <x v="247"/>
    <x v="28"/>
  </r>
  <r>
    <x v="7"/>
    <x v="6"/>
    <x v="0"/>
    <x v="7"/>
    <x v="7"/>
    <x v="0"/>
    <x v="1"/>
    <x v="0"/>
    <x v="247"/>
    <x v="28"/>
  </r>
  <r>
    <x v="7"/>
    <x v="1"/>
    <x v="0"/>
    <x v="7"/>
    <x v="7"/>
    <x v="1"/>
    <x v="6"/>
    <x v="1"/>
    <x v="19"/>
    <x v="28"/>
  </r>
  <r>
    <x v="7"/>
    <x v="1"/>
    <x v="0"/>
    <x v="7"/>
    <x v="7"/>
    <x v="1"/>
    <x v="4"/>
    <x v="1"/>
    <x v="350"/>
    <x v="28"/>
  </r>
  <r>
    <x v="7"/>
    <x v="7"/>
    <x v="0"/>
    <x v="7"/>
    <x v="7"/>
    <x v="1"/>
    <x v="4"/>
    <x v="1"/>
    <x v="350"/>
    <x v="28"/>
  </r>
  <r>
    <x v="7"/>
    <x v="2"/>
    <x v="0"/>
    <x v="7"/>
    <x v="7"/>
    <x v="0"/>
    <x v="0"/>
    <x v="1"/>
    <x v="21"/>
    <x v="28"/>
  </r>
  <r>
    <x v="7"/>
    <x v="2"/>
    <x v="0"/>
    <x v="7"/>
    <x v="7"/>
    <x v="0"/>
    <x v="1"/>
    <x v="1"/>
    <x v="22"/>
    <x v="28"/>
  </r>
  <r>
    <x v="7"/>
    <x v="1"/>
    <x v="0"/>
    <x v="7"/>
    <x v="7"/>
    <x v="1"/>
    <x v="2"/>
    <x v="1"/>
    <x v="248"/>
    <x v="28"/>
  </r>
  <r>
    <x v="7"/>
    <x v="6"/>
    <x v="0"/>
    <x v="7"/>
    <x v="7"/>
    <x v="0"/>
    <x v="5"/>
    <x v="1"/>
    <x v="23"/>
    <x v="28"/>
  </r>
  <r>
    <x v="7"/>
    <x v="7"/>
    <x v="0"/>
    <x v="7"/>
    <x v="7"/>
    <x v="1"/>
    <x v="6"/>
    <x v="1"/>
    <x v="372"/>
    <x v="28"/>
  </r>
  <r>
    <x v="7"/>
    <x v="14"/>
    <x v="0"/>
    <x v="7"/>
    <x v="7"/>
    <x v="2"/>
    <x v="3"/>
    <x v="1"/>
    <x v="351"/>
    <x v="28"/>
  </r>
  <r>
    <x v="7"/>
    <x v="6"/>
    <x v="0"/>
    <x v="7"/>
    <x v="7"/>
    <x v="0"/>
    <x v="4"/>
    <x v="1"/>
    <x v="24"/>
    <x v="28"/>
  </r>
  <r>
    <x v="7"/>
    <x v="4"/>
    <x v="0"/>
    <x v="7"/>
    <x v="7"/>
    <x v="0"/>
    <x v="1"/>
    <x v="1"/>
    <x v="25"/>
    <x v="28"/>
  </r>
  <r>
    <x v="7"/>
    <x v="6"/>
    <x v="0"/>
    <x v="7"/>
    <x v="7"/>
    <x v="0"/>
    <x v="1"/>
    <x v="1"/>
    <x v="25"/>
    <x v="28"/>
  </r>
  <r>
    <x v="7"/>
    <x v="3"/>
    <x v="0"/>
    <x v="7"/>
    <x v="7"/>
    <x v="2"/>
    <x v="2"/>
    <x v="1"/>
    <x v="26"/>
    <x v="28"/>
  </r>
  <r>
    <x v="7"/>
    <x v="2"/>
    <x v="0"/>
    <x v="7"/>
    <x v="7"/>
    <x v="0"/>
    <x v="4"/>
    <x v="1"/>
    <x v="30"/>
    <x v="28"/>
  </r>
  <r>
    <x v="7"/>
    <x v="3"/>
    <x v="0"/>
    <x v="7"/>
    <x v="7"/>
    <x v="2"/>
    <x v="4"/>
    <x v="1"/>
    <x v="30"/>
    <x v="28"/>
  </r>
  <r>
    <x v="7"/>
    <x v="1"/>
    <x v="0"/>
    <x v="7"/>
    <x v="7"/>
    <x v="1"/>
    <x v="0"/>
    <x v="1"/>
    <x v="249"/>
    <x v="28"/>
  </r>
  <r>
    <x v="7"/>
    <x v="13"/>
    <x v="0"/>
    <x v="8"/>
    <x v="7"/>
    <x v="2"/>
    <x v="1"/>
    <x v="1"/>
    <x v="31"/>
    <x v="29"/>
  </r>
  <r>
    <x v="7"/>
    <x v="7"/>
    <x v="0"/>
    <x v="8"/>
    <x v="7"/>
    <x v="1"/>
    <x v="2"/>
    <x v="1"/>
    <x v="32"/>
    <x v="29"/>
  </r>
  <r>
    <x v="7"/>
    <x v="13"/>
    <x v="0"/>
    <x v="8"/>
    <x v="7"/>
    <x v="2"/>
    <x v="5"/>
    <x v="1"/>
    <x v="33"/>
    <x v="29"/>
  </r>
  <r>
    <x v="7"/>
    <x v="1"/>
    <x v="0"/>
    <x v="8"/>
    <x v="7"/>
    <x v="1"/>
    <x v="3"/>
    <x v="1"/>
    <x v="251"/>
    <x v="29"/>
  </r>
  <r>
    <x v="7"/>
    <x v="5"/>
    <x v="0"/>
    <x v="8"/>
    <x v="7"/>
    <x v="0"/>
    <x v="4"/>
    <x v="1"/>
    <x v="34"/>
    <x v="29"/>
  </r>
  <r>
    <x v="7"/>
    <x v="1"/>
    <x v="0"/>
    <x v="8"/>
    <x v="7"/>
    <x v="1"/>
    <x v="0"/>
    <x v="1"/>
    <x v="35"/>
    <x v="29"/>
  </r>
  <r>
    <x v="7"/>
    <x v="4"/>
    <x v="0"/>
    <x v="8"/>
    <x v="7"/>
    <x v="0"/>
    <x v="0"/>
    <x v="1"/>
    <x v="35"/>
    <x v="29"/>
  </r>
  <r>
    <x v="7"/>
    <x v="1"/>
    <x v="0"/>
    <x v="8"/>
    <x v="7"/>
    <x v="1"/>
    <x v="2"/>
    <x v="1"/>
    <x v="36"/>
    <x v="29"/>
  </r>
  <r>
    <x v="7"/>
    <x v="8"/>
    <x v="0"/>
    <x v="8"/>
    <x v="7"/>
    <x v="2"/>
    <x v="2"/>
    <x v="1"/>
    <x v="36"/>
    <x v="29"/>
  </r>
  <r>
    <x v="7"/>
    <x v="1"/>
    <x v="0"/>
    <x v="8"/>
    <x v="7"/>
    <x v="1"/>
    <x v="6"/>
    <x v="1"/>
    <x v="38"/>
    <x v="29"/>
  </r>
  <r>
    <x v="7"/>
    <x v="13"/>
    <x v="0"/>
    <x v="8"/>
    <x v="7"/>
    <x v="2"/>
    <x v="6"/>
    <x v="1"/>
    <x v="38"/>
    <x v="29"/>
  </r>
  <r>
    <x v="7"/>
    <x v="13"/>
    <x v="0"/>
    <x v="8"/>
    <x v="7"/>
    <x v="2"/>
    <x v="4"/>
    <x v="2"/>
    <x v="39"/>
    <x v="29"/>
  </r>
  <r>
    <x v="7"/>
    <x v="2"/>
    <x v="0"/>
    <x v="8"/>
    <x v="7"/>
    <x v="0"/>
    <x v="0"/>
    <x v="2"/>
    <x v="375"/>
    <x v="29"/>
  </r>
  <r>
    <x v="7"/>
    <x v="3"/>
    <x v="0"/>
    <x v="8"/>
    <x v="7"/>
    <x v="2"/>
    <x v="0"/>
    <x v="2"/>
    <x v="375"/>
    <x v="29"/>
  </r>
  <r>
    <x v="7"/>
    <x v="3"/>
    <x v="0"/>
    <x v="8"/>
    <x v="7"/>
    <x v="2"/>
    <x v="6"/>
    <x v="2"/>
    <x v="41"/>
    <x v="29"/>
  </r>
  <r>
    <x v="7"/>
    <x v="1"/>
    <x v="0"/>
    <x v="8"/>
    <x v="7"/>
    <x v="1"/>
    <x v="3"/>
    <x v="2"/>
    <x v="376"/>
    <x v="29"/>
  </r>
  <r>
    <x v="7"/>
    <x v="0"/>
    <x v="0"/>
    <x v="8"/>
    <x v="7"/>
    <x v="0"/>
    <x v="4"/>
    <x v="2"/>
    <x v="42"/>
    <x v="29"/>
  </r>
  <r>
    <x v="7"/>
    <x v="0"/>
    <x v="0"/>
    <x v="8"/>
    <x v="7"/>
    <x v="0"/>
    <x v="4"/>
    <x v="2"/>
    <x v="42"/>
    <x v="29"/>
  </r>
  <r>
    <x v="7"/>
    <x v="0"/>
    <x v="0"/>
    <x v="8"/>
    <x v="7"/>
    <x v="0"/>
    <x v="4"/>
    <x v="2"/>
    <x v="42"/>
    <x v="29"/>
  </r>
  <r>
    <x v="7"/>
    <x v="5"/>
    <x v="0"/>
    <x v="8"/>
    <x v="7"/>
    <x v="0"/>
    <x v="0"/>
    <x v="2"/>
    <x v="377"/>
    <x v="29"/>
  </r>
  <r>
    <x v="7"/>
    <x v="5"/>
    <x v="0"/>
    <x v="8"/>
    <x v="7"/>
    <x v="0"/>
    <x v="0"/>
    <x v="2"/>
    <x v="377"/>
    <x v="29"/>
  </r>
  <r>
    <x v="7"/>
    <x v="7"/>
    <x v="0"/>
    <x v="8"/>
    <x v="7"/>
    <x v="1"/>
    <x v="1"/>
    <x v="2"/>
    <x v="252"/>
    <x v="29"/>
  </r>
  <r>
    <x v="7"/>
    <x v="13"/>
    <x v="0"/>
    <x v="8"/>
    <x v="7"/>
    <x v="2"/>
    <x v="1"/>
    <x v="2"/>
    <x v="252"/>
    <x v="29"/>
  </r>
  <r>
    <x v="7"/>
    <x v="1"/>
    <x v="0"/>
    <x v="8"/>
    <x v="7"/>
    <x v="1"/>
    <x v="2"/>
    <x v="2"/>
    <x v="43"/>
    <x v="29"/>
  </r>
  <r>
    <x v="7"/>
    <x v="0"/>
    <x v="0"/>
    <x v="8"/>
    <x v="7"/>
    <x v="0"/>
    <x v="2"/>
    <x v="2"/>
    <x v="43"/>
    <x v="29"/>
  </r>
  <r>
    <x v="7"/>
    <x v="5"/>
    <x v="0"/>
    <x v="8"/>
    <x v="7"/>
    <x v="0"/>
    <x v="2"/>
    <x v="2"/>
    <x v="43"/>
    <x v="29"/>
  </r>
  <r>
    <x v="7"/>
    <x v="7"/>
    <x v="0"/>
    <x v="8"/>
    <x v="7"/>
    <x v="1"/>
    <x v="6"/>
    <x v="2"/>
    <x v="44"/>
    <x v="29"/>
  </r>
  <r>
    <x v="7"/>
    <x v="9"/>
    <x v="0"/>
    <x v="8"/>
    <x v="7"/>
    <x v="1"/>
    <x v="3"/>
    <x v="2"/>
    <x v="45"/>
    <x v="29"/>
  </r>
  <r>
    <x v="7"/>
    <x v="3"/>
    <x v="0"/>
    <x v="8"/>
    <x v="7"/>
    <x v="2"/>
    <x v="4"/>
    <x v="2"/>
    <x v="254"/>
    <x v="29"/>
  </r>
  <r>
    <x v="7"/>
    <x v="8"/>
    <x v="0"/>
    <x v="8"/>
    <x v="7"/>
    <x v="2"/>
    <x v="4"/>
    <x v="2"/>
    <x v="254"/>
    <x v="29"/>
  </r>
  <r>
    <x v="7"/>
    <x v="11"/>
    <x v="0"/>
    <x v="8"/>
    <x v="7"/>
    <x v="2"/>
    <x v="0"/>
    <x v="2"/>
    <x v="46"/>
    <x v="29"/>
  </r>
  <r>
    <x v="7"/>
    <x v="11"/>
    <x v="0"/>
    <x v="8"/>
    <x v="7"/>
    <x v="2"/>
    <x v="0"/>
    <x v="2"/>
    <x v="46"/>
    <x v="29"/>
  </r>
  <r>
    <x v="7"/>
    <x v="14"/>
    <x v="0"/>
    <x v="8"/>
    <x v="7"/>
    <x v="2"/>
    <x v="1"/>
    <x v="2"/>
    <x v="255"/>
    <x v="29"/>
  </r>
  <r>
    <x v="7"/>
    <x v="1"/>
    <x v="0"/>
    <x v="8"/>
    <x v="7"/>
    <x v="1"/>
    <x v="5"/>
    <x v="2"/>
    <x v="48"/>
    <x v="29"/>
  </r>
  <r>
    <x v="7"/>
    <x v="1"/>
    <x v="0"/>
    <x v="8"/>
    <x v="7"/>
    <x v="1"/>
    <x v="5"/>
    <x v="2"/>
    <x v="48"/>
    <x v="29"/>
  </r>
  <r>
    <x v="7"/>
    <x v="3"/>
    <x v="0"/>
    <x v="8"/>
    <x v="7"/>
    <x v="2"/>
    <x v="5"/>
    <x v="2"/>
    <x v="48"/>
    <x v="29"/>
  </r>
  <r>
    <x v="7"/>
    <x v="3"/>
    <x v="0"/>
    <x v="8"/>
    <x v="7"/>
    <x v="2"/>
    <x v="5"/>
    <x v="2"/>
    <x v="48"/>
    <x v="29"/>
  </r>
  <r>
    <x v="7"/>
    <x v="9"/>
    <x v="0"/>
    <x v="8"/>
    <x v="7"/>
    <x v="1"/>
    <x v="6"/>
    <x v="2"/>
    <x v="353"/>
    <x v="29"/>
  </r>
  <r>
    <x v="7"/>
    <x v="6"/>
    <x v="0"/>
    <x v="8"/>
    <x v="7"/>
    <x v="0"/>
    <x v="6"/>
    <x v="2"/>
    <x v="353"/>
    <x v="29"/>
  </r>
  <r>
    <x v="7"/>
    <x v="6"/>
    <x v="0"/>
    <x v="8"/>
    <x v="7"/>
    <x v="0"/>
    <x v="4"/>
    <x v="2"/>
    <x v="256"/>
    <x v="29"/>
  </r>
  <r>
    <x v="7"/>
    <x v="3"/>
    <x v="0"/>
    <x v="8"/>
    <x v="7"/>
    <x v="2"/>
    <x v="4"/>
    <x v="2"/>
    <x v="256"/>
    <x v="29"/>
  </r>
  <r>
    <x v="7"/>
    <x v="14"/>
    <x v="0"/>
    <x v="8"/>
    <x v="7"/>
    <x v="2"/>
    <x v="4"/>
    <x v="2"/>
    <x v="256"/>
    <x v="29"/>
  </r>
  <r>
    <x v="7"/>
    <x v="4"/>
    <x v="0"/>
    <x v="8"/>
    <x v="7"/>
    <x v="0"/>
    <x v="1"/>
    <x v="2"/>
    <x v="51"/>
    <x v="29"/>
  </r>
  <r>
    <x v="7"/>
    <x v="1"/>
    <x v="0"/>
    <x v="8"/>
    <x v="7"/>
    <x v="1"/>
    <x v="2"/>
    <x v="2"/>
    <x v="52"/>
    <x v="29"/>
  </r>
  <r>
    <x v="7"/>
    <x v="8"/>
    <x v="0"/>
    <x v="8"/>
    <x v="7"/>
    <x v="2"/>
    <x v="2"/>
    <x v="2"/>
    <x v="52"/>
    <x v="29"/>
  </r>
  <r>
    <x v="7"/>
    <x v="15"/>
    <x v="0"/>
    <x v="8"/>
    <x v="7"/>
    <x v="2"/>
    <x v="2"/>
    <x v="2"/>
    <x v="52"/>
    <x v="29"/>
  </r>
  <r>
    <x v="7"/>
    <x v="3"/>
    <x v="0"/>
    <x v="8"/>
    <x v="7"/>
    <x v="2"/>
    <x v="5"/>
    <x v="2"/>
    <x v="53"/>
    <x v="29"/>
  </r>
  <r>
    <x v="7"/>
    <x v="13"/>
    <x v="0"/>
    <x v="8"/>
    <x v="7"/>
    <x v="2"/>
    <x v="5"/>
    <x v="2"/>
    <x v="53"/>
    <x v="29"/>
  </r>
  <r>
    <x v="7"/>
    <x v="13"/>
    <x v="0"/>
    <x v="8"/>
    <x v="7"/>
    <x v="2"/>
    <x v="5"/>
    <x v="2"/>
    <x v="53"/>
    <x v="29"/>
  </r>
  <r>
    <x v="7"/>
    <x v="13"/>
    <x v="0"/>
    <x v="8"/>
    <x v="7"/>
    <x v="2"/>
    <x v="6"/>
    <x v="2"/>
    <x v="54"/>
    <x v="29"/>
  </r>
  <r>
    <x v="7"/>
    <x v="10"/>
    <x v="0"/>
    <x v="8"/>
    <x v="7"/>
    <x v="1"/>
    <x v="3"/>
    <x v="2"/>
    <x v="55"/>
    <x v="29"/>
  </r>
  <r>
    <x v="7"/>
    <x v="5"/>
    <x v="0"/>
    <x v="8"/>
    <x v="7"/>
    <x v="0"/>
    <x v="3"/>
    <x v="2"/>
    <x v="55"/>
    <x v="29"/>
  </r>
  <r>
    <x v="7"/>
    <x v="6"/>
    <x v="0"/>
    <x v="8"/>
    <x v="7"/>
    <x v="0"/>
    <x v="3"/>
    <x v="2"/>
    <x v="55"/>
    <x v="29"/>
  </r>
  <r>
    <x v="7"/>
    <x v="8"/>
    <x v="0"/>
    <x v="8"/>
    <x v="7"/>
    <x v="2"/>
    <x v="3"/>
    <x v="2"/>
    <x v="55"/>
    <x v="29"/>
  </r>
  <r>
    <x v="7"/>
    <x v="9"/>
    <x v="0"/>
    <x v="8"/>
    <x v="7"/>
    <x v="1"/>
    <x v="4"/>
    <x v="2"/>
    <x v="257"/>
    <x v="29"/>
  </r>
  <r>
    <x v="7"/>
    <x v="10"/>
    <x v="0"/>
    <x v="8"/>
    <x v="7"/>
    <x v="1"/>
    <x v="4"/>
    <x v="2"/>
    <x v="257"/>
    <x v="29"/>
  </r>
  <r>
    <x v="7"/>
    <x v="14"/>
    <x v="0"/>
    <x v="8"/>
    <x v="7"/>
    <x v="2"/>
    <x v="4"/>
    <x v="2"/>
    <x v="257"/>
    <x v="29"/>
  </r>
  <r>
    <x v="7"/>
    <x v="10"/>
    <x v="0"/>
    <x v="8"/>
    <x v="7"/>
    <x v="1"/>
    <x v="0"/>
    <x v="2"/>
    <x v="258"/>
    <x v="29"/>
  </r>
  <r>
    <x v="7"/>
    <x v="8"/>
    <x v="0"/>
    <x v="8"/>
    <x v="7"/>
    <x v="2"/>
    <x v="0"/>
    <x v="2"/>
    <x v="258"/>
    <x v="29"/>
  </r>
  <r>
    <x v="7"/>
    <x v="8"/>
    <x v="0"/>
    <x v="8"/>
    <x v="7"/>
    <x v="2"/>
    <x v="0"/>
    <x v="2"/>
    <x v="258"/>
    <x v="29"/>
  </r>
  <r>
    <x v="7"/>
    <x v="14"/>
    <x v="0"/>
    <x v="8"/>
    <x v="7"/>
    <x v="2"/>
    <x v="0"/>
    <x v="2"/>
    <x v="258"/>
    <x v="29"/>
  </r>
  <r>
    <x v="7"/>
    <x v="10"/>
    <x v="0"/>
    <x v="8"/>
    <x v="7"/>
    <x v="1"/>
    <x v="1"/>
    <x v="3"/>
    <x v="259"/>
    <x v="29"/>
  </r>
  <r>
    <x v="7"/>
    <x v="7"/>
    <x v="0"/>
    <x v="8"/>
    <x v="7"/>
    <x v="1"/>
    <x v="1"/>
    <x v="3"/>
    <x v="259"/>
    <x v="29"/>
  </r>
  <r>
    <x v="7"/>
    <x v="14"/>
    <x v="0"/>
    <x v="8"/>
    <x v="7"/>
    <x v="2"/>
    <x v="2"/>
    <x v="3"/>
    <x v="260"/>
    <x v="29"/>
  </r>
  <r>
    <x v="7"/>
    <x v="15"/>
    <x v="0"/>
    <x v="8"/>
    <x v="7"/>
    <x v="2"/>
    <x v="2"/>
    <x v="3"/>
    <x v="260"/>
    <x v="29"/>
  </r>
  <r>
    <x v="7"/>
    <x v="1"/>
    <x v="0"/>
    <x v="8"/>
    <x v="7"/>
    <x v="1"/>
    <x v="5"/>
    <x v="3"/>
    <x v="261"/>
    <x v="29"/>
  </r>
  <r>
    <x v="7"/>
    <x v="1"/>
    <x v="0"/>
    <x v="8"/>
    <x v="7"/>
    <x v="1"/>
    <x v="5"/>
    <x v="3"/>
    <x v="261"/>
    <x v="29"/>
  </r>
  <r>
    <x v="7"/>
    <x v="2"/>
    <x v="0"/>
    <x v="8"/>
    <x v="7"/>
    <x v="0"/>
    <x v="5"/>
    <x v="3"/>
    <x v="261"/>
    <x v="29"/>
  </r>
  <r>
    <x v="7"/>
    <x v="4"/>
    <x v="0"/>
    <x v="8"/>
    <x v="7"/>
    <x v="0"/>
    <x v="6"/>
    <x v="3"/>
    <x v="262"/>
    <x v="29"/>
  </r>
  <r>
    <x v="7"/>
    <x v="5"/>
    <x v="0"/>
    <x v="8"/>
    <x v="7"/>
    <x v="0"/>
    <x v="6"/>
    <x v="3"/>
    <x v="262"/>
    <x v="29"/>
  </r>
  <r>
    <x v="7"/>
    <x v="1"/>
    <x v="0"/>
    <x v="8"/>
    <x v="7"/>
    <x v="1"/>
    <x v="3"/>
    <x v="3"/>
    <x v="56"/>
    <x v="29"/>
  </r>
  <r>
    <x v="7"/>
    <x v="13"/>
    <x v="0"/>
    <x v="8"/>
    <x v="7"/>
    <x v="2"/>
    <x v="3"/>
    <x v="3"/>
    <x v="56"/>
    <x v="29"/>
  </r>
  <r>
    <x v="7"/>
    <x v="1"/>
    <x v="0"/>
    <x v="8"/>
    <x v="7"/>
    <x v="1"/>
    <x v="4"/>
    <x v="3"/>
    <x v="57"/>
    <x v="29"/>
  </r>
  <r>
    <x v="7"/>
    <x v="15"/>
    <x v="0"/>
    <x v="8"/>
    <x v="7"/>
    <x v="2"/>
    <x v="4"/>
    <x v="3"/>
    <x v="57"/>
    <x v="29"/>
  </r>
  <r>
    <x v="7"/>
    <x v="15"/>
    <x v="0"/>
    <x v="8"/>
    <x v="7"/>
    <x v="2"/>
    <x v="4"/>
    <x v="3"/>
    <x v="57"/>
    <x v="29"/>
  </r>
  <r>
    <x v="7"/>
    <x v="15"/>
    <x v="0"/>
    <x v="8"/>
    <x v="7"/>
    <x v="2"/>
    <x v="4"/>
    <x v="3"/>
    <x v="57"/>
    <x v="29"/>
  </r>
  <r>
    <x v="7"/>
    <x v="9"/>
    <x v="0"/>
    <x v="8"/>
    <x v="7"/>
    <x v="1"/>
    <x v="2"/>
    <x v="3"/>
    <x v="58"/>
    <x v="29"/>
  </r>
  <r>
    <x v="7"/>
    <x v="1"/>
    <x v="0"/>
    <x v="8"/>
    <x v="7"/>
    <x v="1"/>
    <x v="2"/>
    <x v="3"/>
    <x v="58"/>
    <x v="29"/>
  </r>
  <r>
    <x v="7"/>
    <x v="4"/>
    <x v="0"/>
    <x v="8"/>
    <x v="7"/>
    <x v="0"/>
    <x v="2"/>
    <x v="3"/>
    <x v="58"/>
    <x v="29"/>
  </r>
  <r>
    <x v="7"/>
    <x v="4"/>
    <x v="0"/>
    <x v="8"/>
    <x v="7"/>
    <x v="0"/>
    <x v="2"/>
    <x v="3"/>
    <x v="58"/>
    <x v="29"/>
  </r>
  <r>
    <x v="7"/>
    <x v="4"/>
    <x v="0"/>
    <x v="8"/>
    <x v="7"/>
    <x v="0"/>
    <x v="5"/>
    <x v="3"/>
    <x v="354"/>
    <x v="29"/>
  </r>
  <r>
    <x v="7"/>
    <x v="13"/>
    <x v="0"/>
    <x v="8"/>
    <x v="7"/>
    <x v="2"/>
    <x v="5"/>
    <x v="3"/>
    <x v="354"/>
    <x v="29"/>
  </r>
  <r>
    <x v="7"/>
    <x v="13"/>
    <x v="0"/>
    <x v="8"/>
    <x v="7"/>
    <x v="2"/>
    <x v="5"/>
    <x v="3"/>
    <x v="354"/>
    <x v="29"/>
  </r>
  <r>
    <x v="7"/>
    <x v="8"/>
    <x v="0"/>
    <x v="8"/>
    <x v="7"/>
    <x v="2"/>
    <x v="6"/>
    <x v="3"/>
    <x v="265"/>
    <x v="29"/>
  </r>
  <r>
    <x v="7"/>
    <x v="8"/>
    <x v="0"/>
    <x v="8"/>
    <x v="7"/>
    <x v="2"/>
    <x v="6"/>
    <x v="3"/>
    <x v="265"/>
    <x v="29"/>
  </r>
  <r>
    <x v="7"/>
    <x v="3"/>
    <x v="0"/>
    <x v="8"/>
    <x v="7"/>
    <x v="2"/>
    <x v="3"/>
    <x v="3"/>
    <x v="266"/>
    <x v="29"/>
  </r>
  <r>
    <x v="7"/>
    <x v="3"/>
    <x v="0"/>
    <x v="8"/>
    <x v="7"/>
    <x v="2"/>
    <x v="3"/>
    <x v="3"/>
    <x v="266"/>
    <x v="29"/>
  </r>
  <r>
    <x v="7"/>
    <x v="9"/>
    <x v="0"/>
    <x v="8"/>
    <x v="7"/>
    <x v="1"/>
    <x v="4"/>
    <x v="3"/>
    <x v="59"/>
    <x v="29"/>
  </r>
  <r>
    <x v="7"/>
    <x v="13"/>
    <x v="0"/>
    <x v="8"/>
    <x v="7"/>
    <x v="2"/>
    <x v="4"/>
    <x v="3"/>
    <x v="59"/>
    <x v="29"/>
  </r>
  <r>
    <x v="7"/>
    <x v="4"/>
    <x v="0"/>
    <x v="8"/>
    <x v="7"/>
    <x v="0"/>
    <x v="0"/>
    <x v="3"/>
    <x v="60"/>
    <x v="29"/>
  </r>
  <r>
    <x v="7"/>
    <x v="4"/>
    <x v="0"/>
    <x v="8"/>
    <x v="7"/>
    <x v="0"/>
    <x v="1"/>
    <x v="3"/>
    <x v="61"/>
    <x v="29"/>
  </r>
  <r>
    <x v="7"/>
    <x v="1"/>
    <x v="0"/>
    <x v="8"/>
    <x v="7"/>
    <x v="1"/>
    <x v="2"/>
    <x v="3"/>
    <x v="267"/>
    <x v="29"/>
  </r>
  <r>
    <x v="7"/>
    <x v="12"/>
    <x v="0"/>
    <x v="8"/>
    <x v="7"/>
    <x v="1"/>
    <x v="3"/>
    <x v="3"/>
    <x v="64"/>
    <x v="29"/>
  </r>
  <r>
    <x v="7"/>
    <x v="7"/>
    <x v="0"/>
    <x v="8"/>
    <x v="7"/>
    <x v="1"/>
    <x v="3"/>
    <x v="3"/>
    <x v="64"/>
    <x v="29"/>
  </r>
  <r>
    <x v="7"/>
    <x v="8"/>
    <x v="0"/>
    <x v="8"/>
    <x v="7"/>
    <x v="2"/>
    <x v="3"/>
    <x v="3"/>
    <x v="64"/>
    <x v="29"/>
  </r>
  <r>
    <x v="7"/>
    <x v="1"/>
    <x v="0"/>
    <x v="8"/>
    <x v="7"/>
    <x v="1"/>
    <x v="4"/>
    <x v="3"/>
    <x v="268"/>
    <x v="29"/>
  </r>
  <r>
    <x v="7"/>
    <x v="8"/>
    <x v="0"/>
    <x v="8"/>
    <x v="7"/>
    <x v="2"/>
    <x v="4"/>
    <x v="3"/>
    <x v="268"/>
    <x v="29"/>
  </r>
  <r>
    <x v="7"/>
    <x v="13"/>
    <x v="0"/>
    <x v="8"/>
    <x v="7"/>
    <x v="2"/>
    <x v="4"/>
    <x v="3"/>
    <x v="268"/>
    <x v="29"/>
  </r>
  <r>
    <x v="7"/>
    <x v="15"/>
    <x v="0"/>
    <x v="8"/>
    <x v="7"/>
    <x v="2"/>
    <x v="4"/>
    <x v="3"/>
    <x v="268"/>
    <x v="29"/>
  </r>
  <r>
    <x v="7"/>
    <x v="15"/>
    <x v="0"/>
    <x v="8"/>
    <x v="7"/>
    <x v="2"/>
    <x v="4"/>
    <x v="3"/>
    <x v="268"/>
    <x v="29"/>
  </r>
  <r>
    <x v="7"/>
    <x v="10"/>
    <x v="0"/>
    <x v="8"/>
    <x v="7"/>
    <x v="1"/>
    <x v="0"/>
    <x v="3"/>
    <x v="65"/>
    <x v="29"/>
  </r>
  <r>
    <x v="7"/>
    <x v="13"/>
    <x v="0"/>
    <x v="8"/>
    <x v="7"/>
    <x v="2"/>
    <x v="0"/>
    <x v="3"/>
    <x v="65"/>
    <x v="29"/>
  </r>
  <r>
    <x v="7"/>
    <x v="5"/>
    <x v="0"/>
    <x v="8"/>
    <x v="7"/>
    <x v="0"/>
    <x v="1"/>
    <x v="3"/>
    <x v="269"/>
    <x v="29"/>
  </r>
  <r>
    <x v="7"/>
    <x v="15"/>
    <x v="0"/>
    <x v="8"/>
    <x v="7"/>
    <x v="2"/>
    <x v="2"/>
    <x v="3"/>
    <x v="270"/>
    <x v="29"/>
  </r>
  <r>
    <x v="7"/>
    <x v="5"/>
    <x v="0"/>
    <x v="8"/>
    <x v="7"/>
    <x v="0"/>
    <x v="5"/>
    <x v="3"/>
    <x v="271"/>
    <x v="29"/>
  </r>
  <r>
    <x v="7"/>
    <x v="9"/>
    <x v="0"/>
    <x v="8"/>
    <x v="7"/>
    <x v="1"/>
    <x v="6"/>
    <x v="3"/>
    <x v="272"/>
    <x v="29"/>
  </r>
  <r>
    <x v="7"/>
    <x v="10"/>
    <x v="0"/>
    <x v="8"/>
    <x v="7"/>
    <x v="1"/>
    <x v="3"/>
    <x v="3"/>
    <x v="66"/>
    <x v="29"/>
  </r>
  <r>
    <x v="7"/>
    <x v="15"/>
    <x v="0"/>
    <x v="8"/>
    <x v="7"/>
    <x v="2"/>
    <x v="3"/>
    <x v="3"/>
    <x v="66"/>
    <x v="29"/>
  </r>
  <r>
    <x v="7"/>
    <x v="15"/>
    <x v="0"/>
    <x v="8"/>
    <x v="7"/>
    <x v="2"/>
    <x v="0"/>
    <x v="3"/>
    <x v="274"/>
    <x v="29"/>
  </r>
  <r>
    <x v="7"/>
    <x v="15"/>
    <x v="0"/>
    <x v="8"/>
    <x v="7"/>
    <x v="2"/>
    <x v="1"/>
    <x v="3"/>
    <x v="275"/>
    <x v="29"/>
  </r>
  <r>
    <x v="7"/>
    <x v="1"/>
    <x v="0"/>
    <x v="8"/>
    <x v="7"/>
    <x v="1"/>
    <x v="2"/>
    <x v="3"/>
    <x v="276"/>
    <x v="29"/>
  </r>
  <r>
    <x v="7"/>
    <x v="4"/>
    <x v="0"/>
    <x v="8"/>
    <x v="7"/>
    <x v="0"/>
    <x v="6"/>
    <x v="4"/>
    <x v="67"/>
    <x v="29"/>
  </r>
  <r>
    <x v="7"/>
    <x v="6"/>
    <x v="0"/>
    <x v="8"/>
    <x v="7"/>
    <x v="0"/>
    <x v="3"/>
    <x v="4"/>
    <x v="277"/>
    <x v="29"/>
  </r>
  <r>
    <x v="7"/>
    <x v="13"/>
    <x v="0"/>
    <x v="8"/>
    <x v="7"/>
    <x v="2"/>
    <x v="3"/>
    <x v="4"/>
    <x v="277"/>
    <x v="29"/>
  </r>
  <r>
    <x v="7"/>
    <x v="1"/>
    <x v="0"/>
    <x v="8"/>
    <x v="7"/>
    <x v="1"/>
    <x v="1"/>
    <x v="4"/>
    <x v="278"/>
    <x v="29"/>
  </r>
  <r>
    <x v="7"/>
    <x v="3"/>
    <x v="0"/>
    <x v="5"/>
    <x v="7"/>
    <x v="2"/>
    <x v="1"/>
    <x v="4"/>
    <x v="278"/>
    <x v="30"/>
  </r>
  <r>
    <x v="7"/>
    <x v="3"/>
    <x v="0"/>
    <x v="5"/>
    <x v="7"/>
    <x v="2"/>
    <x v="1"/>
    <x v="4"/>
    <x v="278"/>
    <x v="30"/>
  </r>
  <r>
    <x v="7"/>
    <x v="13"/>
    <x v="0"/>
    <x v="5"/>
    <x v="7"/>
    <x v="2"/>
    <x v="1"/>
    <x v="4"/>
    <x v="278"/>
    <x v="30"/>
  </r>
  <r>
    <x v="7"/>
    <x v="3"/>
    <x v="0"/>
    <x v="5"/>
    <x v="7"/>
    <x v="2"/>
    <x v="2"/>
    <x v="4"/>
    <x v="279"/>
    <x v="30"/>
  </r>
  <r>
    <x v="7"/>
    <x v="12"/>
    <x v="0"/>
    <x v="5"/>
    <x v="7"/>
    <x v="1"/>
    <x v="5"/>
    <x v="4"/>
    <x v="70"/>
    <x v="30"/>
  </r>
  <r>
    <x v="7"/>
    <x v="11"/>
    <x v="0"/>
    <x v="5"/>
    <x v="7"/>
    <x v="2"/>
    <x v="5"/>
    <x v="4"/>
    <x v="70"/>
    <x v="30"/>
  </r>
  <r>
    <x v="7"/>
    <x v="11"/>
    <x v="0"/>
    <x v="5"/>
    <x v="7"/>
    <x v="2"/>
    <x v="3"/>
    <x v="4"/>
    <x v="71"/>
    <x v="30"/>
  </r>
  <r>
    <x v="7"/>
    <x v="11"/>
    <x v="0"/>
    <x v="5"/>
    <x v="7"/>
    <x v="2"/>
    <x v="4"/>
    <x v="4"/>
    <x v="72"/>
    <x v="30"/>
  </r>
  <r>
    <x v="7"/>
    <x v="1"/>
    <x v="0"/>
    <x v="5"/>
    <x v="7"/>
    <x v="1"/>
    <x v="1"/>
    <x v="4"/>
    <x v="378"/>
    <x v="30"/>
  </r>
  <r>
    <x v="7"/>
    <x v="7"/>
    <x v="0"/>
    <x v="5"/>
    <x v="7"/>
    <x v="1"/>
    <x v="1"/>
    <x v="4"/>
    <x v="378"/>
    <x v="30"/>
  </r>
  <r>
    <x v="7"/>
    <x v="1"/>
    <x v="0"/>
    <x v="5"/>
    <x v="7"/>
    <x v="1"/>
    <x v="2"/>
    <x v="4"/>
    <x v="73"/>
    <x v="30"/>
  </r>
  <r>
    <x v="7"/>
    <x v="11"/>
    <x v="0"/>
    <x v="5"/>
    <x v="7"/>
    <x v="2"/>
    <x v="2"/>
    <x v="4"/>
    <x v="73"/>
    <x v="30"/>
  </r>
  <r>
    <x v="7"/>
    <x v="0"/>
    <x v="0"/>
    <x v="5"/>
    <x v="7"/>
    <x v="0"/>
    <x v="4"/>
    <x v="4"/>
    <x v="74"/>
    <x v="30"/>
  </r>
  <r>
    <x v="7"/>
    <x v="13"/>
    <x v="0"/>
    <x v="5"/>
    <x v="7"/>
    <x v="2"/>
    <x v="4"/>
    <x v="4"/>
    <x v="74"/>
    <x v="30"/>
  </r>
  <r>
    <x v="7"/>
    <x v="15"/>
    <x v="0"/>
    <x v="5"/>
    <x v="7"/>
    <x v="2"/>
    <x v="4"/>
    <x v="4"/>
    <x v="74"/>
    <x v="30"/>
  </r>
  <r>
    <x v="7"/>
    <x v="15"/>
    <x v="0"/>
    <x v="5"/>
    <x v="7"/>
    <x v="2"/>
    <x v="4"/>
    <x v="4"/>
    <x v="74"/>
    <x v="30"/>
  </r>
  <r>
    <x v="7"/>
    <x v="4"/>
    <x v="0"/>
    <x v="5"/>
    <x v="7"/>
    <x v="0"/>
    <x v="0"/>
    <x v="4"/>
    <x v="75"/>
    <x v="30"/>
  </r>
  <r>
    <x v="7"/>
    <x v="2"/>
    <x v="0"/>
    <x v="5"/>
    <x v="7"/>
    <x v="0"/>
    <x v="0"/>
    <x v="4"/>
    <x v="75"/>
    <x v="30"/>
  </r>
  <r>
    <x v="7"/>
    <x v="6"/>
    <x v="0"/>
    <x v="5"/>
    <x v="7"/>
    <x v="0"/>
    <x v="0"/>
    <x v="4"/>
    <x v="75"/>
    <x v="30"/>
  </r>
  <r>
    <x v="7"/>
    <x v="6"/>
    <x v="0"/>
    <x v="5"/>
    <x v="7"/>
    <x v="0"/>
    <x v="0"/>
    <x v="4"/>
    <x v="75"/>
    <x v="30"/>
  </r>
  <r>
    <x v="7"/>
    <x v="9"/>
    <x v="0"/>
    <x v="5"/>
    <x v="7"/>
    <x v="1"/>
    <x v="1"/>
    <x v="4"/>
    <x v="76"/>
    <x v="30"/>
  </r>
  <r>
    <x v="7"/>
    <x v="10"/>
    <x v="0"/>
    <x v="5"/>
    <x v="7"/>
    <x v="1"/>
    <x v="1"/>
    <x v="4"/>
    <x v="76"/>
    <x v="30"/>
  </r>
  <r>
    <x v="7"/>
    <x v="10"/>
    <x v="0"/>
    <x v="5"/>
    <x v="7"/>
    <x v="1"/>
    <x v="1"/>
    <x v="4"/>
    <x v="76"/>
    <x v="30"/>
  </r>
  <r>
    <x v="7"/>
    <x v="5"/>
    <x v="0"/>
    <x v="5"/>
    <x v="7"/>
    <x v="0"/>
    <x v="1"/>
    <x v="4"/>
    <x v="76"/>
    <x v="30"/>
  </r>
  <r>
    <x v="7"/>
    <x v="0"/>
    <x v="0"/>
    <x v="5"/>
    <x v="7"/>
    <x v="0"/>
    <x v="2"/>
    <x v="4"/>
    <x v="357"/>
    <x v="30"/>
  </r>
  <r>
    <x v="7"/>
    <x v="6"/>
    <x v="0"/>
    <x v="5"/>
    <x v="7"/>
    <x v="0"/>
    <x v="5"/>
    <x v="4"/>
    <x v="77"/>
    <x v="30"/>
  </r>
  <r>
    <x v="7"/>
    <x v="9"/>
    <x v="0"/>
    <x v="5"/>
    <x v="7"/>
    <x v="1"/>
    <x v="6"/>
    <x v="4"/>
    <x v="78"/>
    <x v="30"/>
  </r>
  <r>
    <x v="7"/>
    <x v="9"/>
    <x v="0"/>
    <x v="5"/>
    <x v="7"/>
    <x v="1"/>
    <x v="6"/>
    <x v="4"/>
    <x v="78"/>
    <x v="30"/>
  </r>
  <r>
    <x v="7"/>
    <x v="5"/>
    <x v="0"/>
    <x v="5"/>
    <x v="7"/>
    <x v="0"/>
    <x v="6"/>
    <x v="4"/>
    <x v="78"/>
    <x v="30"/>
  </r>
  <r>
    <x v="7"/>
    <x v="15"/>
    <x v="0"/>
    <x v="5"/>
    <x v="7"/>
    <x v="2"/>
    <x v="6"/>
    <x v="4"/>
    <x v="78"/>
    <x v="30"/>
  </r>
  <r>
    <x v="7"/>
    <x v="0"/>
    <x v="0"/>
    <x v="5"/>
    <x v="7"/>
    <x v="0"/>
    <x v="3"/>
    <x v="4"/>
    <x v="79"/>
    <x v="30"/>
  </r>
  <r>
    <x v="7"/>
    <x v="5"/>
    <x v="0"/>
    <x v="5"/>
    <x v="7"/>
    <x v="0"/>
    <x v="3"/>
    <x v="4"/>
    <x v="79"/>
    <x v="30"/>
  </r>
  <r>
    <x v="7"/>
    <x v="9"/>
    <x v="0"/>
    <x v="5"/>
    <x v="7"/>
    <x v="1"/>
    <x v="4"/>
    <x v="4"/>
    <x v="80"/>
    <x v="30"/>
  </r>
  <r>
    <x v="7"/>
    <x v="9"/>
    <x v="0"/>
    <x v="5"/>
    <x v="7"/>
    <x v="1"/>
    <x v="0"/>
    <x v="4"/>
    <x v="81"/>
    <x v="30"/>
  </r>
  <r>
    <x v="7"/>
    <x v="10"/>
    <x v="0"/>
    <x v="5"/>
    <x v="7"/>
    <x v="1"/>
    <x v="0"/>
    <x v="4"/>
    <x v="81"/>
    <x v="30"/>
  </r>
  <r>
    <x v="7"/>
    <x v="1"/>
    <x v="0"/>
    <x v="5"/>
    <x v="7"/>
    <x v="1"/>
    <x v="0"/>
    <x v="4"/>
    <x v="81"/>
    <x v="30"/>
  </r>
  <r>
    <x v="7"/>
    <x v="0"/>
    <x v="0"/>
    <x v="5"/>
    <x v="7"/>
    <x v="0"/>
    <x v="0"/>
    <x v="4"/>
    <x v="81"/>
    <x v="30"/>
  </r>
  <r>
    <x v="7"/>
    <x v="15"/>
    <x v="0"/>
    <x v="5"/>
    <x v="7"/>
    <x v="2"/>
    <x v="0"/>
    <x v="4"/>
    <x v="81"/>
    <x v="30"/>
  </r>
  <r>
    <x v="7"/>
    <x v="2"/>
    <x v="0"/>
    <x v="5"/>
    <x v="7"/>
    <x v="0"/>
    <x v="1"/>
    <x v="4"/>
    <x v="283"/>
    <x v="30"/>
  </r>
  <r>
    <x v="7"/>
    <x v="14"/>
    <x v="0"/>
    <x v="5"/>
    <x v="7"/>
    <x v="2"/>
    <x v="1"/>
    <x v="4"/>
    <x v="283"/>
    <x v="30"/>
  </r>
  <r>
    <x v="7"/>
    <x v="2"/>
    <x v="0"/>
    <x v="5"/>
    <x v="7"/>
    <x v="0"/>
    <x v="2"/>
    <x v="4"/>
    <x v="284"/>
    <x v="30"/>
  </r>
  <r>
    <x v="7"/>
    <x v="9"/>
    <x v="0"/>
    <x v="5"/>
    <x v="7"/>
    <x v="1"/>
    <x v="5"/>
    <x v="4"/>
    <x v="82"/>
    <x v="30"/>
  </r>
  <r>
    <x v="7"/>
    <x v="1"/>
    <x v="0"/>
    <x v="5"/>
    <x v="7"/>
    <x v="1"/>
    <x v="6"/>
    <x v="4"/>
    <x v="83"/>
    <x v="30"/>
  </r>
  <r>
    <x v="7"/>
    <x v="4"/>
    <x v="0"/>
    <x v="5"/>
    <x v="7"/>
    <x v="0"/>
    <x v="6"/>
    <x v="4"/>
    <x v="83"/>
    <x v="30"/>
  </r>
  <r>
    <x v="7"/>
    <x v="15"/>
    <x v="0"/>
    <x v="5"/>
    <x v="7"/>
    <x v="2"/>
    <x v="6"/>
    <x v="4"/>
    <x v="83"/>
    <x v="30"/>
  </r>
  <r>
    <x v="7"/>
    <x v="0"/>
    <x v="0"/>
    <x v="5"/>
    <x v="7"/>
    <x v="0"/>
    <x v="3"/>
    <x v="4"/>
    <x v="84"/>
    <x v="30"/>
  </r>
  <r>
    <x v="7"/>
    <x v="8"/>
    <x v="0"/>
    <x v="5"/>
    <x v="7"/>
    <x v="2"/>
    <x v="3"/>
    <x v="4"/>
    <x v="84"/>
    <x v="30"/>
  </r>
  <r>
    <x v="7"/>
    <x v="13"/>
    <x v="0"/>
    <x v="5"/>
    <x v="7"/>
    <x v="2"/>
    <x v="3"/>
    <x v="4"/>
    <x v="84"/>
    <x v="30"/>
  </r>
  <r>
    <x v="7"/>
    <x v="14"/>
    <x v="0"/>
    <x v="5"/>
    <x v="7"/>
    <x v="2"/>
    <x v="3"/>
    <x v="4"/>
    <x v="84"/>
    <x v="30"/>
  </r>
  <r>
    <x v="7"/>
    <x v="15"/>
    <x v="0"/>
    <x v="5"/>
    <x v="7"/>
    <x v="2"/>
    <x v="3"/>
    <x v="4"/>
    <x v="84"/>
    <x v="30"/>
  </r>
  <r>
    <x v="7"/>
    <x v="15"/>
    <x v="0"/>
    <x v="5"/>
    <x v="7"/>
    <x v="2"/>
    <x v="3"/>
    <x v="4"/>
    <x v="84"/>
    <x v="30"/>
  </r>
  <r>
    <x v="7"/>
    <x v="15"/>
    <x v="0"/>
    <x v="5"/>
    <x v="7"/>
    <x v="2"/>
    <x v="3"/>
    <x v="4"/>
    <x v="84"/>
    <x v="30"/>
  </r>
  <r>
    <x v="7"/>
    <x v="15"/>
    <x v="0"/>
    <x v="5"/>
    <x v="7"/>
    <x v="2"/>
    <x v="0"/>
    <x v="5"/>
    <x v="285"/>
    <x v="30"/>
  </r>
  <r>
    <x v="7"/>
    <x v="15"/>
    <x v="0"/>
    <x v="5"/>
    <x v="7"/>
    <x v="2"/>
    <x v="1"/>
    <x v="5"/>
    <x v="286"/>
    <x v="30"/>
  </r>
  <r>
    <x v="7"/>
    <x v="15"/>
    <x v="0"/>
    <x v="5"/>
    <x v="7"/>
    <x v="2"/>
    <x v="1"/>
    <x v="5"/>
    <x v="286"/>
    <x v="30"/>
  </r>
  <r>
    <x v="7"/>
    <x v="6"/>
    <x v="0"/>
    <x v="5"/>
    <x v="7"/>
    <x v="0"/>
    <x v="5"/>
    <x v="5"/>
    <x v="288"/>
    <x v="30"/>
  </r>
  <r>
    <x v="7"/>
    <x v="6"/>
    <x v="0"/>
    <x v="5"/>
    <x v="7"/>
    <x v="0"/>
    <x v="5"/>
    <x v="5"/>
    <x v="288"/>
    <x v="30"/>
  </r>
  <r>
    <x v="7"/>
    <x v="3"/>
    <x v="0"/>
    <x v="5"/>
    <x v="7"/>
    <x v="2"/>
    <x v="5"/>
    <x v="5"/>
    <x v="288"/>
    <x v="30"/>
  </r>
  <r>
    <x v="7"/>
    <x v="13"/>
    <x v="0"/>
    <x v="5"/>
    <x v="7"/>
    <x v="2"/>
    <x v="5"/>
    <x v="5"/>
    <x v="288"/>
    <x v="30"/>
  </r>
  <r>
    <x v="7"/>
    <x v="13"/>
    <x v="0"/>
    <x v="5"/>
    <x v="7"/>
    <x v="2"/>
    <x v="5"/>
    <x v="5"/>
    <x v="288"/>
    <x v="30"/>
  </r>
  <r>
    <x v="7"/>
    <x v="3"/>
    <x v="0"/>
    <x v="5"/>
    <x v="7"/>
    <x v="2"/>
    <x v="6"/>
    <x v="5"/>
    <x v="289"/>
    <x v="30"/>
  </r>
  <r>
    <x v="7"/>
    <x v="13"/>
    <x v="0"/>
    <x v="5"/>
    <x v="7"/>
    <x v="2"/>
    <x v="6"/>
    <x v="5"/>
    <x v="289"/>
    <x v="30"/>
  </r>
  <r>
    <x v="7"/>
    <x v="14"/>
    <x v="0"/>
    <x v="5"/>
    <x v="7"/>
    <x v="2"/>
    <x v="6"/>
    <x v="5"/>
    <x v="289"/>
    <x v="30"/>
  </r>
  <r>
    <x v="7"/>
    <x v="13"/>
    <x v="0"/>
    <x v="5"/>
    <x v="7"/>
    <x v="2"/>
    <x v="3"/>
    <x v="5"/>
    <x v="86"/>
    <x v="30"/>
  </r>
  <r>
    <x v="7"/>
    <x v="11"/>
    <x v="0"/>
    <x v="5"/>
    <x v="7"/>
    <x v="2"/>
    <x v="3"/>
    <x v="5"/>
    <x v="86"/>
    <x v="30"/>
  </r>
  <r>
    <x v="7"/>
    <x v="11"/>
    <x v="0"/>
    <x v="5"/>
    <x v="7"/>
    <x v="2"/>
    <x v="3"/>
    <x v="5"/>
    <x v="86"/>
    <x v="30"/>
  </r>
  <r>
    <x v="7"/>
    <x v="12"/>
    <x v="0"/>
    <x v="5"/>
    <x v="7"/>
    <x v="1"/>
    <x v="0"/>
    <x v="5"/>
    <x v="87"/>
    <x v="30"/>
  </r>
  <r>
    <x v="7"/>
    <x v="7"/>
    <x v="0"/>
    <x v="5"/>
    <x v="7"/>
    <x v="1"/>
    <x v="0"/>
    <x v="5"/>
    <x v="87"/>
    <x v="30"/>
  </r>
  <r>
    <x v="7"/>
    <x v="4"/>
    <x v="0"/>
    <x v="5"/>
    <x v="7"/>
    <x v="0"/>
    <x v="1"/>
    <x v="5"/>
    <x v="88"/>
    <x v="30"/>
  </r>
  <r>
    <x v="7"/>
    <x v="6"/>
    <x v="0"/>
    <x v="5"/>
    <x v="7"/>
    <x v="0"/>
    <x v="1"/>
    <x v="5"/>
    <x v="88"/>
    <x v="30"/>
  </r>
  <r>
    <x v="7"/>
    <x v="10"/>
    <x v="0"/>
    <x v="5"/>
    <x v="7"/>
    <x v="1"/>
    <x v="2"/>
    <x v="5"/>
    <x v="291"/>
    <x v="30"/>
  </r>
  <r>
    <x v="7"/>
    <x v="10"/>
    <x v="0"/>
    <x v="5"/>
    <x v="7"/>
    <x v="1"/>
    <x v="2"/>
    <x v="5"/>
    <x v="291"/>
    <x v="30"/>
  </r>
  <r>
    <x v="7"/>
    <x v="5"/>
    <x v="0"/>
    <x v="5"/>
    <x v="7"/>
    <x v="0"/>
    <x v="2"/>
    <x v="5"/>
    <x v="291"/>
    <x v="30"/>
  </r>
  <r>
    <x v="7"/>
    <x v="15"/>
    <x v="0"/>
    <x v="5"/>
    <x v="7"/>
    <x v="2"/>
    <x v="2"/>
    <x v="5"/>
    <x v="291"/>
    <x v="30"/>
  </r>
  <r>
    <x v="7"/>
    <x v="15"/>
    <x v="0"/>
    <x v="5"/>
    <x v="7"/>
    <x v="2"/>
    <x v="2"/>
    <x v="5"/>
    <x v="291"/>
    <x v="30"/>
  </r>
  <r>
    <x v="7"/>
    <x v="7"/>
    <x v="0"/>
    <x v="5"/>
    <x v="7"/>
    <x v="1"/>
    <x v="5"/>
    <x v="5"/>
    <x v="89"/>
    <x v="30"/>
  </r>
  <r>
    <x v="7"/>
    <x v="7"/>
    <x v="0"/>
    <x v="5"/>
    <x v="7"/>
    <x v="1"/>
    <x v="5"/>
    <x v="5"/>
    <x v="89"/>
    <x v="30"/>
  </r>
  <r>
    <x v="7"/>
    <x v="15"/>
    <x v="0"/>
    <x v="5"/>
    <x v="7"/>
    <x v="2"/>
    <x v="5"/>
    <x v="5"/>
    <x v="89"/>
    <x v="30"/>
  </r>
  <r>
    <x v="7"/>
    <x v="7"/>
    <x v="0"/>
    <x v="5"/>
    <x v="7"/>
    <x v="1"/>
    <x v="6"/>
    <x v="5"/>
    <x v="292"/>
    <x v="30"/>
  </r>
  <r>
    <x v="7"/>
    <x v="2"/>
    <x v="0"/>
    <x v="5"/>
    <x v="7"/>
    <x v="0"/>
    <x v="6"/>
    <x v="5"/>
    <x v="292"/>
    <x v="30"/>
  </r>
  <r>
    <x v="7"/>
    <x v="14"/>
    <x v="0"/>
    <x v="5"/>
    <x v="7"/>
    <x v="2"/>
    <x v="6"/>
    <x v="5"/>
    <x v="292"/>
    <x v="30"/>
  </r>
  <r>
    <x v="7"/>
    <x v="12"/>
    <x v="0"/>
    <x v="5"/>
    <x v="7"/>
    <x v="1"/>
    <x v="3"/>
    <x v="5"/>
    <x v="90"/>
    <x v="30"/>
  </r>
  <r>
    <x v="7"/>
    <x v="5"/>
    <x v="0"/>
    <x v="5"/>
    <x v="7"/>
    <x v="0"/>
    <x v="3"/>
    <x v="5"/>
    <x v="90"/>
    <x v="30"/>
  </r>
  <r>
    <x v="7"/>
    <x v="13"/>
    <x v="0"/>
    <x v="5"/>
    <x v="7"/>
    <x v="2"/>
    <x v="3"/>
    <x v="5"/>
    <x v="90"/>
    <x v="30"/>
  </r>
  <r>
    <x v="7"/>
    <x v="15"/>
    <x v="0"/>
    <x v="5"/>
    <x v="7"/>
    <x v="2"/>
    <x v="3"/>
    <x v="5"/>
    <x v="90"/>
    <x v="30"/>
  </r>
  <r>
    <x v="7"/>
    <x v="10"/>
    <x v="0"/>
    <x v="5"/>
    <x v="7"/>
    <x v="1"/>
    <x v="4"/>
    <x v="5"/>
    <x v="91"/>
    <x v="30"/>
  </r>
  <r>
    <x v="7"/>
    <x v="4"/>
    <x v="0"/>
    <x v="5"/>
    <x v="7"/>
    <x v="0"/>
    <x v="4"/>
    <x v="5"/>
    <x v="91"/>
    <x v="30"/>
  </r>
  <r>
    <x v="7"/>
    <x v="0"/>
    <x v="0"/>
    <x v="5"/>
    <x v="7"/>
    <x v="0"/>
    <x v="4"/>
    <x v="5"/>
    <x v="91"/>
    <x v="30"/>
  </r>
  <r>
    <x v="7"/>
    <x v="4"/>
    <x v="0"/>
    <x v="5"/>
    <x v="7"/>
    <x v="0"/>
    <x v="0"/>
    <x v="5"/>
    <x v="92"/>
    <x v="30"/>
  </r>
  <r>
    <x v="7"/>
    <x v="6"/>
    <x v="0"/>
    <x v="5"/>
    <x v="7"/>
    <x v="0"/>
    <x v="1"/>
    <x v="5"/>
    <x v="293"/>
    <x v="30"/>
  </r>
  <r>
    <x v="7"/>
    <x v="11"/>
    <x v="0"/>
    <x v="5"/>
    <x v="7"/>
    <x v="2"/>
    <x v="1"/>
    <x v="5"/>
    <x v="293"/>
    <x v="30"/>
  </r>
  <r>
    <x v="7"/>
    <x v="15"/>
    <x v="0"/>
    <x v="5"/>
    <x v="7"/>
    <x v="2"/>
    <x v="5"/>
    <x v="5"/>
    <x v="294"/>
    <x v="30"/>
  </r>
  <r>
    <x v="7"/>
    <x v="9"/>
    <x v="0"/>
    <x v="5"/>
    <x v="7"/>
    <x v="1"/>
    <x v="6"/>
    <x v="5"/>
    <x v="94"/>
    <x v="30"/>
  </r>
  <r>
    <x v="7"/>
    <x v="7"/>
    <x v="0"/>
    <x v="5"/>
    <x v="7"/>
    <x v="1"/>
    <x v="6"/>
    <x v="5"/>
    <x v="94"/>
    <x v="30"/>
  </r>
  <r>
    <x v="7"/>
    <x v="14"/>
    <x v="0"/>
    <x v="5"/>
    <x v="7"/>
    <x v="2"/>
    <x v="6"/>
    <x v="5"/>
    <x v="94"/>
    <x v="30"/>
  </r>
  <r>
    <x v="7"/>
    <x v="14"/>
    <x v="0"/>
    <x v="5"/>
    <x v="7"/>
    <x v="2"/>
    <x v="6"/>
    <x v="5"/>
    <x v="94"/>
    <x v="30"/>
  </r>
  <r>
    <x v="7"/>
    <x v="14"/>
    <x v="0"/>
    <x v="5"/>
    <x v="7"/>
    <x v="2"/>
    <x v="6"/>
    <x v="5"/>
    <x v="94"/>
    <x v="30"/>
  </r>
  <r>
    <x v="7"/>
    <x v="14"/>
    <x v="0"/>
    <x v="5"/>
    <x v="7"/>
    <x v="2"/>
    <x v="6"/>
    <x v="5"/>
    <x v="94"/>
    <x v="30"/>
  </r>
  <r>
    <x v="7"/>
    <x v="0"/>
    <x v="0"/>
    <x v="5"/>
    <x v="7"/>
    <x v="0"/>
    <x v="3"/>
    <x v="5"/>
    <x v="95"/>
    <x v="30"/>
  </r>
  <r>
    <x v="7"/>
    <x v="13"/>
    <x v="0"/>
    <x v="5"/>
    <x v="7"/>
    <x v="2"/>
    <x v="3"/>
    <x v="5"/>
    <x v="95"/>
    <x v="30"/>
  </r>
  <r>
    <x v="7"/>
    <x v="2"/>
    <x v="0"/>
    <x v="5"/>
    <x v="7"/>
    <x v="0"/>
    <x v="4"/>
    <x v="5"/>
    <x v="96"/>
    <x v="30"/>
  </r>
  <r>
    <x v="7"/>
    <x v="2"/>
    <x v="0"/>
    <x v="5"/>
    <x v="7"/>
    <x v="0"/>
    <x v="4"/>
    <x v="5"/>
    <x v="96"/>
    <x v="30"/>
  </r>
  <r>
    <x v="7"/>
    <x v="12"/>
    <x v="0"/>
    <x v="5"/>
    <x v="7"/>
    <x v="1"/>
    <x v="0"/>
    <x v="5"/>
    <x v="97"/>
    <x v="30"/>
  </r>
  <r>
    <x v="7"/>
    <x v="9"/>
    <x v="0"/>
    <x v="5"/>
    <x v="7"/>
    <x v="1"/>
    <x v="0"/>
    <x v="5"/>
    <x v="97"/>
    <x v="30"/>
  </r>
  <r>
    <x v="7"/>
    <x v="13"/>
    <x v="0"/>
    <x v="5"/>
    <x v="7"/>
    <x v="2"/>
    <x v="0"/>
    <x v="5"/>
    <x v="97"/>
    <x v="30"/>
  </r>
  <r>
    <x v="7"/>
    <x v="2"/>
    <x v="0"/>
    <x v="5"/>
    <x v="7"/>
    <x v="0"/>
    <x v="2"/>
    <x v="5"/>
    <x v="99"/>
    <x v="30"/>
  </r>
  <r>
    <x v="7"/>
    <x v="1"/>
    <x v="0"/>
    <x v="5"/>
    <x v="7"/>
    <x v="1"/>
    <x v="5"/>
    <x v="5"/>
    <x v="100"/>
    <x v="30"/>
  </r>
  <r>
    <x v="7"/>
    <x v="8"/>
    <x v="0"/>
    <x v="5"/>
    <x v="7"/>
    <x v="2"/>
    <x v="5"/>
    <x v="5"/>
    <x v="100"/>
    <x v="30"/>
  </r>
  <r>
    <x v="7"/>
    <x v="1"/>
    <x v="0"/>
    <x v="5"/>
    <x v="7"/>
    <x v="1"/>
    <x v="6"/>
    <x v="5"/>
    <x v="379"/>
    <x v="30"/>
  </r>
  <r>
    <x v="7"/>
    <x v="3"/>
    <x v="0"/>
    <x v="5"/>
    <x v="7"/>
    <x v="2"/>
    <x v="0"/>
    <x v="5"/>
    <x v="295"/>
    <x v="30"/>
  </r>
  <r>
    <x v="7"/>
    <x v="0"/>
    <x v="0"/>
    <x v="5"/>
    <x v="7"/>
    <x v="0"/>
    <x v="2"/>
    <x v="6"/>
    <x v="103"/>
    <x v="30"/>
  </r>
  <r>
    <x v="7"/>
    <x v="3"/>
    <x v="0"/>
    <x v="5"/>
    <x v="7"/>
    <x v="2"/>
    <x v="2"/>
    <x v="6"/>
    <x v="103"/>
    <x v="30"/>
  </r>
  <r>
    <x v="7"/>
    <x v="3"/>
    <x v="0"/>
    <x v="5"/>
    <x v="7"/>
    <x v="2"/>
    <x v="2"/>
    <x v="6"/>
    <x v="103"/>
    <x v="30"/>
  </r>
  <r>
    <x v="7"/>
    <x v="3"/>
    <x v="0"/>
    <x v="5"/>
    <x v="7"/>
    <x v="2"/>
    <x v="2"/>
    <x v="6"/>
    <x v="103"/>
    <x v="30"/>
  </r>
  <r>
    <x v="7"/>
    <x v="9"/>
    <x v="0"/>
    <x v="5"/>
    <x v="7"/>
    <x v="1"/>
    <x v="5"/>
    <x v="6"/>
    <x v="104"/>
    <x v="30"/>
  </r>
  <r>
    <x v="7"/>
    <x v="9"/>
    <x v="0"/>
    <x v="5"/>
    <x v="7"/>
    <x v="1"/>
    <x v="5"/>
    <x v="6"/>
    <x v="104"/>
    <x v="30"/>
  </r>
  <r>
    <x v="7"/>
    <x v="9"/>
    <x v="0"/>
    <x v="5"/>
    <x v="7"/>
    <x v="1"/>
    <x v="6"/>
    <x v="6"/>
    <x v="297"/>
    <x v="30"/>
  </r>
  <r>
    <x v="7"/>
    <x v="10"/>
    <x v="0"/>
    <x v="5"/>
    <x v="7"/>
    <x v="1"/>
    <x v="6"/>
    <x v="6"/>
    <x v="297"/>
    <x v="30"/>
  </r>
  <r>
    <x v="7"/>
    <x v="13"/>
    <x v="0"/>
    <x v="5"/>
    <x v="7"/>
    <x v="2"/>
    <x v="6"/>
    <x v="6"/>
    <x v="297"/>
    <x v="30"/>
  </r>
  <r>
    <x v="7"/>
    <x v="7"/>
    <x v="0"/>
    <x v="5"/>
    <x v="7"/>
    <x v="1"/>
    <x v="3"/>
    <x v="6"/>
    <x v="105"/>
    <x v="30"/>
  </r>
  <r>
    <x v="7"/>
    <x v="4"/>
    <x v="0"/>
    <x v="5"/>
    <x v="7"/>
    <x v="0"/>
    <x v="3"/>
    <x v="6"/>
    <x v="105"/>
    <x v="30"/>
  </r>
  <r>
    <x v="7"/>
    <x v="0"/>
    <x v="0"/>
    <x v="5"/>
    <x v="7"/>
    <x v="0"/>
    <x v="3"/>
    <x v="6"/>
    <x v="105"/>
    <x v="30"/>
  </r>
  <r>
    <x v="7"/>
    <x v="15"/>
    <x v="0"/>
    <x v="5"/>
    <x v="7"/>
    <x v="2"/>
    <x v="3"/>
    <x v="6"/>
    <x v="105"/>
    <x v="30"/>
  </r>
  <r>
    <x v="7"/>
    <x v="2"/>
    <x v="0"/>
    <x v="5"/>
    <x v="7"/>
    <x v="0"/>
    <x v="4"/>
    <x v="6"/>
    <x v="106"/>
    <x v="30"/>
  </r>
  <r>
    <x v="7"/>
    <x v="5"/>
    <x v="0"/>
    <x v="5"/>
    <x v="7"/>
    <x v="0"/>
    <x v="4"/>
    <x v="6"/>
    <x v="106"/>
    <x v="30"/>
  </r>
  <r>
    <x v="7"/>
    <x v="9"/>
    <x v="0"/>
    <x v="5"/>
    <x v="7"/>
    <x v="1"/>
    <x v="0"/>
    <x v="6"/>
    <x v="107"/>
    <x v="30"/>
  </r>
  <r>
    <x v="7"/>
    <x v="10"/>
    <x v="0"/>
    <x v="5"/>
    <x v="7"/>
    <x v="1"/>
    <x v="0"/>
    <x v="6"/>
    <x v="107"/>
    <x v="30"/>
  </r>
  <r>
    <x v="7"/>
    <x v="14"/>
    <x v="0"/>
    <x v="5"/>
    <x v="7"/>
    <x v="2"/>
    <x v="0"/>
    <x v="6"/>
    <x v="107"/>
    <x v="30"/>
  </r>
  <r>
    <x v="7"/>
    <x v="15"/>
    <x v="0"/>
    <x v="5"/>
    <x v="7"/>
    <x v="2"/>
    <x v="0"/>
    <x v="6"/>
    <x v="107"/>
    <x v="30"/>
  </r>
  <r>
    <x v="7"/>
    <x v="9"/>
    <x v="0"/>
    <x v="5"/>
    <x v="7"/>
    <x v="1"/>
    <x v="1"/>
    <x v="6"/>
    <x v="108"/>
    <x v="30"/>
  </r>
  <r>
    <x v="7"/>
    <x v="1"/>
    <x v="0"/>
    <x v="5"/>
    <x v="7"/>
    <x v="1"/>
    <x v="1"/>
    <x v="6"/>
    <x v="108"/>
    <x v="30"/>
  </r>
  <r>
    <x v="7"/>
    <x v="5"/>
    <x v="0"/>
    <x v="5"/>
    <x v="7"/>
    <x v="0"/>
    <x v="1"/>
    <x v="6"/>
    <x v="108"/>
    <x v="30"/>
  </r>
  <r>
    <x v="7"/>
    <x v="13"/>
    <x v="0"/>
    <x v="5"/>
    <x v="7"/>
    <x v="2"/>
    <x v="1"/>
    <x v="6"/>
    <x v="108"/>
    <x v="30"/>
  </r>
  <r>
    <x v="7"/>
    <x v="13"/>
    <x v="0"/>
    <x v="5"/>
    <x v="7"/>
    <x v="2"/>
    <x v="1"/>
    <x v="6"/>
    <x v="108"/>
    <x v="30"/>
  </r>
  <r>
    <x v="7"/>
    <x v="14"/>
    <x v="0"/>
    <x v="5"/>
    <x v="7"/>
    <x v="2"/>
    <x v="1"/>
    <x v="6"/>
    <x v="108"/>
    <x v="30"/>
  </r>
  <r>
    <x v="7"/>
    <x v="14"/>
    <x v="0"/>
    <x v="5"/>
    <x v="7"/>
    <x v="2"/>
    <x v="1"/>
    <x v="6"/>
    <x v="108"/>
    <x v="30"/>
  </r>
  <r>
    <x v="7"/>
    <x v="12"/>
    <x v="0"/>
    <x v="5"/>
    <x v="7"/>
    <x v="1"/>
    <x v="5"/>
    <x v="6"/>
    <x v="110"/>
    <x v="30"/>
  </r>
  <r>
    <x v="7"/>
    <x v="12"/>
    <x v="0"/>
    <x v="5"/>
    <x v="7"/>
    <x v="1"/>
    <x v="5"/>
    <x v="6"/>
    <x v="110"/>
    <x v="30"/>
  </r>
  <r>
    <x v="7"/>
    <x v="10"/>
    <x v="0"/>
    <x v="5"/>
    <x v="7"/>
    <x v="1"/>
    <x v="5"/>
    <x v="6"/>
    <x v="110"/>
    <x v="30"/>
  </r>
  <r>
    <x v="7"/>
    <x v="10"/>
    <x v="0"/>
    <x v="5"/>
    <x v="7"/>
    <x v="1"/>
    <x v="5"/>
    <x v="6"/>
    <x v="110"/>
    <x v="30"/>
  </r>
  <r>
    <x v="7"/>
    <x v="7"/>
    <x v="0"/>
    <x v="5"/>
    <x v="7"/>
    <x v="1"/>
    <x v="5"/>
    <x v="6"/>
    <x v="110"/>
    <x v="30"/>
  </r>
  <r>
    <x v="7"/>
    <x v="5"/>
    <x v="0"/>
    <x v="5"/>
    <x v="7"/>
    <x v="0"/>
    <x v="5"/>
    <x v="6"/>
    <x v="110"/>
    <x v="30"/>
  </r>
  <r>
    <x v="7"/>
    <x v="3"/>
    <x v="0"/>
    <x v="5"/>
    <x v="7"/>
    <x v="2"/>
    <x v="5"/>
    <x v="6"/>
    <x v="110"/>
    <x v="30"/>
  </r>
  <r>
    <x v="7"/>
    <x v="8"/>
    <x v="0"/>
    <x v="5"/>
    <x v="7"/>
    <x v="2"/>
    <x v="5"/>
    <x v="6"/>
    <x v="110"/>
    <x v="30"/>
  </r>
  <r>
    <x v="7"/>
    <x v="14"/>
    <x v="0"/>
    <x v="5"/>
    <x v="7"/>
    <x v="2"/>
    <x v="5"/>
    <x v="6"/>
    <x v="110"/>
    <x v="30"/>
  </r>
  <r>
    <x v="7"/>
    <x v="13"/>
    <x v="0"/>
    <x v="5"/>
    <x v="7"/>
    <x v="2"/>
    <x v="6"/>
    <x v="6"/>
    <x v="111"/>
    <x v="30"/>
  </r>
  <r>
    <x v="7"/>
    <x v="13"/>
    <x v="0"/>
    <x v="5"/>
    <x v="7"/>
    <x v="2"/>
    <x v="6"/>
    <x v="6"/>
    <x v="111"/>
    <x v="30"/>
  </r>
  <r>
    <x v="7"/>
    <x v="9"/>
    <x v="0"/>
    <x v="5"/>
    <x v="7"/>
    <x v="1"/>
    <x v="3"/>
    <x v="6"/>
    <x v="298"/>
    <x v="30"/>
  </r>
  <r>
    <x v="7"/>
    <x v="1"/>
    <x v="0"/>
    <x v="5"/>
    <x v="7"/>
    <x v="1"/>
    <x v="3"/>
    <x v="6"/>
    <x v="298"/>
    <x v="30"/>
  </r>
  <r>
    <x v="7"/>
    <x v="14"/>
    <x v="0"/>
    <x v="5"/>
    <x v="7"/>
    <x v="2"/>
    <x v="3"/>
    <x v="6"/>
    <x v="298"/>
    <x v="30"/>
  </r>
  <r>
    <x v="7"/>
    <x v="14"/>
    <x v="0"/>
    <x v="5"/>
    <x v="7"/>
    <x v="2"/>
    <x v="3"/>
    <x v="6"/>
    <x v="298"/>
    <x v="30"/>
  </r>
  <r>
    <x v="7"/>
    <x v="3"/>
    <x v="0"/>
    <x v="5"/>
    <x v="7"/>
    <x v="2"/>
    <x v="4"/>
    <x v="6"/>
    <x v="112"/>
    <x v="30"/>
  </r>
  <r>
    <x v="7"/>
    <x v="12"/>
    <x v="0"/>
    <x v="5"/>
    <x v="7"/>
    <x v="1"/>
    <x v="0"/>
    <x v="6"/>
    <x v="299"/>
    <x v="30"/>
  </r>
  <r>
    <x v="7"/>
    <x v="9"/>
    <x v="0"/>
    <x v="5"/>
    <x v="7"/>
    <x v="1"/>
    <x v="0"/>
    <x v="6"/>
    <x v="299"/>
    <x v="30"/>
  </r>
  <r>
    <x v="7"/>
    <x v="9"/>
    <x v="0"/>
    <x v="5"/>
    <x v="7"/>
    <x v="1"/>
    <x v="0"/>
    <x v="6"/>
    <x v="299"/>
    <x v="30"/>
  </r>
  <r>
    <x v="7"/>
    <x v="10"/>
    <x v="0"/>
    <x v="5"/>
    <x v="7"/>
    <x v="1"/>
    <x v="0"/>
    <x v="6"/>
    <x v="299"/>
    <x v="30"/>
  </r>
  <r>
    <x v="7"/>
    <x v="0"/>
    <x v="0"/>
    <x v="5"/>
    <x v="7"/>
    <x v="0"/>
    <x v="5"/>
    <x v="6"/>
    <x v="300"/>
    <x v="30"/>
  </r>
  <r>
    <x v="7"/>
    <x v="5"/>
    <x v="0"/>
    <x v="5"/>
    <x v="7"/>
    <x v="0"/>
    <x v="5"/>
    <x v="6"/>
    <x v="300"/>
    <x v="30"/>
  </r>
  <r>
    <x v="7"/>
    <x v="3"/>
    <x v="0"/>
    <x v="5"/>
    <x v="7"/>
    <x v="2"/>
    <x v="5"/>
    <x v="6"/>
    <x v="300"/>
    <x v="30"/>
  </r>
  <r>
    <x v="7"/>
    <x v="8"/>
    <x v="0"/>
    <x v="5"/>
    <x v="7"/>
    <x v="2"/>
    <x v="5"/>
    <x v="6"/>
    <x v="300"/>
    <x v="30"/>
  </r>
  <r>
    <x v="7"/>
    <x v="8"/>
    <x v="0"/>
    <x v="5"/>
    <x v="7"/>
    <x v="2"/>
    <x v="5"/>
    <x v="6"/>
    <x v="300"/>
    <x v="30"/>
  </r>
  <r>
    <x v="7"/>
    <x v="15"/>
    <x v="0"/>
    <x v="5"/>
    <x v="7"/>
    <x v="2"/>
    <x v="5"/>
    <x v="6"/>
    <x v="300"/>
    <x v="30"/>
  </r>
  <r>
    <x v="7"/>
    <x v="9"/>
    <x v="0"/>
    <x v="5"/>
    <x v="7"/>
    <x v="1"/>
    <x v="6"/>
    <x v="6"/>
    <x v="301"/>
    <x v="30"/>
  </r>
  <r>
    <x v="7"/>
    <x v="4"/>
    <x v="0"/>
    <x v="5"/>
    <x v="7"/>
    <x v="0"/>
    <x v="6"/>
    <x v="6"/>
    <x v="301"/>
    <x v="30"/>
  </r>
  <r>
    <x v="7"/>
    <x v="6"/>
    <x v="0"/>
    <x v="5"/>
    <x v="7"/>
    <x v="0"/>
    <x v="6"/>
    <x v="6"/>
    <x v="301"/>
    <x v="30"/>
  </r>
  <r>
    <x v="7"/>
    <x v="13"/>
    <x v="0"/>
    <x v="5"/>
    <x v="7"/>
    <x v="2"/>
    <x v="6"/>
    <x v="6"/>
    <x v="301"/>
    <x v="30"/>
  </r>
  <r>
    <x v="7"/>
    <x v="2"/>
    <x v="0"/>
    <x v="5"/>
    <x v="7"/>
    <x v="0"/>
    <x v="3"/>
    <x v="6"/>
    <x v="302"/>
    <x v="30"/>
  </r>
  <r>
    <x v="7"/>
    <x v="3"/>
    <x v="0"/>
    <x v="5"/>
    <x v="7"/>
    <x v="2"/>
    <x v="3"/>
    <x v="6"/>
    <x v="302"/>
    <x v="30"/>
  </r>
  <r>
    <x v="7"/>
    <x v="1"/>
    <x v="0"/>
    <x v="5"/>
    <x v="7"/>
    <x v="1"/>
    <x v="4"/>
    <x v="6"/>
    <x v="114"/>
    <x v="30"/>
  </r>
  <r>
    <x v="7"/>
    <x v="6"/>
    <x v="0"/>
    <x v="5"/>
    <x v="7"/>
    <x v="0"/>
    <x v="0"/>
    <x v="6"/>
    <x v="115"/>
    <x v="30"/>
  </r>
  <r>
    <x v="7"/>
    <x v="7"/>
    <x v="0"/>
    <x v="5"/>
    <x v="7"/>
    <x v="1"/>
    <x v="1"/>
    <x v="6"/>
    <x v="116"/>
    <x v="30"/>
  </r>
  <r>
    <x v="7"/>
    <x v="5"/>
    <x v="0"/>
    <x v="5"/>
    <x v="7"/>
    <x v="0"/>
    <x v="1"/>
    <x v="6"/>
    <x v="116"/>
    <x v="30"/>
  </r>
  <r>
    <x v="7"/>
    <x v="8"/>
    <x v="0"/>
    <x v="5"/>
    <x v="7"/>
    <x v="2"/>
    <x v="1"/>
    <x v="6"/>
    <x v="116"/>
    <x v="30"/>
  </r>
  <r>
    <x v="7"/>
    <x v="8"/>
    <x v="0"/>
    <x v="5"/>
    <x v="7"/>
    <x v="2"/>
    <x v="1"/>
    <x v="6"/>
    <x v="116"/>
    <x v="30"/>
  </r>
  <r>
    <x v="7"/>
    <x v="14"/>
    <x v="0"/>
    <x v="5"/>
    <x v="7"/>
    <x v="2"/>
    <x v="1"/>
    <x v="6"/>
    <x v="116"/>
    <x v="30"/>
  </r>
  <r>
    <x v="7"/>
    <x v="14"/>
    <x v="0"/>
    <x v="5"/>
    <x v="7"/>
    <x v="2"/>
    <x v="1"/>
    <x v="6"/>
    <x v="116"/>
    <x v="30"/>
  </r>
  <r>
    <x v="7"/>
    <x v="1"/>
    <x v="0"/>
    <x v="5"/>
    <x v="7"/>
    <x v="1"/>
    <x v="2"/>
    <x v="6"/>
    <x v="117"/>
    <x v="30"/>
  </r>
  <r>
    <x v="7"/>
    <x v="5"/>
    <x v="0"/>
    <x v="5"/>
    <x v="7"/>
    <x v="0"/>
    <x v="2"/>
    <x v="6"/>
    <x v="117"/>
    <x v="30"/>
  </r>
  <r>
    <x v="7"/>
    <x v="14"/>
    <x v="0"/>
    <x v="5"/>
    <x v="7"/>
    <x v="2"/>
    <x v="2"/>
    <x v="6"/>
    <x v="117"/>
    <x v="30"/>
  </r>
  <r>
    <x v="7"/>
    <x v="13"/>
    <x v="0"/>
    <x v="5"/>
    <x v="7"/>
    <x v="2"/>
    <x v="5"/>
    <x v="6"/>
    <x v="118"/>
    <x v="30"/>
  </r>
  <r>
    <x v="7"/>
    <x v="4"/>
    <x v="0"/>
    <x v="5"/>
    <x v="7"/>
    <x v="0"/>
    <x v="6"/>
    <x v="6"/>
    <x v="119"/>
    <x v="30"/>
  </r>
  <r>
    <x v="7"/>
    <x v="4"/>
    <x v="0"/>
    <x v="5"/>
    <x v="7"/>
    <x v="0"/>
    <x v="6"/>
    <x v="6"/>
    <x v="119"/>
    <x v="30"/>
  </r>
  <r>
    <x v="7"/>
    <x v="4"/>
    <x v="0"/>
    <x v="5"/>
    <x v="7"/>
    <x v="0"/>
    <x v="6"/>
    <x v="6"/>
    <x v="119"/>
    <x v="30"/>
  </r>
  <r>
    <x v="7"/>
    <x v="4"/>
    <x v="0"/>
    <x v="5"/>
    <x v="7"/>
    <x v="0"/>
    <x v="6"/>
    <x v="6"/>
    <x v="119"/>
    <x v="30"/>
  </r>
  <r>
    <x v="7"/>
    <x v="2"/>
    <x v="0"/>
    <x v="5"/>
    <x v="7"/>
    <x v="0"/>
    <x v="6"/>
    <x v="6"/>
    <x v="119"/>
    <x v="30"/>
  </r>
  <r>
    <x v="7"/>
    <x v="6"/>
    <x v="0"/>
    <x v="5"/>
    <x v="7"/>
    <x v="0"/>
    <x v="6"/>
    <x v="6"/>
    <x v="119"/>
    <x v="30"/>
  </r>
  <r>
    <x v="7"/>
    <x v="15"/>
    <x v="0"/>
    <x v="5"/>
    <x v="7"/>
    <x v="2"/>
    <x v="6"/>
    <x v="6"/>
    <x v="119"/>
    <x v="30"/>
  </r>
  <r>
    <x v="7"/>
    <x v="7"/>
    <x v="0"/>
    <x v="5"/>
    <x v="7"/>
    <x v="1"/>
    <x v="3"/>
    <x v="6"/>
    <x v="120"/>
    <x v="30"/>
  </r>
  <r>
    <x v="7"/>
    <x v="9"/>
    <x v="0"/>
    <x v="5"/>
    <x v="7"/>
    <x v="1"/>
    <x v="4"/>
    <x v="6"/>
    <x v="303"/>
    <x v="30"/>
  </r>
  <r>
    <x v="7"/>
    <x v="4"/>
    <x v="0"/>
    <x v="5"/>
    <x v="7"/>
    <x v="0"/>
    <x v="4"/>
    <x v="6"/>
    <x v="303"/>
    <x v="30"/>
  </r>
  <r>
    <x v="7"/>
    <x v="8"/>
    <x v="0"/>
    <x v="5"/>
    <x v="7"/>
    <x v="2"/>
    <x v="4"/>
    <x v="6"/>
    <x v="303"/>
    <x v="30"/>
  </r>
  <r>
    <x v="7"/>
    <x v="11"/>
    <x v="0"/>
    <x v="5"/>
    <x v="7"/>
    <x v="2"/>
    <x v="4"/>
    <x v="6"/>
    <x v="303"/>
    <x v="30"/>
  </r>
  <r>
    <x v="7"/>
    <x v="8"/>
    <x v="0"/>
    <x v="5"/>
    <x v="7"/>
    <x v="2"/>
    <x v="0"/>
    <x v="6"/>
    <x v="121"/>
    <x v="30"/>
  </r>
  <r>
    <x v="7"/>
    <x v="8"/>
    <x v="0"/>
    <x v="5"/>
    <x v="7"/>
    <x v="2"/>
    <x v="0"/>
    <x v="6"/>
    <x v="121"/>
    <x v="30"/>
  </r>
  <r>
    <x v="7"/>
    <x v="2"/>
    <x v="0"/>
    <x v="9"/>
    <x v="7"/>
    <x v="0"/>
    <x v="1"/>
    <x v="6"/>
    <x v="304"/>
    <x v="31"/>
  </r>
  <r>
    <x v="7"/>
    <x v="6"/>
    <x v="0"/>
    <x v="9"/>
    <x v="7"/>
    <x v="0"/>
    <x v="1"/>
    <x v="6"/>
    <x v="304"/>
    <x v="31"/>
  </r>
  <r>
    <x v="7"/>
    <x v="14"/>
    <x v="0"/>
    <x v="9"/>
    <x v="7"/>
    <x v="2"/>
    <x v="1"/>
    <x v="6"/>
    <x v="304"/>
    <x v="31"/>
  </r>
  <r>
    <x v="7"/>
    <x v="14"/>
    <x v="0"/>
    <x v="9"/>
    <x v="7"/>
    <x v="2"/>
    <x v="1"/>
    <x v="6"/>
    <x v="304"/>
    <x v="31"/>
  </r>
  <r>
    <x v="7"/>
    <x v="4"/>
    <x v="0"/>
    <x v="9"/>
    <x v="7"/>
    <x v="0"/>
    <x v="2"/>
    <x v="6"/>
    <x v="122"/>
    <x v="31"/>
  </r>
  <r>
    <x v="7"/>
    <x v="4"/>
    <x v="0"/>
    <x v="9"/>
    <x v="7"/>
    <x v="0"/>
    <x v="2"/>
    <x v="6"/>
    <x v="122"/>
    <x v="31"/>
  </r>
  <r>
    <x v="7"/>
    <x v="4"/>
    <x v="0"/>
    <x v="9"/>
    <x v="7"/>
    <x v="0"/>
    <x v="2"/>
    <x v="6"/>
    <x v="122"/>
    <x v="31"/>
  </r>
  <r>
    <x v="7"/>
    <x v="11"/>
    <x v="0"/>
    <x v="9"/>
    <x v="7"/>
    <x v="2"/>
    <x v="2"/>
    <x v="6"/>
    <x v="122"/>
    <x v="31"/>
  </r>
  <r>
    <x v="7"/>
    <x v="13"/>
    <x v="0"/>
    <x v="9"/>
    <x v="7"/>
    <x v="2"/>
    <x v="5"/>
    <x v="6"/>
    <x v="305"/>
    <x v="31"/>
  </r>
  <r>
    <x v="7"/>
    <x v="13"/>
    <x v="0"/>
    <x v="9"/>
    <x v="7"/>
    <x v="2"/>
    <x v="5"/>
    <x v="6"/>
    <x v="305"/>
    <x v="31"/>
  </r>
  <r>
    <x v="7"/>
    <x v="12"/>
    <x v="0"/>
    <x v="9"/>
    <x v="7"/>
    <x v="1"/>
    <x v="6"/>
    <x v="7"/>
    <x v="123"/>
    <x v="31"/>
  </r>
  <r>
    <x v="7"/>
    <x v="8"/>
    <x v="0"/>
    <x v="9"/>
    <x v="7"/>
    <x v="2"/>
    <x v="6"/>
    <x v="7"/>
    <x v="123"/>
    <x v="31"/>
  </r>
  <r>
    <x v="7"/>
    <x v="8"/>
    <x v="0"/>
    <x v="9"/>
    <x v="7"/>
    <x v="2"/>
    <x v="6"/>
    <x v="7"/>
    <x v="123"/>
    <x v="31"/>
  </r>
  <r>
    <x v="7"/>
    <x v="12"/>
    <x v="0"/>
    <x v="9"/>
    <x v="7"/>
    <x v="1"/>
    <x v="3"/>
    <x v="7"/>
    <x v="306"/>
    <x v="31"/>
  </r>
  <r>
    <x v="7"/>
    <x v="1"/>
    <x v="0"/>
    <x v="9"/>
    <x v="7"/>
    <x v="1"/>
    <x v="3"/>
    <x v="7"/>
    <x v="306"/>
    <x v="31"/>
  </r>
  <r>
    <x v="7"/>
    <x v="3"/>
    <x v="0"/>
    <x v="9"/>
    <x v="7"/>
    <x v="2"/>
    <x v="0"/>
    <x v="7"/>
    <x v="124"/>
    <x v="31"/>
  </r>
  <r>
    <x v="7"/>
    <x v="7"/>
    <x v="0"/>
    <x v="9"/>
    <x v="7"/>
    <x v="1"/>
    <x v="2"/>
    <x v="7"/>
    <x v="126"/>
    <x v="31"/>
  </r>
  <r>
    <x v="7"/>
    <x v="4"/>
    <x v="0"/>
    <x v="9"/>
    <x v="7"/>
    <x v="0"/>
    <x v="2"/>
    <x v="7"/>
    <x v="126"/>
    <x v="31"/>
  </r>
  <r>
    <x v="7"/>
    <x v="0"/>
    <x v="0"/>
    <x v="9"/>
    <x v="7"/>
    <x v="0"/>
    <x v="2"/>
    <x v="7"/>
    <x v="126"/>
    <x v="31"/>
  </r>
  <r>
    <x v="7"/>
    <x v="15"/>
    <x v="0"/>
    <x v="9"/>
    <x v="7"/>
    <x v="2"/>
    <x v="2"/>
    <x v="7"/>
    <x v="126"/>
    <x v="31"/>
  </r>
  <r>
    <x v="7"/>
    <x v="9"/>
    <x v="0"/>
    <x v="9"/>
    <x v="7"/>
    <x v="1"/>
    <x v="5"/>
    <x v="7"/>
    <x v="127"/>
    <x v="31"/>
  </r>
  <r>
    <x v="7"/>
    <x v="9"/>
    <x v="0"/>
    <x v="9"/>
    <x v="7"/>
    <x v="1"/>
    <x v="5"/>
    <x v="7"/>
    <x v="127"/>
    <x v="31"/>
  </r>
  <r>
    <x v="7"/>
    <x v="10"/>
    <x v="0"/>
    <x v="9"/>
    <x v="7"/>
    <x v="1"/>
    <x v="5"/>
    <x v="7"/>
    <x v="127"/>
    <x v="31"/>
  </r>
  <r>
    <x v="7"/>
    <x v="3"/>
    <x v="0"/>
    <x v="9"/>
    <x v="7"/>
    <x v="2"/>
    <x v="5"/>
    <x v="7"/>
    <x v="127"/>
    <x v="31"/>
  </r>
  <r>
    <x v="7"/>
    <x v="15"/>
    <x v="0"/>
    <x v="9"/>
    <x v="7"/>
    <x v="2"/>
    <x v="5"/>
    <x v="7"/>
    <x v="127"/>
    <x v="31"/>
  </r>
  <r>
    <x v="7"/>
    <x v="9"/>
    <x v="0"/>
    <x v="9"/>
    <x v="7"/>
    <x v="1"/>
    <x v="6"/>
    <x v="7"/>
    <x v="128"/>
    <x v="31"/>
  </r>
  <r>
    <x v="7"/>
    <x v="1"/>
    <x v="0"/>
    <x v="9"/>
    <x v="7"/>
    <x v="1"/>
    <x v="6"/>
    <x v="7"/>
    <x v="128"/>
    <x v="31"/>
  </r>
  <r>
    <x v="7"/>
    <x v="7"/>
    <x v="0"/>
    <x v="9"/>
    <x v="7"/>
    <x v="1"/>
    <x v="6"/>
    <x v="7"/>
    <x v="128"/>
    <x v="31"/>
  </r>
  <r>
    <x v="7"/>
    <x v="0"/>
    <x v="0"/>
    <x v="9"/>
    <x v="7"/>
    <x v="0"/>
    <x v="6"/>
    <x v="7"/>
    <x v="128"/>
    <x v="31"/>
  </r>
  <r>
    <x v="7"/>
    <x v="0"/>
    <x v="0"/>
    <x v="9"/>
    <x v="7"/>
    <x v="0"/>
    <x v="6"/>
    <x v="7"/>
    <x v="128"/>
    <x v="31"/>
  </r>
  <r>
    <x v="7"/>
    <x v="2"/>
    <x v="0"/>
    <x v="9"/>
    <x v="7"/>
    <x v="0"/>
    <x v="6"/>
    <x v="7"/>
    <x v="128"/>
    <x v="31"/>
  </r>
  <r>
    <x v="7"/>
    <x v="5"/>
    <x v="0"/>
    <x v="9"/>
    <x v="7"/>
    <x v="0"/>
    <x v="6"/>
    <x v="7"/>
    <x v="128"/>
    <x v="31"/>
  </r>
  <r>
    <x v="7"/>
    <x v="14"/>
    <x v="0"/>
    <x v="9"/>
    <x v="7"/>
    <x v="2"/>
    <x v="6"/>
    <x v="7"/>
    <x v="128"/>
    <x v="31"/>
  </r>
  <r>
    <x v="7"/>
    <x v="12"/>
    <x v="0"/>
    <x v="9"/>
    <x v="7"/>
    <x v="1"/>
    <x v="3"/>
    <x v="7"/>
    <x v="129"/>
    <x v="31"/>
  </r>
  <r>
    <x v="7"/>
    <x v="10"/>
    <x v="0"/>
    <x v="9"/>
    <x v="7"/>
    <x v="1"/>
    <x v="3"/>
    <x v="7"/>
    <x v="129"/>
    <x v="31"/>
  </r>
  <r>
    <x v="7"/>
    <x v="0"/>
    <x v="0"/>
    <x v="9"/>
    <x v="7"/>
    <x v="0"/>
    <x v="3"/>
    <x v="7"/>
    <x v="129"/>
    <x v="31"/>
  </r>
  <r>
    <x v="7"/>
    <x v="1"/>
    <x v="0"/>
    <x v="9"/>
    <x v="7"/>
    <x v="1"/>
    <x v="4"/>
    <x v="7"/>
    <x v="130"/>
    <x v="31"/>
  </r>
  <r>
    <x v="7"/>
    <x v="1"/>
    <x v="0"/>
    <x v="9"/>
    <x v="7"/>
    <x v="1"/>
    <x v="4"/>
    <x v="7"/>
    <x v="130"/>
    <x v="31"/>
  </r>
  <r>
    <x v="7"/>
    <x v="7"/>
    <x v="0"/>
    <x v="9"/>
    <x v="7"/>
    <x v="1"/>
    <x v="4"/>
    <x v="7"/>
    <x v="130"/>
    <x v="31"/>
  </r>
  <r>
    <x v="7"/>
    <x v="3"/>
    <x v="0"/>
    <x v="9"/>
    <x v="7"/>
    <x v="2"/>
    <x v="4"/>
    <x v="7"/>
    <x v="130"/>
    <x v="31"/>
  </r>
  <r>
    <x v="7"/>
    <x v="8"/>
    <x v="0"/>
    <x v="9"/>
    <x v="7"/>
    <x v="2"/>
    <x v="4"/>
    <x v="7"/>
    <x v="130"/>
    <x v="31"/>
  </r>
  <r>
    <x v="7"/>
    <x v="9"/>
    <x v="0"/>
    <x v="9"/>
    <x v="7"/>
    <x v="1"/>
    <x v="0"/>
    <x v="7"/>
    <x v="131"/>
    <x v="31"/>
  </r>
  <r>
    <x v="7"/>
    <x v="9"/>
    <x v="0"/>
    <x v="9"/>
    <x v="7"/>
    <x v="1"/>
    <x v="0"/>
    <x v="7"/>
    <x v="131"/>
    <x v="31"/>
  </r>
  <r>
    <x v="7"/>
    <x v="0"/>
    <x v="0"/>
    <x v="9"/>
    <x v="7"/>
    <x v="0"/>
    <x v="0"/>
    <x v="7"/>
    <x v="131"/>
    <x v="31"/>
  </r>
  <r>
    <x v="7"/>
    <x v="3"/>
    <x v="0"/>
    <x v="9"/>
    <x v="7"/>
    <x v="2"/>
    <x v="0"/>
    <x v="7"/>
    <x v="131"/>
    <x v="31"/>
  </r>
  <r>
    <x v="7"/>
    <x v="15"/>
    <x v="0"/>
    <x v="9"/>
    <x v="7"/>
    <x v="2"/>
    <x v="0"/>
    <x v="7"/>
    <x v="131"/>
    <x v="31"/>
  </r>
  <r>
    <x v="7"/>
    <x v="7"/>
    <x v="0"/>
    <x v="9"/>
    <x v="7"/>
    <x v="1"/>
    <x v="1"/>
    <x v="7"/>
    <x v="308"/>
    <x v="31"/>
  </r>
  <r>
    <x v="7"/>
    <x v="14"/>
    <x v="0"/>
    <x v="9"/>
    <x v="7"/>
    <x v="2"/>
    <x v="1"/>
    <x v="7"/>
    <x v="308"/>
    <x v="31"/>
  </r>
  <r>
    <x v="7"/>
    <x v="3"/>
    <x v="0"/>
    <x v="9"/>
    <x v="7"/>
    <x v="2"/>
    <x v="2"/>
    <x v="7"/>
    <x v="309"/>
    <x v="31"/>
  </r>
  <r>
    <x v="7"/>
    <x v="3"/>
    <x v="0"/>
    <x v="9"/>
    <x v="7"/>
    <x v="2"/>
    <x v="2"/>
    <x v="7"/>
    <x v="309"/>
    <x v="31"/>
  </r>
  <r>
    <x v="7"/>
    <x v="1"/>
    <x v="0"/>
    <x v="9"/>
    <x v="7"/>
    <x v="1"/>
    <x v="5"/>
    <x v="7"/>
    <x v="132"/>
    <x v="31"/>
  </r>
  <r>
    <x v="7"/>
    <x v="1"/>
    <x v="0"/>
    <x v="9"/>
    <x v="7"/>
    <x v="1"/>
    <x v="5"/>
    <x v="7"/>
    <x v="132"/>
    <x v="31"/>
  </r>
  <r>
    <x v="7"/>
    <x v="2"/>
    <x v="0"/>
    <x v="9"/>
    <x v="7"/>
    <x v="0"/>
    <x v="5"/>
    <x v="7"/>
    <x v="132"/>
    <x v="31"/>
  </r>
  <r>
    <x v="7"/>
    <x v="2"/>
    <x v="0"/>
    <x v="9"/>
    <x v="7"/>
    <x v="0"/>
    <x v="5"/>
    <x v="7"/>
    <x v="132"/>
    <x v="31"/>
  </r>
  <r>
    <x v="7"/>
    <x v="8"/>
    <x v="0"/>
    <x v="9"/>
    <x v="7"/>
    <x v="2"/>
    <x v="5"/>
    <x v="7"/>
    <x v="132"/>
    <x v="31"/>
  </r>
  <r>
    <x v="7"/>
    <x v="11"/>
    <x v="0"/>
    <x v="9"/>
    <x v="7"/>
    <x v="2"/>
    <x v="5"/>
    <x v="7"/>
    <x v="132"/>
    <x v="31"/>
  </r>
  <r>
    <x v="7"/>
    <x v="11"/>
    <x v="0"/>
    <x v="9"/>
    <x v="7"/>
    <x v="2"/>
    <x v="5"/>
    <x v="7"/>
    <x v="132"/>
    <x v="31"/>
  </r>
  <r>
    <x v="7"/>
    <x v="11"/>
    <x v="0"/>
    <x v="9"/>
    <x v="7"/>
    <x v="2"/>
    <x v="5"/>
    <x v="7"/>
    <x v="132"/>
    <x v="31"/>
  </r>
  <r>
    <x v="7"/>
    <x v="7"/>
    <x v="0"/>
    <x v="9"/>
    <x v="7"/>
    <x v="1"/>
    <x v="6"/>
    <x v="7"/>
    <x v="133"/>
    <x v="31"/>
  </r>
  <r>
    <x v="7"/>
    <x v="0"/>
    <x v="0"/>
    <x v="9"/>
    <x v="7"/>
    <x v="0"/>
    <x v="6"/>
    <x v="7"/>
    <x v="133"/>
    <x v="31"/>
  </r>
  <r>
    <x v="7"/>
    <x v="5"/>
    <x v="0"/>
    <x v="9"/>
    <x v="7"/>
    <x v="0"/>
    <x v="6"/>
    <x v="7"/>
    <x v="133"/>
    <x v="31"/>
  </r>
  <r>
    <x v="7"/>
    <x v="14"/>
    <x v="0"/>
    <x v="9"/>
    <x v="7"/>
    <x v="2"/>
    <x v="6"/>
    <x v="7"/>
    <x v="133"/>
    <x v="31"/>
  </r>
  <r>
    <x v="7"/>
    <x v="14"/>
    <x v="0"/>
    <x v="9"/>
    <x v="7"/>
    <x v="2"/>
    <x v="6"/>
    <x v="7"/>
    <x v="133"/>
    <x v="31"/>
  </r>
  <r>
    <x v="7"/>
    <x v="11"/>
    <x v="0"/>
    <x v="9"/>
    <x v="7"/>
    <x v="2"/>
    <x v="6"/>
    <x v="7"/>
    <x v="133"/>
    <x v="31"/>
  </r>
  <r>
    <x v="7"/>
    <x v="10"/>
    <x v="0"/>
    <x v="9"/>
    <x v="7"/>
    <x v="1"/>
    <x v="3"/>
    <x v="7"/>
    <x v="134"/>
    <x v="31"/>
  </r>
  <r>
    <x v="7"/>
    <x v="6"/>
    <x v="0"/>
    <x v="9"/>
    <x v="7"/>
    <x v="0"/>
    <x v="3"/>
    <x v="7"/>
    <x v="134"/>
    <x v="31"/>
  </r>
  <r>
    <x v="7"/>
    <x v="12"/>
    <x v="0"/>
    <x v="9"/>
    <x v="7"/>
    <x v="1"/>
    <x v="4"/>
    <x v="7"/>
    <x v="135"/>
    <x v="31"/>
  </r>
  <r>
    <x v="7"/>
    <x v="12"/>
    <x v="0"/>
    <x v="9"/>
    <x v="7"/>
    <x v="1"/>
    <x v="4"/>
    <x v="7"/>
    <x v="135"/>
    <x v="31"/>
  </r>
  <r>
    <x v="7"/>
    <x v="1"/>
    <x v="0"/>
    <x v="9"/>
    <x v="7"/>
    <x v="1"/>
    <x v="4"/>
    <x v="7"/>
    <x v="135"/>
    <x v="31"/>
  </r>
  <r>
    <x v="7"/>
    <x v="0"/>
    <x v="0"/>
    <x v="9"/>
    <x v="7"/>
    <x v="0"/>
    <x v="4"/>
    <x v="7"/>
    <x v="135"/>
    <x v="31"/>
  </r>
  <r>
    <x v="7"/>
    <x v="6"/>
    <x v="0"/>
    <x v="9"/>
    <x v="7"/>
    <x v="0"/>
    <x v="4"/>
    <x v="7"/>
    <x v="135"/>
    <x v="31"/>
  </r>
  <r>
    <x v="7"/>
    <x v="13"/>
    <x v="0"/>
    <x v="9"/>
    <x v="7"/>
    <x v="2"/>
    <x v="4"/>
    <x v="7"/>
    <x v="135"/>
    <x v="31"/>
  </r>
  <r>
    <x v="7"/>
    <x v="15"/>
    <x v="0"/>
    <x v="9"/>
    <x v="7"/>
    <x v="2"/>
    <x v="4"/>
    <x v="7"/>
    <x v="135"/>
    <x v="31"/>
  </r>
  <r>
    <x v="7"/>
    <x v="15"/>
    <x v="0"/>
    <x v="9"/>
    <x v="7"/>
    <x v="2"/>
    <x v="4"/>
    <x v="7"/>
    <x v="135"/>
    <x v="31"/>
  </r>
  <r>
    <x v="7"/>
    <x v="15"/>
    <x v="0"/>
    <x v="9"/>
    <x v="7"/>
    <x v="2"/>
    <x v="4"/>
    <x v="7"/>
    <x v="135"/>
    <x v="31"/>
  </r>
  <r>
    <x v="7"/>
    <x v="2"/>
    <x v="0"/>
    <x v="9"/>
    <x v="7"/>
    <x v="0"/>
    <x v="0"/>
    <x v="7"/>
    <x v="136"/>
    <x v="31"/>
  </r>
  <r>
    <x v="7"/>
    <x v="6"/>
    <x v="0"/>
    <x v="9"/>
    <x v="7"/>
    <x v="0"/>
    <x v="0"/>
    <x v="7"/>
    <x v="136"/>
    <x v="31"/>
  </r>
  <r>
    <x v="7"/>
    <x v="11"/>
    <x v="0"/>
    <x v="9"/>
    <x v="7"/>
    <x v="2"/>
    <x v="0"/>
    <x v="7"/>
    <x v="136"/>
    <x v="31"/>
  </r>
  <r>
    <x v="7"/>
    <x v="0"/>
    <x v="0"/>
    <x v="9"/>
    <x v="7"/>
    <x v="0"/>
    <x v="1"/>
    <x v="7"/>
    <x v="310"/>
    <x v="31"/>
  </r>
  <r>
    <x v="7"/>
    <x v="5"/>
    <x v="0"/>
    <x v="9"/>
    <x v="7"/>
    <x v="0"/>
    <x v="1"/>
    <x v="7"/>
    <x v="310"/>
    <x v="31"/>
  </r>
  <r>
    <x v="7"/>
    <x v="6"/>
    <x v="0"/>
    <x v="9"/>
    <x v="7"/>
    <x v="0"/>
    <x v="1"/>
    <x v="7"/>
    <x v="310"/>
    <x v="31"/>
  </r>
  <r>
    <x v="7"/>
    <x v="6"/>
    <x v="0"/>
    <x v="9"/>
    <x v="7"/>
    <x v="0"/>
    <x v="1"/>
    <x v="7"/>
    <x v="310"/>
    <x v="31"/>
  </r>
  <r>
    <x v="7"/>
    <x v="9"/>
    <x v="0"/>
    <x v="9"/>
    <x v="7"/>
    <x v="1"/>
    <x v="2"/>
    <x v="7"/>
    <x v="311"/>
    <x v="31"/>
  </r>
  <r>
    <x v="7"/>
    <x v="7"/>
    <x v="0"/>
    <x v="9"/>
    <x v="7"/>
    <x v="1"/>
    <x v="2"/>
    <x v="7"/>
    <x v="311"/>
    <x v="31"/>
  </r>
  <r>
    <x v="7"/>
    <x v="6"/>
    <x v="0"/>
    <x v="9"/>
    <x v="7"/>
    <x v="0"/>
    <x v="2"/>
    <x v="7"/>
    <x v="311"/>
    <x v="31"/>
  </r>
  <r>
    <x v="7"/>
    <x v="6"/>
    <x v="0"/>
    <x v="9"/>
    <x v="7"/>
    <x v="0"/>
    <x v="2"/>
    <x v="7"/>
    <x v="311"/>
    <x v="31"/>
  </r>
  <r>
    <x v="7"/>
    <x v="3"/>
    <x v="0"/>
    <x v="9"/>
    <x v="7"/>
    <x v="2"/>
    <x v="2"/>
    <x v="7"/>
    <x v="311"/>
    <x v="31"/>
  </r>
  <r>
    <x v="7"/>
    <x v="15"/>
    <x v="0"/>
    <x v="9"/>
    <x v="7"/>
    <x v="2"/>
    <x v="2"/>
    <x v="7"/>
    <x v="311"/>
    <x v="31"/>
  </r>
  <r>
    <x v="7"/>
    <x v="12"/>
    <x v="0"/>
    <x v="9"/>
    <x v="7"/>
    <x v="1"/>
    <x v="5"/>
    <x v="7"/>
    <x v="137"/>
    <x v="31"/>
  </r>
  <r>
    <x v="7"/>
    <x v="9"/>
    <x v="0"/>
    <x v="9"/>
    <x v="7"/>
    <x v="1"/>
    <x v="5"/>
    <x v="7"/>
    <x v="137"/>
    <x v="31"/>
  </r>
  <r>
    <x v="7"/>
    <x v="10"/>
    <x v="0"/>
    <x v="9"/>
    <x v="7"/>
    <x v="1"/>
    <x v="5"/>
    <x v="7"/>
    <x v="137"/>
    <x v="31"/>
  </r>
  <r>
    <x v="7"/>
    <x v="2"/>
    <x v="0"/>
    <x v="9"/>
    <x v="7"/>
    <x v="0"/>
    <x v="5"/>
    <x v="7"/>
    <x v="137"/>
    <x v="31"/>
  </r>
  <r>
    <x v="7"/>
    <x v="2"/>
    <x v="0"/>
    <x v="9"/>
    <x v="7"/>
    <x v="0"/>
    <x v="5"/>
    <x v="7"/>
    <x v="137"/>
    <x v="31"/>
  </r>
  <r>
    <x v="7"/>
    <x v="6"/>
    <x v="0"/>
    <x v="9"/>
    <x v="7"/>
    <x v="0"/>
    <x v="5"/>
    <x v="7"/>
    <x v="137"/>
    <x v="31"/>
  </r>
  <r>
    <x v="7"/>
    <x v="15"/>
    <x v="0"/>
    <x v="9"/>
    <x v="7"/>
    <x v="2"/>
    <x v="5"/>
    <x v="7"/>
    <x v="137"/>
    <x v="31"/>
  </r>
  <r>
    <x v="7"/>
    <x v="12"/>
    <x v="0"/>
    <x v="9"/>
    <x v="7"/>
    <x v="1"/>
    <x v="6"/>
    <x v="7"/>
    <x v="138"/>
    <x v="31"/>
  </r>
  <r>
    <x v="7"/>
    <x v="13"/>
    <x v="0"/>
    <x v="9"/>
    <x v="7"/>
    <x v="2"/>
    <x v="6"/>
    <x v="7"/>
    <x v="138"/>
    <x v="31"/>
  </r>
  <r>
    <x v="7"/>
    <x v="12"/>
    <x v="0"/>
    <x v="9"/>
    <x v="7"/>
    <x v="1"/>
    <x v="3"/>
    <x v="7"/>
    <x v="312"/>
    <x v="31"/>
  </r>
  <r>
    <x v="7"/>
    <x v="11"/>
    <x v="0"/>
    <x v="9"/>
    <x v="7"/>
    <x v="2"/>
    <x v="3"/>
    <x v="7"/>
    <x v="312"/>
    <x v="31"/>
  </r>
  <r>
    <x v="7"/>
    <x v="2"/>
    <x v="0"/>
    <x v="9"/>
    <x v="7"/>
    <x v="0"/>
    <x v="4"/>
    <x v="7"/>
    <x v="139"/>
    <x v="31"/>
  </r>
  <r>
    <x v="7"/>
    <x v="5"/>
    <x v="0"/>
    <x v="9"/>
    <x v="7"/>
    <x v="0"/>
    <x v="4"/>
    <x v="7"/>
    <x v="139"/>
    <x v="31"/>
  </r>
  <r>
    <x v="7"/>
    <x v="5"/>
    <x v="0"/>
    <x v="9"/>
    <x v="7"/>
    <x v="0"/>
    <x v="4"/>
    <x v="7"/>
    <x v="139"/>
    <x v="31"/>
  </r>
  <r>
    <x v="7"/>
    <x v="13"/>
    <x v="0"/>
    <x v="9"/>
    <x v="7"/>
    <x v="2"/>
    <x v="4"/>
    <x v="7"/>
    <x v="139"/>
    <x v="31"/>
  </r>
  <r>
    <x v="7"/>
    <x v="9"/>
    <x v="0"/>
    <x v="9"/>
    <x v="7"/>
    <x v="1"/>
    <x v="0"/>
    <x v="7"/>
    <x v="140"/>
    <x v="31"/>
  </r>
  <r>
    <x v="7"/>
    <x v="4"/>
    <x v="0"/>
    <x v="9"/>
    <x v="7"/>
    <x v="0"/>
    <x v="0"/>
    <x v="7"/>
    <x v="140"/>
    <x v="31"/>
  </r>
  <r>
    <x v="7"/>
    <x v="0"/>
    <x v="0"/>
    <x v="9"/>
    <x v="7"/>
    <x v="0"/>
    <x v="1"/>
    <x v="7"/>
    <x v="141"/>
    <x v="31"/>
  </r>
  <r>
    <x v="7"/>
    <x v="2"/>
    <x v="0"/>
    <x v="9"/>
    <x v="7"/>
    <x v="0"/>
    <x v="1"/>
    <x v="7"/>
    <x v="141"/>
    <x v="31"/>
  </r>
  <r>
    <x v="7"/>
    <x v="5"/>
    <x v="0"/>
    <x v="9"/>
    <x v="7"/>
    <x v="0"/>
    <x v="1"/>
    <x v="7"/>
    <x v="141"/>
    <x v="31"/>
  </r>
  <r>
    <x v="7"/>
    <x v="5"/>
    <x v="0"/>
    <x v="9"/>
    <x v="7"/>
    <x v="0"/>
    <x v="1"/>
    <x v="7"/>
    <x v="141"/>
    <x v="31"/>
  </r>
  <r>
    <x v="7"/>
    <x v="4"/>
    <x v="0"/>
    <x v="9"/>
    <x v="7"/>
    <x v="0"/>
    <x v="2"/>
    <x v="7"/>
    <x v="313"/>
    <x v="31"/>
  </r>
  <r>
    <x v="7"/>
    <x v="6"/>
    <x v="0"/>
    <x v="9"/>
    <x v="7"/>
    <x v="0"/>
    <x v="2"/>
    <x v="7"/>
    <x v="313"/>
    <x v="31"/>
  </r>
  <r>
    <x v="7"/>
    <x v="9"/>
    <x v="0"/>
    <x v="9"/>
    <x v="7"/>
    <x v="1"/>
    <x v="5"/>
    <x v="7"/>
    <x v="142"/>
    <x v="31"/>
  </r>
  <r>
    <x v="7"/>
    <x v="7"/>
    <x v="0"/>
    <x v="9"/>
    <x v="7"/>
    <x v="1"/>
    <x v="5"/>
    <x v="7"/>
    <x v="142"/>
    <x v="31"/>
  </r>
  <r>
    <x v="7"/>
    <x v="7"/>
    <x v="0"/>
    <x v="9"/>
    <x v="7"/>
    <x v="1"/>
    <x v="5"/>
    <x v="7"/>
    <x v="142"/>
    <x v="31"/>
  </r>
  <r>
    <x v="7"/>
    <x v="6"/>
    <x v="0"/>
    <x v="9"/>
    <x v="7"/>
    <x v="0"/>
    <x v="5"/>
    <x v="7"/>
    <x v="142"/>
    <x v="31"/>
  </r>
  <r>
    <x v="7"/>
    <x v="9"/>
    <x v="0"/>
    <x v="9"/>
    <x v="7"/>
    <x v="1"/>
    <x v="6"/>
    <x v="7"/>
    <x v="314"/>
    <x v="31"/>
  </r>
  <r>
    <x v="7"/>
    <x v="9"/>
    <x v="0"/>
    <x v="9"/>
    <x v="7"/>
    <x v="1"/>
    <x v="6"/>
    <x v="7"/>
    <x v="314"/>
    <x v="31"/>
  </r>
  <r>
    <x v="7"/>
    <x v="10"/>
    <x v="0"/>
    <x v="9"/>
    <x v="7"/>
    <x v="1"/>
    <x v="6"/>
    <x v="7"/>
    <x v="314"/>
    <x v="31"/>
  </r>
  <r>
    <x v="7"/>
    <x v="13"/>
    <x v="0"/>
    <x v="9"/>
    <x v="7"/>
    <x v="2"/>
    <x v="6"/>
    <x v="7"/>
    <x v="314"/>
    <x v="31"/>
  </r>
  <r>
    <x v="7"/>
    <x v="14"/>
    <x v="0"/>
    <x v="9"/>
    <x v="7"/>
    <x v="2"/>
    <x v="6"/>
    <x v="7"/>
    <x v="314"/>
    <x v="31"/>
  </r>
  <r>
    <x v="7"/>
    <x v="12"/>
    <x v="0"/>
    <x v="9"/>
    <x v="7"/>
    <x v="1"/>
    <x v="3"/>
    <x v="7"/>
    <x v="143"/>
    <x v="31"/>
  </r>
  <r>
    <x v="7"/>
    <x v="10"/>
    <x v="0"/>
    <x v="9"/>
    <x v="7"/>
    <x v="1"/>
    <x v="3"/>
    <x v="7"/>
    <x v="143"/>
    <x v="31"/>
  </r>
  <r>
    <x v="7"/>
    <x v="1"/>
    <x v="0"/>
    <x v="9"/>
    <x v="7"/>
    <x v="1"/>
    <x v="3"/>
    <x v="7"/>
    <x v="143"/>
    <x v="31"/>
  </r>
  <r>
    <x v="7"/>
    <x v="1"/>
    <x v="0"/>
    <x v="9"/>
    <x v="7"/>
    <x v="1"/>
    <x v="3"/>
    <x v="7"/>
    <x v="143"/>
    <x v="31"/>
  </r>
  <r>
    <x v="7"/>
    <x v="4"/>
    <x v="0"/>
    <x v="9"/>
    <x v="7"/>
    <x v="0"/>
    <x v="3"/>
    <x v="7"/>
    <x v="143"/>
    <x v="31"/>
  </r>
  <r>
    <x v="7"/>
    <x v="5"/>
    <x v="0"/>
    <x v="9"/>
    <x v="7"/>
    <x v="0"/>
    <x v="3"/>
    <x v="7"/>
    <x v="143"/>
    <x v="31"/>
  </r>
  <r>
    <x v="7"/>
    <x v="5"/>
    <x v="0"/>
    <x v="9"/>
    <x v="7"/>
    <x v="0"/>
    <x v="3"/>
    <x v="7"/>
    <x v="143"/>
    <x v="31"/>
  </r>
  <r>
    <x v="7"/>
    <x v="12"/>
    <x v="0"/>
    <x v="9"/>
    <x v="7"/>
    <x v="1"/>
    <x v="4"/>
    <x v="7"/>
    <x v="315"/>
    <x v="31"/>
  </r>
  <r>
    <x v="7"/>
    <x v="9"/>
    <x v="0"/>
    <x v="9"/>
    <x v="7"/>
    <x v="1"/>
    <x v="4"/>
    <x v="7"/>
    <x v="315"/>
    <x v="31"/>
  </r>
  <r>
    <x v="7"/>
    <x v="5"/>
    <x v="0"/>
    <x v="9"/>
    <x v="7"/>
    <x v="0"/>
    <x v="4"/>
    <x v="7"/>
    <x v="315"/>
    <x v="31"/>
  </r>
  <r>
    <x v="7"/>
    <x v="1"/>
    <x v="0"/>
    <x v="9"/>
    <x v="7"/>
    <x v="1"/>
    <x v="0"/>
    <x v="8"/>
    <x v="144"/>
    <x v="31"/>
  </r>
  <r>
    <x v="7"/>
    <x v="6"/>
    <x v="0"/>
    <x v="9"/>
    <x v="7"/>
    <x v="0"/>
    <x v="1"/>
    <x v="8"/>
    <x v="145"/>
    <x v="31"/>
  </r>
  <r>
    <x v="7"/>
    <x v="6"/>
    <x v="0"/>
    <x v="9"/>
    <x v="7"/>
    <x v="0"/>
    <x v="1"/>
    <x v="8"/>
    <x v="145"/>
    <x v="31"/>
  </r>
  <r>
    <x v="7"/>
    <x v="0"/>
    <x v="0"/>
    <x v="9"/>
    <x v="7"/>
    <x v="0"/>
    <x v="2"/>
    <x v="8"/>
    <x v="146"/>
    <x v="31"/>
  </r>
  <r>
    <x v="7"/>
    <x v="12"/>
    <x v="0"/>
    <x v="9"/>
    <x v="7"/>
    <x v="1"/>
    <x v="5"/>
    <x v="8"/>
    <x v="147"/>
    <x v="31"/>
  </r>
  <r>
    <x v="7"/>
    <x v="9"/>
    <x v="0"/>
    <x v="9"/>
    <x v="7"/>
    <x v="1"/>
    <x v="5"/>
    <x v="8"/>
    <x v="147"/>
    <x v="31"/>
  </r>
  <r>
    <x v="7"/>
    <x v="7"/>
    <x v="0"/>
    <x v="9"/>
    <x v="7"/>
    <x v="1"/>
    <x v="6"/>
    <x v="8"/>
    <x v="316"/>
    <x v="31"/>
  </r>
  <r>
    <x v="7"/>
    <x v="2"/>
    <x v="0"/>
    <x v="9"/>
    <x v="7"/>
    <x v="0"/>
    <x v="6"/>
    <x v="8"/>
    <x v="316"/>
    <x v="31"/>
  </r>
  <r>
    <x v="7"/>
    <x v="2"/>
    <x v="0"/>
    <x v="9"/>
    <x v="7"/>
    <x v="0"/>
    <x v="6"/>
    <x v="8"/>
    <x v="316"/>
    <x v="31"/>
  </r>
  <r>
    <x v="7"/>
    <x v="9"/>
    <x v="0"/>
    <x v="9"/>
    <x v="7"/>
    <x v="1"/>
    <x v="3"/>
    <x v="8"/>
    <x v="148"/>
    <x v="31"/>
  </r>
  <r>
    <x v="7"/>
    <x v="6"/>
    <x v="0"/>
    <x v="9"/>
    <x v="7"/>
    <x v="0"/>
    <x v="3"/>
    <x v="8"/>
    <x v="148"/>
    <x v="31"/>
  </r>
  <r>
    <x v="7"/>
    <x v="4"/>
    <x v="0"/>
    <x v="9"/>
    <x v="7"/>
    <x v="0"/>
    <x v="4"/>
    <x v="8"/>
    <x v="149"/>
    <x v="31"/>
  </r>
  <r>
    <x v="7"/>
    <x v="13"/>
    <x v="0"/>
    <x v="9"/>
    <x v="7"/>
    <x v="2"/>
    <x v="4"/>
    <x v="8"/>
    <x v="149"/>
    <x v="31"/>
  </r>
  <r>
    <x v="7"/>
    <x v="14"/>
    <x v="0"/>
    <x v="9"/>
    <x v="7"/>
    <x v="2"/>
    <x v="4"/>
    <x v="8"/>
    <x v="149"/>
    <x v="31"/>
  </r>
  <r>
    <x v="7"/>
    <x v="0"/>
    <x v="0"/>
    <x v="9"/>
    <x v="7"/>
    <x v="0"/>
    <x v="0"/>
    <x v="8"/>
    <x v="150"/>
    <x v="31"/>
  </r>
  <r>
    <x v="7"/>
    <x v="0"/>
    <x v="0"/>
    <x v="9"/>
    <x v="7"/>
    <x v="0"/>
    <x v="0"/>
    <x v="8"/>
    <x v="150"/>
    <x v="31"/>
  </r>
  <r>
    <x v="7"/>
    <x v="11"/>
    <x v="0"/>
    <x v="9"/>
    <x v="7"/>
    <x v="2"/>
    <x v="0"/>
    <x v="8"/>
    <x v="150"/>
    <x v="31"/>
  </r>
  <r>
    <x v="7"/>
    <x v="7"/>
    <x v="0"/>
    <x v="9"/>
    <x v="7"/>
    <x v="1"/>
    <x v="1"/>
    <x v="8"/>
    <x v="151"/>
    <x v="31"/>
  </r>
  <r>
    <x v="7"/>
    <x v="6"/>
    <x v="0"/>
    <x v="9"/>
    <x v="7"/>
    <x v="0"/>
    <x v="1"/>
    <x v="8"/>
    <x v="151"/>
    <x v="31"/>
  </r>
  <r>
    <x v="7"/>
    <x v="14"/>
    <x v="0"/>
    <x v="9"/>
    <x v="7"/>
    <x v="2"/>
    <x v="1"/>
    <x v="8"/>
    <x v="151"/>
    <x v="31"/>
  </r>
  <r>
    <x v="7"/>
    <x v="13"/>
    <x v="0"/>
    <x v="9"/>
    <x v="7"/>
    <x v="2"/>
    <x v="5"/>
    <x v="8"/>
    <x v="317"/>
    <x v="31"/>
  </r>
  <r>
    <x v="7"/>
    <x v="15"/>
    <x v="0"/>
    <x v="9"/>
    <x v="7"/>
    <x v="2"/>
    <x v="5"/>
    <x v="8"/>
    <x v="317"/>
    <x v="31"/>
  </r>
  <r>
    <x v="7"/>
    <x v="15"/>
    <x v="0"/>
    <x v="9"/>
    <x v="7"/>
    <x v="2"/>
    <x v="5"/>
    <x v="8"/>
    <x v="317"/>
    <x v="31"/>
  </r>
  <r>
    <x v="7"/>
    <x v="1"/>
    <x v="0"/>
    <x v="9"/>
    <x v="7"/>
    <x v="1"/>
    <x v="6"/>
    <x v="8"/>
    <x v="359"/>
    <x v="31"/>
  </r>
  <r>
    <x v="7"/>
    <x v="0"/>
    <x v="0"/>
    <x v="9"/>
    <x v="7"/>
    <x v="0"/>
    <x v="6"/>
    <x v="8"/>
    <x v="359"/>
    <x v="31"/>
  </r>
  <r>
    <x v="7"/>
    <x v="2"/>
    <x v="0"/>
    <x v="9"/>
    <x v="7"/>
    <x v="0"/>
    <x v="6"/>
    <x v="8"/>
    <x v="359"/>
    <x v="31"/>
  </r>
  <r>
    <x v="7"/>
    <x v="14"/>
    <x v="0"/>
    <x v="9"/>
    <x v="7"/>
    <x v="2"/>
    <x v="6"/>
    <x v="8"/>
    <x v="359"/>
    <x v="31"/>
  </r>
  <r>
    <x v="7"/>
    <x v="1"/>
    <x v="0"/>
    <x v="9"/>
    <x v="7"/>
    <x v="1"/>
    <x v="3"/>
    <x v="8"/>
    <x v="318"/>
    <x v="31"/>
  </r>
  <r>
    <x v="7"/>
    <x v="2"/>
    <x v="0"/>
    <x v="9"/>
    <x v="7"/>
    <x v="0"/>
    <x v="3"/>
    <x v="8"/>
    <x v="318"/>
    <x v="31"/>
  </r>
  <r>
    <x v="7"/>
    <x v="10"/>
    <x v="0"/>
    <x v="9"/>
    <x v="7"/>
    <x v="1"/>
    <x v="4"/>
    <x v="8"/>
    <x v="153"/>
    <x v="31"/>
  </r>
  <r>
    <x v="7"/>
    <x v="5"/>
    <x v="0"/>
    <x v="9"/>
    <x v="7"/>
    <x v="0"/>
    <x v="4"/>
    <x v="8"/>
    <x v="153"/>
    <x v="31"/>
  </r>
  <r>
    <x v="7"/>
    <x v="15"/>
    <x v="0"/>
    <x v="9"/>
    <x v="7"/>
    <x v="2"/>
    <x v="4"/>
    <x v="8"/>
    <x v="153"/>
    <x v="31"/>
  </r>
  <r>
    <x v="7"/>
    <x v="11"/>
    <x v="0"/>
    <x v="9"/>
    <x v="7"/>
    <x v="2"/>
    <x v="4"/>
    <x v="8"/>
    <x v="153"/>
    <x v="31"/>
  </r>
  <r>
    <x v="7"/>
    <x v="0"/>
    <x v="0"/>
    <x v="9"/>
    <x v="7"/>
    <x v="0"/>
    <x v="0"/>
    <x v="8"/>
    <x v="154"/>
    <x v="31"/>
  </r>
  <r>
    <x v="7"/>
    <x v="3"/>
    <x v="0"/>
    <x v="9"/>
    <x v="7"/>
    <x v="2"/>
    <x v="0"/>
    <x v="8"/>
    <x v="154"/>
    <x v="31"/>
  </r>
  <r>
    <x v="7"/>
    <x v="7"/>
    <x v="0"/>
    <x v="9"/>
    <x v="7"/>
    <x v="1"/>
    <x v="1"/>
    <x v="8"/>
    <x v="155"/>
    <x v="31"/>
  </r>
  <r>
    <x v="7"/>
    <x v="4"/>
    <x v="0"/>
    <x v="9"/>
    <x v="7"/>
    <x v="0"/>
    <x v="1"/>
    <x v="8"/>
    <x v="155"/>
    <x v="31"/>
  </r>
  <r>
    <x v="7"/>
    <x v="4"/>
    <x v="0"/>
    <x v="9"/>
    <x v="7"/>
    <x v="0"/>
    <x v="1"/>
    <x v="8"/>
    <x v="155"/>
    <x v="31"/>
  </r>
  <r>
    <x v="7"/>
    <x v="0"/>
    <x v="0"/>
    <x v="9"/>
    <x v="7"/>
    <x v="0"/>
    <x v="1"/>
    <x v="8"/>
    <x v="155"/>
    <x v="31"/>
  </r>
  <r>
    <x v="7"/>
    <x v="0"/>
    <x v="0"/>
    <x v="9"/>
    <x v="7"/>
    <x v="0"/>
    <x v="1"/>
    <x v="8"/>
    <x v="155"/>
    <x v="31"/>
  </r>
  <r>
    <x v="7"/>
    <x v="6"/>
    <x v="0"/>
    <x v="9"/>
    <x v="7"/>
    <x v="0"/>
    <x v="2"/>
    <x v="8"/>
    <x v="156"/>
    <x v="31"/>
  </r>
  <r>
    <x v="7"/>
    <x v="6"/>
    <x v="0"/>
    <x v="9"/>
    <x v="7"/>
    <x v="0"/>
    <x v="2"/>
    <x v="8"/>
    <x v="156"/>
    <x v="31"/>
  </r>
  <r>
    <x v="7"/>
    <x v="12"/>
    <x v="0"/>
    <x v="9"/>
    <x v="7"/>
    <x v="1"/>
    <x v="5"/>
    <x v="8"/>
    <x v="319"/>
    <x v="31"/>
  </r>
  <r>
    <x v="7"/>
    <x v="6"/>
    <x v="0"/>
    <x v="9"/>
    <x v="7"/>
    <x v="0"/>
    <x v="5"/>
    <x v="8"/>
    <x v="319"/>
    <x v="31"/>
  </r>
  <r>
    <x v="7"/>
    <x v="6"/>
    <x v="0"/>
    <x v="9"/>
    <x v="7"/>
    <x v="0"/>
    <x v="5"/>
    <x v="8"/>
    <x v="319"/>
    <x v="31"/>
  </r>
  <r>
    <x v="7"/>
    <x v="8"/>
    <x v="0"/>
    <x v="9"/>
    <x v="7"/>
    <x v="2"/>
    <x v="5"/>
    <x v="8"/>
    <x v="319"/>
    <x v="31"/>
  </r>
  <r>
    <x v="7"/>
    <x v="12"/>
    <x v="0"/>
    <x v="9"/>
    <x v="7"/>
    <x v="1"/>
    <x v="6"/>
    <x v="8"/>
    <x v="320"/>
    <x v="31"/>
  </r>
  <r>
    <x v="7"/>
    <x v="12"/>
    <x v="0"/>
    <x v="9"/>
    <x v="7"/>
    <x v="1"/>
    <x v="6"/>
    <x v="8"/>
    <x v="320"/>
    <x v="31"/>
  </r>
  <r>
    <x v="7"/>
    <x v="7"/>
    <x v="0"/>
    <x v="9"/>
    <x v="7"/>
    <x v="1"/>
    <x v="6"/>
    <x v="8"/>
    <x v="320"/>
    <x v="31"/>
  </r>
  <r>
    <x v="7"/>
    <x v="6"/>
    <x v="0"/>
    <x v="9"/>
    <x v="7"/>
    <x v="0"/>
    <x v="3"/>
    <x v="8"/>
    <x v="321"/>
    <x v="31"/>
  </r>
  <r>
    <x v="7"/>
    <x v="4"/>
    <x v="0"/>
    <x v="9"/>
    <x v="7"/>
    <x v="0"/>
    <x v="4"/>
    <x v="8"/>
    <x v="322"/>
    <x v="31"/>
  </r>
  <r>
    <x v="7"/>
    <x v="6"/>
    <x v="0"/>
    <x v="9"/>
    <x v="7"/>
    <x v="0"/>
    <x v="4"/>
    <x v="8"/>
    <x v="322"/>
    <x v="31"/>
  </r>
  <r>
    <x v="7"/>
    <x v="12"/>
    <x v="0"/>
    <x v="9"/>
    <x v="7"/>
    <x v="1"/>
    <x v="0"/>
    <x v="8"/>
    <x v="360"/>
    <x v="31"/>
  </r>
  <r>
    <x v="7"/>
    <x v="7"/>
    <x v="0"/>
    <x v="9"/>
    <x v="7"/>
    <x v="1"/>
    <x v="0"/>
    <x v="8"/>
    <x v="360"/>
    <x v="31"/>
  </r>
  <r>
    <x v="7"/>
    <x v="6"/>
    <x v="0"/>
    <x v="9"/>
    <x v="7"/>
    <x v="0"/>
    <x v="0"/>
    <x v="8"/>
    <x v="360"/>
    <x v="31"/>
  </r>
  <r>
    <x v="7"/>
    <x v="1"/>
    <x v="0"/>
    <x v="9"/>
    <x v="7"/>
    <x v="1"/>
    <x v="1"/>
    <x v="8"/>
    <x v="157"/>
    <x v="31"/>
  </r>
  <r>
    <x v="7"/>
    <x v="11"/>
    <x v="0"/>
    <x v="9"/>
    <x v="7"/>
    <x v="2"/>
    <x v="1"/>
    <x v="8"/>
    <x v="157"/>
    <x v="31"/>
  </r>
  <r>
    <x v="7"/>
    <x v="9"/>
    <x v="0"/>
    <x v="9"/>
    <x v="7"/>
    <x v="1"/>
    <x v="2"/>
    <x v="8"/>
    <x v="380"/>
    <x v="31"/>
  </r>
  <r>
    <x v="7"/>
    <x v="12"/>
    <x v="0"/>
    <x v="9"/>
    <x v="7"/>
    <x v="1"/>
    <x v="5"/>
    <x v="8"/>
    <x v="323"/>
    <x v="31"/>
  </r>
  <r>
    <x v="7"/>
    <x v="4"/>
    <x v="0"/>
    <x v="9"/>
    <x v="7"/>
    <x v="0"/>
    <x v="5"/>
    <x v="8"/>
    <x v="323"/>
    <x v="31"/>
  </r>
  <r>
    <x v="7"/>
    <x v="4"/>
    <x v="0"/>
    <x v="9"/>
    <x v="7"/>
    <x v="0"/>
    <x v="5"/>
    <x v="8"/>
    <x v="323"/>
    <x v="31"/>
  </r>
  <r>
    <x v="7"/>
    <x v="12"/>
    <x v="0"/>
    <x v="9"/>
    <x v="7"/>
    <x v="1"/>
    <x v="6"/>
    <x v="8"/>
    <x v="158"/>
    <x v="31"/>
  </r>
  <r>
    <x v="7"/>
    <x v="6"/>
    <x v="0"/>
    <x v="9"/>
    <x v="7"/>
    <x v="0"/>
    <x v="6"/>
    <x v="8"/>
    <x v="158"/>
    <x v="31"/>
  </r>
  <r>
    <x v="7"/>
    <x v="6"/>
    <x v="0"/>
    <x v="9"/>
    <x v="7"/>
    <x v="0"/>
    <x v="6"/>
    <x v="8"/>
    <x v="158"/>
    <x v="31"/>
  </r>
  <r>
    <x v="7"/>
    <x v="14"/>
    <x v="0"/>
    <x v="9"/>
    <x v="7"/>
    <x v="2"/>
    <x v="4"/>
    <x v="8"/>
    <x v="324"/>
    <x v="31"/>
  </r>
  <r>
    <x v="7"/>
    <x v="14"/>
    <x v="0"/>
    <x v="9"/>
    <x v="7"/>
    <x v="2"/>
    <x v="4"/>
    <x v="8"/>
    <x v="324"/>
    <x v="31"/>
  </r>
  <r>
    <x v="7"/>
    <x v="12"/>
    <x v="0"/>
    <x v="9"/>
    <x v="7"/>
    <x v="1"/>
    <x v="0"/>
    <x v="8"/>
    <x v="325"/>
    <x v="31"/>
  </r>
  <r>
    <x v="7"/>
    <x v="5"/>
    <x v="0"/>
    <x v="9"/>
    <x v="7"/>
    <x v="0"/>
    <x v="0"/>
    <x v="8"/>
    <x v="325"/>
    <x v="31"/>
  </r>
  <r>
    <x v="7"/>
    <x v="5"/>
    <x v="0"/>
    <x v="9"/>
    <x v="7"/>
    <x v="0"/>
    <x v="2"/>
    <x v="9"/>
    <x v="326"/>
    <x v="31"/>
  </r>
  <r>
    <x v="7"/>
    <x v="5"/>
    <x v="0"/>
    <x v="9"/>
    <x v="7"/>
    <x v="0"/>
    <x v="2"/>
    <x v="9"/>
    <x v="326"/>
    <x v="31"/>
  </r>
  <r>
    <x v="7"/>
    <x v="6"/>
    <x v="0"/>
    <x v="9"/>
    <x v="7"/>
    <x v="0"/>
    <x v="2"/>
    <x v="9"/>
    <x v="326"/>
    <x v="31"/>
  </r>
  <r>
    <x v="7"/>
    <x v="6"/>
    <x v="0"/>
    <x v="9"/>
    <x v="7"/>
    <x v="0"/>
    <x v="2"/>
    <x v="9"/>
    <x v="326"/>
    <x v="31"/>
  </r>
  <r>
    <x v="7"/>
    <x v="12"/>
    <x v="0"/>
    <x v="9"/>
    <x v="7"/>
    <x v="1"/>
    <x v="5"/>
    <x v="9"/>
    <x v="160"/>
    <x v="31"/>
  </r>
  <r>
    <x v="7"/>
    <x v="9"/>
    <x v="0"/>
    <x v="9"/>
    <x v="7"/>
    <x v="1"/>
    <x v="6"/>
    <x v="9"/>
    <x v="161"/>
    <x v="31"/>
  </r>
  <r>
    <x v="7"/>
    <x v="15"/>
    <x v="0"/>
    <x v="9"/>
    <x v="7"/>
    <x v="2"/>
    <x v="6"/>
    <x v="9"/>
    <x v="161"/>
    <x v="31"/>
  </r>
  <r>
    <x v="7"/>
    <x v="9"/>
    <x v="0"/>
    <x v="9"/>
    <x v="7"/>
    <x v="1"/>
    <x v="3"/>
    <x v="9"/>
    <x v="162"/>
    <x v="31"/>
  </r>
  <r>
    <x v="7"/>
    <x v="9"/>
    <x v="0"/>
    <x v="9"/>
    <x v="7"/>
    <x v="1"/>
    <x v="3"/>
    <x v="9"/>
    <x v="162"/>
    <x v="31"/>
  </r>
  <r>
    <x v="7"/>
    <x v="7"/>
    <x v="0"/>
    <x v="9"/>
    <x v="7"/>
    <x v="1"/>
    <x v="4"/>
    <x v="9"/>
    <x v="163"/>
    <x v="31"/>
  </r>
  <r>
    <x v="7"/>
    <x v="5"/>
    <x v="0"/>
    <x v="9"/>
    <x v="7"/>
    <x v="0"/>
    <x v="4"/>
    <x v="9"/>
    <x v="163"/>
    <x v="31"/>
  </r>
  <r>
    <x v="7"/>
    <x v="6"/>
    <x v="0"/>
    <x v="9"/>
    <x v="7"/>
    <x v="0"/>
    <x v="4"/>
    <x v="9"/>
    <x v="163"/>
    <x v="31"/>
  </r>
  <r>
    <x v="7"/>
    <x v="7"/>
    <x v="0"/>
    <x v="9"/>
    <x v="7"/>
    <x v="1"/>
    <x v="0"/>
    <x v="9"/>
    <x v="373"/>
    <x v="31"/>
  </r>
  <r>
    <x v="7"/>
    <x v="11"/>
    <x v="0"/>
    <x v="9"/>
    <x v="7"/>
    <x v="2"/>
    <x v="0"/>
    <x v="9"/>
    <x v="373"/>
    <x v="31"/>
  </r>
  <r>
    <x v="7"/>
    <x v="5"/>
    <x v="0"/>
    <x v="9"/>
    <x v="7"/>
    <x v="0"/>
    <x v="1"/>
    <x v="9"/>
    <x v="164"/>
    <x v="31"/>
  </r>
  <r>
    <x v="7"/>
    <x v="1"/>
    <x v="0"/>
    <x v="9"/>
    <x v="7"/>
    <x v="1"/>
    <x v="2"/>
    <x v="9"/>
    <x v="327"/>
    <x v="31"/>
  </r>
  <r>
    <x v="7"/>
    <x v="12"/>
    <x v="0"/>
    <x v="9"/>
    <x v="7"/>
    <x v="1"/>
    <x v="3"/>
    <x v="9"/>
    <x v="365"/>
    <x v="31"/>
  </r>
  <r>
    <x v="7"/>
    <x v="15"/>
    <x v="0"/>
    <x v="9"/>
    <x v="7"/>
    <x v="2"/>
    <x v="3"/>
    <x v="9"/>
    <x v="365"/>
    <x v="31"/>
  </r>
  <r>
    <x v="7"/>
    <x v="15"/>
    <x v="0"/>
    <x v="9"/>
    <x v="7"/>
    <x v="2"/>
    <x v="3"/>
    <x v="9"/>
    <x v="365"/>
    <x v="31"/>
  </r>
  <r>
    <x v="7"/>
    <x v="15"/>
    <x v="0"/>
    <x v="9"/>
    <x v="7"/>
    <x v="2"/>
    <x v="0"/>
    <x v="9"/>
    <x v="167"/>
    <x v="31"/>
  </r>
  <r>
    <x v="7"/>
    <x v="0"/>
    <x v="0"/>
    <x v="9"/>
    <x v="7"/>
    <x v="0"/>
    <x v="1"/>
    <x v="9"/>
    <x v="168"/>
    <x v="31"/>
  </r>
  <r>
    <x v="7"/>
    <x v="7"/>
    <x v="0"/>
    <x v="9"/>
    <x v="7"/>
    <x v="1"/>
    <x v="2"/>
    <x v="9"/>
    <x v="366"/>
    <x v="31"/>
  </r>
  <r>
    <x v="7"/>
    <x v="12"/>
    <x v="0"/>
    <x v="9"/>
    <x v="7"/>
    <x v="1"/>
    <x v="5"/>
    <x v="9"/>
    <x v="328"/>
    <x v="31"/>
  </r>
  <r>
    <x v="7"/>
    <x v="0"/>
    <x v="0"/>
    <x v="9"/>
    <x v="7"/>
    <x v="0"/>
    <x v="5"/>
    <x v="9"/>
    <x v="328"/>
    <x v="31"/>
  </r>
  <r>
    <x v="7"/>
    <x v="8"/>
    <x v="0"/>
    <x v="9"/>
    <x v="7"/>
    <x v="2"/>
    <x v="5"/>
    <x v="9"/>
    <x v="328"/>
    <x v="31"/>
  </r>
  <r>
    <x v="7"/>
    <x v="10"/>
    <x v="0"/>
    <x v="9"/>
    <x v="7"/>
    <x v="1"/>
    <x v="3"/>
    <x v="9"/>
    <x v="329"/>
    <x v="31"/>
  </r>
  <r>
    <x v="7"/>
    <x v="1"/>
    <x v="0"/>
    <x v="9"/>
    <x v="7"/>
    <x v="1"/>
    <x v="3"/>
    <x v="9"/>
    <x v="329"/>
    <x v="31"/>
  </r>
  <r>
    <x v="7"/>
    <x v="15"/>
    <x v="0"/>
    <x v="9"/>
    <x v="7"/>
    <x v="2"/>
    <x v="4"/>
    <x v="9"/>
    <x v="330"/>
    <x v="31"/>
  </r>
  <r>
    <x v="7"/>
    <x v="1"/>
    <x v="0"/>
    <x v="9"/>
    <x v="7"/>
    <x v="1"/>
    <x v="1"/>
    <x v="9"/>
    <x v="170"/>
    <x v="31"/>
  </r>
  <r>
    <x v="7"/>
    <x v="5"/>
    <x v="0"/>
    <x v="9"/>
    <x v="7"/>
    <x v="0"/>
    <x v="1"/>
    <x v="9"/>
    <x v="170"/>
    <x v="31"/>
  </r>
  <r>
    <x v="7"/>
    <x v="5"/>
    <x v="0"/>
    <x v="9"/>
    <x v="7"/>
    <x v="0"/>
    <x v="1"/>
    <x v="9"/>
    <x v="170"/>
    <x v="31"/>
  </r>
  <r>
    <x v="7"/>
    <x v="15"/>
    <x v="0"/>
    <x v="9"/>
    <x v="7"/>
    <x v="2"/>
    <x v="1"/>
    <x v="9"/>
    <x v="170"/>
    <x v="31"/>
  </r>
  <r>
    <x v="7"/>
    <x v="2"/>
    <x v="0"/>
    <x v="9"/>
    <x v="7"/>
    <x v="0"/>
    <x v="5"/>
    <x v="9"/>
    <x v="332"/>
    <x v="31"/>
  </r>
  <r>
    <x v="7"/>
    <x v="6"/>
    <x v="0"/>
    <x v="9"/>
    <x v="7"/>
    <x v="0"/>
    <x v="5"/>
    <x v="9"/>
    <x v="332"/>
    <x v="31"/>
  </r>
  <r>
    <x v="7"/>
    <x v="3"/>
    <x v="0"/>
    <x v="9"/>
    <x v="7"/>
    <x v="2"/>
    <x v="5"/>
    <x v="9"/>
    <x v="332"/>
    <x v="31"/>
  </r>
  <r>
    <x v="7"/>
    <x v="13"/>
    <x v="0"/>
    <x v="9"/>
    <x v="7"/>
    <x v="2"/>
    <x v="6"/>
    <x v="9"/>
    <x v="333"/>
    <x v="31"/>
  </r>
  <r>
    <x v="7"/>
    <x v="1"/>
    <x v="0"/>
    <x v="9"/>
    <x v="7"/>
    <x v="1"/>
    <x v="3"/>
    <x v="9"/>
    <x v="171"/>
    <x v="31"/>
  </r>
  <r>
    <x v="7"/>
    <x v="1"/>
    <x v="0"/>
    <x v="9"/>
    <x v="7"/>
    <x v="1"/>
    <x v="3"/>
    <x v="9"/>
    <x v="171"/>
    <x v="31"/>
  </r>
  <r>
    <x v="7"/>
    <x v="15"/>
    <x v="0"/>
    <x v="9"/>
    <x v="7"/>
    <x v="2"/>
    <x v="3"/>
    <x v="9"/>
    <x v="171"/>
    <x v="31"/>
  </r>
  <r>
    <x v="7"/>
    <x v="3"/>
    <x v="0"/>
    <x v="9"/>
    <x v="7"/>
    <x v="2"/>
    <x v="0"/>
    <x v="9"/>
    <x v="172"/>
    <x v="31"/>
  </r>
  <r>
    <x v="7"/>
    <x v="1"/>
    <x v="0"/>
    <x v="9"/>
    <x v="7"/>
    <x v="1"/>
    <x v="1"/>
    <x v="9"/>
    <x v="334"/>
    <x v="31"/>
  </r>
  <r>
    <x v="7"/>
    <x v="3"/>
    <x v="0"/>
    <x v="9"/>
    <x v="7"/>
    <x v="2"/>
    <x v="1"/>
    <x v="9"/>
    <x v="334"/>
    <x v="31"/>
  </r>
  <r>
    <x v="7"/>
    <x v="15"/>
    <x v="0"/>
    <x v="9"/>
    <x v="7"/>
    <x v="2"/>
    <x v="2"/>
    <x v="9"/>
    <x v="173"/>
    <x v="31"/>
  </r>
  <r>
    <x v="7"/>
    <x v="0"/>
    <x v="0"/>
    <x v="9"/>
    <x v="7"/>
    <x v="0"/>
    <x v="5"/>
    <x v="9"/>
    <x v="174"/>
    <x v="31"/>
  </r>
  <r>
    <x v="7"/>
    <x v="5"/>
    <x v="0"/>
    <x v="9"/>
    <x v="7"/>
    <x v="0"/>
    <x v="5"/>
    <x v="9"/>
    <x v="174"/>
    <x v="31"/>
  </r>
  <r>
    <x v="7"/>
    <x v="3"/>
    <x v="0"/>
    <x v="9"/>
    <x v="7"/>
    <x v="2"/>
    <x v="6"/>
    <x v="9"/>
    <x v="175"/>
    <x v="31"/>
  </r>
  <r>
    <x v="7"/>
    <x v="13"/>
    <x v="0"/>
    <x v="9"/>
    <x v="7"/>
    <x v="2"/>
    <x v="6"/>
    <x v="9"/>
    <x v="175"/>
    <x v="31"/>
  </r>
  <r>
    <x v="7"/>
    <x v="11"/>
    <x v="0"/>
    <x v="9"/>
    <x v="7"/>
    <x v="2"/>
    <x v="0"/>
    <x v="10"/>
    <x v="177"/>
    <x v="31"/>
  </r>
  <r>
    <x v="7"/>
    <x v="11"/>
    <x v="0"/>
    <x v="9"/>
    <x v="7"/>
    <x v="2"/>
    <x v="1"/>
    <x v="10"/>
    <x v="178"/>
    <x v="31"/>
  </r>
  <r>
    <x v="7"/>
    <x v="1"/>
    <x v="0"/>
    <x v="9"/>
    <x v="7"/>
    <x v="1"/>
    <x v="2"/>
    <x v="10"/>
    <x v="335"/>
    <x v="31"/>
  </r>
  <r>
    <x v="7"/>
    <x v="10"/>
    <x v="0"/>
    <x v="9"/>
    <x v="7"/>
    <x v="1"/>
    <x v="3"/>
    <x v="10"/>
    <x v="336"/>
    <x v="31"/>
  </r>
  <r>
    <x v="7"/>
    <x v="9"/>
    <x v="0"/>
    <x v="9"/>
    <x v="7"/>
    <x v="1"/>
    <x v="4"/>
    <x v="10"/>
    <x v="180"/>
    <x v="31"/>
  </r>
  <r>
    <x v="7"/>
    <x v="5"/>
    <x v="0"/>
    <x v="9"/>
    <x v="7"/>
    <x v="0"/>
    <x v="4"/>
    <x v="10"/>
    <x v="180"/>
    <x v="31"/>
  </r>
  <r>
    <x v="7"/>
    <x v="11"/>
    <x v="0"/>
    <x v="9"/>
    <x v="7"/>
    <x v="2"/>
    <x v="4"/>
    <x v="10"/>
    <x v="180"/>
    <x v="31"/>
  </r>
  <r>
    <x v="7"/>
    <x v="7"/>
    <x v="0"/>
    <x v="9"/>
    <x v="7"/>
    <x v="1"/>
    <x v="1"/>
    <x v="10"/>
    <x v="181"/>
    <x v="31"/>
  </r>
  <r>
    <x v="7"/>
    <x v="7"/>
    <x v="0"/>
    <x v="9"/>
    <x v="7"/>
    <x v="1"/>
    <x v="1"/>
    <x v="10"/>
    <x v="181"/>
    <x v="31"/>
  </r>
  <r>
    <x v="7"/>
    <x v="4"/>
    <x v="0"/>
    <x v="9"/>
    <x v="7"/>
    <x v="0"/>
    <x v="1"/>
    <x v="10"/>
    <x v="181"/>
    <x v="31"/>
  </r>
  <r>
    <x v="7"/>
    <x v="4"/>
    <x v="0"/>
    <x v="9"/>
    <x v="7"/>
    <x v="0"/>
    <x v="1"/>
    <x v="10"/>
    <x v="181"/>
    <x v="31"/>
  </r>
  <r>
    <x v="7"/>
    <x v="2"/>
    <x v="0"/>
    <x v="9"/>
    <x v="7"/>
    <x v="0"/>
    <x v="1"/>
    <x v="10"/>
    <x v="181"/>
    <x v="31"/>
  </r>
  <r>
    <x v="7"/>
    <x v="3"/>
    <x v="0"/>
    <x v="9"/>
    <x v="7"/>
    <x v="2"/>
    <x v="1"/>
    <x v="10"/>
    <x v="181"/>
    <x v="31"/>
  </r>
  <r>
    <x v="7"/>
    <x v="0"/>
    <x v="0"/>
    <x v="9"/>
    <x v="7"/>
    <x v="0"/>
    <x v="5"/>
    <x v="10"/>
    <x v="338"/>
    <x v="31"/>
  </r>
  <r>
    <x v="7"/>
    <x v="2"/>
    <x v="0"/>
    <x v="9"/>
    <x v="7"/>
    <x v="0"/>
    <x v="5"/>
    <x v="10"/>
    <x v="338"/>
    <x v="31"/>
  </r>
  <r>
    <x v="7"/>
    <x v="6"/>
    <x v="0"/>
    <x v="9"/>
    <x v="7"/>
    <x v="0"/>
    <x v="5"/>
    <x v="10"/>
    <x v="338"/>
    <x v="31"/>
  </r>
  <r>
    <x v="7"/>
    <x v="12"/>
    <x v="0"/>
    <x v="9"/>
    <x v="7"/>
    <x v="1"/>
    <x v="6"/>
    <x v="10"/>
    <x v="339"/>
    <x v="31"/>
  </r>
  <r>
    <x v="7"/>
    <x v="4"/>
    <x v="0"/>
    <x v="9"/>
    <x v="7"/>
    <x v="0"/>
    <x v="6"/>
    <x v="10"/>
    <x v="339"/>
    <x v="31"/>
  </r>
  <r>
    <x v="7"/>
    <x v="15"/>
    <x v="0"/>
    <x v="9"/>
    <x v="7"/>
    <x v="2"/>
    <x v="6"/>
    <x v="10"/>
    <x v="339"/>
    <x v="31"/>
  </r>
  <r>
    <x v="7"/>
    <x v="5"/>
    <x v="0"/>
    <x v="9"/>
    <x v="7"/>
    <x v="0"/>
    <x v="3"/>
    <x v="10"/>
    <x v="183"/>
    <x v="31"/>
  </r>
  <r>
    <x v="7"/>
    <x v="5"/>
    <x v="0"/>
    <x v="9"/>
    <x v="7"/>
    <x v="0"/>
    <x v="3"/>
    <x v="10"/>
    <x v="183"/>
    <x v="31"/>
  </r>
  <r>
    <x v="7"/>
    <x v="6"/>
    <x v="0"/>
    <x v="9"/>
    <x v="7"/>
    <x v="0"/>
    <x v="3"/>
    <x v="10"/>
    <x v="183"/>
    <x v="31"/>
  </r>
  <r>
    <x v="7"/>
    <x v="8"/>
    <x v="0"/>
    <x v="9"/>
    <x v="7"/>
    <x v="2"/>
    <x v="3"/>
    <x v="10"/>
    <x v="183"/>
    <x v="31"/>
  </r>
  <r>
    <x v="7"/>
    <x v="13"/>
    <x v="0"/>
    <x v="9"/>
    <x v="7"/>
    <x v="2"/>
    <x v="3"/>
    <x v="10"/>
    <x v="183"/>
    <x v="31"/>
  </r>
  <r>
    <x v="7"/>
    <x v="10"/>
    <x v="0"/>
    <x v="9"/>
    <x v="7"/>
    <x v="1"/>
    <x v="4"/>
    <x v="10"/>
    <x v="340"/>
    <x v="31"/>
  </r>
  <r>
    <x v="7"/>
    <x v="5"/>
    <x v="0"/>
    <x v="9"/>
    <x v="7"/>
    <x v="0"/>
    <x v="4"/>
    <x v="10"/>
    <x v="340"/>
    <x v="31"/>
  </r>
  <r>
    <x v="7"/>
    <x v="6"/>
    <x v="0"/>
    <x v="9"/>
    <x v="7"/>
    <x v="0"/>
    <x v="4"/>
    <x v="10"/>
    <x v="340"/>
    <x v="31"/>
  </r>
  <r>
    <x v="7"/>
    <x v="9"/>
    <x v="0"/>
    <x v="9"/>
    <x v="7"/>
    <x v="1"/>
    <x v="0"/>
    <x v="10"/>
    <x v="341"/>
    <x v="31"/>
  </r>
  <r>
    <x v="7"/>
    <x v="6"/>
    <x v="0"/>
    <x v="9"/>
    <x v="7"/>
    <x v="0"/>
    <x v="1"/>
    <x v="10"/>
    <x v="342"/>
    <x v="31"/>
  </r>
  <r>
    <x v="7"/>
    <x v="15"/>
    <x v="0"/>
    <x v="9"/>
    <x v="7"/>
    <x v="2"/>
    <x v="5"/>
    <x v="10"/>
    <x v="184"/>
    <x v="31"/>
  </r>
  <r>
    <x v="7"/>
    <x v="8"/>
    <x v="0"/>
    <x v="9"/>
    <x v="7"/>
    <x v="2"/>
    <x v="6"/>
    <x v="10"/>
    <x v="185"/>
    <x v="31"/>
  </r>
  <r>
    <x v="7"/>
    <x v="8"/>
    <x v="0"/>
    <x v="9"/>
    <x v="7"/>
    <x v="2"/>
    <x v="6"/>
    <x v="10"/>
    <x v="185"/>
    <x v="31"/>
  </r>
  <r>
    <x v="7"/>
    <x v="13"/>
    <x v="0"/>
    <x v="9"/>
    <x v="7"/>
    <x v="2"/>
    <x v="3"/>
    <x v="10"/>
    <x v="343"/>
    <x v="31"/>
  </r>
  <r>
    <x v="7"/>
    <x v="11"/>
    <x v="0"/>
    <x v="9"/>
    <x v="7"/>
    <x v="2"/>
    <x v="0"/>
    <x v="10"/>
    <x v="186"/>
    <x v="31"/>
  </r>
  <r>
    <x v="7"/>
    <x v="8"/>
    <x v="0"/>
    <x v="9"/>
    <x v="7"/>
    <x v="2"/>
    <x v="5"/>
    <x v="10"/>
    <x v="189"/>
    <x v="31"/>
  </r>
  <r>
    <x v="7"/>
    <x v="13"/>
    <x v="0"/>
    <x v="9"/>
    <x v="7"/>
    <x v="2"/>
    <x v="5"/>
    <x v="10"/>
    <x v="189"/>
    <x v="31"/>
  </r>
  <r>
    <x v="7"/>
    <x v="13"/>
    <x v="0"/>
    <x v="9"/>
    <x v="7"/>
    <x v="2"/>
    <x v="5"/>
    <x v="10"/>
    <x v="189"/>
    <x v="31"/>
  </r>
  <r>
    <x v="7"/>
    <x v="9"/>
    <x v="0"/>
    <x v="9"/>
    <x v="7"/>
    <x v="1"/>
    <x v="6"/>
    <x v="10"/>
    <x v="190"/>
    <x v="31"/>
  </r>
  <r>
    <x v="7"/>
    <x v="14"/>
    <x v="0"/>
    <x v="9"/>
    <x v="7"/>
    <x v="2"/>
    <x v="6"/>
    <x v="10"/>
    <x v="190"/>
    <x v="31"/>
  </r>
  <r>
    <x v="7"/>
    <x v="4"/>
    <x v="0"/>
    <x v="9"/>
    <x v="7"/>
    <x v="0"/>
    <x v="0"/>
    <x v="10"/>
    <x v="193"/>
    <x v="31"/>
  </r>
  <r>
    <x v="7"/>
    <x v="4"/>
    <x v="0"/>
    <x v="9"/>
    <x v="7"/>
    <x v="0"/>
    <x v="0"/>
    <x v="10"/>
    <x v="193"/>
    <x v="31"/>
  </r>
  <r>
    <x v="7"/>
    <x v="5"/>
    <x v="0"/>
    <x v="9"/>
    <x v="7"/>
    <x v="0"/>
    <x v="1"/>
    <x v="11"/>
    <x v="344"/>
    <x v="31"/>
  </r>
  <r>
    <x v="7"/>
    <x v="4"/>
    <x v="0"/>
    <x v="9"/>
    <x v="7"/>
    <x v="0"/>
    <x v="2"/>
    <x v="11"/>
    <x v="345"/>
    <x v="31"/>
  </r>
  <r>
    <x v="7"/>
    <x v="4"/>
    <x v="0"/>
    <x v="9"/>
    <x v="7"/>
    <x v="0"/>
    <x v="2"/>
    <x v="11"/>
    <x v="345"/>
    <x v="31"/>
  </r>
  <r>
    <x v="7"/>
    <x v="6"/>
    <x v="0"/>
    <x v="9"/>
    <x v="7"/>
    <x v="0"/>
    <x v="2"/>
    <x v="11"/>
    <x v="345"/>
    <x v="31"/>
  </r>
  <r>
    <x v="7"/>
    <x v="6"/>
    <x v="0"/>
    <x v="9"/>
    <x v="7"/>
    <x v="0"/>
    <x v="2"/>
    <x v="11"/>
    <x v="345"/>
    <x v="31"/>
  </r>
  <r>
    <x v="7"/>
    <x v="2"/>
    <x v="0"/>
    <x v="9"/>
    <x v="7"/>
    <x v="0"/>
    <x v="5"/>
    <x v="11"/>
    <x v="194"/>
    <x v="31"/>
  </r>
  <r>
    <x v="7"/>
    <x v="2"/>
    <x v="0"/>
    <x v="9"/>
    <x v="7"/>
    <x v="0"/>
    <x v="5"/>
    <x v="11"/>
    <x v="194"/>
    <x v="31"/>
  </r>
  <r>
    <x v="7"/>
    <x v="5"/>
    <x v="0"/>
    <x v="9"/>
    <x v="7"/>
    <x v="0"/>
    <x v="5"/>
    <x v="11"/>
    <x v="194"/>
    <x v="31"/>
  </r>
  <r>
    <x v="7"/>
    <x v="3"/>
    <x v="0"/>
    <x v="9"/>
    <x v="7"/>
    <x v="2"/>
    <x v="5"/>
    <x v="11"/>
    <x v="194"/>
    <x v="31"/>
  </r>
  <r>
    <x v="7"/>
    <x v="6"/>
    <x v="0"/>
    <x v="9"/>
    <x v="7"/>
    <x v="0"/>
    <x v="3"/>
    <x v="11"/>
    <x v="196"/>
    <x v="31"/>
  </r>
  <r>
    <x v="7"/>
    <x v="6"/>
    <x v="0"/>
    <x v="9"/>
    <x v="7"/>
    <x v="0"/>
    <x v="3"/>
    <x v="11"/>
    <x v="196"/>
    <x v="31"/>
  </r>
  <r>
    <x v="7"/>
    <x v="14"/>
    <x v="0"/>
    <x v="9"/>
    <x v="7"/>
    <x v="2"/>
    <x v="4"/>
    <x v="11"/>
    <x v="197"/>
    <x v="31"/>
  </r>
  <r>
    <x v="7"/>
    <x v="6"/>
    <x v="0"/>
    <x v="9"/>
    <x v="7"/>
    <x v="0"/>
    <x v="0"/>
    <x v="11"/>
    <x v="198"/>
    <x v="31"/>
  </r>
  <r>
    <x v="7"/>
    <x v="6"/>
    <x v="0"/>
    <x v="9"/>
    <x v="7"/>
    <x v="0"/>
    <x v="0"/>
    <x v="11"/>
    <x v="198"/>
    <x v="31"/>
  </r>
  <r>
    <x v="7"/>
    <x v="4"/>
    <x v="0"/>
    <x v="9"/>
    <x v="7"/>
    <x v="0"/>
    <x v="2"/>
    <x v="11"/>
    <x v="200"/>
    <x v="31"/>
  </r>
  <r>
    <x v="7"/>
    <x v="5"/>
    <x v="0"/>
    <x v="9"/>
    <x v="7"/>
    <x v="0"/>
    <x v="2"/>
    <x v="11"/>
    <x v="200"/>
    <x v="31"/>
  </r>
  <r>
    <x v="7"/>
    <x v="2"/>
    <x v="0"/>
    <x v="9"/>
    <x v="7"/>
    <x v="0"/>
    <x v="5"/>
    <x v="11"/>
    <x v="201"/>
    <x v="31"/>
  </r>
  <r>
    <x v="7"/>
    <x v="5"/>
    <x v="0"/>
    <x v="9"/>
    <x v="7"/>
    <x v="0"/>
    <x v="5"/>
    <x v="11"/>
    <x v="201"/>
    <x v="31"/>
  </r>
  <r>
    <x v="7"/>
    <x v="13"/>
    <x v="0"/>
    <x v="9"/>
    <x v="7"/>
    <x v="2"/>
    <x v="5"/>
    <x v="11"/>
    <x v="201"/>
    <x v="31"/>
  </r>
  <r>
    <x v="7"/>
    <x v="13"/>
    <x v="0"/>
    <x v="9"/>
    <x v="7"/>
    <x v="2"/>
    <x v="5"/>
    <x v="11"/>
    <x v="201"/>
    <x v="31"/>
  </r>
  <r>
    <x v="7"/>
    <x v="3"/>
    <x v="0"/>
    <x v="9"/>
    <x v="7"/>
    <x v="2"/>
    <x v="6"/>
    <x v="11"/>
    <x v="202"/>
    <x v="31"/>
  </r>
  <r>
    <x v="7"/>
    <x v="13"/>
    <x v="0"/>
    <x v="9"/>
    <x v="7"/>
    <x v="2"/>
    <x v="6"/>
    <x v="11"/>
    <x v="202"/>
    <x v="31"/>
  </r>
  <r>
    <x v="7"/>
    <x v="5"/>
    <x v="0"/>
    <x v="9"/>
    <x v="7"/>
    <x v="0"/>
    <x v="3"/>
    <x v="11"/>
    <x v="203"/>
    <x v="31"/>
  </r>
  <r>
    <x v="7"/>
    <x v="14"/>
    <x v="0"/>
    <x v="9"/>
    <x v="7"/>
    <x v="2"/>
    <x v="3"/>
    <x v="11"/>
    <x v="203"/>
    <x v="31"/>
  </r>
  <r>
    <x v="7"/>
    <x v="8"/>
    <x v="0"/>
    <x v="9"/>
    <x v="7"/>
    <x v="2"/>
    <x v="4"/>
    <x v="11"/>
    <x v="204"/>
    <x v="31"/>
  </r>
  <r>
    <x v="7"/>
    <x v="13"/>
    <x v="0"/>
    <x v="9"/>
    <x v="7"/>
    <x v="2"/>
    <x v="4"/>
    <x v="11"/>
    <x v="204"/>
    <x v="31"/>
  </r>
  <r>
    <x v="7"/>
    <x v="5"/>
    <x v="0"/>
    <x v="9"/>
    <x v="7"/>
    <x v="0"/>
    <x v="0"/>
    <x v="11"/>
    <x v="205"/>
    <x v="31"/>
  </r>
  <r>
    <x v="7"/>
    <x v="2"/>
    <x v="0"/>
    <x v="9"/>
    <x v="7"/>
    <x v="0"/>
    <x v="2"/>
    <x v="11"/>
    <x v="207"/>
    <x v="31"/>
  </r>
  <r>
    <x v="7"/>
    <x v="2"/>
    <x v="0"/>
    <x v="9"/>
    <x v="7"/>
    <x v="0"/>
    <x v="5"/>
    <x v="11"/>
    <x v="208"/>
    <x v="31"/>
  </r>
  <r>
    <x v="7"/>
    <x v="5"/>
    <x v="0"/>
    <x v="9"/>
    <x v="7"/>
    <x v="0"/>
    <x v="5"/>
    <x v="11"/>
    <x v="208"/>
    <x v="31"/>
  </r>
  <r>
    <x v="7"/>
    <x v="14"/>
    <x v="0"/>
    <x v="9"/>
    <x v="7"/>
    <x v="2"/>
    <x v="5"/>
    <x v="11"/>
    <x v="208"/>
    <x v="31"/>
  </r>
  <r>
    <x v="7"/>
    <x v="13"/>
    <x v="0"/>
    <x v="9"/>
    <x v="7"/>
    <x v="2"/>
    <x v="3"/>
    <x v="11"/>
    <x v="210"/>
    <x v="31"/>
  </r>
  <r>
    <x v="7"/>
    <x v="13"/>
    <x v="0"/>
    <x v="9"/>
    <x v="7"/>
    <x v="2"/>
    <x v="3"/>
    <x v="11"/>
    <x v="210"/>
    <x v="31"/>
  </r>
  <r>
    <x v="7"/>
    <x v="2"/>
    <x v="0"/>
    <x v="9"/>
    <x v="7"/>
    <x v="0"/>
    <x v="4"/>
    <x v="11"/>
    <x v="211"/>
    <x v="31"/>
  </r>
  <r>
    <x v="7"/>
    <x v="14"/>
    <x v="0"/>
    <x v="9"/>
    <x v="7"/>
    <x v="2"/>
    <x v="4"/>
    <x v="11"/>
    <x v="211"/>
    <x v="31"/>
  </r>
  <r>
    <x v="7"/>
    <x v="10"/>
    <x v="0"/>
    <x v="9"/>
    <x v="7"/>
    <x v="1"/>
    <x v="0"/>
    <x v="11"/>
    <x v="212"/>
    <x v="31"/>
  </r>
  <r>
    <x v="7"/>
    <x v="6"/>
    <x v="0"/>
    <x v="9"/>
    <x v="7"/>
    <x v="0"/>
    <x v="0"/>
    <x v="11"/>
    <x v="212"/>
    <x v="31"/>
  </r>
  <r>
    <x v="7"/>
    <x v="6"/>
    <x v="0"/>
    <x v="9"/>
    <x v="7"/>
    <x v="0"/>
    <x v="0"/>
    <x v="11"/>
    <x v="212"/>
    <x v="31"/>
  </r>
  <r>
    <x v="7"/>
    <x v="10"/>
    <x v="0"/>
    <x v="9"/>
    <x v="7"/>
    <x v="1"/>
    <x v="5"/>
    <x v="11"/>
    <x v="215"/>
    <x v="31"/>
  </r>
  <r>
    <x v="7"/>
    <x v="4"/>
    <x v="0"/>
    <x v="9"/>
    <x v="7"/>
    <x v="0"/>
    <x v="5"/>
    <x v="11"/>
    <x v="215"/>
    <x v="31"/>
  </r>
  <r>
    <x v="7"/>
    <x v="6"/>
    <x v="0"/>
    <x v="9"/>
    <x v="7"/>
    <x v="0"/>
    <x v="5"/>
    <x v="11"/>
    <x v="215"/>
    <x v="31"/>
  </r>
  <r>
    <x v="7"/>
    <x v="8"/>
    <x v="0"/>
    <x v="9"/>
    <x v="7"/>
    <x v="2"/>
    <x v="5"/>
    <x v="11"/>
    <x v="215"/>
    <x v="31"/>
  </r>
  <r>
    <x v="7"/>
    <x v="13"/>
    <x v="0"/>
    <x v="9"/>
    <x v="7"/>
    <x v="2"/>
    <x v="5"/>
    <x v="11"/>
    <x v="215"/>
    <x v="31"/>
  </r>
  <r>
    <x v="7"/>
    <x v="0"/>
    <x v="0"/>
    <x v="9"/>
    <x v="7"/>
    <x v="0"/>
    <x v="3"/>
    <x v="11"/>
    <x v="217"/>
    <x v="31"/>
  </r>
  <r>
    <x v="7"/>
    <x v="6"/>
    <x v="0"/>
    <x v="9"/>
    <x v="7"/>
    <x v="0"/>
    <x v="3"/>
    <x v="11"/>
    <x v="217"/>
    <x v="31"/>
  </r>
  <r>
    <x v="7"/>
    <x v="6"/>
    <x v="0"/>
    <x v="9"/>
    <x v="7"/>
    <x v="0"/>
    <x v="3"/>
    <x v="11"/>
    <x v="217"/>
    <x v="31"/>
  </r>
  <r>
    <x v="7"/>
    <x v="8"/>
    <x v="0"/>
    <x v="9"/>
    <x v="7"/>
    <x v="2"/>
    <x v="3"/>
    <x v="11"/>
    <x v="217"/>
    <x v="31"/>
  </r>
  <r>
    <x v="7"/>
    <x v="2"/>
    <x v="0"/>
    <x v="9"/>
    <x v="7"/>
    <x v="0"/>
    <x v="4"/>
    <x v="11"/>
    <x v="218"/>
    <x v="31"/>
  </r>
  <r>
    <x v="7"/>
    <x v="3"/>
    <x v="0"/>
    <x v="9"/>
    <x v="7"/>
    <x v="2"/>
    <x v="4"/>
    <x v="11"/>
    <x v="218"/>
    <x v="31"/>
  </r>
  <r>
    <x v="7"/>
    <x v="8"/>
    <x v="0"/>
    <x v="9"/>
    <x v="7"/>
    <x v="2"/>
    <x v="4"/>
    <x v="11"/>
    <x v="218"/>
    <x v="31"/>
  </r>
  <r>
    <x v="7"/>
    <x v="13"/>
    <x v="0"/>
    <x v="9"/>
    <x v="7"/>
    <x v="2"/>
    <x v="4"/>
    <x v="11"/>
    <x v="218"/>
    <x v="31"/>
  </r>
  <r>
    <x v="7"/>
    <x v="2"/>
    <x v="0"/>
    <x v="9"/>
    <x v="7"/>
    <x v="0"/>
    <x v="0"/>
    <x v="11"/>
    <x v="219"/>
    <x v="31"/>
  </r>
  <r>
    <x v="7"/>
    <x v="3"/>
    <x v="0"/>
    <x v="9"/>
    <x v="7"/>
    <x v="2"/>
    <x v="0"/>
    <x v="11"/>
    <x v="219"/>
    <x v="31"/>
  </r>
  <r>
    <x v="7"/>
    <x v="8"/>
    <x v="0"/>
    <x v="9"/>
    <x v="7"/>
    <x v="2"/>
    <x v="0"/>
    <x v="11"/>
    <x v="219"/>
    <x v="31"/>
  </r>
  <r>
    <x v="7"/>
    <x v="2"/>
    <x v="0"/>
    <x v="9"/>
    <x v="7"/>
    <x v="0"/>
    <x v="1"/>
    <x v="0"/>
    <x v="220"/>
    <x v="31"/>
  </r>
  <r>
    <x v="7"/>
    <x v="4"/>
    <x v="0"/>
    <x v="9"/>
    <x v="7"/>
    <x v="0"/>
    <x v="2"/>
    <x v="0"/>
    <x v="221"/>
    <x v="31"/>
  </r>
  <r>
    <x v="7"/>
    <x v="10"/>
    <x v="0"/>
    <x v="9"/>
    <x v="7"/>
    <x v="1"/>
    <x v="5"/>
    <x v="0"/>
    <x v="222"/>
    <x v="31"/>
  </r>
  <r>
    <x v="7"/>
    <x v="5"/>
    <x v="0"/>
    <x v="9"/>
    <x v="7"/>
    <x v="0"/>
    <x v="5"/>
    <x v="0"/>
    <x v="222"/>
    <x v="31"/>
  </r>
  <r>
    <x v="7"/>
    <x v="6"/>
    <x v="0"/>
    <x v="9"/>
    <x v="7"/>
    <x v="0"/>
    <x v="5"/>
    <x v="0"/>
    <x v="222"/>
    <x v="31"/>
  </r>
  <r>
    <x v="7"/>
    <x v="6"/>
    <x v="0"/>
    <x v="9"/>
    <x v="7"/>
    <x v="0"/>
    <x v="5"/>
    <x v="0"/>
    <x v="222"/>
    <x v="31"/>
  </r>
  <r>
    <x v="7"/>
    <x v="8"/>
    <x v="0"/>
    <x v="9"/>
    <x v="7"/>
    <x v="2"/>
    <x v="5"/>
    <x v="0"/>
    <x v="222"/>
    <x v="31"/>
  </r>
  <r>
    <x v="7"/>
    <x v="13"/>
    <x v="0"/>
    <x v="9"/>
    <x v="7"/>
    <x v="2"/>
    <x v="6"/>
    <x v="0"/>
    <x v="223"/>
    <x v="31"/>
  </r>
  <r>
    <x v="7"/>
    <x v="14"/>
    <x v="0"/>
    <x v="9"/>
    <x v="7"/>
    <x v="2"/>
    <x v="6"/>
    <x v="0"/>
    <x v="223"/>
    <x v="31"/>
  </r>
  <r>
    <x v="7"/>
    <x v="5"/>
    <x v="0"/>
    <x v="9"/>
    <x v="7"/>
    <x v="0"/>
    <x v="3"/>
    <x v="0"/>
    <x v="224"/>
    <x v="31"/>
  </r>
  <r>
    <x v="7"/>
    <x v="5"/>
    <x v="0"/>
    <x v="9"/>
    <x v="7"/>
    <x v="0"/>
    <x v="3"/>
    <x v="0"/>
    <x v="224"/>
    <x v="31"/>
  </r>
  <r>
    <x v="7"/>
    <x v="3"/>
    <x v="0"/>
    <x v="9"/>
    <x v="7"/>
    <x v="2"/>
    <x v="3"/>
    <x v="0"/>
    <x v="224"/>
    <x v="31"/>
  </r>
  <r>
    <x v="7"/>
    <x v="0"/>
    <x v="0"/>
    <x v="9"/>
    <x v="7"/>
    <x v="0"/>
    <x v="4"/>
    <x v="0"/>
    <x v="225"/>
    <x v="31"/>
  </r>
  <r>
    <x v="7"/>
    <x v="5"/>
    <x v="0"/>
    <x v="9"/>
    <x v="7"/>
    <x v="0"/>
    <x v="0"/>
    <x v="0"/>
    <x v="226"/>
    <x v="31"/>
  </r>
  <r>
    <x v="7"/>
    <x v="5"/>
    <x v="0"/>
    <x v="9"/>
    <x v="7"/>
    <x v="0"/>
    <x v="0"/>
    <x v="0"/>
    <x v="226"/>
    <x v="31"/>
  </r>
  <r>
    <x v="7"/>
    <x v="3"/>
    <x v="0"/>
    <x v="9"/>
    <x v="7"/>
    <x v="2"/>
    <x v="0"/>
    <x v="0"/>
    <x v="226"/>
    <x v="31"/>
  </r>
  <r>
    <x v="7"/>
    <x v="9"/>
    <x v="0"/>
    <x v="9"/>
    <x v="7"/>
    <x v="1"/>
    <x v="5"/>
    <x v="0"/>
    <x v="229"/>
    <x v="31"/>
  </r>
  <r>
    <x v="7"/>
    <x v="6"/>
    <x v="0"/>
    <x v="9"/>
    <x v="7"/>
    <x v="0"/>
    <x v="5"/>
    <x v="0"/>
    <x v="229"/>
    <x v="31"/>
  </r>
  <r>
    <x v="7"/>
    <x v="6"/>
    <x v="0"/>
    <x v="9"/>
    <x v="7"/>
    <x v="0"/>
    <x v="5"/>
    <x v="0"/>
    <x v="229"/>
    <x v="31"/>
  </r>
  <r>
    <x v="7"/>
    <x v="8"/>
    <x v="0"/>
    <x v="9"/>
    <x v="7"/>
    <x v="2"/>
    <x v="5"/>
    <x v="0"/>
    <x v="229"/>
    <x v="31"/>
  </r>
  <r>
    <x v="7"/>
    <x v="8"/>
    <x v="0"/>
    <x v="9"/>
    <x v="7"/>
    <x v="2"/>
    <x v="5"/>
    <x v="0"/>
    <x v="229"/>
    <x v="31"/>
  </r>
  <r>
    <x v="7"/>
    <x v="10"/>
    <x v="0"/>
    <x v="9"/>
    <x v="7"/>
    <x v="1"/>
    <x v="6"/>
    <x v="0"/>
    <x v="230"/>
    <x v="31"/>
  </r>
  <r>
    <x v="7"/>
    <x v="13"/>
    <x v="0"/>
    <x v="9"/>
    <x v="7"/>
    <x v="2"/>
    <x v="6"/>
    <x v="0"/>
    <x v="230"/>
    <x v="31"/>
  </r>
  <r>
    <x v="7"/>
    <x v="0"/>
    <x v="0"/>
    <x v="9"/>
    <x v="7"/>
    <x v="0"/>
    <x v="3"/>
    <x v="0"/>
    <x v="231"/>
    <x v="31"/>
  </r>
  <r>
    <x v="7"/>
    <x v="0"/>
    <x v="0"/>
    <x v="9"/>
    <x v="7"/>
    <x v="0"/>
    <x v="3"/>
    <x v="0"/>
    <x v="231"/>
    <x v="31"/>
  </r>
  <r>
    <x v="7"/>
    <x v="6"/>
    <x v="0"/>
    <x v="9"/>
    <x v="7"/>
    <x v="0"/>
    <x v="3"/>
    <x v="0"/>
    <x v="231"/>
    <x v="31"/>
  </r>
  <r>
    <x v="7"/>
    <x v="6"/>
    <x v="0"/>
    <x v="9"/>
    <x v="7"/>
    <x v="0"/>
    <x v="3"/>
    <x v="0"/>
    <x v="231"/>
    <x v="31"/>
  </r>
  <r>
    <x v="7"/>
    <x v="10"/>
    <x v="0"/>
    <x v="9"/>
    <x v="7"/>
    <x v="1"/>
    <x v="4"/>
    <x v="0"/>
    <x v="232"/>
    <x v="31"/>
  </r>
  <r>
    <x v="7"/>
    <x v="4"/>
    <x v="0"/>
    <x v="9"/>
    <x v="7"/>
    <x v="0"/>
    <x v="4"/>
    <x v="0"/>
    <x v="232"/>
    <x v="31"/>
  </r>
  <r>
    <x v="7"/>
    <x v="10"/>
    <x v="0"/>
    <x v="9"/>
    <x v="7"/>
    <x v="1"/>
    <x v="0"/>
    <x v="0"/>
    <x v="233"/>
    <x v="31"/>
  </r>
  <r>
    <x v="7"/>
    <x v="1"/>
    <x v="0"/>
    <x v="9"/>
    <x v="7"/>
    <x v="1"/>
    <x v="0"/>
    <x v="0"/>
    <x v="233"/>
    <x v="31"/>
  </r>
  <r>
    <x v="7"/>
    <x v="2"/>
    <x v="0"/>
    <x v="9"/>
    <x v="7"/>
    <x v="0"/>
    <x v="0"/>
    <x v="0"/>
    <x v="233"/>
    <x v="31"/>
  </r>
  <r>
    <x v="7"/>
    <x v="5"/>
    <x v="0"/>
    <x v="9"/>
    <x v="7"/>
    <x v="0"/>
    <x v="0"/>
    <x v="0"/>
    <x v="233"/>
    <x v="31"/>
  </r>
  <r>
    <x v="7"/>
    <x v="5"/>
    <x v="0"/>
    <x v="9"/>
    <x v="7"/>
    <x v="0"/>
    <x v="0"/>
    <x v="0"/>
    <x v="233"/>
    <x v="31"/>
  </r>
  <r>
    <x v="7"/>
    <x v="3"/>
    <x v="0"/>
    <x v="9"/>
    <x v="7"/>
    <x v="2"/>
    <x v="0"/>
    <x v="0"/>
    <x v="233"/>
    <x v="31"/>
  </r>
  <r>
    <x v="7"/>
    <x v="3"/>
    <x v="0"/>
    <x v="9"/>
    <x v="7"/>
    <x v="2"/>
    <x v="0"/>
    <x v="0"/>
    <x v="233"/>
    <x v="31"/>
  </r>
  <r>
    <x v="7"/>
    <x v="1"/>
    <x v="0"/>
    <x v="9"/>
    <x v="7"/>
    <x v="1"/>
    <x v="2"/>
    <x v="0"/>
    <x v="235"/>
    <x v="31"/>
  </r>
  <r>
    <x v="7"/>
    <x v="2"/>
    <x v="0"/>
    <x v="9"/>
    <x v="7"/>
    <x v="0"/>
    <x v="5"/>
    <x v="0"/>
    <x v="236"/>
    <x v="31"/>
  </r>
  <r>
    <x v="7"/>
    <x v="5"/>
    <x v="0"/>
    <x v="9"/>
    <x v="7"/>
    <x v="0"/>
    <x v="5"/>
    <x v="0"/>
    <x v="236"/>
    <x v="31"/>
  </r>
  <r>
    <x v="7"/>
    <x v="5"/>
    <x v="0"/>
    <x v="9"/>
    <x v="7"/>
    <x v="0"/>
    <x v="5"/>
    <x v="0"/>
    <x v="236"/>
    <x v="31"/>
  </r>
  <r>
    <x v="7"/>
    <x v="9"/>
    <x v="0"/>
    <x v="9"/>
    <x v="7"/>
    <x v="1"/>
    <x v="6"/>
    <x v="0"/>
    <x v="237"/>
    <x v="31"/>
  </r>
  <r>
    <x v="7"/>
    <x v="1"/>
    <x v="0"/>
    <x v="9"/>
    <x v="7"/>
    <x v="1"/>
    <x v="6"/>
    <x v="0"/>
    <x v="237"/>
    <x v="31"/>
  </r>
  <r>
    <x v="7"/>
    <x v="6"/>
    <x v="0"/>
    <x v="9"/>
    <x v="7"/>
    <x v="0"/>
    <x v="6"/>
    <x v="0"/>
    <x v="237"/>
    <x v="31"/>
  </r>
  <r>
    <x v="7"/>
    <x v="15"/>
    <x v="0"/>
    <x v="9"/>
    <x v="7"/>
    <x v="2"/>
    <x v="6"/>
    <x v="0"/>
    <x v="237"/>
    <x v="31"/>
  </r>
  <r>
    <x v="7"/>
    <x v="5"/>
    <x v="0"/>
    <x v="9"/>
    <x v="7"/>
    <x v="0"/>
    <x v="3"/>
    <x v="0"/>
    <x v="238"/>
    <x v="31"/>
  </r>
  <r>
    <x v="7"/>
    <x v="5"/>
    <x v="0"/>
    <x v="9"/>
    <x v="7"/>
    <x v="0"/>
    <x v="3"/>
    <x v="0"/>
    <x v="238"/>
    <x v="31"/>
  </r>
  <r>
    <x v="7"/>
    <x v="6"/>
    <x v="0"/>
    <x v="9"/>
    <x v="7"/>
    <x v="0"/>
    <x v="3"/>
    <x v="0"/>
    <x v="238"/>
    <x v="31"/>
  </r>
  <r>
    <x v="7"/>
    <x v="15"/>
    <x v="0"/>
    <x v="9"/>
    <x v="7"/>
    <x v="2"/>
    <x v="4"/>
    <x v="0"/>
    <x v="239"/>
    <x v="31"/>
  </r>
  <r>
    <x v="7"/>
    <x v="7"/>
    <x v="0"/>
    <x v="9"/>
    <x v="7"/>
    <x v="1"/>
    <x v="0"/>
    <x v="0"/>
    <x v="240"/>
    <x v="31"/>
  </r>
  <r>
    <x v="7"/>
    <x v="0"/>
    <x v="0"/>
    <x v="9"/>
    <x v="7"/>
    <x v="0"/>
    <x v="0"/>
    <x v="0"/>
    <x v="240"/>
    <x v="31"/>
  </r>
  <r>
    <x v="7"/>
    <x v="5"/>
    <x v="0"/>
    <x v="9"/>
    <x v="7"/>
    <x v="0"/>
    <x v="0"/>
    <x v="0"/>
    <x v="240"/>
    <x v="31"/>
  </r>
  <r>
    <x v="7"/>
    <x v="3"/>
    <x v="0"/>
    <x v="9"/>
    <x v="7"/>
    <x v="2"/>
    <x v="0"/>
    <x v="0"/>
    <x v="240"/>
    <x v="31"/>
  </r>
  <r>
    <x v="7"/>
    <x v="3"/>
    <x v="0"/>
    <x v="9"/>
    <x v="7"/>
    <x v="2"/>
    <x v="0"/>
    <x v="0"/>
    <x v="240"/>
    <x v="31"/>
  </r>
  <r>
    <x v="7"/>
    <x v="8"/>
    <x v="0"/>
    <x v="9"/>
    <x v="7"/>
    <x v="2"/>
    <x v="0"/>
    <x v="0"/>
    <x v="240"/>
    <x v="31"/>
  </r>
  <r>
    <x v="7"/>
    <x v="6"/>
    <x v="0"/>
    <x v="9"/>
    <x v="7"/>
    <x v="0"/>
    <x v="1"/>
    <x v="0"/>
    <x v="241"/>
    <x v="31"/>
  </r>
  <r>
    <x v="7"/>
    <x v="1"/>
    <x v="0"/>
    <x v="9"/>
    <x v="7"/>
    <x v="1"/>
    <x v="2"/>
    <x v="0"/>
    <x v="242"/>
    <x v="31"/>
  </r>
  <r>
    <x v="7"/>
    <x v="8"/>
    <x v="0"/>
    <x v="9"/>
    <x v="7"/>
    <x v="2"/>
    <x v="2"/>
    <x v="0"/>
    <x v="242"/>
    <x v="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7048BC-7A52-417F-AAC6-B97AED77FE15}" name="PivotTable5" cacheId="0" applyNumberFormats="0" applyBorderFormats="0" applyFontFormats="0" applyPatternFormats="0" applyAlignmentFormats="0" applyWidthHeightFormats="1" dataCaption="Values" updatedVersion="8" minRefreshableVersion="3" preserveFormatting="0" rowGrandTotals="0" colGrandTotals="0" itemPrintTitles="1" createdVersion="8" indent="0" showHeaders="0" compact="0" compactData="0" multipleFieldFilters="0">
  <location ref="M5:AD13" firstHeaderRow="1" firstDataRow="2" firstDataCol="1"/>
  <pivotFields count="13">
    <pivotField dataField="1"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17">
        <item x="16"/>
        <item x="12"/>
        <item x="9"/>
        <item x="10"/>
        <item x="1"/>
        <item x="7"/>
        <item x="4"/>
        <item x="0"/>
        <item x="2"/>
        <item x="5"/>
        <item x="6"/>
        <item x="3"/>
        <item x="8"/>
        <item x="13"/>
        <item x="14"/>
        <item x="15"/>
        <item x="1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sortType="ascending" defaultSubtotal="0">
      <items count="7">
        <item x="5"/>
        <item x="6"/>
        <item x="3"/>
        <item x="4"/>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381">
        <item x="0"/>
        <item x="1"/>
        <item x="2"/>
        <item x="243"/>
        <item x="364"/>
        <item x="3"/>
        <item x="4"/>
        <item x="5"/>
        <item x="6"/>
        <item x="367"/>
        <item x="7"/>
        <item x="8"/>
        <item x="9"/>
        <item x="10"/>
        <item x="11"/>
        <item x="12"/>
        <item x="368"/>
        <item x="13"/>
        <item x="244"/>
        <item x="346"/>
        <item x="347"/>
        <item x="14"/>
        <item x="245"/>
        <item x="374"/>
        <item x="246"/>
        <item x="15"/>
        <item x="16"/>
        <item x="17"/>
        <item x="348"/>
        <item x="247"/>
        <item x="349"/>
        <item x="18"/>
        <item x="19"/>
        <item x="20"/>
        <item x="350"/>
        <item x="21"/>
        <item x="22"/>
        <item x="248"/>
        <item x="23"/>
        <item x="372"/>
        <item x="351"/>
        <item x="24"/>
        <item x="369"/>
        <item x="25"/>
        <item x="26"/>
        <item x="27"/>
        <item x="28"/>
        <item x="29"/>
        <item x="30"/>
        <item x="249"/>
        <item x="31"/>
        <item x="32"/>
        <item x="33"/>
        <item x="250"/>
        <item x="251"/>
        <item x="34"/>
        <item x="35"/>
        <item x="352"/>
        <item x="36"/>
        <item x="37"/>
        <item x="38"/>
        <item x="39"/>
        <item x="375"/>
        <item x="40"/>
        <item x="41"/>
        <item x="376"/>
        <item x="42"/>
        <item x="377"/>
        <item x="252"/>
        <item x="43"/>
        <item x="253"/>
        <item x="44"/>
        <item x="45"/>
        <item x="254"/>
        <item x="46"/>
        <item x="255"/>
        <item x="47"/>
        <item x="48"/>
        <item x="353"/>
        <item x="49"/>
        <item x="256"/>
        <item x="50"/>
        <item x="51"/>
        <item x="52"/>
        <item x="53"/>
        <item x="54"/>
        <item x="55"/>
        <item x="257"/>
        <item x="258"/>
        <item x="259"/>
        <item x="260"/>
        <item x="261"/>
        <item x="262"/>
        <item x="56"/>
        <item x="57"/>
        <item x="263"/>
        <item x="264"/>
        <item x="58"/>
        <item x="354"/>
        <item x="265"/>
        <item x="266"/>
        <item x="59"/>
        <item x="60"/>
        <item x="61"/>
        <item x="267"/>
        <item x="62"/>
        <item x="63"/>
        <item x="64"/>
        <item x="268"/>
        <item x="65"/>
        <item x="269"/>
        <item x="270"/>
        <item x="271"/>
        <item x="272"/>
        <item x="66"/>
        <item x="273"/>
        <item x="274"/>
        <item x="275"/>
        <item x="276"/>
        <item x="355"/>
        <item x="67"/>
        <item x="277"/>
        <item x="68"/>
        <item x="69"/>
        <item x="278"/>
        <item x="279"/>
        <item x="70"/>
        <item x="280"/>
        <item x="71"/>
        <item x="72"/>
        <item x="370"/>
        <item x="378"/>
        <item x="73"/>
        <item x="356"/>
        <item x="281"/>
        <item x="282"/>
        <item x="74"/>
        <item x="75"/>
        <item x="76"/>
        <item x="357"/>
        <item x="77"/>
        <item x="78"/>
        <item x="79"/>
        <item x="80"/>
        <item x="81"/>
        <item x="283"/>
        <item x="284"/>
        <item x="82"/>
        <item x="83"/>
        <item x="84"/>
        <item x="85"/>
        <item x="285"/>
        <item x="286"/>
        <item x="287"/>
        <item x="288"/>
        <item x="289"/>
        <item x="86"/>
        <item x="290"/>
        <item x="87"/>
        <item x="88"/>
        <item x="291"/>
        <item x="89"/>
        <item x="292"/>
        <item x="90"/>
        <item x="91"/>
        <item x="92"/>
        <item x="293"/>
        <item x="93"/>
        <item x="294"/>
        <item x="94"/>
        <item x="95"/>
        <item x="96"/>
        <item x="97"/>
        <item x="98"/>
        <item x="99"/>
        <item x="100"/>
        <item x="379"/>
        <item x="101"/>
        <item x="102"/>
        <item x="295"/>
        <item x="296"/>
        <item x="103"/>
        <item x="104"/>
        <item x="297"/>
        <item x="105"/>
        <item x="106"/>
        <item x="107"/>
        <item x="108"/>
        <item x="109"/>
        <item x="110"/>
        <item x="111"/>
        <item x="298"/>
        <item x="112"/>
        <item x="299"/>
        <item x="358"/>
        <item x="113"/>
        <item x="300"/>
        <item x="301"/>
        <item x="302"/>
        <item x="114"/>
        <item x="115"/>
        <item x="116"/>
        <item x="117"/>
        <item x="118"/>
        <item x="119"/>
        <item x="120"/>
        <item x="303"/>
        <item x="121"/>
        <item x="304"/>
        <item x="122"/>
        <item x="305"/>
        <item x="123"/>
        <item x="306"/>
        <item x="307"/>
        <item x="124"/>
        <item x="125"/>
        <item x="126"/>
        <item x="127"/>
        <item x="128"/>
        <item x="129"/>
        <item x="130"/>
        <item x="131"/>
        <item x="308"/>
        <item x="309"/>
        <item x="132"/>
        <item x="133"/>
        <item x="134"/>
        <item x="135"/>
        <item x="136"/>
        <item x="310"/>
        <item x="311"/>
        <item x="137"/>
        <item x="138"/>
        <item x="312"/>
        <item x="139"/>
        <item x="140"/>
        <item x="141"/>
        <item x="313"/>
        <item x="142"/>
        <item x="314"/>
        <item x="143"/>
        <item x="315"/>
        <item x="144"/>
        <item x="145"/>
        <item x="146"/>
        <item x="147"/>
        <item x="316"/>
        <item x="148"/>
        <item x="149"/>
        <item x="150"/>
        <item x="151"/>
        <item x="152"/>
        <item x="317"/>
        <item x="359"/>
        <item x="318"/>
        <item x="153"/>
        <item x="154"/>
        <item x="155"/>
        <item x="156"/>
        <item x="319"/>
        <item x="320"/>
        <item x="321"/>
        <item x="322"/>
        <item x="360"/>
        <item x="157"/>
        <item x="380"/>
        <item x="323"/>
        <item x="158"/>
        <item x="324"/>
        <item x="325"/>
        <item x="159"/>
        <item x="326"/>
        <item x="160"/>
        <item x="161"/>
        <item x="162"/>
        <item x="163"/>
        <item x="373"/>
        <item x="164"/>
        <item x="327"/>
        <item x="165"/>
        <item x="371"/>
        <item x="365"/>
        <item x="166"/>
        <item x="167"/>
        <item x="168"/>
        <item x="366"/>
        <item x="328"/>
        <item x="169"/>
        <item x="329"/>
        <item x="330"/>
        <item x="331"/>
        <item x="170"/>
        <item x="361"/>
        <item x="332"/>
        <item x="333"/>
        <item x="171"/>
        <item x="362"/>
        <item x="172"/>
        <item x="334"/>
        <item x="173"/>
        <item x="174"/>
        <item x="175"/>
        <item x="176"/>
        <item x="177"/>
        <item x="178"/>
        <item x="335"/>
        <item x="179"/>
        <item x="363"/>
        <item x="336"/>
        <item x="180"/>
        <item x="337"/>
        <item x="181"/>
        <item x="182"/>
        <item x="338"/>
        <item x="339"/>
        <item x="183"/>
        <item x="340"/>
        <item x="341"/>
        <item x="342"/>
        <item x="184"/>
        <item x="185"/>
        <item x="343"/>
        <item x="186"/>
        <item x="187"/>
        <item x="188"/>
        <item x="189"/>
        <item x="190"/>
        <item x="191"/>
        <item x="192"/>
        <item x="193"/>
        <item x="344"/>
        <item x="345"/>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0"/>
        <item x="1"/>
        <item x="2"/>
        <item x="3"/>
      </items>
      <extLst>
        <ext xmlns:x14="http://schemas.microsoft.com/office/spreadsheetml/2009/9/main" uri="{2946ED86-A175-432a-8AC1-64E0C546D7DE}">
          <x14:pivotField fillDownLabels="1"/>
        </ext>
      </extLst>
    </pivotField>
  </pivotFields>
  <rowFields count="1">
    <field x="6"/>
  </rowFields>
  <rowItems count="7">
    <i>
      <x/>
    </i>
    <i>
      <x v="1"/>
    </i>
    <i>
      <x v="2"/>
    </i>
    <i>
      <x v="3"/>
    </i>
    <i>
      <x v="4"/>
    </i>
    <i>
      <x v="5"/>
    </i>
    <i>
      <x v="6"/>
    </i>
  </rowItems>
  <colFields count="1">
    <field x="1"/>
  </colFields>
  <colItems count="17">
    <i>
      <x/>
    </i>
    <i>
      <x v="1"/>
    </i>
    <i>
      <x v="2"/>
    </i>
    <i>
      <x v="3"/>
    </i>
    <i>
      <x v="4"/>
    </i>
    <i>
      <x v="5"/>
    </i>
    <i>
      <x v="6"/>
    </i>
    <i>
      <x v="7"/>
    </i>
    <i>
      <x v="8"/>
    </i>
    <i>
      <x v="9"/>
    </i>
    <i>
      <x v="10"/>
    </i>
    <i>
      <x v="11"/>
    </i>
    <i>
      <x v="12"/>
    </i>
    <i>
      <x v="13"/>
    </i>
    <i>
      <x v="14"/>
    </i>
    <i>
      <x v="15"/>
    </i>
    <i>
      <x v="16"/>
    </i>
  </colItems>
  <dataFields count="1">
    <dataField name="Orders" fld="0" subtotal="count" baseField="6"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9FA98E-ED0B-4831-AC7B-F35744D5B9FC}"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C12" firstHeaderRow="0" firstDataRow="1" firstDataCol="1"/>
  <pivotFields count="13">
    <pivotField dataField="1" showAll="0"/>
    <pivotField showAll="0">
      <items count="18">
        <item x="16"/>
        <item x="12"/>
        <item x="9"/>
        <item x="10"/>
        <item x="1"/>
        <item x="7"/>
        <item x="4"/>
        <item x="0"/>
        <item x="2"/>
        <item x="5"/>
        <item x="6"/>
        <item x="3"/>
        <item x="8"/>
        <item x="13"/>
        <item x="14"/>
        <item x="15"/>
        <item x="11"/>
        <item t="default"/>
      </items>
    </pivotField>
    <pivotField showAll="0"/>
    <pivotField dataField="1" numFmtId="44" showAll="0"/>
    <pivotField axis="axisRow" showAll="0" sortType="ascending">
      <items count="9">
        <item x="0"/>
        <item x="1"/>
        <item x="2"/>
        <item x="3"/>
        <item x="4"/>
        <item x="5"/>
        <item x="6"/>
        <item x="7"/>
        <item t="default"/>
      </items>
      <autoSortScope>
        <pivotArea dataOnly="0" outline="0" fieldPosition="0">
          <references count="1">
            <reference field="4294967294" count="1" selected="0">
              <x v="1"/>
            </reference>
          </references>
        </pivotArea>
      </autoSortScope>
    </pivotField>
    <pivotField showAll="0">
      <items count="4">
        <item x="1"/>
        <item x="0"/>
        <item x="2"/>
        <item t="default"/>
      </items>
    </pivotField>
    <pivotField showAll="0">
      <items count="8">
        <item x="5"/>
        <item x="6"/>
        <item x="3"/>
        <item x="4"/>
        <item x="0"/>
        <item x="1"/>
        <item x="2"/>
        <item t="default"/>
      </items>
    </pivotField>
    <pivotField showAll="0">
      <items count="13">
        <item x="10"/>
        <item x="11"/>
        <item x="0"/>
        <item x="1"/>
        <item x="2"/>
        <item x="3"/>
        <item x="4"/>
        <item x="5"/>
        <item x="6"/>
        <item x="7"/>
        <item x="8"/>
        <item x="9"/>
        <item t="default"/>
      </items>
    </pivotField>
    <pivotField numFmtId="14" showAll="0">
      <items count="382">
        <item x="0"/>
        <item x="1"/>
        <item x="2"/>
        <item x="243"/>
        <item x="364"/>
        <item x="3"/>
        <item x="4"/>
        <item x="5"/>
        <item x="6"/>
        <item x="367"/>
        <item x="7"/>
        <item x="8"/>
        <item x="9"/>
        <item x="10"/>
        <item x="11"/>
        <item x="12"/>
        <item x="368"/>
        <item x="13"/>
        <item x="244"/>
        <item x="346"/>
        <item x="347"/>
        <item x="14"/>
        <item x="245"/>
        <item x="374"/>
        <item x="246"/>
        <item x="15"/>
        <item x="16"/>
        <item x="17"/>
        <item x="348"/>
        <item x="247"/>
        <item x="349"/>
        <item x="18"/>
        <item x="19"/>
        <item x="20"/>
        <item x="350"/>
        <item x="21"/>
        <item x="22"/>
        <item x="248"/>
        <item x="23"/>
        <item x="372"/>
        <item x="351"/>
        <item x="24"/>
        <item x="369"/>
        <item x="25"/>
        <item x="26"/>
        <item x="27"/>
        <item x="28"/>
        <item x="29"/>
        <item x="30"/>
        <item x="249"/>
        <item x="31"/>
        <item x="32"/>
        <item x="33"/>
        <item x="250"/>
        <item x="251"/>
        <item x="34"/>
        <item x="35"/>
        <item x="352"/>
        <item x="36"/>
        <item x="37"/>
        <item x="38"/>
        <item x="39"/>
        <item x="375"/>
        <item x="40"/>
        <item x="41"/>
        <item x="376"/>
        <item x="42"/>
        <item x="377"/>
        <item x="252"/>
        <item x="43"/>
        <item x="253"/>
        <item x="44"/>
        <item x="45"/>
        <item x="254"/>
        <item x="46"/>
        <item x="255"/>
        <item x="47"/>
        <item x="48"/>
        <item x="353"/>
        <item x="49"/>
        <item x="256"/>
        <item x="50"/>
        <item x="51"/>
        <item x="52"/>
        <item x="53"/>
        <item x="54"/>
        <item x="55"/>
        <item x="257"/>
        <item x="258"/>
        <item x="259"/>
        <item x="260"/>
        <item x="261"/>
        <item x="262"/>
        <item x="56"/>
        <item x="57"/>
        <item x="263"/>
        <item x="264"/>
        <item x="58"/>
        <item x="354"/>
        <item x="265"/>
        <item x="266"/>
        <item x="59"/>
        <item x="60"/>
        <item x="61"/>
        <item x="267"/>
        <item x="62"/>
        <item x="63"/>
        <item x="64"/>
        <item x="268"/>
        <item x="65"/>
        <item x="269"/>
        <item x="270"/>
        <item x="271"/>
        <item x="272"/>
        <item x="66"/>
        <item x="273"/>
        <item x="274"/>
        <item x="275"/>
        <item x="276"/>
        <item x="355"/>
        <item x="67"/>
        <item x="277"/>
        <item x="68"/>
        <item x="69"/>
        <item x="278"/>
        <item x="279"/>
        <item x="70"/>
        <item x="280"/>
        <item x="71"/>
        <item x="72"/>
        <item x="370"/>
        <item x="378"/>
        <item x="73"/>
        <item x="356"/>
        <item x="281"/>
        <item x="282"/>
        <item x="74"/>
        <item x="75"/>
        <item x="76"/>
        <item x="357"/>
        <item x="77"/>
        <item x="78"/>
        <item x="79"/>
        <item x="80"/>
        <item x="81"/>
        <item x="283"/>
        <item x="284"/>
        <item x="82"/>
        <item x="83"/>
        <item x="84"/>
        <item x="85"/>
        <item x="285"/>
        <item x="286"/>
        <item x="287"/>
        <item x="288"/>
        <item x="289"/>
        <item x="86"/>
        <item x="290"/>
        <item x="87"/>
        <item x="88"/>
        <item x="291"/>
        <item x="89"/>
        <item x="292"/>
        <item x="90"/>
        <item x="91"/>
        <item x="92"/>
        <item x="293"/>
        <item x="93"/>
        <item x="294"/>
        <item x="94"/>
        <item x="95"/>
        <item x="96"/>
        <item x="97"/>
        <item x="98"/>
        <item x="99"/>
        <item x="100"/>
        <item x="379"/>
        <item x="101"/>
        <item x="102"/>
        <item x="295"/>
        <item x="296"/>
        <item x="103"/>
        <item x="104"/>
        <item x="297"/>
        <item x="105"/>
        <item x="106"/>
        <item x="107"/>
        <item x="108"/>
        <item x="109"/>
        <item x="110"/>
        <item x="111"/>
        <item x="298"/>
        <item x="112"/>
        <item x="299"/>
        <item x="358"/>
        <item x="113"/>
        <item x="300"/>
        <item x="301"/>
        <item x="302"/>
        <item x="114"/>
        <item x="115"/>
        <item x="116"/>
        <item x="117"/>
        <item x="118"/>
        <item x="119"/>
        <item x="120"/>
        <item x="303"/>
        <item x="121"/>
        <item x="304"/>
        <item x="122"/>
        <item x="305"/>
        <item x="123"/>
        <item x="306"/>
        <item x="307"/>
        <item x="124"/>
        <item x="125"/>
        <item x="126"/>
        <item x="127"/>
        <item x="128"/>
        <item x="129"/>
        <item x="130"/>
        <item x="131"/>
        <item x="308"/>
        <item x="309"/>
        <item x="132"/>
        <item x="133"/>
        <item x="134"/>
        <item x="135"/>
        <item x="136"/>
        <item x="310"/>
        <item x="311"/>
        <item x="137"/>
        <item x="138"/>
        <item x="312"/>
        <item x="139"/>
        <item x="140"/>
        <item x="141"/>
        <item x="313"/>
        <item x="142"/>
        <item x="314"/>
        <item x="143"/>
        <item x="315"/>
        <item x="144"/>
        <item x="145"/>
        <item x="146"/>
        <item x="147"/>
        <item x="316"/>
        <item x="148"/>
        <item x="149"/>
        <item x="150"/>
        <item x="151"/>
        <item x="152"/>
        <item x="317"/>
        <item x="359"/>
        <item x="318"/>
        <item x="153"/>
        <item x="154"/>
        <item x="155"/>
        <item x="156"/>
        <item x="319"/>
        <item x="320"/>
        <item x="321"/>
        <item x="322"/>
        <item x="360"/>
        <item x="157"/>
        <item x="380"/>
        <item x="323"/>
        <item x="158"/>
        <item x="324"/>
        <item x="325"/>
        <item x="159"/>
        <item x="326"/>
        <item x="160"/>
        <item x="161"/>
        <item x="162"/>
        <item x="163"/>
        <item x="373"/>
        <item x="164"/>
        <item x="327"/>
        <item x="165"/>
        <item x="371"/>
        <item x="365"/>
        <item x="166"/>
        <item x="167"/>
        <item x="168"/>
        <item x="366"/>
        <item x="328"/>
        <item x="169"/>
        <item x="329"/>
        <item x="330"/>
        <item x="331"/>
        <item x="170"/>
        <item x="361"/>
        <item x="332"/>
        <item x="333"/>
        <item x="171"/>
        <item x="362"/>
        <item x="172"/>
        <item x="334"/>
        <item x="173"/>
        <item x="174"/>
        <item x="175"/>
        <item x="176"/>
        <item x="177"/>
        <item x="178"/>
        <item x="335"/>
        <item x="179"/>
        <item x="363"/>
        <item x="336"/>
        <item x="180"/>
        <item x="337"/>
        <item x="181"/>
        <item x="182"/>
        <item x="338"/>
        <item x="339"/>
        <item x="183"/>
        <item x="340"/>
        <item x="341"/>
        <item x="342"/>
        <item x="184"/>
        <item x="185"/>
        <item x="343"/>
        <item x="186"/>
        <item x="187"/>
        <item x="188"/>
        <item x="189"/>
        <item x="190"/>
        <item x="191"/>
        <item x="192"/>
        <item x="193"/>
        <item x="344"/>
        <item x="345"/>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showAll="0"/>
    <pivotField showAll="0" defaultSubtotal="0"/>
    <pivotField showAll="0" defaultSubtotal="0"/>
    <pivotField showAll="0" defaultSubtotal="0">
      <items count="4">
        <item x="0"/>
        <item x="1"/>
        <item x="2"/>
        <item x="3"/>
      </items>
    </pivotField>
  </pivotFields>
  <rowFields count="1">
    <field x="4"/>
  </rowFields>
  <rowItems count="9">
    <i>
      <x v="5"/>
    </i>
    <i>
      <x v="4"/>
    </i>
    <i>
      <x v="3"/>
    </i>
    <i>
      <x v="6"/>
    </i>
    <i>
      <x/>
    </i>
    <i>
      <x v="2"/>
    </i>
    <i>
      <x v="1"/>
    </i>
    <i>
      <x v="7"/>
    </i>
    <i t="grand">
      <x/>
    </i>
  </rowItems>
  <colFields count="1">
    <field x="-2"/>
  </colFields>
  <colItems count="2">
    <i>
      <x/>
    </i>
    <i i="1">
      <x v="1"/>
    </i>
  </colItems>
  <dataFields count="2">
    <dataField name="Quantity sold" fld="0" subtotal="count" baseField="4" baseItem="0"/>
    <dataField name="Sum of money" fld="3" baseField="0" baseItem="0" numFmtId="44"/>
  </dataFields>
  <chartFormats count="4">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6" format="6">
      <pivotArea type="data" outline="0" fieldPosition="0">
        <references count="2">
          <reference field="4294967294" count="1" selected="0">
            <x v="0"/>
          </reference>
          <reference field="4" count="1" selected="0">
            <x v="7"/>
          </reference>
        </references>
      </pivotArea>
    </chartFormat>
    <chartFormat chart="6" format="6">
      <pivotArea type="data" outline="0" fieldPosition="0">
        <references count="2">
          <reference field="4294967294" count="1" selected="0">
            <x v="1"/>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C0CC13-1CC7-4F07-A856-6050D11EEBD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2" firstHeaderRow="0" firstDataRow="1" firstDataCol="1"/>
  <pivotFields count="13">
    <pivotField dataField="1" showAll="0"/>
    <pivotField showAll="0">
      <items count="18">
        <item x="16"/>
        <item x="12"/>
        <item x="9"/>
        <item x="10"/>
        <item x="1"/>
        <item x="7"/>
        <item x="4"/>
        <item x="0"/>
        <item x="2"/>
        <item x="5"/>
        <item x="6"/>
        <item x="3"/>
        <item x="8"/>
        <item x="13"/>
        <item x="14"/>
        <item x="15"/>
        <item x="11"/>
        <item t="default"/>
      </items>
    </pivotField>
    <pivotField showAll="0"/>
    <pivotField dataField="1" numFmtId="44" showAll="0"/>
    <pivotField axis="axisRow" showAll="0"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8">
        <item x="5"/>
        <item x="6"/>
        <item x="3"/>
        <item x="4"/>
        <item x="0"/>
        <item x="1"/>
        <item x="2"/>
        <item t="default"/>
      </items>
    </pivotField>
    <pivotField showAll="0">
      <items count="13">
        <item x="10"/>
        <item x="11"/>
        <item x="0"/>
        <item x="1"/>
        <item x="2"/>
        <item x="3"/>
        <item x="4"/>
        <item x="5"/>
        <item x="6"/>
        <item x="7"/>
        <item x="8"/>
        <item x="9"/>
        <item t="default"/>
      </items>
    </pivotField>
    <pivotField numFmtId="14" showAll="0">
      <items count="382">
        <item x="0"/>
        <item x="1"/>
        <item x="2"/>
        <item x="243"/>
        <item x="364"/>
        <item x="3"/>
        <item x="4"/>
        <item x="5"/>
        <item x="6"/>
        <item x="367"/>
        <item x="7"/>
        <item x="8"/>
        <item x="9"/>
        <item x="10"/>
        <item x="11"/>
        <item x="12"/>
        <item x="368"/>
        <item x="13"/>
        <item x="244"/>
        <item x="346"/>
        <item x="347"/>
        <item x="14"/>
        <item x="245"/>
        <item x="374"/>
        <item x="246"/>
        <item x="15"/>
        <item x="16"/>
        <item x="17"/>
        <item x="348"/>
        <item x="247"/>
        <item x="349"/>
        <item x="18"/>
        <item x="19"/>
        <item x="20"/>
        <item x="350"/>
        <item x="21"/>
        <item x="22"/>
        <item x="248"/>
        <item x="23"/>
        <item x="372"/>
        <item x="351"/>
        <item x="24"/>
        <item x="369"/>
        <item x="25"/>
        <item x="26"/>
        <item x="27"/>
        <item x="28"/>
        <item x="29"/>
        <item x="30"/>
        <item x="249"/>
        <item x="31"/>
        <item x="32"/>
        <item x="33"/>
        <item x="250"/>
        <item x="251"/>
        <item x="34"/>
        <item x="35"/>
        <item x="352"/>
        <item x="36"/>
        <item x="37"/>
        <item x="38"/>
        <item x="39"/>
        <item x="375"/>
        <item x="40"/>
        <item x="41"/>
        <item x="376"/>
        <item x="42"/>
        <item x="377"/>
        <item x="252"/>
        <item x="43"/>
        <item x="253"/>
        <item x="44"/>
        <item x="45"/>
        <item x="254"/>
        <item x="46"/>
        <item x="255"/>
        <item x="47"/>
        <item x="48"/>
        <item x="353"/>
        <item x="49"/>
        <item x="256"/>
        <item x="50"/>
        <item x="51"/>
        <item x="52"/>
        <item x="53"/>
        <item x="54"/>
        <item x="55"/>
        <item x="257"/>
        <item x="258"/>
        <item x="259"/>
        <item x="260"/>
        <item x="261"/>
        <item x="262"/>
        <item x="56"/>
        <item x="57"/>
        <item x="263"/>
        <item x="264"/>
        <item x="58"/>
        <item x="354"/>
        <item x="265"/>
        <item x="266"/>
        <item x="59"/>
        <item x="60"/>
        <item x="61"/>
        <item x="267"/>
        <item x="62"/>
        <item x="63"/>
        <item x="64"/>
        <item x="268"/>
        <item x="65"/>
        <item x="269"/>
        <item x="270"/>
        <item x="271"/>
        <item x="272"/>
        <item x="66"/>
        <item x="273"/>
        <item x="274"/>
        <item x="275"/>
        <item x="276"/>
        <item x="355"/>
        <item x="67"/>
        <item x="277"/>
        <item x="68"/>
        <item x="69"/>
        <item x="278"/>
        <item x="279"/>
        <item x="70"/>
        <item x="280"/>
        <item x="71"/>
        <item x="72"/>
        <item x="370"/>
        <item x="378"/>
        <item x="73"/>
        <item x="356"/>
        <item x="281"/>
        <item x="282"/>
        <item x="74"/>
        <item x="75"/>
        <item x="76"/>
        <item x="357"/>
        <item x="77"/>
        <item x="78"/>
        <item x="79"/>
        <item x="80"/>
        <item x="81"/>
        <item x="283"/>
        <item x="284"/>
        <item x="82"/>
        <item x="83"/>
        <item x="84"/>
        <item x="85"/>
        <item x="285"/>
        <item x="286"/>
        <item x="287"/>
        <item x="288"/>
        <item x="289"/>
        <item x="86"/>
        <item x="290"/>
        <item x="87"/>
        <item x="88"/>
        <item x="291"/>
        <item x="89"/>
        <item x="292"/>
        <item x="90"/>
        <item x="91"/>
        <item x="92"/>
        <item x="293"/>
        <item x="93"/>
        <item x="294"/>
        <item x="94"/>
        <item x="95"/>
        <item x="96"/>
        <item x="97"/>
        <item x="98"/>
        <item x="99"/>
        <item x="100"/>
        <item x="379"/>
        <item x="101"/>
        <item x="102"/>
        <item x="295"/>
        <item x="296"/>
        <item x="103"/>
        <item x="104"/>
        <item x="297"/>
        <item x="105"/>
        <item x="106"/>
        <item x="107"/>
        <item x="108"/>
        <item x="109"/>
        <item x="110"/>
        <item x="111"/>
        <item x="298"/>
        <item x="112"/>
        <item x="299"/>
        <item x="358"/>
        <item x="113"/>
        <item x="300"/>
        <item x="301"/>
        <item x="302"/>
        <item x="114"/>
        <item x="115"/>
        <item x="116"/>
        <item x="117"/>
        <item x="118"/>
        <item x="119"/>
        <item x="120"/>
        <item x="303"/>
        <item x="121"/>
        <item x="304"/>
        <item x="122"/>
        <item x="305"/>
        <item x="123"/>
        <item x="306"/>
        <item x="307"/>
        <item x="124"/>
        <item x="125"/>
        <item x="126"/>
        <item x="127"/>
        <item x="128"/>
        <item x="129"/>
        <item x="130"/>
        <item x="131"/>
        <item x="308"/>
        <item x="309"/>
        <item x="132"/>
        <item x="133"/>
        <item x="134"/>
        <item x="135"/>
        <item x="136"/>
        <item x="310"/>
        <item x="311"/>
        <item x="137"/>
        <item x="138"/>
        <item x="312"/>
        <item x="139"/>
        <item x="140"/>
        <item x="141"/>
        <item x="313"/>
        <item x="142"/>
        <item x="314"/>
        <item x="143"/>
        <item x="315"/>
        <item x="144"/>
        <item x="145"/>
        <item x="146"/>
        <item x="147"/>
        <item x="316"/>
        <item x="148"/>
        <item x="149"/>
        <item x="150"/>
        <item x="151"/>
        <item x="152"/>
        <item x="317"/>
        <item x="359"/>
        <item x="318"/>
        <item x="153"/>
        <item x="154"/>
        <item x="155"/>
        <item x="156"/>
        <item x="319"/>
        <item x="320"/>
        <item x="321"/>
        <item x="322"/>
        <item x="360"/>
        <item x="157"/>
        <item x="380"/>
        <item x="323"/>
        <item x="158"/>
        <item x="324"/>
        <item x="325"/>
        <item x="159"/>
        <item x="326"/>
        <item x="160"/>
        <item x="161"/>
        <item x="162"/>
        <item x="163"/>
        <item x="373"/>
        <item x="164"/>
        <item x="327"/>
        <item x="165"/>
        <item x="371"/>
        <item x="365"/>
        <item x="166"/>
        <item x="167"/>
        <item x="168"/>
        <item x="366"/>
        <item x="328"/>
        <item x="169"/>
        <item x="329"/>
        <item x="330"/>
        <item x="331"/>
        <item x="170"/>
        <item x="361"/>
        <item x="332"/>
        <item x="333"/>
        <item x="171"/>
        <item x="362"/>
        <item x="172"/>
        <item x="334"/>
        <item x="173"/>
        <item x="174"/>
        <item x="175"/>
        <item x="176"/>
        <item x="177"/>
        <item x="178"/>
        <item x="335"/>
        <item x="179"/>
        <item x="363"/>
        <item x="336"/>
        <item x="180"/>
        <item x="337"/>
        <item x="181"/>
        <item x="182"/>
        <item x="338"/>
        <item x="339"/>
        <item x="183"/>
        <item x="340"/>
        <item x="341"/>
        <item x="342"/>
        <item x="184"/>
        <item x="185"/>
        <item x="343"/>
        <item x="186"/>
        <item x="187"/>
        <item x="188"/>
        <item x="189"/>
        <item x="190"/>
        <item x="191"/>
        <item x="192"/>
        <item x="193"/>
        <item x="344"/>
        <item x="345"/>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showAll="0"/>
    <pivotField showAll="0" defaultSubtotal="0"/>
    <pivotField showAll="0" defaultSubtotal="0"/>
    <pivotField showAll="0" defaultSubtotal="0">
      <items count="4">
        <item x="0"/>
        <item x="1"/>
        <item x="2"/>
        <item x="3"/>
      </items>
    </pivotField>
  </pivotFields>
  <rowFields count="1">
    <field x="4"/>
  </rowFields>
  <rowItems count="9">
    <i>
      <x v="7"/>
    </i>
    <i>
      <x v="1"/>
    </i>
    <i>
      <x v="2"/>
    </i>
    <i>
      <x/>
    </i>
    <i>
      <x v="6"/>
    </i>
    <i>
      <x v="3"/>
    </i>
    <i>
      <x v="4"/>
    </i>
    <i>
      <x v="5"/>
    </i>
    <i t="grand">
      <x/>
    </i>
  </rowItems>
  <colFields count="1">
    <field x="-2"/>
  </colFields>
  <colItems count="2">
    <i>
      <x/>
    </i>
    <i i="1">
      <x v="1"/>
    </i>
  </colItems>
  <dataFields count="2">
    <dataField name="Sum of money" fld="3" baseField="0" baseItem="0" numFmtId="44"/>
    <dataField name="Count of Index"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1E3C6C-1373-4E54-931A-F00C39E16FA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9" firstHeaderRow="1" firstDataRow="1" firstDataCol="1"/>
  <pivotFields count="13">
    <pivotField showAll="0" sumSubtotal="1"/>
    <pivotField showAll="0">
      <items count="18">
        <item x="16"/>
        <item x="12"/>
        <item x="9"/>
        <item x="10"/>
        <item x="1"/>
        <item x="7"/>
        <item x="4"/>
        <item x="0"/>
        <item x="2"/>
        <item x="5"/>
        <item x="6"/>
        <item x="3"/>
        <item x="8"/>
        <item x="13"/>
        <item x="14"/>
        <item x="15"/>
        <item x="11"/>
        <item t="default"/>
      </items>
    </pivotField>
    <pivotField showAll="0"/>
    <pivotField dataField="1" numFmtId="44" showAll="0"/>
    <pivotField showAll="0">
      <items count="9">
        <item x="0"/>
        <item x="1"/>
        <item x="2"/>
        <item x="3"/>
        <item x="4"/>
        <item x="5"/>
        <item x="6"/>
        <item x="7"/>
        <item t="default"/>
      </items>
    </pivotField>
    <pivotField showAll="0">
      <items count="4">
        <item x="1"/>
        <item x="0"/>
        <item x="2"/>
        <item t="default"/>
      </items>
    </pivotField>
    <pivotField showAll="0">
      <items count="8">
        <item x="5"/>
        <item x="6"/>
        <item x="3"/>
        <item x="4"/>
        <item x="0"/>
        <item x="1"/>
        <item x="2"/>
        <item t="default"/>
      </items>
    </pivotField>
    <pivotField axis="axisRow" showAll="0" sortType="ascending">
      <items count="13">
        <item x="10"/>
        <item x="11"/>
        <item x="0"/>
        <item x="1"/>
        <item x="2"/>
        <item x="3"/>
        <item x="4"/>
        <item x="5"/>
        <item x="6"/>
        <item x="7"/>
        <item x="8"/>
        <item x="9"/>
        <item t="default"/>
      </items>
    </pivotField>
    <pivotField numFmtId="14" showAll="0">
      <items count="382">
        <item x="0"/>
        <item x="1"/>
        <item x="2"/>
        <item x="243"/>
        <item x="364"/>
        <item x="3"/>
        <item x="4"/>
        <item x="5"/>
        <item x="6"/>
        <item x="367"/>
        <item x="7"/>
        <item x="8"/>
        <item x="9"/>
        <item x="10"/>
        <item x="11"/>
        <item x="12"/>
        <item x="368"/>
        <item x="13"/>
        <item x="244"/>
        <item x="346"/>
        <item x="347"/>
        <item x="14"/>
        <item x="245"/>
        <item x="374"/>
        <item x="246"/>
        <item x="15"/>
        <item x="16"/>
        <item x="17"/>
        <item x="348"/>
        <item x="247"/>
        <item x="349"/>
        <item x="18"/>
        <item x="19"/>
        <item x="20"/>
        <item x="350"/>
        <item x="21"/>
        <item x="22"/>
        <item x="248"/>
        <item x="23"/>
        <item x="372"/>
        <item x="351"/>
        <item x="24"/>
        <item x="369"/>
        <item x="25"/>
        <item x="26"/>
        <item x="27"/>
        <item x="28"/>
        <item x="29"/>
        <item x="30"/>
        <item x="249"/>
        <item x="31"/>
        <item x="32"/>
        <item x="33"/>
        <item x="250"/>
        <item x="251"/>
        <item x="34"/>
        <item x="35"/>
        <item x="352"/>
        <item x="36"/>
        <item x="37"/>
        <item x="38"/>
        <item x="39"/>
        <item x="375"/>
        <item x="40"/>
        <item x="41"/>
        <item x="376"/>
        <item x="42"/>
        <item x="377"/>
        <item x="252"/>
        <item x="43"/>
        <item x="253"/>
        <item x="44"/>
        <item x="45"/>
        <item x="254"/>
        <item x="46"/>
        <item x="255"/>
        <item x="47"/>
        <item x="48"/>
        <item x="353"/>
        <item x="49"/>
        <item x="256"/>
        <item x="50"/>
        <item x="51"/>
        <item x="52"/>
        <item x="53"/>
        <item x="54"/>
        <item x="55"/>
        <item x="257"/>
        <item x="258"/>
        <item x="259"/>
        <item x="260"/>
        <item x="261"/>
        <item x="262"/>
        <item x="56"/>
        <item x="57"/>
        <item x="263"/>
        <item x="264"/>
        <item x="58"/>
        <item x="354"/>
        <item x="265"/>
        <item x="266"/>
        <item x="59"/>
        <item x="60"/>
        <item x="61"/>
        <item x="267"/>
        <item x="62"/>
        <item x="63"/>
        <item x="64"/>
        <item x="268"/>
        <item x="65"/>
        <item x="269"/>
        <item x="270"/>
        <item x="271"/>
        <item x="272"/>
        <item x="66"/>
        <item x="273"/>
        <item x="274"/>
        <item x="275"/>
        <item x="276"/>
        <item x="355"/>
        <item x="67"/>
        <item x="277"/>
        <item x="68"/>
        <item x="69"/>
        <item x="278"/>
        <item x="279"/>
        <item x="70"/>
        <item x="280"/>
        <item x="71"/>
        <item x="72"/>
        <item x="370"/>
        <item x="378"/>
        <item x="73"/>
        <item x="356"/>
        <item x="281"/>
        <item x="282"/>
        <item x="74"/>
        <item x="75"/>
        <item x="76"/>
        <item x="357"/>
        <item x="77"/>
        <item x="78"/>
        <item x="79"/>
        <item x="80"/>
        <item x="81"/>
        <item x="283"/>
        <item x="284"/>
        <item x="82"/>
        <item x="83"/>
        <item x="84"/>
        <item x="85"/>
        <item x="285"/>
        <item x="286"/>
        <item x="287"/>
        <item x="288"/>
        <item x="289"/>
        <item x="86"/>
        <item x="290"/>
        <item x="87"/>
        <item x="88"/>
        <item x="291"/>
        <item x="89"/>
        <item x="292"/>
        <item x="90"/>
        <item x="91"/>
        <item x="92"/>
        <item x="293"/>
        <item x="93"/>
        <item x="294"/>
        <item x="94"/>
        <item x="95"/>
        <item x="96"/>
        <item x="97"/>
        <item x="98"/>
        <item x="99"/>
        <item x="100"/>
        <item x="379"/>
        <item x="101"/>
        <item x="102"/>
        <item x="295"/>
        <item x="296"/>
        <item x="103"/>
        <item x="104"/>
        <item x="297"/>
        <item x="105"/>
        <item x="106"/>
        <item x="107"/>
        <item x="108"/>
        <item x="109"/>
        <item x="110"/>
        <item x="111"/>
        <item x="298"/>
        <item x="112"/>
        <item x="299"/>
        <item x="358"/>
        <item x="113"/>
        <item x="300"/>
        <item x="301"/>
        <item x="302"/>
        <item x="114"/>
        <item x="115"/>
        <item x="116"/>
        <item x="117"/>
        <item x="118"/>
        <item x="119"/>
        <item x="120"/>
        <item x="303"/>
        <item x="121"/>
        <item x="304"/>
        <item x="122"/>
        <item x="305"/>
        <item x="123"/>
        <item x="306"/>
        <item x="307"/>
        <item x="124"/>
        <item x="125"/>
        <item x="126"/>
        <item x="127"/>
        <item x="128"/>
        <item x="129"/>
        <item x="130"/>
        <item x="131"/>
        <item x="308"/>
        <item x="309"/>
        <item x="132"/>
        <item x="133"/>
        <item x="134"/>
        <item x="135"/>
        <item x="136"/>
        <item x="310"/>
        <item x="311"/>
        <item x="137"/>
        <item x="138"/>
        <item x="312"/>
        <item x="139"/>
        <item x="140"/>
        <item x="141"/>
        <item x="313"/>
        <item x="142"/>
        <item x="314"/>
        <item x="143"/>
        <item x="315"/>
        <item x="144"/>
        <item x="145"/>
        <item x="146"/>
        <item x="147"/>
        <item x="316"/>
        <item x="148"/>
        <item x="149"/>
        <item x="150"/>
        <item x="151"/>
        <item x="152"/>
        <item x="317"/>
        <item x="359"/>
        <item x="318"/>
        <item x="153"/>
        <item x="154"/>
        <item x="155"/>
        <item x="156"/>
        <item x="319"/>
        <item x="320"/>
        <item x="321"/>
        <item x="322"/>
        <item x="360"/>
        <item x="157"/>
        <item x="380"/>
        <item x="323"/>
        <item x="158"/>
        <item x="324"/>
        <item x="325"/>
        <item x="159"/>
        <item x="326"/>
        <item x="160"/>
        <item x="161"/>
        <item x="162"/>
        <item x="163"/>
        <item x="373"/>
        <item x="164"/>
        <item x="327"/>
        <item x="165"/>
        <item x="371"/>
        <item x="365"/>
        <item x="166"/>
        <item x="167"/>
        <item x="168"/>
        <item x="366"/>
        <item x="328"/>
        <item x="169"/>
        <item x="329"/>
        <item x="330"/>
        <item x="331"/>
        <item x="170"/>
        <item x="361"/>
        <item x="332"/>
        <item x="333"/>
        <item x="171"/>
        <item x="362"/>
        <item x="172"/>
        <item x="334"/>
        <item x="173"/>
        <item x="174"/>
        <item x="175"/>
        <item x="176"/>
        <item x="177"/>
        <item x="178"/>
        <item x="335"/>
        <item x="179"/>
        <item x="363"/>
        <item x="336"/>
        <item x="180"/>
        <item x="337"/>
        <item x="181"/>
        <item x="182"/>
        <item x="338"/>
        <item x="339"/>
        <item x="183"/>
        <item x="340"/>
        <item x="341"/>
        <item x="342"/>
        <item x="184"/>
        <item x="185"/>
        <item x="343"/>
        <item x="186"/>
        <item x="187"/>
        <item x="188"/>
        <item x="189"/>
        <item x="190"/>
        <item x="191"/>
        <item x="192"/>
        <item x="193"/>
        <item x="344"/>
        <item x="345"/>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4">
        <item x="0"/>
        <item x="1"/>
        <item x="2"/>
        <item x="3"/>
      </items>
    </pivotField>
  </pivotFields>
  <rowFields count="2">
    <field x="12"/>
    <field x="7"/>
  </rowFields>
  <rowItems count="16">
    <i>
      <x v="1"/>
    </i>
    <i r="1">
      <x v="2"/>
    </i>
    <i r="1">
      <x v="3"/>
    </i>
    <i r="1">
      <x v="4"/>
    </i>
    <i r="1">
      <x v="5"/>
    </i>
    <i r="1">
      <x v="6"/>
    </i>
    <i r="1">
      <x v="7"/>
    </i>
    <i r="1">
      <x v="8"/>
    </i>
    <i r="1">
      <x v="9"/>
    </i>
    <i r="1">
      <x v="10"/>
    </i>
    <i r="1">
      <x v="11"/>
    </i>
    <i>
      <x v="2"/>
    </i>
    <i r="1">
      <x/>
    </i>
    <i r="1">
      <x v="1"/>
    </i>
    <i r="1">
      <x v="2"/>
    </i>
    <i t="grand">
      <x/>
    </i>
  </rowItems>
  <colItems count="1">
    <i/>
  </colItems>
  <dataFields count="1">
    <dataField name="Sum of money" fld="3" baseField="0" baseItem="0" numFmtId="44"/>
  </dataFields>
  <chartFormats count="10">
    <chartFormat chart="3" format="2" series="1">
      <pivotArea type="data" outline="0" fieldPosition="0">
        <references count="1">
          <reference field="4294967294" count="1" selected="0">
            <x v="0"/>
          </reference>
        </references>
      </pivotArea>
    </chartFormat>
    <chartFormat chart="3" format="10">
      <pivotArea type="data" outline="0" fieldPosition="0">
        <references count="3">
          <reference field="4294967294" count="1" selected="0">
            <x v="0"/>
          </reference>
          <reference field="7" count="1" selected="0">
            <x v="3"/>
          </reference>
          <reference field="12" count="1" selected="0">
            <x v="1"/>
          </reference>
        </references>
      </pivotArea>
    </chartFormat>
    <chartFormat chart="3" format="11">
      <pivotArea type="data" outline="0" fieldPosition="0">
        <references count="3">
          <reference field="4294967294" count="1" selected="0">
            <x v="0"/>
          </reference>
          <reference field="7" count="1" selected="0">
            <x v="4"/>
          </reference>
          <reference field="12" count="1" selected="0">
            <x v="1"/>
          </reference>
        </references>
      </pivotArea>
    </chartFormat>
    <chartFormat chart="3" format="12">
      <pivotArea type="data" outline="0" fieldPosition="0">
        <references count="3">
          <reference field="4294967294" count="1" selected="0">
            <x v="0"/>
          </reference>
          <reference field="7" count="1" selected="0">
            <x v="5"/>
          </reference>
          <reference field="12" count="1" selected="0">
            <x v="1"/>
          </reference>
        </references>
      </pivotArea>
    </chartFormat>
    <chartFormat chart="3" format="13">
      <pivotArea type="data" outline="0" fieldPosition="0">
        <references count="3">
          <reference field="4294967294" count="1" selected="0">
            <x v="0"/>
          </reference>
          <reference field="7" count="1" selected="0">
            <x v="7"/>
          </reference>
          <reference field="12" count="1" selected="0">
            <x v="1"/>
          </reference>
        </references>
      </pivotArea>
    </chartFormat>
    <chartFormat chart="3" format="14">
      <pivotArea type="data" outline="0" fieldPosition="0">
        <references count="3">
          <reference field="4294967294" count="1" selected="0">
            <x v="0"/>
          </reference>
          <reference field="7" count="1" selected="0">
            <x v="8"/>
          </reference>
          <reference field="12" count="1" selected="0">
            <x v="1"/>
          </reference>
        </references>
      </pivotArea>
    </chartFormat>
    <chartFormat chart="3" format="15">
      <pivotArea type="data" outline="0" fieldPosition="0">
        <references count="3">
          <reference field="4294967294" count="1" selected="0">
            <x v="0"/>
          </reference>
          <reference field="7" count="1" selected="0">
            <x v="10"/>
          </reference>
          <reference field="12" count="1" selected="0">
            <x v="1"/>
          </reference>
        </references>
      </pivotArea>
    </chartFormat>
    <chartFormat chart="3" format="16">
      <pivotArea type="data" outline="0" fieldPosition="0">
        <references count="3">
          <reference field="4294967294" count="1" selected="0">
            <x v="0"/>
          </reference>
          <reference field="7" count="1" selected="0">
            <x v="0"/>
          </reference>
          <reference field="12" count="1" selected="0">
            <x v="2"/>
          </reference>
        </references>
      </pivotArea>
    </chartFormat>
    <chartFormat chart="3" format="17">
      <pivotArea type="data" outline="0" fieldPosition="0">
        <references count="3">
          <reference field="4294967294" count="1" selected="0">
            <x v="0"/>
          </reference>
          <reference field="7" count="1" selected="0">
            <x v="2"/>
          </reference>
          <reference field="12" count="1" selected="0">
            <x v="2"/>
          </reference>
        </references>
      </pivotArea>
    </chartFormat>
    <chartFormat chart="3" format="18">
      <pivotArea type="data" outline="0" fieldPosition="0">
        <references count="3">
          <reference field="4294967294" count="1" selected="0">
            <x v="0"/>
          </reference>
          <reference field="7" count="1" selected="0">
            <x v="11"/>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D91271-B581-4256-83EB-890A41708AB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21" firstHeaderRow="1" firstDataRow="1" firstDataCol="1"/>
  <pivotFields count="13">
    <pivotField dataField="1" showAll="0">
      <items count="9">
        <item x="0"/>
        <item x="1"/>
        <item x="2"/>
        <item x="3"/>
        <item x="4"/>
        <item x="5"/>
        <item x="6"/>
        <item x="7"/>
        <item t="default"/>
      </items>
    </pivotField>
    <pivotField name="Time" axis="axisRow" showAll="0" sortType="descending">
      <items count="18">
        <item x="16"/>
        <item x="12"/>
        <item x="9"/>
        <item x="10"/>
        <item x="1"/>
        <item x="7"/>
        <item x="4"/>
        <item x="0"/>
        <item x="2"/>
        <item x="5"/>
        <item x="6"/>
        <item x="3"/>
        <item x="8"/>
        <item x="13"/>
        <item x="14"/>
        <item x="15"/>
        <item x="11"/>
        <item t="default"/>
      </items>
      <autoSortScope>
        <pivotArea dataOnly="0" outline="0" fieldPosition="0">
          <references count="1">
            <reference field="4294967294" count="1" selected="0">
              <x v="0"/>
            </reference>
          </references>
        </pivotArea>
      </autoSortScope>
    </pivotField>
    <pivotField showAll="0"/>
    <pivotField numFmtId="44" showAll="0"/>
    <pivotField showAll="0">
      <items count="9">
        <item x="0"/>
        <item x="1"/>
        <item x="2"/>
        <item x="3"/>
        <item x="4"/>
        <item x="5"/>
        <item x="6"/>
        <item x="7"/>
        <item t="default"/>
      </items>
    </pivotField>
    <pivotField showAll="0">
      <items count="4">
        <item x="1"/>
        <item x="0"/>
        <item x="2"/>
        <item t="default"/>
      </items>
    </pivotField>
    <pivotField showAll="0">
      <items count="8">
        <item x="5"/>
        <item x="6"/>
        <item x="3"/>
        <item x="4"/>
        <item x="0"/>
        <item x="1"/>
        <item x="2"/>
        <item t="default"/>
      </items>
    </pivotField>
    <pivotField showAll="0">
      <items count="13">
        <item x="10"/>
        <item x="11"/>
        <item x="0"/>
        <item x="1"/>
        <item x="2"/>
        <item x="3"/>
        <item x="4"/>
        <item x="5"/>
        <item x="6"/>
        <item x="7"/>
        <item x="8"/>
        <item x="9"/>
        <item t="default"/>
      </items>
    </pivotField>
    <pivotField numFmtId="14" showAll="0">
      <items count="382">
        <item x="0"/>
        <item x="1"/>
        <item x="2"/>
        <item x="243"/>
        <item x="364"/>
        <item x="3"/>
        <item x="4"/>
        <item x="5"/>
        <item x="6"/>
        <item x="367"/>
        <item x="7"/>
        <item x="8"/>
        <item x="9"/>
        <item x="10"/>
        <item x="11"/>
        <item x="12"/>
        <item x="368"/>
        <item x="13"/>
        <item x="244"/>
        <item x="346"/>
        <item x="347"/>
        <item x="14"/>
        <item x="245"/>
        <item x="374"/>
        <item x="246"/>
        <item x="15"/>
        <item x="16"/>
        <item x="17"/>
        <item x="348"/>
        <item x="247"/>
        <item x="349"/>
        <item x="18"/>
        <item x="19"/>
        <item x="20"/>
        <item x="350"/>
        <item x="21"/>
        <item x="22"/>
        <item x="248"/>
        <item x="23"/>
        <item x="372"/>
        <item x="351"/>
        <item x="24"/>
        <item x="369"/>
        <item x="25"/>
        <item x="26"/>
        <item x="27"/>
        <item x="28"/>
        <item x="29"/>
        <item x="30"/>
        <item x="249"/>
        <item x="31"/>
        <item x="32"/>
        <item x="33"/>
        <item x="250"/>
        <item x="251"/>
        <item x="34"/>
        <item x="35"/>
        <item x="352"/>
        <item x="36"/>
        <item x="37"/>
        <item x="38"/>
        <item x="39"/>
        <item x="375"/>
        <item x="40"/>
        <item x="41"/>
        <item x="376"/>
        <item x="42"/>
        <item x="377"/>
        <item x="252"/>
        <item x="43"/>
        <item x="253"/>
        <item x="44"/>
        <item x="45"/>
        <item x="254"/>
        <item x="46"/>
        <item x="255"/>
        <item x="47"/>
        <item x="48"/>
        <item x="353"/>
        <item x="49"/>
        <item x="256"/>
        <item x="50"/>
        <item x="51"/>
        <item x="52"/>
        <item x="53"/>
        <item x="54"/>
        <item x="55"/>
        <item x="257"/>
        <item x="258"/>
        <item x="259"/>
        <item x="260"/>
        <item x="261"/>
        <item x="262"/>
        <item x="56"/>
        <item x="57"/>
        <item x="263"/>
        <item x="264"/>
        <item x="58"/>
        <item x="354"/>
        <item x="265"/>
        <item x="266"/>
        <item x="59"/>
        <item x="60"/>
        <item x="61"/>
        <item x="267"/>
        <item x="62"/>
        <item x="63"/>
        <item x="64"/>
        <item x="268"/>
        <item x="65"/>
        <item x="269"/>
        <item x="270"/>
        <item x="271"/>
        <item x="272"/>
        <item x="66"/>
        <item x="273"/>
        <item x="274"/>
        <item x="275"/>
        <item x="276"/>
        <item x="355"/>
        <item x="67"/>
        <item x="277"/>
        <item x="68"/>
        <item x="69"/>
        <item x="278"/>
        <item x="279"/>
        <item x="70"/>
        <item x="280"/>
        <item x="71"/>
        <item x="72"/>
        <item x="370"/>
        <item x="378"/>
        <item x="73"/>
        <item x="356"/>
        <item x="281"/>
        <item x="282"/>
        <item x="74"/>
        <item x="75"/>
        <item x="76"/>
        <item x="357"/>
        <item x="77"/>
        <item x="78"/>
        <item x="79"/>
        <item x="80"/>
        <item x="81"/>
        <item x="283"/>
        <item x="284"/>
        <item x="82"/>
        <item x="83"/>
        <item x="84"/>
        <item x="85"/>
        <item x="285"/>
        <item x="286"/>
        <item x="287"/>
        <item x="288"/>
        <item x="289"/>
        <item x="86"/>
        <item x="290"/>
        <item x="87"/>
        <item x="88"/>
        <item x="291"/>
        <item x="89"/>
        <item x="292"/>
        <item x="90"/>
        <item x="91"/>
        <item x="92"/>
        <item x="293"/>
        <item x="93"/>
        <item x="294"/>
        <item x="94"/>
        <item x="95"/>
        <item x="96"/>
        <item x="97"/>
        <item x="98"/>
        <item x="99"/>
        <item x="100"/>
        <item x="379"/>
        <item x="101"/>
        <item x="102"/>
        <item x="295"/>
        <item x="296"/>
        <item x="103"/>
        <item x="104"/>
        <item x="297"/>
        <item x="105"/>
        <item x="106"/>
        <item x="107"/>
        <item x="108"/>
        <item x="109"/>
        <item x="110"/>
        <item x="111"/>
        <item x="298"/>
        <item x="112"/>
        <item x="299"/>
        <item x="358"/>
        <item x="113"/>
        <item x="300"/>
        <item x="301"/>
        <item x="302"/>
        <item x="114"/>
        <item x="115"/>
        <item x="116"/>
        <item x="117"/>
        <item x="118"/>
        <item x="119"/>
        <item x="120"/>
        <item x="303"/>
        <item x="121"/>
        <item x="304"/>
        <item x="122"/>
        <item x="305"/>
        <item x="123"/>
        <item x="306"/>
        <item x="307"/>
        <item x="124"/>
        <item x="125"/>
        <item x="126"/>
        <item x="127"/>
        <item x="128"/>
        <item x="129"/>
        <item x="130"/>
        <item x="131"/>
        <item x="308"/>
        <item x="309"/>
        <item x="132"/>
        <item x="133"/>
        <item x="134"/>
        <item x="135"/>
        <item x="136"/>
        <item x="310"/>
        <item x="311"/>
        <item x="137"/>
        <item x="138"/>
        <item x="312"/>
        <item x="139"/>
        <item x="140"/>
        <item x="141"/>
        <item x="313"/>
        <item x="142"/>
        <item x="314"/>
        <item x="143"/>
        <item x="315"/>
        <item x="144"/>
        <item x="145"/>
        <item x="146"/>
        <item x="147"/>
        <item x="316"/>
        <item x="148"/>
        <item x="149"/>
        <item x="150"/>
        <item x="151"/>
        <item x="152"/>
        <item x="317"/>
        <item x="359"/>
        <item x="318"/>
        <item x="153"/>
        <item x="154"/>
        <item x="155"/>
        <item x="156"/>
        <item x="319"/>
        <item x="320"/>
        <item x="321"/>
        <item x="322"/>
        <item x="360"/>
        <item x="157"/>
        <item x="380"/>
        <item x="323"/>
        <item x="158"/>
        <item x="324"/>
        <item x="325"/>
        <item x="159"/>
        <item x="326"/>
        <item x="160"/>
        <item x="161"/>
        <item x="162"/>
        <item x="163"/>
        <item x="373"/>
        <item x="164"/>
        <item x="327"/>
        <item x="165"/>
        <item x="371"/>
        <item x="365"/>
        <item x="166"/>
        <item x="167"/>
        <item x="168"/>
        <item x="366"/>
        <item x="328"/>
        <item x="169"/>
        <item x="329"/>
        <item x="330"/>
        <item x="331"/>
        <item x="170"/>
        <item x="361"/>
        <item x="332"/>
        <item x="333"/>
        <item x="171"/>
        <item x="362"/>
        <item x="172"/>
        <item x="334"/>
        <item x="173"/>
        <item x="174"/>
        <item x="175"/>
        <item x="176"/>
        <item x="177"/>
        <item x="178"/>
        <item x="335"/>
        <item x="179"/>
        <item x="363"/>
        <item x="336"/>
        <item x="180"/>
        <item x="337"/>
        <item x="181"/>
        <item x="182"/>
        <item x="338"/>
        <item x="339"/>
        <item x="183"/>
        <item x="340"/>
        <item x="341"/>
        <item x="342"/>
        <item x="184"/>
        <item x="185"/>
        <item x="343"/>
        <item x="186"/>
        <item x="187"/>
        <item x="188"/>
        <item x="189"/>
        <item x="190"/>
        <item x="191"/>
        <item x="192"/>
        <item x="193"/>
        <item x="344"/>
        <item x="345"/>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showAll="0"/>
    <pivotField showAll="0" defaultSubtotal="0"/>
    <pivotField showAll="0" defaultSubtotal="0"/>
    <pivotField showAll="0" defaultSubtotal="0">
      <items count="4">
        <item x="0"/>
        <item x="1"/>
        <item x="2"/>
        <item x="3"/>
      </items>
    </pivotField>
  </pivotFields>
  <rowFields count="1">
    <field x="1"/>
  </rowFields>
  <rowItems count="18">
    <i>
      <x v="4"/>
    </i>
    <i>
      <x v="5"/>
    </i>
    <i>
      <x v="10"/>
    </i>
    <i>
      <x v="3"/>
    </i>
    <i>
      <x v="6"/>
    </i>
    <i>
      <x v="11"/>
    </i>
    <i>
      <x v="9"/>
    </i>
    <i>
      <x v="2"/>
    </i>
    <i>
      <x v="13"/>
    </i>
    <i>
      <x v="7"/>
    </i>
    <i>
      <x v="8"/>
    </i>
    <i>
      <x v="12"/>
    </i>
    <i>
      <x v="15"/>
    </i>
    <i>
      <x v="14"/>
    </i>
    <i>
      <x v="16"/>
    </i>
    <i>
      <x v="1"/>
    </i>
    <i>
      <x/>
    </i>
    <i t="grand">
      <x/>
    </i>
  </rowItems>
  <colItems count="1">
    <i/>
  </colItems>
  <dataFields count="1">
    <dataField name="Count of Index" fld="0" subtotal="count"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F2F0DA-7C62-47FC-99C5-E993B23DCA25}"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5" firstHeaderRow="1" firstDataRow="1" firstDataCol="1"/>
  <pivotFields count="13">
    <pivotField showAll="0"/>
    <pivotField showAll="0"/>
    <pivotField axis="axisRow" dataField="1" showAll="0">
      <items count="2">
        <item x="0"/>
        <item t="default"/>
      </items>
    </pivotField>
    <pivotField numFmtId="44" showAll="0"/>
    <pivotField showAll="0"/>
    <pivotField showAll="0"/>
    <pivotField showAll="0"/>
    <pivotField showAll="0"/>
    <pivotField numFmtId="14" showAll="0">
      <items count="382">
        <item x="0"/>
        <item x="1"/>
        <item x="2"/>
        <item x="243"/>
        <item x="364"/>
        <item x="3"/>
        <item x="4"/>
        <item x="5"/>
        <item x="6"/>
        <item x="367"/>
        <item x="7"/>
        <item x="8"/>
        <item x="9"/>
        <item x="10"/>
        <item x="11"/>
        <item x="12"/>
        <item x="368"/>
        <item x="13"/>
        <item x="244"/>
        <item x="346"/>
        <item x="347"/>
        <item x="14"/>
        <item x="245"/>
        <item x="374"/>
        <item x="246"/>
        <item x="15"/>
        <item x="16"/>
        <item x="17"/>
        <item x="348"/>
        <item x="247"/>
        <item x="349"/>
        <item x="18"/>
        <item x="19"/>
        <item x="20"/>
        <item x="350"/>
        <item x="21"/>
        <item x="22"/>
        <item x="248"/>
        <item x="23"/>
        <item x="372"/>
        <item x="351"/>
        <item x="24"/>
        <item x="369"/>
        <item x="25"/>
        <item x="26"/>
        <item x="27"/>
        <item x="28"/>
        <item x="29"/>
        <item x="30"/>
        <item x="249"/>
        <item x="31"/>
        <item x="32"/>
        <item x="33"/>
        <item x="250"/>
        <item x="251"/>
        <item x="34"/>
        <item x="35"/>
        <item x="352"/>
        <item x="36"/>
        <item x="37"/>
        <item x="38"/>
        <item x="39"/>
        <item x="375"/>
        <item x="40"/>
        <item x="41"/>
        <item x="376"/>
        <item x="42"/>
        <item x="377"/>
        <item x="252"/>
        <item x="43"/>
        <item x="253"/>
        <item x="44"/>
        <item x="45"/>
        <item x="254"/>
        <item x="46"/>
        <item x="255"/>
        <item x="47"/>
        <item x="48"/>
        <item x="353"/>
        <item x="49"/>
        <item x="256"/>
        <item x="50"/>
        <item x="51"/>
        <item x="52"/>
        <item x="53"/>
        <item x="54"/>
        <item x="55"/>
        <item x="257"/>
        <item x="258"/>
        <item x="259"/>
        <item x="260"/>
        <item x="261"/>
        <item x="262"/>
        <item x="56"/>
        <item x="57"/>
        <item x="263"/>
        <item x="264"/>
        <item x="58"/>
        <item x="354"/>
        <item x="265"/>
        <item x="266"/>
        <item x="59"/>
        <item x="60"/>
        <item x="61"/>
        <item x="267"/>
        <item x="62"/>
        <item x="63"/>
        <item x="64"/>
        <item x="268"/>
        <item x="65"/>
        <item x="269"/>
        <item x="270"/>
        <item x="271"/>
        <item x="272"/>
        <item x="66"/>
        <item x="273"/>
        <item x="274"/>
        <item x="275"/>
        <item x="276"/>
        <item x="355"/>
        <item x="67"/>
        <item x="277"/>
        <item x="68"/>
        <item x="69"/>
        <item x="278"/>
        <item x="279"/>
        <item x="70"/>
        <item x="280"/>
        <item x="71"/>
        <item x="72"/>
        <item x="370"/>
        <item x="378"/>
        <item x="73"/>
        <item x="356"/>
        <item x="281"/>
        <item x="282"/>
        <item x="74"/>
        <item x="75"/>
        <item x="76"/>
        <item x="357"/>
        <item x="77"/>
        <item x="78"/>
        <item x="79"/>
        <item x="80"/>
        <item x="81"/>
        <item x="283"/>
        <item x="284"/>
        <item x="82"/>
        <item x="83"/>
        <item x="84"/>
        <item x="85"/>
        <item x="285"/>
        <item x="286"/>
        <item x="287"/>
        <item x="288"/>
        <item x="289"/>
        <item x="86"/>
        <item x="290"/>
        <item x="87"/>
        <item x="88"/>
        <item x="291"/>
        <item x="89"/>
        <item x="292"/>
        <item x="90"/>
        <item x="91"/>
        <item x="92"/>
        <item x="293"/>
        <item x="93"/>
        <item x="294"/>
        <item x="94"/>
        <item x="95"/>
        <item x="96"/>
        <item x="97"/>
        <item x="98"/>
        <item x="99"/>
        <item x="100"/>
        <item x="379"/>
        <item x="101"/>
        <item x="102"/>
        <item x="295"/>
        <item x="296"/>
        <item x="103"/>
        <item x="104"/>
        <item x="297"/>
        <item x="105"/>
        <item x="106"/>
        <item x="107"/>
        <item x="108"/>
        <item x="109"/>
        <item x="110"/>
        <item x="111"/>
        <item x="298"/>
        <item x="112"/>
        <item x="299"/>
        <item x="358"/>
        <item x="113"/>
        <item x="300"/>
        <item x="301"/>
        <item x="302"/>
        <item x="114"/>
        <item x="115"/>
        <item x="116"/>
        <item x="117"/>
        <item x="118"/>
        <item x="119"/>
        <item x="120"/>
        <item x="303"/>
        <item x="121"/>
        <item x="304"/>
        <item x="122"/>
        <item x="305"/>
        <item x="123"/>
        <item x="306"/>
        <item x="307"/>
        <item x="124"/>
        <item x="125"/>
        <item x="126"/>
        <item x="127"/>
        <item x="128"/>
        <item x="129"/>
        <item x="130"/>
        <item x="131"/>
        <item x="308"/>
        <item x="309"/>
        <item x="132"/>
        <item x="133"/>
        <item x="134"/>
        <item x="135"/>
        <item x="136"/>
        <item x="310"/>
        <item x="311"/>
        <item x="137"/>
        <item x="138"/>
        <item x="312"/>
        <item x="139"/>
        <item x="140"/>
        <item x="141"/>
        <item x="313"/>
        <item x="142"/>
        <item x="314"/>
        <item x="143"/>
        <item x="315"/>
        <item x="144"/>
        <item x="145"/>
        <item x="146"/>
        <item x="147"/>
        <item x="316"/>
        <item x="148"/>
        <item x="149"/>
        <item x="150"/>
        <item x="151"/>
        <item x="152"/>
        <item x="317"/>
        <item x="359"/>
        <item x="318"/>
        <item x="153"/>
        <item x="154"/>
        <item x="155"/>
        <item x="156"/>
        <item x="319"/>
        <item x="320"/>
        <item x="321"/>
        <item x="322"/>
        <item x="360"/>
        <item x="157"/>
        <item x="380"/>
        <item x="323"/>
        <item x="158"/>
        <item x="324"/>
        <item x="325"/>
        <item x="159"/>
        <item x="326"/>
        <item x="160"/>
        <item x="161"/>
        <item x="162"/>
        <item x="163"/>
        <item x="373"/>
        <item x="164"/>
        <item x="327"/>
        <item x="165"/>
        <item x="371"/>
        <item x="365"/>
        <item x="166"/>
        <item x="167"/>
        <item x="168"/>
        <item x="366"/>
        <item x="328"/>
        <item x="169"/>
        <item x="329"/>
        <item x="330"/>
        <item x="331"/>
        <item x="170"/>
        <item x="361"/>
        <item x="332"/>
        <item x="333"/>
        <item x="171"/>
        <item x="362"/>
        <item x="172"/>
        <item x="334"/>
        <item x="173"/>
        <item x="174"/>
        <item x="175"/>
        <item x="176"/>
        <item x="177"/>
        <item x="178"/>
        <item x="335"/>
        <item x="179"/>
        <item x="363"/>
        <item x="336"/>
        <item x="180"/>
        <item x="337"/>
        <item x="181"/>
        <item x="182"/>
        <item x="338"/>
        <item x="339"/>
        <item x="183"/>
        <item x="340"/>
        <item x="341"/>
        <item x="342"/>
        <item x="184"/>
        <item x="185"/>
        <item x="343"/>
        <item x="186"/>
        <item x="187"/>
        <item x="188"/>
        <item x="189"/>
        <item x="190"/>
        <item x="191"/>
        <item x="192"/>
        <item x="193"/>
        <item x="344"/>
        <item x="345"/>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showAll="0"/>
    <pivotField showAll="0" defaultSubtotal="0"/>
    <pivotField showAll="0" defaultSubtotal="0"/>
    <pivotField showAll="0" defaultSubtotal="0">
      <items count="4">
        <item x="0"/>
        <item x="1"/>
        <item x="2"/>
        <item x="3"/>
      </items>
    </pivotField>
  </pivotFields>
  <rowFields count="1">
    <field x="2"/>
  </rowFields>
  <rowItems count="2">
    <i>
      <x/>
    </i>
    <i t="grand">
      <x/>
    </i>
  </rowItems>
  <colItems count="1">
    <i/>
  </colItems>
  <dataFields count="1">
    <dataField name="Count of cash_type" fld="2" subtotal="count" baseField="2" baseItem="0"/>
  </dataFields>
  <chartFormats count="2">
    <chartFormat chart="16" format="3" series="1">
      <pivotArea type="data" outline="0" fieldPosition="0">
        <references count="1">
          <reference field="4294967294" count="1" selected="0">
            <x v="0"/>
          </reference>
        </references>
      </pivotArea>
    </chartFormat>
    <chartFormat chart="16" format="4">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FF7C12-208C-427F-B6CB-CAB655A05F1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4" firstHeaderRow="0" firstDataRow="1" firstDataCol="1"/>
  <pivotFields count="13">
    <pivotField dataField="1" showAll="0"/>
    <pivotField showAll="0"/>
    <pivotField showAll="0"/>
    <pivotField axis="axisRow" dataField="1" numFmtId="44" showAll="0">
      <items count="14">
        <item x="11"/>
        <item x="12"/>
        <item x="2"/>
        <item x="10"/>
        <item x="3"/>
        <item x="1"/>
        <item x="0"/>
        <item x="6"/>
        <item x="5"/>
        <item x="4"/>
        <item x="9"/>
        <item x="8"/>
        <item x="7"/>
        <item t="default"/>
      </items>
    </pivotField>
    <pivotField axis="axisRow" showAll="0">
      <items count="9">
        <item x="0"/>
        <item x="1"/>
        <item x="2"/>
        <item x="3"/>
        <item x="4"/>
        <item x="5"/>
        <item x="6"/>
        <item x="7"/>
        <item t="default"/>
      </items>
    </pivotField>
    <pivotField showAll="0"/>
    <pivotField showAll="0"/>
    <pivotField showAll="0"/>
    <pivotField dataField="1" numFmtId="14" showAll="0">
      <items count="382">
        <item x="0"/>
        <item x="1"/>
        <item x="2"/>
        <item x="243"/>
        <item x="364"/>
        <item x="3"/>
        <item x="4"/>
        <item x="5"/>
        <item x="6"/>
        <item x="367"/>
        <item x="7"/>
        <item x="8"/>
        <item x="9"/>
        <item x="10"/>
        <item x="11"/>
        <item x="12"/>
        <item x="368"/>
        <item x="13"/>
        <item x="244"/>
        <item x="346"/>
        <item x="347"/>
        <item x="14"/>
        <item x="245"/>
        <item x="374"/>
        <item x="246"/>
        <item x="15"/>
        <item x="16"/>
        <item x="17"/>
        <item x="348"/>
        <item x="247"/>
        <item x="349"/>
        <item x="18"/>
        <item x="19"/>
        <item x="20"/>
        <item x="350"/>
        <item x="21"/>
        <item x="22"/>
        <item x="248"/>
        <item x="23"/>
        <item x="372"/>
        <item x="351"/>
        <item x="24"/>
        <item x="369"/>
        <item x="25"/>
        <item x="26"/>
        <item x="27"/>
        <item x="28"/>
        <item x="29"/>
        <item x="30"/>
        <item x="249"/>
        <item x="31"/>
        <item x="32"/>
        <item x="33"/>
        <item x="250"/>
        <item x="251"/>
        <item x="34"/>
        <item x="35"/>
        <item x="352"/>
        <item x="36"/>
        <item x="37"/>
        <item x="38"/>
        <item x="39"/>
        <item x="375"/>
        <item x="40"/>
        <item x="41"/>
        <item x="376"/>
        <item x="42"/>
        <item x="377"/>
        <item x="252"/>
        <item x="43"/>
        <item x="253"/>
        <item x="44"/>
        <item x="45"/>
        <item x="254"/>
        <item x="46"/>
        <item x="255"/>
        <item x="47"/>
        <item x="48"/>
        <item x="353"/>
        <item x="49"/>
        <item x="256"/>
        <item x="50"/>
        <item x="51"/>
        <item x="52"/>
        <item x="53"/>
        <item x="54"/>
        <item x="55"/>
        <item x="257"/>
        <item x="258"/>
        <item x="259"/>
        <item x="260"/>
        <item x="261"/>
        <item x="262"/>
        <item x="56"/>
        <item x="57"/>
        <item x="263"/>
        <item x="264"/>
        <item x="58"/>
        <item x="354"/>
        <item x="265"/>
        <item x="266"/>
        <item x="59"/>
        <item x="60"/>
        <item x="61"/>
        <item x="267"/>
        <item x="62"/>
        <item x="63"/>
        <item x="64"/>
        <item x="268"/>
        <item x="65"/>
        <item x="269"/>
        <item x="270"/>
        <item x="271"/>
        <item x="272"/>
        <item x="66"/>
        <item x="273"/>
        <item x="274"/>
        <item x="275"/>
        <item x="276"/>
        <item x="355"/>
        <item x="67"/>
        <item x="277"/>
        <item x="68"/>
        <item x="69"/>
        <item x="278"/>
        <item x="279"/>
        <item x="70"/>
        <item x="280"/>
        <item x="71"/>
        <item x="72"/>
        <item x="370"/>
        <item x="378"/>
        <item x="73"/>
        <item x="356"/>
        <item x="281"/>
        <item x="282"/>
        <item x="74"/>
        <item x="75"/>
        <item x="76"/>
        <item x="357"/>
        <item x="77"/>
        <item x="78"/>
        <item x="79"/>
        <item x="80"/>
        <item x="81"/>
        <item x="283"/>
        <item x="284"/>
        <item x="82"/>
        <item x="83"/>
        <item x="84"/>
        <item x="85"/>
        <item x="285"/>
        <item x="286"/>
        <item x="287"/>
        <item x="288"/>
        <item x="289"/>
        <item x="86"/>
        <item x="290"/>
        <item x="87"/>
        <item x="88"/>
        <item x="291"/>
        <item x="89"/>
        <item x="292"/>
        <item x="90"/>
        <item x="91"/>
        <item x="92"/>
        <item x="293"/>
        <item x="93"/>
        <item x="294"/>
        <item x="94"/>
        <item x="95"/>
        <item x="96"/>
        <item x="97"/>
        <item x="98"/>
        <item x="99"/>
        <item x="100"/>
        <item x="379"/>
        <item x="101"/>
        <item x="102"/>
        <item x="295"/>
        <item x="296"/>
        <item x="103"/>
        <item x="104"/>
        <item x="297"/>
        <item x="105"/>
        <item x="106"/>
        <item x="107"/>
        <item x="108"/>
        <item x="109"/>
        <item x="110"/>
        <item x="111"/>
        <item x="298"/>
        <item x="112"/>
        <item x="299"/>
        <item x="358"/>
        <item x="113"/>
        <item x="300"/>
        <item x="301"/>
        <item x="302"/>
        <item x="114"/>
        <item x="115"/>
        <item x="116"/>
        <item x="117"/>
        <item x="118"/>
        <item x="119"/>
        <item x="120"/>
        <item x="303"/>
        <item x="121"/>
        <item x="304"/>
        <item x="122"/>
        <item x="305"/>
        <item x="123"/>
        <item x="306"/>
        <item x="307"/>
        <item x="124"/>
        <item x="125"/>
        <item x="126"/>
        <item x="127"/>
        <item x="128"/>
        <item x="129"/>
        <item x="130"/>
        <item x="131"/>
        <item x="308"/>
        <item x="309"/>
        <item x="132"/>
        <item x="133"/>
        <item x="134"/>
        <item x="135"/>
        <item x="136"/>
        <item x="310"/>
        <item x="311"/>
        <item x="137"/>
        <item x="138"/>
        <item x="312"/>
        <item x="139"/>
        <item x="140"/>
        <item x="141"/>
        <item x="313"/>
        <item x="142"/>
        <item x="314"/>
        <item x="143"/>
        <item x="315"/>
        <item x="144"/>
        <item x="145"/>
        <item x="146"/>
        <item x="147"/>
        <item x="316"/>
        <item x="148"/>
        <item x="149"/>
        <item x="150"/>
        <item x="151"/>
        <item x="152"/>
        <item x="317"/>
        <item x="359"/>
        <item x="318"/>
        <item x="153"/>
        <item x="154"/>
        <item x="155"/>
        <item x="156"/>
        <item x="319"/>
        <item x="320"/>
        <item x="321"/>
        <item x="322"/>
        <item x="360"/>
        <item x="157"/>
        <item x="380"/>
        <item x="323"/>
        <item x="158"/>
        <item x="324"/>
        <item x="325"/>
        <item x="159"/>
        <item x="326"/>
        <item x="160"/>
        <item x="161"/>
        <item x="162"/>
        <item x="163"/>
        <item x="373"/>
        <item x="164"/>
        <item x="327"/>
        <item x="165"/>
        <item x="371"/>
        <item x="365"/>
        <item x="166"/>
        <item x="167"/>
        <item x="168"/>
        <item x="366"/>
        <item x="328"/>
        <item x="169"/>
        <item x="329"/>
        <item x="330"/>
        <item x="331"/>
        <item x="170"/>
        <item x="361"/>
        <item x="332"/>
        <item x="333"/>
        <item x="171"/>
        <item x="362"/>
        <item x="172"/>
        <item x="334"/>
        <item x="173"/>
        <item x="174"/>
        <item x="175"/>
        <item x="176"/>
        <item x="177"/>
        <item x="178"/>
        <item x="335"/>
        <item x="179"/>
        <item x="363"/>
        <item x="336"/>
        <item x="180"/>
        <item x="337"/>
        <item x="181"/>
        <item x="182"/>
        <item x="338"/>
        <item x="339"/>
        <item x="183"/>
        <item x="340"/>
        <item x="341"/>
        <item x="342"/>
        <item x="184"/>
        <item x="185"/>
        <item x="343"/>
        <item x="186"/>
        <item x="187"/>
        <item x="188"/>
        <item x="189"/>
        <item x="190"/>
        <item x="191"/>
        <item x="192"/>
        <item x="193"/>
        <item x="344"/>
        <item x="345"/>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defaultSubtotal="0"/>
    <pivotField showAll="0" defaultSubtotal="0"/>
    <pivotField showAll="0" defaultSubtotal="0">
      <items count="4">
        <item x="0"/>
        <item x="1"/>
        <item x="2"/>
        <item x="3"/>
      </items>
    </pivotField>
  </pivotFields>
  <rowFields count="2">
    <field x="4"/>
    <field x="3"/>
  </rowFields>
  <rowItems count="41">
    <i>
      <x/>
    </i>
    <i r="1">
      <x v="2"/>
    </i>
    <i r="1">
      <x v="4"/>
    </i>
    <i r="1">
      <x v="5"/>
    </i>
    <i r="1">
      <x v="6"/>
    </i>
    <i>
      <x v="1"/>
    </i>
    <i r="1">
      <x v="5"/>
    </i>
    <i r="1">
      <x v="7"/>
    </i>
    <i r="1">
      <x v="8"/>
    </i>
    <i r="1">
      <x v="9"/>
    </i>
    <i>
      <x v="2"/>
    </i>
    <i r="1">
      <x v="8"/>
    </i>
    <i r="1">
      <x v="10"/>
    </i>
    <i r="1">
      <x v="11"/>
    </i>
    <i r="1">
      <x v="12"/>
    </i>
    <i>
      <x v="3"/>
    </i>
    <i r="1">
      <x v="8"/>
    </i>
    <i r="1">
      <x v="10"/>
    </i>
    <i r="1">
      <x v="11"/>
    </i>
    <i r="1">
      <x v="12"/>
    </i>
    <i>
      <x v="4"/>
    </i>
    <i r="1">
      <x v="2"/>
    </i>
    <i r="1">
      <x v="4"/>
    </i>
    <i r="1">
      <x v="5"/>
    </i>
    <i r="1">
      <x v="6"/>
    </i>
    <i>
      <x v="5"/>
    </i>
    <i r="1">
      <x/>
    </i>
    <i r="1">
      <x v="1"/>
    </i>
    <i r="1">
      <x v="2"/>
    </i>
    <i r="1">
      <x v="3"/>
    </i>
    <i>
      <x v="6"/>
    </i>
    <i r="1">
      <x v="8"/>
    </i>
    <i r="1">
      <x v="10"/>
    </i>
    <i r="1">
      <x v="11"/>
    </i>
    <i r="1">
      <x v="12"/>
    </i>
    <i>
      <x v="7"/>
    </i>
    <i r="1">
      <x v="8"/>
    </i>
    <i r="1">
      <x v="10"/>
    </i>
    <i r="1">
      <x v="11"/>
    </i>
    <i r="1">
      <x v="12"/>
    </i>
    <i t="grand">
      <x/>
    </i>
  </rowItems>
  <colFields count="1">
    <field x="-2"/>
  </colFields>
  <colItems count="4">
    <i>
      <x/>
    </i>
    <i i="1">
      <x v="1"/>
    </i>
    <i i="2">
      <x v="2"/>
    </i>
    <i i="3">
      <x v="3"/>
    </i>
  </colItems>
  <dataFields count="4">
    <dataField name="Start Date" fld="8" subtotal="min" baseField="4" baseItem="0" numFmtId="14"/>
    <dataField name="End Date" fld="8" subtotal="max" baseField="4" baseItem="0" numFmtId="14"/>
    <dataField name="Count of Index" fld="0" subtotal="count" baseField="4" baseItem="0"/>
    <dataField name="Sum of money" fld="3" baseField="0" baseItem="0" numFmtId="44"/>
  </dataFields>
  <formats count="2">
    <format dxfId="13">
      <pivotArea field="4" type="button" dataOnly="0" labelOnly="1" outline="0" axis="axisRow" fieldPosition="0"/>
    </format>
    <format dxfId="1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_of_day" xr10:uid="{1D02C989-10B5-434C-8F41-1CBDA414822E}" sourceName="hour_of_day">
  <pivotTables>
    <pivotTable tabId="18" name="PivotTable16"/>
    <pivotTable tabId="12" name="PivotTable2"/>
    <pivotTable tabId="20" name="PivotTable1"/>
  </pivotTables>
  <data>
    <tabular pivotCacheId="1443291458">
      <items count="17">
        <i x="16" s="1"/>
        <i x="12" s="1"/>
        <i x="9" s="1"/>
        <i x="10" s="1"/>
        <i x="1" s="1"/>
        <i x="7" s="1"/>
        <i x="4" s="1"/>
        <i x="0" s="1"/>
        <i x="2" s="1"/>
        <i x="5" s="1"/>
        <i x="6" s="1"/>
        <i x="3" s="1"/>
        <i x="8" s="1"/>
        <i x="13" s="1"/>
        <i x="14" s="1"/>
        <i x="15"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344A2F23-8274-4132-9DB7-1D5CD380EFE7}" sourceName="coffee_name">
  <pivotTables>
    <pivotTable tabId="18" name="PivotTable16"/>
    <pivotTable tabId="12" name="PivotTable2"/>
    <pivotTable tabId="13" name="PivotTable3"/>
    <pivotTable tabId="20" name="PivotTable1"/>
  </pivotTables>
  <data>
    <tabular pivotCacheId="1443291458">
      <items count="8">
        <i x="0" s="1"/>
        <i x="1" s="1"/>
        <i x="2" s="1"/>
        <i x="3" s="1"/>
        <i x="4" s="1"/>
        <i x="5" s="1"/>
        <i x="6"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 xr10:uid="{1B7FEA5C-AE4E-48C4-9067-C1509A9097E2}" sourceName="Time_of_Day">
  <pivotTables>
    <pivotTable tabId="18" name="PivotTable16"/>
    <pivotTable tabId="12" name="PivotTable2"/>
    <pivotTable tabId="13" name="PivotTable3"/>
    <pivotTable tabId="20" name="PivotTable1"/>
  </pivotTables>
  <data>
    <tabular pivotCacheId="1443291458">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AEE70046-4E7B-4C61-A6C2-0F15DB2CC2CA}" sourceName="Weekday">
  <pivotTables>
    <pivotTable tabId="18" name="PivotTable16"/>
    <pivotTable tabId="12" name="PivotTable2"/>
    <pivotTable tabId="13" name="PivotTable3"/>
    <pivotTable tabId="20" name="PivotTable1"/>
  </pivotTables>
  <data>
    <tabular pivotCacheId="1443291458">
      <items count="7">
        <i x="5" s="1"/>
        <i x="6" s="1"/>
        <i x="3" s="1"/>
        <i x="4" s="1"/>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79724287-78A5-4E1D-8171-D656B1B3FADD}" sourceName="Month_name">
  <pivotTables>
    <pivotTable tabId="12" name="PivotTable2"/>
    <pivotTable tabId="13" name="PivotTable3"/>
    <pivotTable tabId="18" name="PivotTable16"/>
    <pivotTable tabId="20" name="PivotTable1"/>
  </pivotTables>
  <data>
    <tabular pivotCacheId="1443291458">
      <items count="12">
        <i x="10" s="1"/>
        <i x="11" s="1"/>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ur_of_day" xr10:uid="{6DD5A125-7A4E-42A7-A703-90CFA1CCBC13}" cache="Slicer_hour_of_day" caption="Hour" style="SlicerStyleDark1" rowHeight="257175"/>
  <slicer name="coffee_name" xr10:uid="{95882DDE-89EA-48F9-B20D-FA13B60F5AFE}" cache="Slicer_coffee_name" caption="Coffee Name" style="SlicerStyleDark1" rowHeight="257175"/>
  <slicer name="Time Of Day" xr10:uid="{7A612C6A-81E8-4989-A836-575CBF7A42BB}" cache="Slicer_Time_of_Day" caption="Time Of Day" style="SlicerStyleDark1" rowHeight="257175"/>
  <slicer name="Weekday" xr10:uid="{7B23463D-D82C-4777-AB01-FCD76815DCD3}" cache="Slicer_Weekday" caption="Day" style="SlicerStyleDark1" rowHeight="257175"/>
  <slicer name="Month_name" xr10:uid="{F0661790-C787-44BE-A20F-A4A401163DA3}" cache="Slicer_Month_name" caption="Month"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66A018C-4FA4-435F-ADE1-932288B651D5}" name="Table3" displayName="Table3" ref="A1:E647" totalsRowShown="0">
  <autoFilter ref="A1:E647" xr:uid="{766A018C-4FA4-435F-ADE1-932288B651D5}"/>
  <tableColumns count="5">
    <tableColumn id="1" xr3:uid="{F517B1D4-205F-4B07-9383-B35883946E6C}" name="Date" dataDxfId="17"/>
    <tableColumn id="2" xr3:uid="{C34DBD5B-77EF-4808-8599-05FC08749942}" name="Sum of money"/>
    <tableColumn id="3" xr3:uid="{AA57161D-9524-40CD-9702-E34E4CEFDECB}" name="Forecast(Sum of money)" dataDxfId="16">
      <calculatedColumnFormula>_xlfn.FORECAST.ETS(A2,$B$2:$B$389,$A$2:$A$389,1,1)</calculatedColumnFormula>
    </tableColumn>
    <tableColumn id="4" xr3:uid="{657E2601-4635-432E-8D88-409F54C08C55}" name="Lower Confidence Bound(Sum of money)" dataDxfId="15">
      <calculatedColumnFormula>C2-_xlfn.FORECAST.ETS.CONFINT(A2,$B$2:$B$389,$A$2:$A$389,0.95,1,1)</calculatedColumnFormula>
    </tableColumn>
    <tableColumn id="5" xr3:uid="{9CFA10BA-1EDB-4529-9714-7A50C3745463}" name="Upper Confidence Bound(Sum of money)" dataDxfId="14">
      <calculatedColumnFormula>C2+_xlfn.FORECAST.ETS.CONFINT(A2,$B$2:$B$389,$A$2:$A$389,0.95,1,1)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9F8085-C689-46BE-948D-C929C968FB6C}" name="Table2" displayName="Table2" ref="A1:J3548" totalsRowShown="0" headerRowDxfId="11" dataDxfId="10">
  <autoFilter ref="A1:J3548" xr:uid="{8C9F8085-C689-46BE-948D-C929C968FB6C}"/>
  <tableColumns count="10">
    <tableColumn id="9" xr3:uid="{0402AC37-9B44-462C-B3CE-591FC0DD08F1}" name="Index" dataDxfId="9">
      <calculatedColumnFormula>_xlfn.XLOOKUP(E2,'Data Validation'!$M$3:$M$10,'Data Validation'!$N$3:$N$10)</calculatedColumnFormula>
    </tableColumn>
    <tableColumn id="1" xr3:uid="{33F0C4CD-87A2-43C2-B88C-B467ECECBCE5}" name="hour_of_day" dataDxfId="8"/>
    <tableColumn id="2" xr3:uid="{1C68F105-001A-473D-BCDB-550F0EE60A94}" name="cash_type" dataDxfId="7"/>
    <tableColumn id="3" xr3:uid="{53EF957D-213F-4CC2-B99E-C4042B327A9F}" name="money" dataDxfId="6"/>
    <tableColumn id="4" xr3:uid="{F72BB4CB-2FA2-411F-845B-B63A979AF9E9}" name="coffee_name" dataDxfId="5"/>
    <tableColumn id="5" xr3:uid="{A15DC514-9AEE-4665-9411-AEA4C305F213}" name="Time_of_Day" dataDxfId="4"/>
    <tableColumn id="6" xr3:uid="{0555C64B-BC54-4C59-AEE4-363044FA3DBD}" name="Weekday" dataDxfId="3"/>
    <tableColumn id="7" xr3:uid="{0F5FE73B-7DEA-4204-BE28-BBA02178FC10}" name="Month_name" dataDxfId="2"/>
    <tableColumn id="8" xr3:uid="{47BC6A1D-350E-4153-99B0-02ADCB193646}" name="Date" dataDxfId="1"/>
    <tableColumn id="10" xr3:uid="{BF084B10-8D28-47D5-80A5-E0FA3365E761}" name="PricePeriodI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52706-DCF4-4430-82C6-18347C2E0020}">
  <dimension ref="A1:AD34"/>
  <sheetViews>
    <sheetView showGridLines="0" tabSelected="1" zoomScaleNormal="100" workbookViewId="0">
      <selection activeCell="J2" sqref="J2:K2"/>
    </sheetView>
  </sheetViews>
  <sheetFormatPr defaultColWidth="11.140625" defaultRowHeight="26.25" customHeight="1" x14ac:dyDescent="0.25"/>
  <cols>
    <col min="1" max="12" width="11.140625" style="17"/>
    <col min="13" max="13" width="11.140625" style="17" customWidth="1"/>
    <col min="14" max="30" width="5.5703125" style="17" customWidth="1"/>
    <col min="31" max="16384" width="11.140625" style="17"/>
  </cols>
  <sheetData>
    <row r="1" spans="1:30" ht="26.25" customHeight="1" x14ac:dyDescent="0.25">
      <c r="A1" s="59" t="s">
        <v>72</v>
      </c>
      <c r="B1" s="60"/>
      <c r="C1" s="60"/>
      <c r="D1" s="60"/>
      <c r="E1" s="60"/>
      <c r="F1" s="60"/>
      <c r="G1" s="60"/>
      <c r="H1" s="60"/>
      <c r="I1" s="60"/>
      <c r="J1" s="60"/>
      <c r="K1" s="60"/>
      <c r="L1" s="60"/>
      <c r="M1" s="60"/>
      <c r="N1" s="60"/>
      <c r="O1" s="60"/>
      <c r="P1" s="60"/>
      <c r="Q1" s="60"/>
      <c r="R1" s="60"/>
      <c r="S1" s="60"/>
      <c r="T1" s="13"/>
      <c r="U1" s="14"/>
      <c r="V1" s="14"/>
      <c r="W1" s="14"/>
      <c r="X1" s="14"/>
      <c r="Y1" s="14"/>
      <c r="Z1" s="15"/>
      <c r="AA1" s="15"/>
      <c r="AB1" s="15"/>
      <c r="AC1" s="15"/>
      <c r="AD1" s="16"/>
    </row>
    <row r="2" spans="1:30" ht="26.25" customHeight="1" x14ac:dyDescent="0.3">
      <c r="A2" s="18"/>
      <c r="B2" s="65" t="s">
        <v>64</v>
      </c>
      <c r="C2" s="65"/>
      <c r="D2" s="19"/>
      <c r="E2" s="18"/>
      <c r="F2" s="65" t="s">
        <v>65</v>
      </c>
      <c r="G2" s="65"/>
      <c r="H2" s="20"/>
      <c r="I2" s="18"/>
      <c r="J2" s="65" t="s">
        <v>66</v>
      </c>
      <c r="K2" s="65"/>
      <c r="L2" s="19"/>
      <c r="M2" s="21"/>
      <c r="N2" s="65" t="s">
        <v>67</v>
      </c>
      <c r="O2" s="65"/>
      <c r="P2" s="65"/>
      <c r="Q2" s="65"/>
      <c r="R2" s="22"/>
      <c r="S2" s="23"/>
      <c r="T2" s="24"/>
      <c r="U2" s="25"/>
      <c r="AD2" s="26"/>
    </row>
    <row r="3" spans="1:30" ht="26.25" customHeight="1" x14ac:dyDescent="0.25">
      <c r="A3" s="24"/>
      <c r="B3" s="66">
        <f>GETPIVOTDATA("money",KPI!$A$3)</f>
        <v>112245.57999999945</v>
      </c>
      <c r="C3" s="66"/>
      <c r="D3" s="27"/>
      <c r="E3" s="24"/>
      <c r="F3" s="62">
        <f>GETPIVOTDATA("Count of Index",KPI!$A$3)</f>
        <v>3547</v>
      </c>
      <c r="G3" s="62"/>
      <c r="H3" s="28"/>
      <c r="I3" s="24"/>
      <c r="J3" s="66">
        <f>B3/F3</f>
        <v>31.645215675218338</v>
      </c>
      <c r="K3" s="66"/>
      <c r="L3" s="27"/>
      <c r="M3" s="61" t="str">
        <f>KPI!A4</f>
        <v>Latte</v>
      </c>
      <c r="N3" s="62"/>
      <c r="O3" s="62"/>
      <c r="P3" s="62"/>
      <c r="Q3" s="62"/>
      <c r="R3" s="62"/>
      <c r="S3" s="62"/>
      <c r="T3" s="29"/>
      <c r="U3" s="25"/>
      <c r="AD3" s="26"/>
    </row>
    <row r="4" spans="1:30" ht="26.25" customHeight="1" x14ac:dyDescent="0.25">
      <c r="A4" s="30"/>
      <c r="B4" s="67"/>
      <c r="C4" s="67"/>
      <c r="D4" s="31"/>
      <c r="E4" s="30"/>
      <c r="F4" s="64"/>
      <c r="G4" s="64"/>
      <c r="H4" s="31"/>
      <c r="I4" s="30"/>
      <c r="J4" s="67"/>
      <c r="K4" s="67"/>
      <c r="L4" s="31"/>
      <c r="M4" s="63"/>
      <c r="N4" s="64"/>
      <c r="O4" s="64"/>
      <c r="P4" s="64"/>
      <c r="Q4" s="64"/>
      <c r="R4" s="64"/>
      <c r="S4" s="64"/>
      <c r="T4" s="32"/>
      <c r="U4" s="33"/>
      <c r="V4" s="34"/>
      <c r="W4" s="34"/>
      <c r="X4" s="34"/>
      <c r="Y4" s="34"/>
      <c r="Z4" s="34"/>
      <c r="AA4" s="34"/>
      <c r="AB4" s="34"/>
      <c r="AC4" s="34"/>
      <c r="AD4" s="35"/>
    </row>
    <row r="5" spans="1:30" ht="26.25" customHeight="1" x14ac:dyDescent="0.25">
      <c r="A5" s="36"/>
      <c r="B5" s="37"/>
      <c r="C5" s="37"/>
      <c r="D5" s="37"/>
      <c r="E5" s="37"/>
      <c r="F5" s="37"/>
      <c r="G5" s="37"/>
      <c r="H5" s="37"/>
      <c r="I5" s="37"/>
      <c r="J5" s="37"/>
      <c r="K5" s="37"/>
      <c r="L5" s="38"/>
      <c r="M5" s="56" t="s">
        <v>73</v>
      </c>
      <c r="N5"/>
      <c r="O5"/>
      <c r="P5"/>
      <c r="Q5"/>
      <c r="R5"/>
      <c r="S5"/>
      <c r="T5"/>
      <c r="U5"/>
      <c r="V5"/>
      <c r="W5"/>
      <c r="X5"/>
      <c r="Y5"/>
      <c r="Z5"/>
      <c r="AA5"/>
      <c r="AB5"/>
      <c r="AC5"/>
      <c r="AD5"/>
    </row>
    <row r="6" spans="1:30" ht="26.25" customHeight="1" x14ac:dyDescent="0.25">
      <c r="A6" s="39"/>
      <c r="B6" s="25"/>
      <c r="C6" s="25"/>
      <c r="D6" s="25"/>
      <c r="E6" s="25"/>
      <c r="F6" s="25"/>
      <c r="G6" s="25"/>
      <c r="H6" s="25"/>
      <c r="I6" s="25"/>
      <c r="J6" s="25"/>
      <c r="K6" s="25"/>
      <c r="L6" s="40"/>
      <c r="M6"/>
      <c r="N6" s="55">
        <v>6</v>
      </c>
      <c r="O6">
        <v>7</v>
      </c>
      <c r="P6">
        <v>8</v>
      </c>
      <c r="Q6">
        <v>9</v>
      </c>
      <c r="R6">
        <v>10</v>
      </c>
      <c r="S6">
        <v>11</v>
      </c>
      <c r="T6">
        <v>12</v>
      </c>
      <c r="U6">
        <v>13</v>
      </c>
      <c r="V6">
        <v>14</v>
      </c>
      <c r="W6">
        <v>15</v>
      </c>
      <c r="X6">
        <v>16</v>
      </c>
      <c r="Y6">
        <v>17</v>
      </c>
      <c r="Z6">
        <v>18</v>
      </c>
      <c r="AA6">
        <v>19</v>
      </c>
      <c r="AB6">
        <v>20</v>
      </c>
      <c r="AC6">
        <v>21</v>
      </c>
      <c r="AD6">
        <v>22</v>
      </c>
    </row>
    <row r="7" spans="1:30" ht="26.25" customHeight="1" x14ac:dyDescent="0.25">
      <c r="A7" s="39"/>
      <c r="B7" s="25"/>
      <c r="C7" s="25"/>
      <c r="D7" s="25"/>
      <c r="E7" s="25"/>
      <c r="F7" s="25"/>
      <c r="G7" s="25"/>
      <c r="H7" s="25"/>
      <c r="I7" s="25"/>
      <c r="J7" s="25"/>
      <c r="K7" s="25"/>
      <c r="L7" s="40"/>
      <c r="M7" s="41" t="s">
        <v>45</v>
      </c>
      <c r="N7">
        <v>2</v>
      </c>
      <c r="O7">
        <v>21</v>
      </c>
      <c r="P7">
        <v>42</v>
      </c>
      <c r="Q7">
        <v>38</v>
      </c>
      <c r="R7">
        <v>52</v>
      </c>
      <c r="S7">
        <v>38</v>
      </c>
      <c r="T7">
        <v>24</v>
      </c>
      <c r="U7">
        <v>28</v>
      </c>
      <c r="V7">
        <v>42</v>
      </c>
      <c r="W7">
        <v>37</v>
      </c>
      <c r="X7">
        <v>46</v>
      </c>
      <c r="Y7">
        <v>36</v>
      </c>
      <c r="Z7">
        <v>34</v>
      </c>
      <c r="AA7">
        <v>43</v>
      </c>
      <c r="AB7">
        <v>22</v>
      </c>
      <c r="AC7">
        <v>26</v>
      </c>
      <c r="AD7">
        <v>13</v>
      </c>
    </row>
    <row r="8" spans="1:30" ht="26.25" customHeight="1" x14ac:dyDescent="0.25">
      <c r="A8" s="39"/>
      <c r="B8" s="25"/>
      <c r="C8" s="25"/>
      <c r="D8" s="25"/>
      <c r="E8" s="25"/>
      <c r="F8" s="25"/>
      <c r="G8" s="25"/>
      <c r="H8" s="25"/>
      <c r="I8" s="25"/>
      <c r="J8" s="25"/>
      <c r="K8" s="25"/>
      <c r="L8" s="40"/>
      <c r="M8" s="41" t="s">
        <v>46</v>
      </c>
      <c r="N8"/>
      <c r="O8">
        <v>15</v>
      </c>
      <c r="P8">
        <v>49</v>
      </c>
      <c r="Q8">
        <v>39</v>
      </c>
      <c r="R8">
        <v>48</v>
      </c>
      <c r="S8">
        <v>56</v>
      </c>
      <c r="T8">
        <v>30</v>
      </c>
      <c r="U8">
        <v>22</v>
      </c>
      <c r="V8">
        <v>31</v>
      </c>
      <c r="W8">
        <v>27</v>
      </c>
      <c r="X8">
        <v>50</v>
      </c>
      <c r="Y8">
        <v>36</v>
      </c>
      <c r="Z8">
        <v>34</v>
      </c>
      <c r="AA8">
        <v>52</v>
      </c>
      <c r="AB8">
        <v>37</v>
      </c>
      <c r="AC8">
        <v>33</v>
      </c>
      <c r="AD8">
        <v>13</v>
      </c>
    </row>
    <row r="9" spans="1:30" ht="26.25" customHeight="1" x14ac:dyDescent="0.25">
      <c r="A9" s="39"/>
      <c r="B9" s="25"/>
      <c r="C9" s="25"/>
      <c r="D9" s="25"/>
      <c r="E9" s="25"/>
      <c r="F9" s="25"/>
      <c r="G9" s="25"/>
      <c r="H9" s="25"/>
      <c r="I9" s="25"/>
      <c r="J9" s="25"/>
      <c r="K9" s="25"/>
      <c r="L9" s="40"/>
      <c r="M9" s="41" t="s">
        <v>47</v>
      </c>
      <c r="N9"/>
      <c r="O9">
        <v>17</v>
      </c>
      <c r="P9">
        <v>29</v>
      </c>
      <c r="Q9">
        <v>25</v>
      </c>
      <c r="R9">
        <v>47</v>
      </c>
      <c r="S9">
        <v>47</v>
      </c>
      <c r="T9">
        <v>34</v>
      </c>
      <c r="U9">
        <v>44</v>
      </c>
      <c r="V9">
        <v>15</v>
      </c>
      <c r="W9">
        <v>30</v>
      </c>
      <c r="X9">
        <v>42</v>
      </c>
      <c r="Y9">
        <v>35</v>
      </c>
      <c r="Z9">
        <v>35</v>
      </c>
      <c r="AA9">
        <v>35</v>
      </c>
      <c r="AB9">
        <v>25</v>
      </c>
      <c r="AC9">
        <v>30</v>
      </c>
      <c r="AD9">
        <v>10</v>
      </c>
    </row>
    <row r="10" spans="1:30" ht="26.25" customHeight="1" x14ac:dyDescent="0.25">
      <c r="A10" s="39"/>
      <c r="B10" s="25"/>
      <c r="C10" s="25"/>
      <c r="D10" s="25"/>
      <c r="E10" s="25"/>
      <c r="F10" s="25"/>
      <c r="G10" s="25"/>
      <c r="H10" s="25"/>
      <c r="I10" s="25"/>
      <c r="J10" s="25"/>
      <c r="K10" s="25"/>
      <c r="L10" s="40"/>
      <c r="M10" s="41" t="s">
        <v>48</v>
      </c>
      <c r="N10"/>
      <c r="O10">
        <v>13</v>
      </c>
      <c r="P10">
        <v>22</v>
      </c>
      <c r="Q10">
        <v>34</v>
      </c>
      <c r="R10">
        <v>49</v>
      </c>
      <c r="S10">
        <v>28</v>
      </c>
      <c r="T10">
        <v>30</v>
      </c>
      <c r="U10">
        <v>31</v>
      </c>
      <c r="V10">
        <v>33</v>
      </c>
      <c r="W10">
        <v>35</v>
      </c>
      <c r="X10">
        <v>40</v>
      </c>
      <c r="Y10">
        <v>36</v>
      </c>
      <c r="Z10">
        <v>30</v>
      </c>
      <c r="AA10">
        <v>43</v>
      </c>
      <c r="AB10">
        <v>30</v>
      </c>
      <c r="AC10">
        <v>43</v>
      </c>
      <c r="AD10">
        <v>13</v>
      </c>
    </row>
    <row r="11" spans="1:30" ht="26.25" customHeight="1" x14ac:dyDescent="0.25">
      <c r="A11" s="39"/>
      <c r="B11" s="25"/>
      <c r="C11" s="25"/>
      <c r="D11" s="25"/>
      <c r="E11" s="25"/>
      <c r="F11" s="25"/>
      <c r="G11" s="25"/>
      <c r="H11" s="25"/>
      <c r="I11" s="25"/>
      <c r="J11" s="25"/>
      <c r="K11" s="25"/>
      <c r="L11" s="40"/>
      <c r="M11" s="41" t="s">
        <v>49</v>
      </c>
      <c r="N11">
        <v>3</v>
      </c>
      <c r="O11">
        <v>18</v>
      </c>
      <c r="P11">
        <v>49</v>
      </c>
      <c r="Q11">
        <v>51</v>
      </c>
      <c r="R11">
        <v>43</v>
      </c>
      <c r="S11">
        <v>29</v>
      </c>
      <c r="T11">
        <v>37</v>
      </c>
      <c r="U11">
        <v>35</v>
      </c>
      <c r="V11">
        <v>33</v>
      </c>
      <c r="W11">
        <v>34</v>
      </c>
      <c r="X11">
        <v>33</v>
      </c>
      <c r="Y11">
        <v>42</v>
      </c>
      <c r="Z11">
        <v>31</v>
      </c>
      <c r="AA11">
        <v>26</v>
      </c>
      <c r="AB11">
        <v>16</v>
      </c>
      <c r="AC11">
        <v>17</v>
      </c>
      <c r="AD11">
        <v>35</v>
      </c>
    </row>
    <row r="12" spans="1:30" ht="26.25" customHeight="1" x14ac:dyDescent="0.25">
      <c r="A12" s="39"/>
      <c r="B12" s="25"/>
      <c r="C12" s="25"/>
      <c r="D12" s="25"/>
      <c r="E12" s="25"/>
      <c r="F12" s="25"/>
      <c r="G12" s="25"/>
      <c r="H12" s="25"/>
      <c r="I12" s="25"/>
      <c r="J12" s="25"/>
      <c r="K12" s="25"/>
      <c r="L12" s="40"/>
      <c r="M12" s="41" t="s">
        <v>50</v>
      </c>
      <c r="N12"/>
      <c r="O12">
        <v>2</v>
      </c>
      <c r="P12">
        <v>24</v>
      </c>
      <c r="Q12">
        <v>34</v>
      </c>
      <c r="R12">
        <v>42</v>
      </c>
      <c r="S12">
        <v>55</v>
      </c>
      <c r="T12">
        <v>46</v>
      </c>
      <c r="U12">
        <v>32</v>
      </c>
      <c r="V12">
        <v>37</v>
      </c>
      <c r="W12">
        <v>37</v>
      </c>
      <c r="X12">
        <v>42</v>
      </c>
      <c r="Y12">
        <v>28</v>
      </c>
      <c r="Z12">
        <v>18</v>
      </c>
      <c r="AA12">
        <v>19</v>
      </c>
      <c r="AB12">
        <v>21</v>
      </c>
      <c r="AC12">
        <v>12</v>
      </c>
      <c r="AD12">
        <v>21</v>
      </c>
    </row>
    <row r="13" spans="1:30" ht="26.25" customHeight="1" x14ac:dyDescent="0.25">
      <c r="A13" s="42"/>
      <c r="B13" s="33"/>
      <c r="C13" s="33"/>
      <c r="D13" s="33"/>
      <c r="E13" s="33"/>
      <c r="F13" s="33"/>
      <c r="G13" s="33"/>
      <c r="H13" s="33"/>
      <c r="I13" s="33"/>
      <c r="J13" s="33"/>
      <c r="K13" s="33"/>
      <c r="L13" s="43"/>
      <c r="M13" s="41" t="s">
        <v>51</v>
      </c>
      <c r="N13"/>
      <c r="O13">
        <v>2</v>
      </c>
      <c r="P13">
        <v>20</v>
      </c>
      <c r="Q13">
        <v>21</v>
      </c>
      <c r="R13">
        <v>47</v>
      </c>
      <c r="S13">
        <v>30</v>
      </c>
      <c r="T13">
        <v>40</v>
      </c>
      <c r="U13">
        <v>33</v>
      </c>
      <c r="V13">
        <v>34</v>
      </c>
      <c r="W13">
        <v>36</v>
      </c>
      <c r="X13">
        <v>25</v>
      </c>
      <c r="Y13">
        <v>24</v>
      </c>
      <c r="Z13">
        <v>36</v>
      </c>
      <c r="AA13">
        <v>11</v>
      </c>
      <c r="AB13">
        <v>18</v>
      </c>
      <c r="AC13">
        <v>34</v>
      </c>
      <c r="AD13">
        <v>8</v>
      </c>
    </row>
    <row r="14" spans="1:30" ht="26.25" customHeight="1" x14ac:dyDescent="0.25">
      <c r="A14" s="36"/>
      <c r="B14" s="37"/>
      <c r="C14" s="37"/>
      <c r="D14" s="37"/>
      <c r="E14" s="37"/>
      <c r="F14" s="37"/>
      <c r="G14" s="37"/>
      <c r="H14" s="37"/>
      <c r="I14" s="37"/>
      <c r="J14" s="37"/>
      <c r="K14" s="37"/>
      <c r="L14" s="38"/>
      <c r="M14" s="36"/>
      <c r="N14" s="37"/>
      <c r="O14" s="37"/>
      <c r="P14" s="37"/>
      <c r="Q14" s="37"/>
      <c r="R14" s="37"/>
      <c r="S14" s="37"/>
      <c r="T14" s="37"/>
      <c r="U14" s="37"/>
      <c r="V14" s="15"/>
      <c r="W14" s="15"/>
      <c r="X14" s="15"/>
      <c r="Y14" s="15"/>
      <c r="Z14" s="15"/>
      <c r="AA14" s="15"/>
      <c r="AB14" s="15"/>
      <c r="AC14" s="15"/>
      <c r="AD14" s="16"/>
    </row>
    <row r="15" spans="1:30" ht="26.25" customHeight="1" x14ac:dyDescent="0.25">
      <c r="A15" s="39"/>
      <c r="B15" s="25"/>
      <c r="C15" s="25"/>
      <c r="D15" s="25"/>
      <c r="E15" s="25"/>
      <c r="F15" s="25"/>
      <c r="G15" s="25"/>
      <c r="H15" s="25"/>
      <c r="I15" s="25"/>
      <c r="J15" s="25"/>
      <c r="K15" s="44"/>
      <c r="L15" s="40"/>
      <c r="M15" s="45"/>
      <c r="N15" s="25"/>
      <c r="O15" s="25"/>
      <c r="P15" s="25"/>
      <c r="Q15" s="25"/>
      <c r="R15" s="25"/>
      <c r="S15" s="25"/>
      <c r="T15" s="25"/>
      <c r="U15" s="25"/>
      <c r="AD15" s="26"/>
    </row>
    <row r="16" spans="1:30" ht="26.25" customHeight="1" x14ac:dyDescent="0.25">
      <c r="A16" s="39"/>
      <c r="B16" s="25"/>
      <c r="C16" s="25"/>
      <c r="D16" s="25"/>
      <c r="E16" s="25"/>
      <c r="F16" s="25"/>
      <c r="G16" s="25"/>
      <c r="H16" s="25"/>
      <c r="I16" s="25"/>
      <c r="J16" s="25"/>
      <c r="K16" s="25"/>
      <c r="L16" s="40"/>
      <c r="M16" s="39"/>
      <c r="N16" s="25"/>
      <c r="O16" s="25"/>
      <c r="P16" s="25"/>
      <c r="Q16" s="25"/>
      <c r="R16" s="25"/>
      <c r="S16" s="25"/>
      <c r="T16" s="25"/>
      <c r="U16" s="25"/>
      <c r="AD16" s="26"/>
    </row>
    <row r="17" spans="1:30" ht="26.25" customHeight="1" x14ac:dyDescent="0.25">
      <c r="A17" s="39"/>
      <c r="B17" s="25"/>
      <c r="C17" s="25"/>
      <c r="D17" s="25"/>
      <c r="E17" s="25"/>
      <c r="F17" s="25"/>
      <c r="G17" s="25"/>
      <c r="H17" s="25"/>
      <c r="I17" s="25"/>
      <c r="J17" s="25"/>
      <c r="K17" s="25"/>
      <c r="L17" s="40"/>
      <c r="M17" s="39"/>
      <c r="N17" s="25"/>
      <c r="O17" s="25"/>
      <c r="P17" s="25"/>
      <c r="Q17" s="25"/>
      <c r="R17" s="25"/>
      <c r="S17" s="25"/>
      <c r="T17" s="25"/>
      <c r="U17" s="25"/>
      <c r="AD17" s="26"/>
    </row>
    <row r="18" spans="1:30" ht="26.25" customHeight="1" x14ac:dyDescent="0.25">
      <c r="A18" s="39"/>
      <c r="B18" s="25"/>
      <c r="C18" s="25"/>
      <c r="D18" s="25"/>
      <c r="E18" s="25"/>
      <c r="F18" s="25"/>
      <c r="G18" s="25"/>
      <c r="H18" s="25"/>
      <c r="I18" s="25"/>
      <c r="J18" s="25"/>
      <c r="K18" s="25"/>
      <c r="L18" s="40"/>
      <c r="M18" s="39"/>
      <c r="N18" s="25"/>
      <c r="O18" s="25"/>
      <c r="P18" s="25"/>
      <c r="Q18" s="25"/>
      <c r="R18" s="25"/>
      <c r="S18" s="25"/>
      <c r="T18" s="25"/>
      <c r="U18" s="25"/>
      <c r="AD18" s="26"/>
    </row>
    <row r="19" spans="1:30" ht="26.25" customHeight="1" x14ac:dyDescent="0.25">
      <c r="A19" s="39"/>
      <c r="B19" s="25"/>
      <c r="C19" s="25"/>
      <c r="D19" s="25"/>
      <c r="E19" s="25"/>
      <c r="F19" s="25"/>
      <c r="G19" s="25"/>
      <c r="H19" s="25"/>
      <c r="I19" s="25"/>
      <c r="J19" s="25"/>
      <c r="K19" s="25"/>
      <c r="L19" s="40"/>
      <c r="M19" s="39"/>
      <c r="N19" s="25"/>
      <c r="O19" s="25"/>
      <c r="P19" s="25"/>
      <c r="Q19" s="25"/>
      <c r="R19" s="25"/>
      <c r="S19" s="25"/>
      <c r="T19" s="25"/>
      <c r="U19" s="25"/>
      <c r="AD19" s="26"/>
    </row>
    <row r="20" spans="1:30" ht="26.25" customHeight="1" x14ac:dyDescent="0.25">
      <c r="A20" s="39"/>
      <c r="B20" s="25"/>
      <c r="C20" s="25"/>
      <c r="D20" s="25"/>
      <c r="E20" s="25"/>
      <c r="F20" s="25"/>
      <c r="G20" s="25"/>
      <c r="H20" s="25"/>
      <c r="I20" s="25"/>
      <c r="J20" s="25"/>
      <c r="K20" s="25"/>
      <c r="L20" s="40"/>
      <c r="M20" s="39"/>
      <c r="N20" s="25"/>
      <c r="O20" s="25"/>
      <c r="P20" s="25"/>
      <c r="Q20" s="25"/>
      <c r="R20" s="25"/>
      <c r="S20" s="25"/>
      <c r="T20" s="25"/>
      <c r="U20" s="25"/>
      <c r="AD20" s="26"/>
    </row>
    <row r="21" spans="1:30" ht="26.25" customHeight="1" x14ac:dyDescent="0.25">
      <c r="A21" s="39"/>
      <c r="B21" s="25"/>
      <c r="C21" s="25"/>
      <c r="D21" s="25"/>
      <c r="E21" s="25"/>
      <c r="F21" s="25"/>
      <c r="G21" s="25"/>
      <c r="H21" s="25"/>
      <c r="I21" s="25"/>
      <c r="J21" s="25"/>
      <c r="K21" s="25"/>
      <c r="L21" s="40"/>
      <c r="M21" s="39"/>
      <c r="N21" s="25"/>
      <c r="O21" s="25"/>
      <c r="P21" s="25"/>
      <c r="Q21" s="25"/>
      <c r="R21" s="25"/>
      <c r="S21" s="25"/>
      <c r="T21" s="25"/>
      <c r="U21" s="25"/>
      <c r="AD21" s="26"/>
    </row>
    <row r="22" spans="1:30" ht="26.25" customHeight="1" x14ac:dyDescent="0.25">
      <c r="A22" s="42"/>
      <c r="B22" s="33"/>
      <c r="C22" s="33"/>
      <c r="D22" s="33"/>
      <c r="E22" s="33"/>
      <c r="F22" s="33"/>
      <c r="G22" s="33"/>
      <c r="H22" s="33"/>
      <c r="I22" s="33"/>
      <c r="J22" s="33"/>
      <c r="K22" s="33"/>
      <c r="L22" s="43"/>
      <c r="M22" s="39"/>
      <c r="N22" s="25"/>
      <c r="O22" s="25"/>
      <c r="P22" s="25"/>
      <c r="Q22" s="25"/>
      <c r="R22" s="25"/>
      <c r="S22" s="25"/>
      <c r="T22" s="25"/>
      <c r="U22" s="25"/>
      <c r="AD22" s="26"/>
    </row>
    <row r="23" spans="1:30" ht="26.25" customHeight="1" x14ac:dyDescent="0.25">
      <c r="A23" s="46"/>
      <c r="B23" s="47"/>
      <c r="C23" s="47"/>
      <c r="D23" s="47"/>
      <c r="E23" s="47"/>
      <c r="F23" s="47"/>
      <c r="G23" s="47"/>
      <c r="H23" s="47"/>
      <c r="I23" s="47"/>
      <c r="J23" s="47"/>
      <c r="K23" s="47"/>
      <c r="L23" s="48"/>
      <c r="M23" s="42"/>
      <c r="N23" s="33"/>
      <c r="O23" s="33"/>
      <c r="P23" s="33"/>
      <c r="Q23" s="33"/>
      <c r="R23" s="33"/>
      <c r="S23" s="33"/>
      <c r="T23" s="33"/>
      <c r="U23" s="33"/>
      <c r="V23" s="34"/>
      <c r="W23" s="34"/>
      <c r="X23" s="34"/>
      <c r="Y23" s="34"/>
      <c r="Z23" s="34"/>
      <c r="AA23" s="34"/>
      <c r="AB23" s="34"/>
      <c r="AC23" s="34"/>
      <c r="AD23" s="35"/>
    </row>
    <row r="24" spans="1:30" ht="26.25" customHeight="1" x14ac:dyDescent="0.25">
      <c r="A24" s="25"/>
      <c r="B24" s="25"/>
      <c r="C24" s="25"/>
      <c r="D24" s="25"/>
      <c r="E24" s="25"/>
      <c r="F24" s="25"/>
      <c r="G24" s="25"/>
      <c r="H24" s="25"/>
      <c r="I24" s="25"/>
      <c r="J24" s="25"/>
      <c r="K24" s="25"/>
      <c r="L24" s="25"/>
      <c r="M24" s="25"/>
      <c r="N24" s="25"/>
      <c r="O24" s="25"/>
      <c r="P24" s="25"/>
      <c r="Q24" s="25"/>
      <c r="R24" s="25"/>
      <c r="S24" s="25"/>
      <c r="T24" s="25"/>
      <c r="U24" s="25"/>
    </row>
    <row r="25" spans="1:30" ht="26.25" customHeight="1" x14ac:dyDescent="0.25">
      <c r="A25" s="25"/>
      <c r="B25" s="25"/>
      <c r="C25" s="25"/>
      <c r="D25" s="25"/>
      <c r="E25" s="25"/>
      <c r="F25" s="25"/>
      <c r="G25" s="25"/>
      <c r="H25" s="25"/>
      <c r="I25" s="25"/>
      <c r="J25" s="25"/>
      <c r="K25" s="25"/>
      <c r="L25" s="25"/>
      <c r="M25" s="25"/>
      <c r="N25" s="25"/>
      <c r="O25" s="25"/>
      <c r="P25" s="25"/>
      <c r="Q25" s="25"/>
      <c r="R25" s="25"/>
      <c r="S25" s="25"/>
      <c r="T25" s="25"/>
      <c r="U25" s="25"/>
    </row>
    <row r="26" spans="1:30" ht="26.25" customHeight="1" x14ac:dyDescent="0.25">
      <c r="A26" s="25"/>
      <c r="B26" s="25"/>
      <c r="C26" s="25"/>
      <c r="D26" s="25"/>
      <c r="E26" s="25"/>
      <c r="F26" s="25"/>
      <c r="G26" s="25"/>
      <c r="H26" s="25"/>
      <c r="I26" s="25"/>
      <c r="J26" s="25"/>
      <c r="K26" s="25"/>
      <c r="L26" s="25"/>
      <c r="M26" s="25"/>
      <c r="N26" s="25"/>
      <c r="O26" s="25"/>
      <c r="P26" s="25"/>
      <c r="Q26" s="25"/>
      <c r="R26" s="25"/>
      <c r="S26" s="25"/>
      <c r="T26" s="25"/>
      <c r="U26" s="25"/>
    </row>
    <row r="27" spans="1:30" ht="26.25" customHeight="1" x14ac:dyDescent="0.25">
      <c r="A27" s="25"/>
      <c r="B27" s="25"/>
      <c r="C27" s="25"/>
      <c r="D27" s="25"/>
      <c r="E27" s="25"/>
      <c r="F27" s="25"/>
      <c r="G27" s="25"/>
      <c r="H27" s="25"/>
      <c r="I27" s="25"/>
      <c r="J27" s="25"/>
      <c r="K27" s="25"/>
      <c r="L27" s="25"/>
      <c r="M27" s="25"/>
      <c r="N27" s="25"/>
      <c r="O27" s="25"/>
      <c r="P27" s="25"/>
      <c r="Q27" s="25"/>
      <c r="R27" s="25"/>
      <c r="S27" s="25"/>
      <c r="T27" s="25"/>
      <c r="U27" s="25"/>
    </row>
    <row r="28" spans="1:30" ht="26.25" customHeight="1" x14ac:dyDescent="0.25">
      <c r="A28" s="25"/>
      <c r="B28" s="25"/>
      <c r="C28" s="25"/>
      <c r="D28" s="25"/>
      <c r="E28" s="25"/>
      <c r="F28" s="25"/>
      <c r="G28" s="25"/>
      <c r="H28" s="25"/>
      <c r="I28" s="25"/>
      <c r="J28" s="25"/>
      <c r="K28" s="25"/>
      <c r="L28" s="25"/>
      <c r="M28" s="25"/>
      <c r="N28" s="25"/>
      <c r="O28" s="25"/>
      <c r="P28" s="25"/>
      <c r="Q28" s="25"/>
      <c r="R28" s="25"/>
      <c r="S28" s="25"/>
      <c r="T28" s="25"/>
      <c r="U28" s="25"/>
    </row>
    <row r="29" spans="1:30" ht="26.25" customHeight="1" x14ac:dyDescent="0.25">
      <c r="A29" s="25"/>
      <c r="B29" s="25"/>
      <c r="C29" s="25"/>
      <c r="D29" s="25"/>
      <c r="E29" s="25"/>
      <c r="F29" s="25"/>
      <c r="G29" s="25"/>
      <c r="H29" s="25"/>
      <c r="I29" s="25"/>
      <c r="J29" s="25"/>
      <c r="K29" s="25"/>
      <c r="L29" s="25"/>
      <c r="M29" s="25"/>
      <c r="N29" s="25"/>
      <c r="O29" s="25"/>
      <c r="P29" s="25"/>
      <c r="Q29" s="25"/>
      <c r="R29" s="25"/>
      <c r="S29" s="25"/>
      <c r="T29" s="25"/>
      <c r="U29" s="25"/>
    </row>
    <row r="30" spans="1:30" ht="26.25" customHeight="1" x14ac:dyDescent="0.25">
      <c r="A30" s="25"/>
      <c r="B30" s="25"/>
      <c r="C30" s="25"/>
      <c r="D30" s="25"/>
      <c r="E30" s="25"/>
      <c r="F30" s="25"/>
      <c r="G30" s="25"/>
      <c r="H30" s="25"/>
      <c r="I30" s="25"/>
      <c r="J30" s="25"/>
      <c r="K30" s="25"/>
      <c r="L30" s="25"/>
      <c r="M30" s="25"/>
      <c r="N30" s="25"/>
      <c r="O30" s="25"/>
      <c r="P30" s="25"/>
      <c r="Q30" s="25"/>
      <c r="R30" s="25"/>
      <c r="S30" s="25"/>
      <c r="T30" s="25"/>
      <c r="U30" s="25"/>
    </row>
    <row r="31" spans="1:30" ht="26.25" customHeight="1" x14ac:dyDescent="0.25">
      <c r="A31" s="25"/>
      <c r="B31" s="25"/>
      <c r="C31" s="25"/>
      <c r="D31" s="25"/>
      <c r="E31" s="25"/>
      <c r="F31" s="25"/>
      <c r="G31" s="25"/>
      <c r="H31" s="25"/>
      <c r="I31" s="25"/>
      <c r="J31" s="25"/>
      <c r="K31" s="25"/>
      <c r="L31" s="25"/>
      <c r="M31" s="25"/>
      <c r="N31" s="25"/>
      <c r="O31" s="25"/>
      <c r="P31" s="25"/>
      <c r="Q31" s="25"/>
      <c r="R31" s="25"/>
      <c r="S31" s="25"/>
      <c r="T31" s="25"/>
      <c r="U31" s="25"/>
    </row>
    <row r="32" spans="1:30" ht="26.25" customHeight="1" x14ac:dyDescent="0.25">
      <c r="A32" s="25"/>
      <c r="B32" s="25"/>
      <c r="C32" s="25"/>
      <c r="D32" s="25"/>
      <c r="E32" s="25"/>
      <c r="F32" s="25"/>
      <c r="G32" s="25"/>
      <c r="H32" s="25"/>
      <c r="I32" s="25"/>
      <c r="J32" s="25"/>
      <c r="K32" s="25"/>
      <c r="L32" s="25"/>
      <c r="M32" s="25"/>
      <c r="N32" s="25"/>
      <c r="O32" s="25"/>
      <c r="P32" s="25"/>
      <c r="Q32" s="25"/>
      <c r="R32" s="25"/>
      <c r="S32" s="25"/>
      <c r="T32" s="25"/>
      <c r="U32" s="25"/>
    </row>
    <row r="33" spans="1:21" ht="26.25" customHeight="1" x14ac:dyDescent="0.25">
      <c r="A33" s="25"/>
      <c r="B33" s="25"/>
      <c r="C33" s="25"/>
      <c r="D33" s="25"/>
      <c r="E33" s="25"/>
      <c r="F33" s="25"/>
      <c r="G33" s="25"/>
      <c r="H33" s="25"/>
      <c r="I33" s="25"/>
      <c r="J33" s="25"/>
      <c r="K33" s="25"/>
      <c r="L33" s="25"/>
      <c r="M33" s="25"/>
      <c r="N33" s="25"/>
      <c r="O33" s="25"/>
      <c r="P33" s="25"/>
      <c r="Q33" s="25"/>
      <c r="R33" s="25"/>
      <c r="S33" s="25"/>
      <c r="T33" s="25"/>
      <c r="U33" s="25"/>
    </row>
    <row r="34" spans="1:21" ht="26.25" customHeight="1" x14ac:dyDescent="0.25">
      <c r="A34" s="25"/>
      <c r="B34" s="25"/>
      <c r="C34" s="25"/>
      <c r="D34" s="25"/>
      <c r="E34" s="25"/>
      <c r="F34" s="25"/>
      <c r="G34" s="25"/>
      <c r="H34" s="25"/>
      <c r="I34" s="25"/>
      <c r="J34" s="25"/>
      <c r="K34" s="25"/>
      <c r="L34" s="25"/>
      <c r="M34" s="25"/>
      <c r="N34" s="25"/>
      <c r="O34" s="25"/>
      <c r="P34" s="25"/>
      <c r="Q34" s="25"/>
      <c r="R34" s="25"/>
      <c r="S34" s="25"/>
      <c r="T34" s="25"/>
      <c r="U34" s="25"/>
    </row>
  </sheetData>
  <sheetProtection sheet="1" objects="1" scenarios="1" selectLockedCells="1" selectUnlockedCells="1"/>
  <mergeCells count="9">
    <mergeCell ref="A1:S1"/>
    <mergeCell ref="M3:S4"/>
    <mergeCell ref="N2:Q2"/>
    <mergeCell ref="J3:K4"/>
    <mergeCell ref="F3:G4"/>
    <mergeCell ref="B3:C4"/>
    <mergeCell ref="B2:C2"/>
    <mergeCell ref="F2:G2"/>
    <mergeCell ref="J2:K2"/>
  </mergeCells>
  <conditionalFormatting pivot="1" sqref="N7:AD13">
    <cfRule type="colorScale" priority="1">
      <colorScale>
        <cfvo type="percentile" val="10"/>
        <cfvo type="percentile" val="50"/>
        <cfvo type="percentile" val="90"/>
        <color rgb="FFDCE6F1"/>
        <color rgb="FFFFFFCC"/>
        <color rgb="FF4472C4"/>
      </colorScale>
    </cfRule>
  </conditionalFormatting>
  <pageMargins left="0.7" right="0.7" top="0.75" bottom="0.75" header="0.3" footer="0.3"/>
  <pageSetup paperSize="9" scale="32"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E155C-1250-48E5-9C4F-F15F78029A8E}">
  <dimension ref="A3:C12"/>
  <sheetViews>
    <sheetView workbookViewId="0">
      <selection activeCell="F31" sqref="F31"/>
    </sheetView>
  </sheetViews>
  <sheetFormatPr defaultRowHeight="15" x14ac:dyDescent="0.25"/>
  <cols>
    <col min="1" max="1" width="19.140625" bestFit="1" customWidth="1"/>
    <col min="2" max="2" width="13.140625" bestFit="1" customWidth="1"/>
    <col min="3" max="3" width="14" bestFit="1" customWidth="1"/>
  </cols>
  <sheetData>
    <row r="3" spans="1:3" x14ac:dyDescent="0.25">
      <c r="A3" s="10" t="s">
        <v>62</v>
      </c>
      <c r="B3" t="s">
        <v>60</v>
      </c>
      <c r="C3" t="s">
        <v>70</v>
      </c>
    </row>
    <row r="4" spans="1:3" x14ac:dyDescent="0.25">
      <c r="A4" s="11" t="s">
        <v>26</v>
      </c>
      <c r="B4">
        <v>129</v>
      </c>
      <c r="C4" s="9">
        <v>2690.2799999999938</v>
      </c>
    </row>
    <row r="5" spans="1:3" x14ac:dyDescent="0.25">
      <c r="A5" s="11" t="s">
        <v>24</v>
      </c>
      <c r="B5">
        <v>287</v>
      </c>
      <c r="C5" s="9">
        <v>7384.8600000000097</v>
      </c>
    </row>
    <row r="6" spans="1:3" x14ac:dyDescent="0.25">
      <c r="A6" s="11" t="s">
        <v>21</v>
      </c>
      <c r="B6">
        <v>239</v>
      </c>
      <c r="C6" s="9">
        <v>8521.1600000000381</v>
      </c>
    </row>
    <row r="7" spans="1:3" x14ac:dyDescent="0.25">
      <c r="A7" s="11" t="s">
        <v>16</v>
      </c>
      <c r="B7">
        <v>276</v>
      </c>
      <c r="C7" s="9">
        <v>9933.4600000000464</v>
      </c>
    </row>
    <row r="8" spans="1:3" x14ac:dyDescent="0.25">
      <c r="A8" s="11" t="s">
        <v>18</v>
      </c>
      <c r="B8">
        <v>564</v>
      </c>
      <c r="C8" s="9">
        <v>14650.259999999824</v>
      </c>
    </row>
    <row r="9" spans="1:3" x14ac:dyDescent="0.25">
      <c r="A9" s="11" t="s">
        <v>29</v>
      </c>
      <c r="B9">
        <v>486</v>
      </c>
      <c r="C9" s="9">
        <v>17439.139999999974</v>
      </c>
    </row>
    <row r="10" spans="1:3" x14ac:dyDescent="0.25">
      <c r="A10" s="11" t="s">
        <v>19</v>
      </c>
      <c r="B10">
        <v>809</v>
      </c>
      <c r="C10" s="9">
        <v>24751.120000000228</v>
      </c>
    </row>
    <row r="11" spans="1:3" x14ac:dyDescent="0.25">
      <c r="A11" s="11" t="s">
        <v>12</v>
      </c>
      <c r="B11">
        <v>757</v>
      </c>
      <c r="C11" s="9">
        <v>26875.299999999501</v>
      </c>
    </row>
    <row r="12" spans="1:3" x14ac:dyDescent="0.25">
      <c r="A12" s="11" t="s">
        <v>61</v>
      </c>
      <c r="B12">
        <v>3547</v>
      </c>
      <c r="C12" s="9">
        <v>112245.57999999945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B49A4-F270-4E33-B57F-F207E2F21F1F}">
  <dimension ref="A3:C12"/>
  <sheetViews>
    <sheetView workbookViewId="0">
      <selection activeCell="A3" sqref="A3"/>
    </sheetView>
  </sheetViews>
  <sheetFormatPr defaultRowHeight="15" x14ac:dyDescent="0.25"/>
  <cols>
    <col min="1" max="1" width="19.140625" bestFit="1" customWidth="1"/>
    <col min="2" max="2" width="14" bestFit="1" customWidth="1"/>
    <col min="3" max="3" width="14.42578125" bestFit="1" customWidth="1"/>
  </cols>
  <sheetData>
    <row r="3" spans="1:3" x14ac:dyDescent="0.25">
      <c r="A3" s="10" t="s">
        <v>62</v>
      </c>
      <c r="B3" t="s">
        <v>70</v>
      </c>
      <c r="C3" t="s">
        <v>63</v>
      </c>
    </row>
    <row r="4" spans="1:3" x14ac:dyDescent="0.25">
      <c r="A4" s="11" t="s">
        <v>12</v>
      </c>
      <c r="B4" s="9">
        <v>26875.299999999501</v>
      </c>
      <c r="C4">
        <v>757</v>
      </c>
    </row>
    <row r="5" spans="1:3" x14ac:dyDescent="0.25">
      <c r="A5" s="11" t="s">
        <v>19</v>
      </c>
      <c r="B5" s="9">
        <v>24751.120000000228</v>
      </c>
      <c r="C5">
        <v>809</v>
      </c>
    </row>
    <row r="6" spans="1:3" x14ac:dyDescent="0.25">
      <c r="A6" s="11" t="s">
        <v>29</v>
      </c>
      <c r="B6" s="9">
        <v>17439.139999999974</v>
      </c>
      <c r="C6">
        <v>486</v>
      </c>
    </row>
    <row r="7" spans="1:3" x14ac:dyDescent="0.25">
      <c r="A7" s="11" t="s">
        <v>18</v>
      </c>
      <c r="B7" s="9">
        <v>14650.259999999824</v>
      </c>
      <c r="C7">
        <v>564</v>
      </c>
    </row>
    <row r="8" spans="1:3" x14ac:dyDescent="0.25">
      <c r="A8" s="11" t="s">
        <v>16</v>
      </c>
      <c r="B8" s="9">
        <v>9933.4600000000464</v>
      </c>
      <c r="C8">
        <v>276</v>
      </c>
    </row>
    <row r="9" spans="1:3" x14ac:dyDescent="0.25">
      <c r="A9" s="11" t="s">
        <v>21</v>
      </c>
      <c r="B9" s="9">
        <v>8521.1600000000381</v>
      </c>
      <c r="C9">
        <v>239</v>
      </c>
    </row>
    <row r="10" spans="1:3" x14ac:dyDescent="0.25">
      <c r="A10" s="11" t="s">
        <v>24</v>
      </c>
      <c r="B10" s="9">
        <v>7384.8600000000097</v>
      </c>
      <c r="C10">
        <v>287</v>
      </c>
    </row>
    <row r="11" spans="1:3" x14ac:dyDescent="0.25">
      <c r="A11" s="11" t="s">
        <v>26</v>
      </c>
      <c r="B11" s="9">
        <v>2690.2799999999938</v>
      </c>
      <c r="C11">
        <v>129</v>
      </c>
    </row>
    <row r="12" spans="1:3" x14ac:dyDescent="0.25">
      <c r="A12" s="11" t="s">
        <v>61</v>
      </c>
      <c r="B12" s="9">
        <v>112245.57999999945</v>
      </c>
      <c r="C12">
        <v>3547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41902-4083-42E4-A76D-75F1DE41773C}">
  <dimension ref="A1:T647"/>
  <sheetViews>
    <sheetView workbookViewId="0">
      <selection activeCell="F29" sqref="F29"/>
    </sheetView>
  </sheetViews>
  <sheetFormatPr defaultRowHeight="15" x14ac:dyDescent="0.25"/>
  <cols>
    <col min="1" max="1" width="10.140625" bestFit="1" customWidth="1"/>
    <col min="2" max="2" width="16" customWidth="1"/>
    <col min="3" max="3" width="25.140625" customWidth="1"/>
    <col min="4" max="5" width="40" customWidth="1"/>
  </cols>
  <sheetData>
    <row r="1" spans="1:5" x14ac:dyDescent="0.25">
      <c r="A1" t="s">
        <v>9</v>
      </c>
      <c r="B1" t="s">
        <v>70</v>
      </c>
      <c r="C1" t="s">
        <v>74</v>
      </c>
      <c r="D1" t="s">
        <v>75</v>
      </c>
      <c r="E1" t="s">
        <v>76</v>
      </c>
    </row>
    <row r="2" spans="1:5" x14ac:dyDescent="0.25">
      <c r="A2" s="1">
        <v>45352</v>
      </c>
      <c r="B2" s="49">
        <v>396.3</v>
      </c>
    </row>
    <row r="3" spans="1:5" x14ac:dyDescent="0.25">
      <c r="A3" s="1">
        <v>45353</v>
      </c>
      <c r="B3" s="49">
        <v>188.1</v>
      </c>
    </row>
    <row r="4" spans="1:5" x14ac:dyDescent="0.25">
      <c r="A4" s="1">
        <v>45354</v>
      </c>
      <c r="B4" s="49">
        <v>309.09999999999997</v>
      </c>
    </row>
    <row r="5" spans="1:5" x14ac:dyDescent="0.25">
      <c r="A5" s="1">
        <v>45355</v>
      </c>
      <c r="B5" s="49">
        <v>135.19999999999999</v>
      </c>
    </row>
    <row r="6" spans="1:5" x14ac:dyDescent="0.25">
      <c r="A6" s="1">
        <v>45356</v>
      </c>
      <c r="B6" s="49">
        <v>338.49999999999994</v>
      </c>
    </row>
    <row r="7" spans="1:5" x14ac:dyDescent="0.25">
      <c r="A7" s="1">
        <v>45357</v>
      </c>
      <c r="B7" s="49">
        <v>135.19999999999999</v>
      </c>
    </row>
    <row r="8" spans="1:5" x14ac:dyDescent="0.25">
      <c r="A8" s="1">
        <v>45358</v>
      </c>
      <c r="B8" s="49">
        <v>140.10000000000002</v>
      </c>
    </row>
    <row r="9" spans="1:5" x14ac:dyDescent="0.25">
      <c r="A9" s="1">
        <v>45359</v>
      </c>
      <c r="B9" s="49">
        <v>265.5</v>
      </c>
    </row>
    <row r="10" spans="1:5" x14ac:dyDescent="0.25">
      <c r="A10" s="1">
        <v>45360</v>
      </c>
      <c r="B10" s="49">
        <v>439.40000000000003</v>
      </c>
    </row>
    <row r="11" spans="1:5" x14ac:dyDescent="0.25">
      <c r="A11" s="1">
        <v>45361</v>
      </c>
      <c r="B11" s="49">
        <v>91.6</v>
      </c>
    </row>
    <row r="12" spans="1:5" x14ac:dyDescent="0.25">
      <c r="A12" s="1">
        <v>45362</v>
      </c>
      <c r="B12" s="49">
        <v>135.19999999999999</v>
      </c>
    </row>
    <row r="13" spans="1:5" x14ac:dyDescent="0.25">
      <c r="A13" s="1">
        <v>45363</v>
      </c>
      <c r="B13" s="49">
        <v>188.10000000000002</v>
      </c>
    </row>
    <row r="14" spans="1:5" x14ac:dyDescent="0.25">
      <c r="A14" s="1">
        <v>45364</v>
      </c>
      <c r="B14" s="49">
        <v>231.2</v>
      </c>
    </row>
    <row r="15" spans="1:5" x14ac:dyDescent="0.25">
      <c r="A15" s="1">
        <v>45365</v>
      </c>
      <c r="B15" s="49">
        <v>357.09999999999997</v>
      </c>
    </row>
    <row r="16" spans="1:5" x14ac:dyDescent="0.25">
      <c r="A16" s="1">
        <v>45366</v>
      </c>
      <c r="B16" s="49">
        <v>67.599999999999994</v>
      </c>
    </row>
    <row r="17" spans="1:20" x14ac:dyDescent="0.25">
      <c r="A17" s="1">
        <v>45367</v>
      </c>
      <c r="B17" s="49">
        <v>183.2</v>
      </c>
    </row>
    <row r="18" spans="1:20" x14ac:dyDescent="0.25">
      <c r="A18" s="1">
        <v>45368</v>
      </c>
      <c r="B18" s="49">
        <v>28.9</v>
      </c>
    </row>
    <row r="19" spans="1:20" x14ac:dyDescent="0.25">
      <c r="A19" s="1">
        <v>45369</v>
      </c>
      <c r="B19" s="49">
        <v>115.6</v>
      </c>
    </row>
    <row r="20" spans="1:20" x14ac:dyDescent="0.25">
      <c r="A20" s="1">
        <v>45370</v>
      </c>
      <c r="B20" s="49">
        <v>149.9</v>
      </c>
    </row>
    <row r="21" spans="1:20" x14ac:dyDescent="0.25">
      <c r="A21" s="1">
        <v>45371</v>
      </c>
      <c r="B21" s="49">
        <v>173.89999999999998</v>
      </c>
    </row>
    <row r="22" spans="1:20" x14ac:dyDescent="0.25">
      <c r="A22" s="1">
        <v>45372</v>
      </c>
      <c r="B22" s="49">
        <v>135.19999999999999</v>
      </c>
    </row>
    <row r="23" spans="1:20" x14ac:dyDescent="0.25">
      <c r="A23" s="1">
        <v>45373</v>
      </c>
      <c r="B23" s="49">
        <v>149.4</v>
      </c>
    </row>
    <row r="24" spans="1:20" x14ac:dyDescent="0.25">
      <c r="A24" s="1">
        <v>45374</v>
      </c>
      <c r="B24" s="49">
        <v>285.09999999999997</v>
      </c>
    </row>
    <row r="25" spans="1:20" x14ac:dyDescent="0.25">
      <c r="A25" s="1">
        <v>45375</v>
      </c>
      <c r="B25" s="49">
        <v>38.700000000000003</v>
      </c>
    </row>
    <row r="26" spans="1:20" x14ac:dyDescent="0.25">
      <c r="A26" s="1">
        <v>45376</v>
      </c>
      <c r="B26" s="49">
        <v>188.60000000000002</v>
      </c>
    </row>
    <row r="27" spans="1:20" x14ac:dyDescent="0.25">
      <c r="A27" s="1">
        <v>45377</v>
      </c>
      <c r="B27" s="49">
        <v>376.7</v>
      </c>
    </row>
    <row r="28" spans="1:20" ht="15" customHeight="1" x14ac:dyDescent="0.25">
      <c r="A28" s="1">
        <v>45378</v>
      </c>
      <c r="B28" s="49">
        <v>231.7</v>
      </c>
      <c r="F28" s="57"/>
      <c r="G28" s="57"/>
      <c r="H28" s="57"/>
      <c r="I28" s="57"/>
      <c r="J28" s="57"/>
      <c r="K28" s="57"/>
      <c r="L28" s="57"/>
      <c r="M28" s="57"/>
      <c r="N28" s="57"/>
      <c r="O28" s="57"/>
      <c r="P28" s="57"/>
      <c r="Q28" s="57"/>
      <c r="R28" s="57"/>
      <c r="S28" s="57"/>
      <c r="T28" s="57"/>
    </row>
    <row r="29" spans="1:20" ht="15" customHeight="1" x14ac:dyDescent="0.25">
      <c r="A29" s="1">
        <v>45379</v>
      </c>
      <c r="B29" s="49">
        <v>125.39999999999999</v>
      </c>
      <c r="F29" s="57"/>
      <c r="G29" s="57"/>
      <c r="H29" s="57"/>
      <c r="I29" s="57"/>
      <c r="J29" s="57"/>
      <c r="K29" s="57"/>
      <c r="L29" s="57"/>
      <c r="M29" s="57"/>
      <c r="N29" s="57"/>
      <c r="O29" s="57"/>
      <c r="P29" s="57"/>
      <c r="Q29" s="57"/>
      <c r="R29" s="57"/>
      <c r="S29" s="57"/>
      <c r="T29" s="57"/>
    </row>
    <row r="30" spans="1:20" ht="15" customHeight="1" x14ac:dyDescent="0.25">
      <c r="A30" s="1">
        <v>45380</v>
      </c>
      <c r="B30" s="49">
        <v>116.10000000000001</v>
      </c>
      <c r="F30" s="57"/>
      <c r="G30" s="57"/>
      <c r="H30" s="57"/>
      <c r="I30" s="57"/>
      <c r="J30" s="57"/>
      <c r="K30" s="57"/>
      <c r="L30" s="57"/>
      <c r="M30" s="57"/>
      <c r="N30" s="57"/>
      <c r="O30" s="57"/>
      <c r="P30" s="57"/>
      <c r="Q30" s="57"/>
      <c r="R30" s="57"/>
      <c r="S30" s="57"/>
      <c r="T30" s="57"/>
    </row>
    <row r="31" spans="1:20" ht="15" customHeight="1" x14ac:dyDescent="0.25">
      <c r="A31" s="1">
        <v>45381</v>
      </c>
      <c r="B31" s="49">
        <v>149.9</v>
      </c>
      <c r="F31" s="57"/>
      <c r="G31" s="57"/>
      <c r="H31" s="57"/>
      <c r="I31" s="57"/>
      <c r="J31" s="57"/>
      <c r="K31" s="57"/>
      <c r="L31" s="57"/>
      <c r="M31" s="57"/>
      <c r="N31" s="57"/>
      <c r="O31" s="57"/>
      <c r="P31" s="57"/>
      <c r="Q31" s="57"/>
      <c r="R31" s="57"/>
      <c r="S31" s="57"/>
      <c r="T31" s="57"/>
    </row>
    <row r="32" spans="1:20" ht="15" customHeight="1" x14ac:dyDescent="0.25">
      <c r="A32" s="1">
        <v>45382</v>
      </c>
      <c r="B32" s="49">
        <v>38.700000000000003</v>
      </c>
      <c r="F32" s="57"/>
      <c r="G32" s="57"/>
      <c r="H32" s="57"/>
      <c r="I32" s="57"/>
      <c r="J32" s="57"/>
      <c r="K32" s="57"/>
      <c r="L32" s="57"/>
      <c r="M32" s="57"/>
      <c r="N32" s="57"/>
      <c r="O32" s="57"/>
      <c r="P32" s="57"/>
      <c r="Q32" s="57"/>
      <c r="R32" s="57"/>
      <c r="S32" s="57"/>
      <c r="T32" s="57"/>
    </row>
    <row r="33" spans="1:20" ht="15" customHeight="1" x14ac:dyDescent="0.25">
      <c r="A33" s="1">
        <v>45383</v>
      </c>
      <c r="B33" s="49">
        <v>202.8</v>
      </c>
      <c r="F33" s="57"/>
      <c r="G33" s="57"/>
      <c r="H33" s="57"/>
      <c r="I33" s="57"/>
      <c r="J33" s="57"/>
      <c r="K33" s="57"/>
      <c r="L33" s="57"/>
      <c r="M33" s="57"/>
      <c r="N33" s="57"/>
      <c r="O33" s="57"/>
      <c r="P33" s="57"/>
      <c r="Q33" s="57"/>
      <c r="R33" s="57"/>
      <c r="S33" s="57"/>
      <c r="T33" s="57"/>
    </row>
    <row r="34" spans="1:20" ht="15" customHeight="1" x14ac:dyDescent="0.25">
      <c r="A34" s="1">
        <v>45384</v>
      </c>
      <c r="B34" s="49">
        <v>96.5</v>
      </c>
      <c r="F34" s="57"/>
      <c r="G34" s="57"/>
      <c r="H34" s="57"/>
      <c r="I34" s="57"/>
      <c r="J34" s="57"/>
      <c r="K34" s="57"/>
      <c r="L34" s="57"/>
      <c r="M34" s="57"/>
      <c r="N34" s="57"/>
      <c r="O34" s="57"/>
      <c r="P34" s="57"/>
      <c r="Q34" s="57"/>
      <c r="R34" s="57"/>
      <c r="S34" s="57"/>
      <c r="T34" s="57"/>
    </row>
    <row r="35" spans="1:20" x14ac:dyDescent="0.25">
      <c r="A35" s="1">
        <v>45385</v>
      </c>
      <c r="B35" s="49">
        <v>96.5</v>
      </c>
    </row>
    <row r="36" spans="1:20" x14ac:dyDescent="0.25">
      <c r="A36" s="1">
        <v>45386</v>
      </c>
      <c r="B36" s="49">
        <v>145</v>
      </c>
    </row>
    <row r="37" spans="1:20" x14ac:dyDescent="0.25">
      <c r="A37" s="1">
        <v>45387</v>
      </c>
      <c r="B37" s="49">
        <v>212.1</v>
      </c>
    </row>
    <row r="38" spans="1:20" x14ac:dyDescent="0.25">
      <c r="A38" s="1">
        <v>45388</v>
      </c>
      <c r="B38" s="49">
        <v>140.10000000000002</v>
      </c>
    </row>
    <row r="39" spans="1:20" x14ac:dyDescent="0.25">
      <c r="A39" s="1">
        <v>45389</v>
      </c>
      <c r="B39" s="49">
        <v>241.5</v>
      </c>
    </row>
    <row r="40" spans="1:20" x14ac:dyDescent="0.25">
      <c r="A40" s="1">
        <v>45390</v>
      </c>
      <c r="B40" s="49">
        <v>280.2</v>
      </c>
    </row>
    <row r="41" spans="1:20" x14ac:dyDescent="0.25">
      <c r="A41" s="1">
        <v>45391</v>
      </c>
      <c r="B41" s="49">
        <v>116.10000000000001</v>
      </c>
    </row>
    <row r="42" spans="1:20" x14ac:dyDescent="0.25">
      <c r="A42" s="1">
        <v>45392</v>
      </c>
      <c r="B42" s="49">
        <v>101.4</v>
      </c>
    </row>
    <row r="43" spans="1:20" x14ac:dyDescent="0.25">
      <c r="A43" s="1">
        <v>45393</v>
      </c>
      <c r="B43" s="49">
        <v>169</v>
      </c>
    </row>
    <row r="44" spans="1:20" x14ac:dyDescent="0.25">
      <c r="A44" s="1">
        <v>45394</v>
      </c>
      <c r="B44" s="49">
        <v>67.599999999999994</v>
      </c>
    </row>
    <row r="45" spans="1:20" x14ac:dyDescent="0.25">
      <c r="A45" s="1">
        <v>45395</v>
      </c>
      <c r="B45" s="49">
        <v>222.39999999999998</v>
      </c>
    </row>
    <row r="46" spans="1:20" x14ac:dyDescent="0.25">
      <c r="A46" s="1">
        <v>45396</v>
      </c>
      <c r="B46" s="49">
        <v>299.3</v>
      </c>
    </row>
    <row r="47" spans="1:20" x14ac:dyDescent="0.25">
      <c r="A47" s="1">
        <v>45397</v>
      </c>
      <c r="B47" s="49">
        <v>125.39999999999999</v>
      </c>
    </row>
    <row r="48" spans="1:20" x14ac:dyDescent="0.25">
      <c r="A48" s="1">
        <v>45398</v>
      </c>
      <c r="B48" s="49">
        <v>241.5</v>
      </c>
    </row>
    <row r="49" spans="1:2" x14ac:dyDescent="0.25">
      <c r="A49" s="1">
        <v>45399</v>
      </c>
      <c r="B49" s="49">
        <v>159.20000000000002</v>
      </c>
    </row>
    <row r="50" spans="1:2" x14ac:dyDescent="0.25">
      <c r="A50" s="1">
        <v>45400</v>
      </c>
      <c r="B50" s="49">
        <v>352.69999999999993</v>
      </c>
    </row>
    <row r="51" spans="1:2" x14ac:dyDescent="0.25">
      <c r="A51" s="1">
        <v>45401</v>
      </c>
      <c r="B51" s="49">
        <v>261.10000000000002</v>
      </c>
    </row>
    <row r="52" spans="1:2" x14ac:dyDescent="0.25">
      <c r="A52" s="1">
        <v>45402</v>
      </c>
      <c r="B52" s="49">
        <v>420.30000000000007</v>
      </c>
    </row>
    <row r="53" spans="1:2" x14ac:dyDescent="0.25">
      <c r="A53" s="1">
        <v>45403</v>
      </c>
      <c r="B53" s="49">
        <v>65.64</v>
      </c>
    </row>
    <row r="54" spans="1:2" x14ac:dyDescent="0.25">
      <c r="A54" s="1">
        <v>45404</v>
      </c>
      <c r="B54" s="49">
        <v>98.460000000000008</v>
      </c>
    </row>
    <row r="55" spans="1:2" x14ac:dyDescent="0.25">
      <c r="A55" s="1">
        <v>45405</v>
      </c>
      <c r="B55" s="49">
        <v>173.89999999999998</v>
      </c>
    </row>
    <row r="56" spans="1:2" x14ac:dyDescent="0.25">
      <c r="A56" s="1">
        <v>45406</v>
      </c>
      <c r="B56" s="49">
        <v>272.35999999999996</v>
      </c>
    </row>
    <row r="57" spans="1:2" x14ac:dyDescent="0.25">
      <c r="A57" s="1">
        <v>45407</v>
      </c>
      <c r="B57" s="49">
        <v>121.48</v>
      </c>
    </row>
    <row r="58" spans="1:2" x14ac:dyDescent="0.25">
      <c r="A58" s="1">
        <v>45408</v>
      </c>
      <c r="B58" s="49">
        <v>300.28000000000009</v>
      </c>
    </row>
    <row r="59" spans="1:2" x14ac:dyDescent="0.25">
      <c r="A59" s="1">
        <v>45409</v>
      </c>
      <c r="B59" s="49">
        <v>37.72</v>
      </c>
    </row>
    <row r="60" spans="1:2" x14ac:dyDescent="0.25">
      <c r="A60" s="1">
        <v>45410</v>
      </c>
      <c r="B60" s="49">
        <v>169</v>
      </c>
    </row>
    <row r="61" spans="1:2" x14ac:dyDescent="0.25">
      <c r="A61" s="1">
        <v>45411</v>
      </c>
      <c r="B61" s="49">
        <v>257.65999999999997</v>
      </c>
    </row>
    <row r="62" spans="1:2" x14ac:dyDescent="0.25">
      <c r="A62" s="1">
        <v>45412</v>
      </c>
      <c r="B62" s="49">
        <v>272.35999999999996</v>
      </c>
    </row>
    <row r="63" spans="1:2" x14ac:dyDescent="0.25">
      <c r="A63" s="1">
        <v>45413</v>
      </c>
      <c r="B63" s="49">
        <v>239.53999999999996</v>
      </c>
    </row>
    <row r="64" spans="1:2" x14ac:dyDescent="0.25">
      <c r="A64" s="1">
        <v>45414</v>
      </c>
      <c r="B64" s="49">
        <v>206.72</v>
      </c>
    </row>
    <row r="65" spans="1:2" x14ac:dyDescent="0.25">
      <c r="A65" s="1">
        <v>45415</v>
      </c>
      <c r="B65" s="49">
        <v>75.44</v>
      </c>
    </row>
    <row r="66" spans="1:2" x14ac:dyDescent="0.25">
      <c r="A66" s="1">
        <v>45416</v>
      </c>
      <c r="B66" s="49">
        <v>145.48666666666668</v>
      </c>
    </row>
    <row r="67" spans="1:2" x14ac:dyDescent="0.25">
      <c r="A67" s="1">
        <v>45417</v>
      </c>
      <c r="B67" s="49">
        <v>215.53333333333336</v>
      </c>
    </row>
    <row r="68" spans="1:2" x14ac:dyDescent="0.25">
      <c r="A68" s="1">
        <v>45418</v>
      </c>
      <c r="B68" s="49">
        <v>285.58000000000004</v>
      </c>
    </row>
    <row r="69" spans="1:2" x14ac:dyDescent="0.25">
      <c r="A69" s="1">
        <v>45419</v>
      </c>
      <c r="B69" s="49">
        <v>310.08000000000004</v>
      </c>
    </row>
    <row r="70" spans="1:2" x14ac:dyDescent="0.25">
      <c r="A70" s="1">
        <v>45420</v>
      </c>
      <c r="B70" s="49">
        <v>37.72</v>
      </c>
    </row>
    <row r="71" spans="1:2" x14ac:dyDescent="0.25">
      <c r="A71" s="1">
        <v>45421</v>
      </c>
      <c r="B71" s="49">
        <v>295.38</v>
      </c>
    </row>
    <row r="72" spans="1:2" x14ac:dyDescent="0.25">
      <c r="A72" s="1">
        <v>45422</v>
      </c>
      <c r="B72" s="49">
        <v>75.44</v>
      </c>
    </row>
    <row r="73" spans="1:2" x14ac:dyDescent="0.25">
      <c r="A73" s="1">
        <v>45423</v>
      </c>
      <c r="B73" s="49">
        <v>254.23999999999998</v>
      </c>
    </row>
    <row r="74" spans="1:2" x14ac:dyDescent="0.25">
      <c r="A74" s="1">
        <v>45424</v>
      </c>
      <c r="B74" s="49">
        <v>272.35999999999996</v>
      </c>
    </row>
    <row r="75" spans="1:2" x14ac:dyDescent="0.25">
      <c r="A75" s="1">
        <v>45425</v>
      </c>
      <c r="B75" s="49">
        <v>32.82</v>
      </c>
    </row>
    <row r="76" spans="1:2" x14ac:dyDescent="0.25">
      <c r="A76" s="1">
        <v>45426</v>
      </c>
      <c r="B76" s="49">
        <v>403.64</v>
      </c>
    </row>
    <row r="77" spans="1:2" x14ac:dyDescent="0.25">
      <c r="A77" s="1">
        <v>45427</v>
      </c>
      <c r="B77" s="49">
        <v>321.82000000000005</v>
      </c>
    </row>
    <row r="78" spans="1:2" x14ac:dyDescent="0.25">
      <c r="A78" s="1">
        <v>45428</v>
      </c>
      <c r="B78" s="49">
        <v>249.34</v>
      </c>
    </row>
    <row r="79" spans="1:2" x14ac:dyDescent="0.25">
      <c r="A79" s="1">
        <v>45429</v>
      </c>
      <c r="B79" s="49">
        <v>272.36</v>
      </c>
    </row>
    <row r="80" spans="1:2" x14ac:dyDescent="0.25">
      <c r="A80" s="1">
        <v>45430</v>
      </c>
      <c r="B80" s="49">
        <v>244.43999999999997</v>
      </c>
    </row>
    <row r="81" spans="1:2" x14ac:dyDescent="0.25">
      <c r="A81" s="1">
        <v>45431</v>
      </c>
      <c r="B81" s="49">
        <v>393.84000000000003</v>
      </c>
    </row>
    <row r="82" spans="1:2" x14ac:dyDescent="0.25">
      <c r="A82" s="1">
        <v>45432</v>
      </c>
      <c r="B82" s="49">
        <v>530.0200000000001</v>
      </c>
    </row>
    <row r="83" spans="1:2" x14ac:dyDescent="0.25">
      <c r="A83" s="1">
        <v>45433</v>
      </c>
      <c r="B83" s="49">
        <v>173.9</v>
      </c>
    </row>
    <row r="84" spans="1:2" x14ac:dyDescent="0.25">
      <c r="A84" s="1">
        <v>45434</v>
      </c>
      <c r="B84" s="49">
        <v>370.82000000000005</v>
      </c>
    </row>
    <row r="85" spans="1:2" x14ac:dyDescent="0.25">
      <c r="A85" s="1">
        <v>45435</v>
      </c>
      <c r="B85" s="49">
        <v>536.4000000000002</v>
      </c>
    </row>
    <row r="86" spans="1:2" x14ac:dyDescent="0.25">
      <c r="A86" s="1">
        <v>45436</v>
      </c>
      <c r="B86" s="49">
        <v>210.14</v>
      </c>
    </row>
    <row r="87" spans="1:2" x14ac:dyDescent="0.25">
      <c r="A87" s="1">
        <v>45437</v>
      </c>
      <c r="B87" s="49">
        <v>196.91999999999996</v>
      </c>
    </row>
    <row r="88" spans="1:2" x14ac:dyDescent="0.25">
      <c r="A88" s="1">
        <v>45438</v>
      </c>
      <c r="B88" s="49">
        <v>526.60000000000014</v>
      </c>
    </row>
    <row r="89" spans="1:2" x14ac:dyDescent="0.25">
      <c r="A89" s="1">
        <v>45439</v>
      </c>
      <c r="B89" s="49">
        <v>365.91999999999996</v>
      </c>
    </row>
    <row r="90" spans="1:2" x14ac:dyDescent="0.25">
      <c r="A90" s="1">
        <v>45440</v>
      </c>
      <c r="B90" s="49">
        <v>333.1</v>
      </c>
    </row>
    <row r="91" spans="1:2" x14ac:dyDescent="0.25">
      <c r="A91" s="1">
        <v>45441</v>
      </c>
      <c r="B91" s="49">
        <v>357.6</v>
      </c>
    </row>
    <row r="92" spans="1:2" x14ac:dyDescent="0.25">
      <c r="A92" s="1">
        <v>45442</v>
      </c>
      <c r="B92" s="49">
        <v>370.82</v>
      </c>
    </row>
    <row r="93" spans="1:2" x14ac:dyDescent="0.25">
      <c r="A93" s="1">
        <v>45443</v>
      </c>
      <c r="B93" s="49">
        <v>460.96000000000004</v>
      </c>
    </row>
    <row r="94" spans="1:2" x14ac:dyDescent="0.25">
      <c r="A94" s="1">
        <v>45444</v>
      </c>
      <c r="B94" s="49">
        <v>347.8</v>
      </c>
    </row>
    <row r="95" spans="1:2" x14ac:dyDescent="0.25">
      <c r="A95" s="1">
        <v>45445</v>
      </c>
      <c r="B95" s="49">
        <v>178.79999999999998</v>
      </c>
    </row>
    <row r="96" spans="1:2" x14ac:dyDescent="0.25">
      <c r="A96" s="1">
        <v>45446</v>
      </c>
      <c r="B96" s="49">
        <v>183.7</v>
      </c>
    </row>
    <row r="97" spans="1:2" x14ac:dyDescent="0.25">
      <c r="A97" s="1">
        <v>45447</v>
      </c>
      <c r="B97" s="49">
        <v>474.18</v>
      </c>
    </row>
    <row r="98" spans="1:2" x14ac:dyDescent="0.25">
      <c r="A98" s="1">
        <v>45448</v>
      </c>
      <c r="B98" s="49">
        <v>310.08</v>
      </c>
    </row>
    <row r="99" spans="1:2" x14ac:dyDescent="0.25">
      <c r="A99" s="1">
        <v>45449</v>
      </c>
      <c r="B99" s="49">
        <v>385.52</v>
      </c>
    </row>
    <row r="100" spans="1:2" x14ac:dyDescent="0.25">
      <c r="A100" s="1">
        <v>45450</v>
      </c>
      <c r="B100" s="49">
        <v>149.4</v>
      </c>
    </row>
    <row r="101" spans="1:2" x14ac:dyDescent="0.25">
      <c r="A101" s="1">
        <v>45451</v>
      </c>
      <c r="B101" s="49">
        <v>136.18</v>
      </c>
    </row>
    <row r="102" spans="1:2" x14ac:dyDescent="0.25">
      <c r="A102" s="1">
        <v>45452</v>
      </c>
      <c r="B102" s="49">
        <v>436.46000000000004</v>
      </c>
    </row>
    <row r="103" spans="1:2" x14ac:dyDescent="0.25">
      <c r="A103" s="1">
        <v>45453</v>
      </c>
      <c r="B103" s="49">
        <v>226.32</v>
      </c>
    </row>
    <row r="104" spans="1:2" x14ac:dyDescent="0.25">
      <c r="A104" s="1">
        <v>45454</v>
      </c>
      <c r="B104" s="49">
        <v>211.61999999999998</v>
      </c>
    </row>
    <row r="105" spans="1:2" x14ac:dyDescent="0.25">
      <c r="A105" s="1">
        <v>45455</v>
      </c>
      <c r="B105" s="49">
        <v>221.42</v>
      </c>
    </row>
    <row r="106" spans="1:2" x14ac:dyDescent="0.25">
      <c r="A106" s="1">
        <v>45456</v>
      </c>
      <c r="B106" s="49">
        <v>379.14</v>
      </c>
    </row>
    <row r="107" spans="1:2" x14ac:dyDescent="0.25">
      <c r="A107" s="1">
        <v>45457</v>
      </c>
      <c r="B107" s="49">
        <v>126.38</v>
      </c>
    </row>
    <row r="108" spans="1:2" x14ac:dyDescent="0.25">
      <c r="A108" s="1">
        <v>45458</v>
      </c>
      <c r="B108" s="49">
        <v>262.56</v>
      </c>
    </row>
    <row r="109" spans="1:2" x14ac:dyDescent="0.25">
      <c r="A109" s="1">
        <v>45459</v>
      </c>
      <c r="B109" s="49">
        <v>408.53999999999996</v>
      </c>
    </row>
    <row r="110" spans="1:2" x14ac:dyDescent="0.25">
      <c r="A110" s="1">
        <v>45460</v>
      </c>
      <c r="B110" s="49">
        <v>323.3</v>
      </c>
    </row>
    <row r="111" spans="1:2" x14ac:dyDescent="0.25">
      <c r="A111" s="1">
        <v>45461</v>
      </c>
      <c r="B111" s="49">
        <v>234.64</v>
      </c>
    </row>
    <row r="112" spans="1:2" x14ac:dyDescent="0.25">
      <c r="A112" s="1">
        <v>45462</v>
      </c>
      <c r="B112" s="49">
        <v>380.61999999999995</v>
      </c>
    </row>
    <row r="113" spans="1:2" x14ac:dyDescent="0.25">
      <c r="A113" s="1">
        <v>45463</v>
      </c>
      <c r="B113" s="49">
        <v>221.42</v>
      </c>
    </row>
    <row r="114" spans="1:2" x14ac:dyDescent="0.25">
      <c r="A114" s="1">
        <v>45464</v>
      </c>
      <c r="B114" s="49">
        <v>403.6400000000001</v>
      </c>
    </row>
    <row r="115" spans="1:2" x14ac:dyDescent="0.25">
      <c r="A115" s="1">
        <v>45465</v>
      </c>
      <c r="B115" s="49">
        <v>169</v>
      </c>
    </row>
    <row r="116" spans="1:2" x14ac:dyDescent="0.25">
      <c r="A116" s="1">
        <v>45466</v>
      </c>
      <c r="B116" s="49">
        <v>178.79999999999998</v>
      </c>
    </row>
    <row r="117" spans="1:2" x14ac:dyDescent="0.25">
      <c r="A117" s="1">
        <v>45467</v>
      </c>
      <c r="B117" s="49">
        <v>221.42</v>
      </c>
    </row>
    <row r="118" spans="1:2" x14ac:dyDescent="0.25">
      <c r="A118" s="1">
        <v>45468</v>
      </c>
      <c r="B118" s="49">
        <v>141.07999999999998</v>
      </c>
    </row>
    <row r="119" spans="1:2" x14ac:dyDescent="0.25">
      <c r="A119" s="1">
        <v>45469</v>
      </c>
      <c r="B119" s="49">
        <v>196.92</v>
      </c>
    </row>
    <row r="120" spans="1:2" x14ac:dyDescent="0.25">
      <c r="A120" s="1">
        <v>45470</v>
      </c>
      <c r="B120" s="49">
        <v>131.28</v>
      </c>
    </row>
    <row r="121" spans="1:2" x14ac:dyDescent="0.25">
      <c r="A121" s="1">
        <v>45471</v>
      </c>
      <c r="B121" s="49">
        <v>159.19999999999999</v>
      </c>
    </row>
    <row r="122" spans="1:2" x14ac:dyDescent="0.25">
      <c r="A122" s="1">
        <v>45472</v>
      </c>
      <c r="B122" s="49">
        <v>287.06</v>
      </c>
    </row>
    <row r="123" spans="1:2" x14ac:dyDescent="0.25">
      <c r="A123" s="1">
        <v>45473</v>
      </c>
      <c r="B123" s="49">
        <v>131.28</v>
      </c>
    </row>
    <row r="124" spans="1:2" x14ac:dyDescent="0.25">
      <c r="A124" s="1">
        <v>45474</v>
      </c>
      <c r="B124" s="49">
        <v>98.46</v>
      </c>
    </row>
    <row r="125" spans="1:2" x14ac:dyDescent="0.25">
      <c r="A125" s="1">
        <v>45475</v>
      </c>
      <c r="B125" s="49">
        <v>192.02</v>
      </c>
    </row>
    <row r="126" spans="1:2" x14ac:dyDescent="0.25">
      <c r="A126" s="1">
        <v>45476</v>
      </c>
      <c r="B126" s="49">
        <v>310.08000000000004</v>
      </c>
    </row>
    <row r="127" spans="1:2" x14ac:dyDescent="0.25">
      <c r="A127" s="1">
        <v>45477</v>
      </c>
      <c r="B127" s="49">
        <v>60.74</v>
      </c>
    </row>
    <row r="128" spans="1:2" x14ac:dyDescent="0.25">
      <c r="A128" s="1">
        <v>45478</v>
      </c>
      <c r="B128" s="49">
        <v>303.7</v>
      </c>
    </row>
    <row r="129" spans="1:2" x14ac:dyDescent="0.25">
      <c r="A129" s="1">
        <v>45479</v>
      </c>
      <c r="B129" s="49">
        <v>164.09999999999997</v>
      </c>
    </row>
    <row r="130" spans="1:2" x14ac:dyDescent="0.25">
      <c r="A130" s="1">
        <v>45480</v>
      </c>
      <c r="B130" s="49">
        <v>346.32</v>
      </c>
    </row>
    <row r="131" spans="1:2" x14ac:dyDescent="0.25">
      <c r="A131" s="1">
        <v>45481</v>
      </c>
      <c r="B131" s="49">
        <v>139.6</v>
      </c>
    </row>
    <row r="132" spans="1:2" x14ac:dyDescent="0.25">
      <c r="A132" s="1">
        <v>45482</v>
      </c>
      <c r="B132" s="49">
        <v>144.5</v>
      </c>
    </row>
    <row r="133" spans="1:2" x14ac:dyDescent="0.25">
      <c r="A133" s="1">
        <v>45483</v>
      </c>
      <c r="B133" s="49">
        <v>83.759999999999991</v>
      </c>
    </row>
    <row r="134" spans="1:2" x14ac:dyDescent="0.25">
      <c r="A134" s="1">
        <v>45484</v>
      </c>
      <c r="B134" s="49">
        <v>116.58</v>
      </c>
    </row>
    <row r="135" spans="1:2" x14ac:dyDescent="0.25">
      <c r="A135" s="1">
        <v>45485</v>
      </c>
      <c r="B135" s="49">
        <v>154.29999999999998</v>
      </c>
    </row>
    <row r="136" spans="1:2" x14ac:dyDescent="0.25">
      <c r="A136" s="1">
        <v>45486</v>
      </c>
      <c r="B136" s="49">
        <v>65.64</v>
      </c>
    </row>
    <row r="137" spans="1:2" x14ac:dyDescent="0.25">
      <c r="A137" s="1">
        <v>45487</v>
      </c>
      <c r="B137" s="49">
        <v>172.42</v>
      </c>
    </row>
    <row r="138" spans="1:2" x14ac:dyDescent="0.25">
      <c r="A138" s="1">
        <v>45488</v>
      </c>
      <c r="B138" s="49">
        <v>32.82</v>
      </c>
    </row>
    <row r="139" spans="1:2" x14ac:dyDescent="0.25">
      <c r="A139" s="1">
        <v>45489</v>
      </c>
      <c r="B139" s="49">
        <v>60.74</v>
      </c>
    </row>
    <row r="140" spans="1:2" x14ac:dyDescent="0.25">
      <c r="A140" s="1">
        <v>45490</v>
      </c>
      <c r="B140" s="49">
        <v>27.92</v>
      </c>
    </row>
    <row r="141" spans="1:2" x14ac:dyDescent="0.25">
      <c r="A141" s="1">
        <v>45491</v>
      </c>
      <c r="B141" s="49">
        <v>312.02</v>
      </c>
    </row>
    <row r="142" spans="1:2" x14ac:dyDescent="0.25">
      <c r="A142" s="1">
        <v>45492</v>
      </c>
      <c r="B142" s="49">
        <v>242.95999999999998</v>
      </c>
    </row>
    <row r="143" spans="1:2" x14ac:dyDescent="0.25">
      <c r="A143" s="1">
        <v>45493</v>
      </c>
      <c r="B143" s="49">
        <v>200.34</v>
      </c>
    </row>
    <row r="144" spans="1:2" x14ac:dyDescent="0.25">
      <c r="A144" s="1">
        <v>45494</v>
      </c>
      <c r="B144" s="49">
        <v>121.47999999999999</v>
      </c>
    </row>
    <row r="145" spans="1:2" x14ac:dyDescent="0.25">
      <c r="A145" s="1">
        <v>45495</v>
      </c>
      <c r="B145" s="49">
        <v>106.78</v>
      </c>
    </row>
    <row r="146" spans="1:2" x14ac:dyDescent="0.25">
      <c r="A146" s="1">
        <v>45496</v>
      </c>
      <c r="B146" s="49">
        <v>339.94</v>
      </c>
    </row>
    <row r="147" spans="1:2" x14ac:dyDescent="0.25">
      <c r="A147" s="1">
        <v>45497</v>
      </c>
      <c r="B147" s="49">
        <v>330.14</v>
      </c>
    </row>
    <row r="148" spans="1:2" x14ac:dyDescent="0.25">
      <c r="A148" s="1">
        <v>45498</v>
      </c>
      <c r="B148" s="49">
        <v>269.40000000000003</v>
      </c>
    </row>
    <row r="149" spans="1:2" x14ac:dyDescent="0.25">
      <c r="A149" s="1">
        <v>45499</v>
      </c>
      <c r="B149" s="49">
        <v>461.41999999999996</v>
      </c>
    </row>
    <row r="150" spans="1:2" x14ac:dyDescent="0.25">
      <c r="A150" s="1">
        <v>45500</v>
      </c>
      <c r="B150" s="49">
        <v>372.76</v>
      </c>
    </row>
    <row r="151" spans="1:2" x14ac:dyDescent="0.25">
      <c r="A151" s="1">
        <v>45501</v>
      </c>
      <c r="B151" s="49">
        <v>78.860000000000014</v>
      </c>
    </row>
    <row r="152" spans="1:2" x14ac:dyDescent="0.25">
      <c r="A152" s="1">
        <v>45502</v>
      </c>
      <c r="B152" s="49">
        <v>321.81999999999994</v>
      </c>
    </row>
    <row r="153" spans="1:2" x14ac:dyDescent="0.25">
      <c r="A153" s="1">
        <v>45503</v>
      </c>
      <c r="B153" s="49">
        <v>650.48000000000013</v>
      </c>
    </row>
    <row r="154" spans="1:2" x14ac:dyDescent="0.25">
      <c r="A154" s="1">
        <v>45504</v>
      </c>
      <c r="B154" s="49">
        <v>633.84</v>
      </c>
    </row>
    <row r="155" spans="1:2" x14ac:dyDescent="0.25">
      <c r="A155" s="1">
        <v>45505</v>
      </c>
      <c r="B155" s="49">
        <v>335.03999999999996</v>
      </c>
    </row>
    <row r="156" spans="1:2" x14ac:dyDescent="0.25">
      <c r="A156" s="1">
        <v>45506</v>
      </c>
      <c r="B156" s="49">
        <v>139.6</v>
      </c>
    </row>
    <row r="157" spans="1:2" x14ac:dyDescent="0.25">
      <c r="A157" s="1">
        <v>45507</v>
      </c>
      <c r="B157" s="49">
        <v>358.06000000000006</v>
      </c>
    </row>
    <row r="158" spans="1:2" x14ac:dyDescent="0.25">
      <c r="A158" s="1">
        <v>45508</v>
      </c>
      <c r="B158" s="49">
        <v>187.12</v>
      </c>
    </row>
    <row r="159" spans="1:2" x14ac:dyDescent="0.25">
      <c r="A159" s="1">
        <v>45509</v>
      </c>
      <c r="B159" s="49">
        <v>392.35999999999996</v>
      </c>
    </row>
    <row r="160" spans="1:2" x14ac:dyDescent="0.25">
      <c r="A160" s="1">
        <v>45510</v>
      </c>
      <c r="B160" s="49">
        <v>247.85999999999996</v>
      </c>
    </row>
    <row r="161" spans="1:2" x14ac:dyDescent="0.25">
      <c r="A161" s="1">
        <v>45511</v>
      </c>
      <c r="B161" s="49">
        <v>279.2</v>
      </c>
    </row>
    <row r="162" spans="1:2" x14ac:dyDescent="0.25">
      <c r="A162" s="1">
        <v>45512</v>
      </c>
      <c r="B162" s="49">
        <v>208.65999999999997</v>
      </c>
    </row>
    <row r="163" spans="1:2" x14ac:dyDescent="0.25">
      <c r="A163" s="1">
        <v>45513</v>
      </c>
      <c r="B163" s="49">
        <v>218.46</v>
      </c>
    </row>
    <row r="164" spans="1:2" x14ac:dyDescent="0.25">
      <c r="A164" s="1">
        <v>45514</v>
      </c>
      <c r="B164" s="49">
        <v>321.82</v>
      </c>
    </row>
    <row r="165" spans="1:2" x14ac:dyDescent="0.25">
      <c r="A165" s="1">
        <v>45515</v>
      </c>
      <c r="B165" s="49">
        <v>443.29999999999995</v>
      </c>
    </row>
    <row r="166" spans="1:2" x14ac:dyDescent="0.25">
      <c r="A166" s="1">
        <v>45516</v>
      </c>
      <c r="B166" s="49">
        <v>377.66</v>
      </c>
    </row>
    <row r="167" spans="1:2" x14ac:dyDescent="0.25">
      <c r="A167" s="1">
        <v>45517</v>
      </c>
      <c r="B167" s="49">
        <v>382.55999999999995</v>
      </c>
    </row>
    <row r="168" spans="1:2" x14ac:dyDescent="0.25">
      <c r="A168" s="1">
        <v>45518</v>
      </c>
      <c r="B168" s="49">
        <v>348.26</v>
      </c>
    </row>
    <row r="169" spans="1:2" x14ac:dyDescent="0.25">
      <c r="A169" s="1">
        <v>45519</v>
      </c>
      <c r="B169" s="49">
        <v>446.72</v>
      </c>
    </row>
    <row r="170" spans="1:2" x14ac:dyDescent="0.25">
      <c r="A170" s="1">
        <v>45520</v>
      </c>
      <c r="B170" s="49">
        <v>120.00000000000001</v>
      </c>
    </row>
    <row r="171" spans="1:2" x14ac:dyDescent="0.25">
      <c r="A171" s="1">
        <v>45521</v>
      </c>
      <c r="B171" s="49">
        <v>312.02</v>
      </c>
    </row>
    <row r="172" spans="1:2" x14ac:dyDescent="0.25">
      <c r="A172" s="1">
        <v>45522</v>
      </c>
      <c r="B172" s="49">
        <v>279.2</v>
      </c>
    </row>
    <row r="173" spans="1:2" x14ac:dyDescent="0.25">
      <c r="A173" s="1">
        <v>45523</v>
      </c>
      <c r="B173" s="49">
        <v>121.47999999999999</v>
      </c>
    </row>
    <row r="174" spans="1:2" x14ac:dyDescent="0.25">
      <c r="A174" s="1">
        <v>45524</v>
      </c>
      <c r="B174" s="49">
        <v>358.06</v>
      </c>
    </row>
    <row r="175" spans="1:2" x14ac:dyDescent="0.25">
      <c r="A175" s="1">
        <v>45525</v>
      </c>
      <c r="B175" s="49">
        <v>190.54</v>
      </c>
    </row>
    <row r="176" spans="1:2" x14ac:dyDescent="0.25">
      <c r="A176" s="1">
        <v>45526</v>
      </c>
      <c r="B176" s="49">
        <v>200.34</v>
      </c>
    </row>
    <row r="177" spans="1:2" x14ac:dyDescent="0.25">
      <c r="A177" s="1">
        <v>45527</v>
      </c>
      <c r="B177" s="49">
        <v>353.15999999999997</v>
      </c>
    </row>
    <row r="178" spans="1:2" x14ac:dyDescent="0.25">
      <c r="A178" s="1">
        <v>45528</v>
      </c>
      <c r="B178" s="49">
        <v>128.32000000000002</v>
      </c>
    </row>
    <row r="179" spans="1:2" x14ac:dyDescent="0.25">
      <c r="A179" s="1">
        <v>45529</v>
      </c>
      <c r="B179" s="49">
        <v>167.51999999999998</v>
      </c>
    </row>
    <row r="180" spans="1:2" x14ac:dyDescent="0.25">
      <c r="A180" s="1">
        <v>45530</v>
      </c>
      <c r="B180" s="49">
        <v>297.32000000000005</v>
      </c>
    </row>
    <row r="181" spans="1:2" x14ac:dyDescent="0.25">
      <c r="A181" s="1">
        <v>45531</v>
      </c>
      <c r="B181" s="49">
        <v>32.82</v>
      </c>
    </row>
    <row r="182" spans="1:2" x14ac:dyDescent="0.25">
      <c r="A182" s="1">
        <v>45532</v>
      </c>
      <c r="B182" s="49">
        <v>111.68</v>
      </c>
    </row>
    <row r="183" spans="1:2" x14ac:dyDescent="0.25">
      <c r="A183" s="1">
        <v>45533</v>
      </c>
      <c r="B183" s="49">
        <v>23.02</v>
      </c>
    </row>
    <row r="184" spans="1:2" x14ac:dyDescent="0.25">
      <c r="A184" s="1">
        <v>45534</v>
      </c>
      <c r="B184" s="49">
        <v>88.66</v>
      </c>
    </row>
    <row r="185" spans="1:2" x14ac:dyDescent="0.25">
      <c r="A185" s="1">
        <v>45535</v>
      </c>
      <c r="B185" s="49">
        <v>143.02000000000001</v>
      </c>
    </row>
    <row r="186" spans="1:2" x14ac:dyDescent="0.25">
      <c r="A186" s="1">
        <v>45536</v>
      </c>
      <c r="B186" s="49">
        <v>293.89999999999998</v>
      </c>
    </row>
    <row r="187" spans="1:2" x14ac:dyDescent="0.25">
      <c r="A187" s="1">
        <v>45537</v>
      </c>
      <c r="B187" s="49">
        <v>233.16000000000003</v>
      </c>
    </row>
    <row r="188" spans="1:2" x14ac:dyDescent="0.25">
      <c r="A188" s="1">
        <v>45538</v>
      </c>
      <c r="B188" s="49">
        <v>513.84</v>
      </c>
    </row>
    <row r="189" spans="1:2" x14ac:dyDescent="0.25">
      <c r="A189" s="1">
        <v>45539</v>
      </c>
      <c r="B189" s="49">
        <v>298.8</v>
      </c>
    </row>
    <row r="190" spans="1:2" x14ac:dyDescent="0.25">
      <c r="A190" s="1">
        <v>45540</v>
      </c>
      <c r="B190" s="49">
        <v>405.58</v>
      </c>
    </row>
    <row r="191" spans="1:2" x14ac:dyDescent="0.25">
      <c r="A191" s="1">
        <v>45541</v>
      </c>
      <c r="B191" s="49">
        <v>274.3</v>
      </c>
    </row>
    <row r="192" spans="1:2" x14ac:dyDescent="0.25">
      <c r="A192" s="1">
        <v>45542</v>
      </c>
      <c r="B192" s="49">
        <v>579.94000000000017</v>
      </c>
    </row>
    <row r="193" spans="1:2" x14ac:dyDescent="0.25">
      <c r="A193" s="1">
        <v>45543</v>
      </c>
      <c r="B193" s="49">
        <v>138.12</v>
      </c>
    </row>
    <row r="194" spans="1:2" x14ac:dyDescent="0.25">
      <c r="A194" s="1">
        <v>45544</v>
      </c>
      <c r="B194" s="49">
        <v>518.74</v>
      </c>
    </row>
    <row r="195" spans="1:2" x14ac:dyDescent="0.25">
      <c r="A195" s="1">
        <v>45545</v>
      </c>
      <c r="B195" s="49">
        <v>289</v>
      </c>
    </row>
    <row r="196" spans="1:2" x14ac:dyDescent="0.25">
      <c r="A196" s="1">
        <v>45546</v>
      </c>
      <c r="B196" s="49">
        <v>242.96</v>
      </c>
    </row>
    <row r="197" spans="1:2" x14ac:dyDescent="0.25">
      <c r="A197" s="1">
        <v>45547</v>
      </c>
      <c r="B197" s="49">
        <v>310.54000000000002</v>
      </c>
    </row>
    <row r="198" spans="1:2" x14ac:dyDescent="0.25">
      <c r="A198" s="1">
        <v>45548</v>
      </c>
      <c r="B198" s="49">
        <v>187.12</v>
      </c>
    </row>
    <row r="199" spans="1:2" x14ac:dyDescent="0.25">
      <c r="A199" s="1">
        <v>45549</v>
      </c>
      <c r="B199" s="49">
        <v>65.64</v>
      </c>
    </row>
    <row r="200" spans="1:2" x14ac:dyDescent="0.25">
      <c r="A200" s="1">
        <v>45550</v>
      </c>
      <c r="B200" s="49">
        <v>147.91999999999999</v>
      </c>
    </row>
    <row r="201" spans="1:2" x14ac:dyDescent="0.25">
      <c r="A201" s="1">
        <v>45551</v>
      </c>
      <c r="B201" s="49">
        <v>336.52000000000004</v>
      </c>
    </row>
    <row r="202" spans="1:2" x14ac:dyDescent="0.25">
      <c r="A202" s="1">
        <v>45552</v>
      </c>
      <c r="B202" s="49">
        <v>661.76</v>
      </c>
    </row>
    <row r="203" spans="1:2" x14ac:dyDescent="0.25">
      <c r="A203" s="1">
        <v>45553</v>
      </c>
      <c r="B203" s="49">
        <v>121.48</v>
      </c>
    </row>
    <row r="204" spans="1:2" x14ac:dyDescent="0.25">
      <c r="A204" s="1">
        <v>45554</v>
      </c>
      <c r="B204" s="49">
        <v>157.72</v>
      </c>
    </row>
    <row r="205" spans="1:2" x14ac:dyDescent="0.25">
      <c r="A205" s="1">
        <v>45555</v>
      </c>
      <c r="B205" s="49">
        <v>195.44000000000005</v>
      </c>
    </row>
    <row r="206" spans="1:2" x14ac:dyDescent="0.25">
      <c r="A206" s="1">
        <v>45556</v>
      </c>
      <c r="B206" s="49">
        <v>428.59999999999991</v>
      </c>
    </row>
    <row r="207" spans="1:2" x14ac:dyDescent="0.25">
      <c r="A207" s="1">
        <v>45557</v>
      </c>
      <c r="B207" s="49">
        <v>679.88</v>
      </c>
    </row>
    <row r="208" spans="1:2" x14ac:dyDescent="0.25">
      <c r="A208" s="1">
        <v>45558</v>
      </c>
      <c r="B208" s="49">
        <v>279.2</v>
      </c>
    </row>
    <row r="209" spans="1:2" x14ac:dyDescent="0.25">
      <c r="A209" s="1">
        <v>45559</v>
      </c>
      <c r="B209" s="49">
        <v>448.2</v>
      </c>
    </row>
    <row r="210" spans="1:2" x14ac:dyDescent="0.25">
      <c r="A210" s="1">
        <v>45560</v>
      </c>
      <c r="B210" s="49">
        <v>279.20000000000005</v>
      </c>
    </row>
    <row r="211" spans="1:2" x14ac:dyDescent="0.25">
      <c r="A211" s="1">
        <v>45561</v>
      </c>
      <c r="B211" s="49">
        <v>261.08</v>
      </c>
    </row>
    <row r="212" spans="1:2" x14ac:dyDescent="0.25">
      <c r="A212" s="1">
        <v>45562</v>
      </c>
      <c r="B212" s="49">
        <v>481.02</v>
      </c>
    </row>
    <row r="213" spans="1:2" x14ac:dyDescent="0.25">
      <c r="A213" s="1">
        <v>45563</v>
      </c>
      <c r="B213" s="49">
        <v>362.9799999999999</v>
      </c>
    </row>
    <row r="214" spans="1:2" x14ac:dyDescent="0.25">
      <c r="A214" s="1">
        <v>45564</v>
      </c>
      <c r="B214" s="49">
        <v>368.85999999999996</v>
      </c>
    </row>
    <row r="215" spans="1:2" x14ac:dyDescent="0.25">
      <c r="A215" s="1">
        <v>45565</v>
      </c>
      <c r="B215" s="49">
        <v>427.14000000000004</v>
      </c>
    </row>
    <row r="216" spans="1:2" x14ac:dyDescent="0.25">
      <c r="A216" s="1">
        <v>45566</v>
      </c>
      <c r="B216" s="49">
        <v>482.49999999999994</v>
      </c>
    </row>
    <row r="217" spans="1:2" x14ac:dyDescent="0.25">
      <c r="A217" s="1">
        <v>45567</v>
      </c>
      <c r="B217" s="49">
        <v>373.75999999999993</v>
      </c>
    </row>
    <row r="218" spans="1:2" x14ac:dyDescent="0.25">
      <c r="A218" s="1">
        <v>45568</v>
      </c>
      <c r="B218" s="49">
        <v>271.38</v>
      </c>
    </row>
    <row r="219" spans="1:2" x14ac:dyDescent="0.25">
      <c r="A219" s="1">
        <v>45569</v>
      </c>
      <c r="B219" s="49">
        <v>267.94</v>
      </c>
    </row>
    <row r="220" spans="1:2" x14ac:dyDescent="0.25">
      <c r="A220" s="1">
        <v>45570</v>
      </c>
      <c r="B220" s="49">
        <v>175.36</v>
      </c>
    </row>
    <row r="221" spans="1:2" x14ac:dyDescent="0.25">
      <c r="A221" s="1">
        <v>45571</v>
      </c>
      <c r="B221" s="49">
        <v>656.4</v>
      </c>
    </row>
    <row r="222" spans="1:2" x14ac:dyDescent="0.25">
      <c r="A222" s="1">
        <v>45572</v>
      </c>
      <c r="B222" s="49">
        <v>399.71999999999997</v>
      </c>
    </row>
    <row r="223" spans="1:2" x14ac:dyDescent="0.25">
      <c r="A223" s="1">
        <v>45573</v>
      </c>
      <c r="B223" s="49">
        <v>584.88</v>
      </c>
    </row>
    <row r="224" spans="1:2" x14ac:dyDescent="0.25">
      <c r="A224" s="1">
        <v>45574</v>
      </c>
      <c r="B224" s="49">
        <v>365.41999999999996</v>
      </c>
    </row>
    <row r="225" spans="1:2" x14ac:dyDescent="0.25">
      <c r="A225" s="1">
        <v>45575</v>
      </c>
      <c r="B225" s="49">
        <v>487.4</v>
      </c>
    </row>
    <row r="226" spans="1:2" x14ac:dyDescent="0.25">
      <c r="A226" s="1">
        <v>45576</v>
      </c>
      <c r="B226" s="49">
        <v>836.65999999999985</v>
      </c>
    </row>
    <row r="227" spans="1:2" x14ac:dyDescent="0.25">
      <c r="A227" s="1">
        <v>45577</v>
      </c>
      <c r="B227" s="49">
        <v>216.01999999999998</v>
      </c>
    </row>
    <row r="228" spans="1:2" x14ac:dyDescent="0.25">
      <c r="A228" s="1">
        <v>45578</v>
      </c>
      <c r="B228" s="49">
        <v>272.83999999999997</v>
      </c>
    </row>
    <row r="229" spans="1:2" x14ac:dyDescent="0.25">
      <c r="A229" s="1">
        <v>45579</v>
      </c>
      <c r="B229" s="49">
        <v>528.05999999999995</v>
      </c>
    </row>
    <row r="230" spans="1:2" x14ac:dyDescent="0.25">
      <c r="A230" s="1">
        <v>45580</v>
      </c>
      <c r="B230" s="49">
        <v>579.9799999999999</v>
      </c>
    </row>
    <row r="231" spans="1:2" x14ac:dyDescent="0.25">
      <c r="A231" s="1">
        <v>45581</v>
      </c>
      <c r="B231" s="49">
        <v>441.84000000000003</v>
      </c>
    </row>
    <row r="232" spans="1:2" x14ac:dyDescent="0.25">
      <c r="A232" s="1">
        <v>45582</v>
      </c>
      <c r="B232" s="49">
        <v>726.45999999999992</v>
      </c>
    </row>
    <row r="233" spans="1:2" x14ac:dyDescent="0.25">
      <c r="A233" s="1">
        <v>45583</v>
      </c>
      <c r="B233" s="49">
        <v>521.69999999999993</v>
      </c>
    </row>
    <row r="234" spans="1:2" x14ac:dyDescent="0.25">
      <c r="A234" s="1">
        <v>45584</v>
      </c>
      <c r="B234" s="49">
        <v>316.93999999999994</v>
      </c>
    </row>
    <row r="235" spans="1:2" x14ac:dyDescent="0.25">
      <c r="A235" s="1">
        <v>45585</v>
      </c>
      <c r="B235" s="49">
        <v>547.66</v>
      </c>
    </row>
    <row r="236" spans="1:2" x14ac:dyDescent="0.25">
      <c r="A236" s="1">
        <v>45586</v>
      </c>
      <c r="B236" s="49">
        <v>615.74</v>
      </c>
    </row>
    <row r="237" spans="1:2" x14ac:dyDescent="0.25">
      <c r="A237" s="1">
        <v>45587</v>
      </c>
      <c r="B237" s="49">
        <v>272.84000000000003</v>
      </c>
    </row>
    <row r="238" spans="1:2" x14ac:dyDescent="0.25">
      <c r="A238" s="1">
        <v>45588</v>
      </c>
      <c r="B238" s="49">
        <v>415.88</v>
      </c>
    </row>
    <row r="239" spans="1:2" x14ac:dyDescent="0.25">
      <c r="A239" s="1">
        <v>45589</v>
      </c>
      <c r="B239" s="49">
        <v>497.19999999999987</v>
      </c>
    </row>
    <row r="240" spans="1:2" x14ac:dyDescent="0.25">
      <c r="A240" s="1">
        <v>45590</v>
      </c>
      <c r="B240" s="49">
        <v>472.69999999999993</v>
      </c>
    </row>
    <row r="241" spans="1:2" x14ac:dyDescent="0.25">
      <c r="A241" s="1">
        <v>45591</v>
      </c>
      <c r="B241" s="49">
        <v>513.3599999999999</v>
      </c>
    </row>
    <row r="242" spans="1:2" x14ac:dyDescent="0.25">
      <c r="A242" s="1">
        <v>45592</v>
      </c>
      <c r="B242" s="49">
        <v>169</v>
      </c>
    </row>
    <row r="243" spans="1:2" x14ac:dyDescent="0.25">
      <c r="A243" s="1">
        <v>45593</v>
      </c>
      <c r="B243" s="49">
        <v>599.58000000000004</v>
      </c>
    </row>
    <row r="244" spans="1:2" x14ac:dyDescent="0.25">
      <c r="A244" s="1">
        <v>45594</v>
      </c>
      <c r="B244" s="49">
        <v>589.78</v>
      </c>
    </row>
    <row r="245" spans="1:2" x14ac:dyDescent="0.25">
      <c r="A245" s="1">
        <v>45595</v>
      </c>
      <c r="B245" s="49">
        <v>523.16</v>
      </c>
    </row>
    <row r="246" spans="1:2" x14ac:dyDescent="0.25">
      <c r="A246" s="1">
        <v>45596</v>
      </c>
      <c r="B246" s="49">
        <v>169</v>
      </c>
    </row>
    <row r="247" spans="1:2" x14ac:dyDescent="0.25">
      <c r="A247" s="1">
        <v>45597</v>
      </c>
      <c r="B247" s="49">
        <v>225.82</v>
      </c>
    </row>
    <row r="248" spans="1:2" x14ac:dyDescent="0.25">
      <c r="A248" s="1">
        <v>45598</v>
      </c>
      <c r="B248" s="49">
        <v>287.53999999999996</v>
      </c>
    </row>
    <row r="249" spans="1:2" x14ac:dyDescent="0.25">
      <c r="A249" s="1">
        <v>45599</v>
      </c>
      <c r="B249" s="49">
        <v>406.07999999999993</v>
      </c>
    </row>
    <row r="250" spans="1:2" x14ac:dyDescent="0.25">
      <c r="A250" s="1">
        <v>45600</v>
      </c>
      <c r="B250" s="49">
        <v>230.71999999999997</v>
      </c>
    </row>
    <row r="251" spans="1:2" x14ac:dyDescent="0.25">
      <c r="A251" s="1">
        <v>45601</v>
      </c>
      <c r="B251" s="49">
        <v>588.31999999999994</v>
      </c>
    </row>
    <row r="252" spans="1:2" x14ac:dyDescent="0.25">
      <c r="A252" s="1">
        <v>45602</v>
      </c>
      <c r="B252" s="49">
        <v>261.58</v>
      </c>
    </row>
    <row r="253" spans="1:2" x14ac:dyDescent="0.25">
      <c r="A253" s="1">
        <v>45603</v>
      </c>
      <c r="B253" s="49">
        <v>230.71999999999997</v>
      </c>
    </row>
    <row r="254" spans="1:2" x14ac:dyDescent="0.25">
      <c r="A254" s="1">
        <v>45604</v>
      </c>
      <c r="B254" s="49">
        <v>394.81999999999994</v>
      </c>
    </row>
    <row r="255" spans="1:2" x14ac:dyDescent="0.25">
      <c r="A255" s="1">
        <v>45605</v>
      </c>
      <c r="B255" s="49">
        <v>539.31999999999994</v>
      </c>
    </row>
    <row r="256" spans="1:2" x14ac:dyDescent="0.25">
      <c r="A256" s="1">
        <v>45606</v>
      </c>
      <c r="B256" s="49">
        <v>204.75999999999996</v>
      </c>
    </row>
    <row r="257" spans="1:2" x14ac:dyDescent="0.25">
      <c r="A257" s="1">
        <v>45607</v>
      </c>
      <c r="B257" s="49">
        <v>342.9</v>
      </c>
    </row>
    <row r="258" spans="1:2" x14ac:dyDescent="0.25">
      <c r="A258" s="1">
        <v>45608</v>
      </c>
      <c r="B258" s="49">
        <v>321.83999999999997</v>
      </c>
    </row>
    <row r="259" spans="1:2" x14ac:dyDescent="0.25">
      <c r="A259" s="1">
        <v>45609</v>
      </c>
      <c r="B259" s="49">
        <v>194.95999999999998</v>
      </c>
    </row>
    <row r="260" spans="1:2" x14ac:dyDescent="0.25">
      <c r="A260" s="1">
        <v>45610</v>
      </c>
      <c r="B260" s="49">
        <v>471.2399999999999</v>
      </c>
    </row>
    <row r="261" spans="1:2" x14ac:dyDescent="0.25">
      <c r="A261" s="1">
        <v>45611</v>
      </c>
      <c r="B261" s="49">
        <v>359.06</v>
      </c>
    </row>
    <row r="262" spans="1:2" x14ac:dyDescent="0.25">
      <c r="A262" s="1">
        <v>45612</v>
      </c>
      <c r="B262" s="49">
        <v>420.78</v>
      </c>
    </row>
    <row r="263" spans="1:2" x14ac:dyDescent="0.25">
      <c r="A263" s="1">
        <v>45613</v>
      </c>
      <c r="B263" s="49">
        <v>297.33999999999997</v>
      </c>
    </row>
    <row r="264" spans="1:2" x14ac:dyDescent="0.25">
      <c r="A264" s="1">
        <v>45614</v>
      </c>
      <c r="B264" s="49">
        <v>204.75999999999996</v>
      </c>
    </row>
    <row r="265" spans="1:2" x14ac:dyDescent="0.25">
      <c r="A265" s="1">
        <v>45615</v>
      </c>
      <c r="B265" s="49">
        <v>368.85999999999996</v>
      </c>
    </row>
    <row r="266" spans="1:2" x14ac:dyDescent="0.25">
      <c r="A266" s="1">
        <v>45616</v>
      </c>
      <c r="B266" s="49">
        <v>138.13999999999999</v>
      </c>
    </row>
    <row r="267" spans="1:2" x14ac:dyDescent="0.25">
      <c r="A267" s="1">
        <v>45617</v>
      </c>
      <c r="B267" s="49">
        <v>261.58</v>
      </c>
    </row>
    <row r="268" spans="1:2" x14ac:dyDescent="0.25">
      <c r="A268" s="1">
        <v>45618</v>
      </c>
      <c r="B268" s="49">
        <v>214.55999999999997</v>
      </c>
    </row>
    <row r="269" spans="1:2" x14ac:dyDescent="0.25">
      <c r="A269" s="1">
        <v>45619</v>
      </c>
      <c r="B269" s="49">
        <v>246.88</v>
      </c>
    </row>
    <row r="270" spans="1:2" x14ac:dyDescent="0.25">
      <c r="A270" s="1">
        <v>45620</v>
      </c>
      <c r="B270" s="49">
        <v>35.76</v>
      </c>
    </row>
    <row r="271" spans="1:2" x14ac:dyDescent="0.25">
      <c r="A271" s="1">
        <v>45621</v>
      </c>
      <c r="B271" s="49">
        <v>373.75999999999993</v>
      </c>
    </row>
    <row r="272" spans="1:2" x14ac:dyDescent="0.25">
      <c r="A272" s="1">
        <v>45622</v>
      </c>
      <c r="B272" s="49">
        <v>333.09999999999997</v>
      </c>
    </row>
    <row r="273" spans="1:2" x14ac:dyDescent="0.25">
      <c r="A273" s="1">
        <v>45623</v>
      </c>
      <c r="B273" s="49">
        <v>268.92999999999995</v>
      </c>
    </row>
    <row r="274" spans="1:2" x14ac:dyDescent="0.25">
      <c r="A274" s="1">
        <v>45624</v>
      </c>
      <c r="B274" s="49">
        <v>204.76</v>
      </c>
    </row>
    <row r="275" spans="1:2" x14ac:dyDescent="0.25">
      <c r="A275" s="1">
        <v>45625</v>
      </c>
      <c r="B275" s="49">
        <v>235.62</v>
      </c>
    </row>
    <row r="276" spans="1:2" x14ac:dyDescent="0.25">
      <c r="A276" s="1">
        <v>45626</v>
      </c>
      <c r="B276" s="49">
        <v>194.95999999999998</v>
      </c>
    </row>
    <row r="277" spans="1:2" x14ac:dyDescent="0.25">
      <c r="A277" s="1">
        <v>45627</v>
      </c>
      <c r="B277" s="49">
        <v>466.34</v>
      </c>
    </row>
    <row r="278" spans="1:2" x14ac:dyDescent="0.25">
      <c r="A278" s="1">
        <v>45628</v>
      </c>
      <c r="B278" s="49">
        <v>272.84000000000003</v>
      </c>
    </row>
    <row r="279" spans="1:2" x14ac:dyDescent="0.25">
      <c r="A279" s="1">
        <v>45629</v>
      </c>
      <c r="B279" s="49">
        <v>425.68</v>
      </c>
    </row>
    <row r="280" spans="1:2" x14ac:dyDescent="0.25">
      <c r="A280" s="1">
        <v>45630</v>
      </c>
      <c r="B280" s="49">
        <v>318.40000000000003</v>
      </c>
    </row>
    <row r="281" spans="1:2" x14ac:dyDescent="0.25">
      <c r="A281" s="1">
        <v>45631</v>
      </c>
      <c r="B281" s="49">
        <v>282.64</v>
      </c>
    </row>
    <row r="282" spans="1:2" x14ac:dyDescent="0.25">
      <c r="A282" s="1">
        <v>45632</v>
      </c>
      <c r="B282" s="49">
        <v>143.04</v>
      </c>
    </row>
    <row r="283" spans="1:2" x14ac:dyDescent="0.25">
      <c r="A283" s="1">
        <v>45633</v>
      </c>
      <c r="B283" s="49">
        <v>185.16</v>
      </c>
    </row>
    <row r="284" spans="1:2" x14ac:dyDescent="0.25">
      <c r="A284" s="1">
        <v>45634</v>
      </c>
      <c r="B284" s="49">
        <v>339.46000000000004</v>
      </c>
    </row>
    <row r="285" spans="1:2" x14ac:dyDescent="0.25">
      <c r="A285" s="1">
        <v>45635</v>
      </c>
      <c r="B285" s="49">
        <v>154.29999999999998</v>
      </c>
    </row>
    <row r="286" spans="1:2" x14ac:dyDescent="0.25">
      <c r="A286" s="1">
        <v>45636</v>
      </c>
      <c r="B286" s="49">
        <v>61.72</v>
      </c>
    </row>
    <row r="287" spans="1:2" x14ac:dyDescent="0.25">
      <c r="A287" s="1">
        <v>45637</v>
      </c>
      <c r="B287" s="49">
        <v>225.81999999999996</v>
      </c>
    </row>
    <row r="288" spans="1:2" x14ac:dyDescent="0.25">
      <c r="A288" s="1">
        <v>45638</v>
      </c>
      <c r="B288" s="49">
        <v>196.42</v>
      </c>
    </row>
    <row r="289" spans="1:2" x14ac:dyDescent="0.25">
      <c r="A289" s="1">
        <v>45639</v>
      </c>
      <c r="B289" s="49">
        <v>266.47999999999996</v>
      </c>
    </row>
    <row r="290" spans="1:2" x14ac:dyDescent="0.25">
      <c r="A290" s="1">
        <v>45640</v>
      </c>
      <c r="B290" s="49">
        <v>334.56</v>
      </c>
    </row>
    <row r="291" spans="1:2" x14ac:dyDescent="0.25">
      <c r="A291" s="1">
        <v>45641</v>
      </c>
      <c r="B291" s="49">
        <v>107.28</v>
      </c>
    </row>
    <row r="292" spans="1:2" x14ac:dyDescent="0.25">
      <c r="A292" s="1">
        <v>45642</v>
      </c>
      <c r="B292" s="49">
        <v>276.27999999999997</v>
      </c>
    </row>
    <row r="293" spans="1:2" x14ac:dyDescent="0.25">
      <c r="A293" s="1">
        <v>45643</v>
      </c>
      <c r="B293" s="49">
        <v>225.81999999999996</v>
      </c>
    </row>
    <row r="294" spans="1:2" x14ac:dyDescent="0.25">
      <c r="A294" s="1">
        <v>45644</v>
      </c>
      <c r="B294" s="49">
        <v>138.13999999999999</v>
      </c>
    </row>
    <row r="295" spans="1:2" x14ac:dyDescent="0.25">
      <c r="A295" s="1">
        <v>45645</v>
      </c>
      <c r="B295" s="49">
        <v>333.09999999999997</v>
      </c>
    </row>
    <row r="296" spans="1:2" x14ac:dyDescent="0.25">
      <c r="A296" s="1">
        <v>45646</v>
      </c>
      <c r="B296" s="49">
        <v>267.94</v>
      </c>
    </row>
    <row r="297" spans="1:2" x14ac:dyDescent="0.25">
      <c r="A297" s="1">
        <v>45647</v>
      </c>
      <c r="B297" s="49">
        <v>477.59999999999985</v>
      </c>
    </row>
    <row r="298" spans="1:2" x14ac:dyDescent="0.25">
      <c r="A298" s="1">
        <v>45648</v>
      </c>
      <c r="B298" s="49">
        <v>240.51999999999998</v>
      </c>
    </row>
    <row r="299" spans="1:2" x14ac:dyDescent="0.25">
      <c r="A299" s="1">
        <v>45649</v>
      </c>
      <c r="B299" s="49">
        <v>313.5</v>
      </c>
    </row>
    <row r="300" spans="1:2" x14ac:dyDescent="0.25">
      <c r="A300" s="1">
        <v>45650</v>
      </c>
      <c r="B300" s="49">
        <v>220.92</v>
      </c>
    </row>
    <row r="301" spans="1:2" x14ac:dyDescent="0.25">
      <c r="A301" s="1">
        <v>45651</v>
      </c>
      <c r="B301" s="49">
        <v>394.82</v>
      </c>
    </row>
    <row r="302" spans="1:2" x14ac:dyDescent="0.25">
      <c r="A302" s="1">
        <v>45652</v>
      </c>
      <c r="B302" s="49">
        <v>56.819999999999993</v>
      </c>
    </row>
    <row r="303" spans="1:2" x14ac:dyDescent="0.25">
      <c r="A303" s="1">
        <v>45653</v>
      </c>
      <c r="B303" s="49">
        <v>237.07999999999998</v>
      </c>
    </row>
    <row r="304" spans="1:2" x14ac:dyDescent="0.25">
      <c r="A304" s="1">
        <v>45654</v>
      </c>
      <c r="B304" s="49">
        <v>261.58</v>
      </c>
    </row>
    <row r="305" spans="1:2" x14ac:dyDescent="0.25">
      <c r="A305" s="1">
        <v>45655</v>
      </c>
      <c r="B305" s="49">
        <v>217.48</v>
      </c>
    </row>
    <row r="306" spans="1:2" x14ac:dyDescent="0.25">
      <c r="A306" s="1">
        <v>45656</v>
      </c>
      <c r="B306" s="49">
        <v>287.54000000000002</v>
      </c>
    </row>
    <row r="307" spans="1:2" x14ac:dyDescent="0.25">
      <c r="A307" s="1">
        <v>45657</v>
      </c>
      <c r="B307" s="49">
        <v>508.46</v>
      </c>
    </row>
    <row r="308" spans="1:2" x14ac:dyDescent="0.25">
      <c r="A308" s="1">
        <v>45658</v>
      </c>
      <c r="B308" s="49">
        <v>395.54999999999995</v>
      </c>
    </row>
    <row r="309" spans="1:2" x14ac:dyDescent="0.25">
      <c r="A309" s="1">
        <v>45659</v>
      </c>
      <c r="B309" s="49">
        <v>282.64</v>
      </c>
    </row>
    <row r="310" spans="1:2" x14ac:dyDescent="0.25">
      <c r="A310" s="1">
        <v>45660</v>
      </c>
      <c r="B310" s="49">
        <v>211.12</v>
      </c>
    </row>
    <row r="311" spans="1:2" x14ac:dyDescent="0.25">
      <c r="A311" s="1">
        <v>45661</v>
      </c>
      <c r="B311" s="49">
        <v>313.5</v>
      </c>
    </row>
    <row r="312" spans="1:2" x14ac:dyDescent="0.25">
      <c r="A312" s="1">
        <v>45662</v>
      </c>
      <c r="B312" s="49">
        <v>97.48</v>
      </c>
    </row>
    <row r="313" spans="1:2" x14ac:dyDescent="0.25">
      <c r="A313" s="1">
        <v>45663</v>
      </c>
      <c r="B313" s="49">
        <v>25.96</v>
      </c>
    </row>
    <row r="314" spans="1:2" x14ac:dyDescent="0.25">
      <c r="A314" s="1">
        <v>45664</v>
      </c>
      <c r="B314" s="49">
        <v>107.28</v>
      </c>
    </row>
    <row r="315" spans="1:2" x14ac:dyDescent="0.25">
      <c r="A315" s="1">
        <v>45665</v>
      </c>
      <c r="B315" s="49">
        <v>128.34</v>
      </c>
    </row>
    <row r="316" spans="1:2" x14ac:dyDescent="0.25">
      <c r="A316" s="1">
        <v>45666</v>
      </c>
      <c r="B316" s="49">
        <v>272.83999999999997</v>
      </c>
    </row>
    <row r="317" spans="1:2" x14ac:dyDescent="0.25">
      <c r="A317" s="1">
        <v>45667</v>
      </c>
      <c r="B317" s="49">
        <v>164.09999999999997</v>
      </c>
    </row>
    <row r="318" spans="1:2" x14ac:dyDescent="0.25">
      <c r="A318" s="1">
        <v>45668</v>
      </c>
      <c r="B318" s="49">
        <v>487.39999999999992</v>
      </c>
    </row>
    <row r="319" spans="1:2" x14ac:dyDescent="0.25">
      <c r="A319" s="1">
        <v>45669</v>
      </c>
      <c r="B319" s="49">
        <v>154.30000000000001</v>
      </c>
    </row>
    <row r="320" spans="1:2" x14ac:dyDescent="0.25">
      <c r="A320" s="1">
        <v>45670</v>
      </c>
      <c r="B320" s="49">
        <v>251.77999999999997</v>
      </c>
    </row>
    <row r="321" spans="1:2" x14ac:dyDescent="0.25">
      <c r="A321" s="1">
        <v>45671</v>
      </c>
      <c r="B321" s="49">
        <v>261.58</v>
      </c>
    </row>
    <row r="322" spans="1:2" x14ac:dyDescent="0.25">
      <c r="A322" s="1">
        <v>45672</v>
      </c>
      <c r="B322" s="49">
        <v>342.9</v>
      </c>
    </row>
    <row r="323" spans="1:2" x14ac:dyDescent="0.25">
      <c r="A323" s="1">
        <v>45673</v>
      </c>
      <c r="B323" s="49">
        <v>328.19999999999993</v>
      </c>
    </row>
    <row r="324" spans="1:2" x14ac:dyDescent="0.25">
      <c r="A324" s="1">
        <v>45674</v>
      </c>
      <c r="B324" s="49">
        <v>312.03999999999996</v>
      </c>
    </row>
    <row r="325" spans="1:2" x14ac:dyDescent="0.25">
      <c r="A325" s="1">
        <v>45675</v>
      </c>
      <c r="B325" s="49">
        <v>138.13999999999999</v>
      </c>
    </row>
    <row r="326" spans="1:2" x14ac:dyDescent="0.25">
      <c r="A326" s="1">
        <v>45676</v>
      </c>
      <c r="B326" s="49">
        <v>225.82</v>
      </c>
    </row>
    <row r="327" spans="1:2" x14ac:dyDescent="0.25">
      <c r="A327" s="1">
        <v>45677</v>
      </c>
      <c r="B327" s="49">
        <v>313.5</v>
      </c>
    </row>
    <row r="328" spans="1:2" x14ac:dyDescent="0.25">
      <c r="A328" s="1">
        <v>45678</v>
      </c>
      <c r="B328" s="49">
        <v>251.77999999999997</v>
      </c>
    </row>
    <row r="329" spans="1:2" x14ac:dyDescent="0.25">
      <c r="A329" s="1">
        <v>45679</v>
      </c>
      <c r="B329" s="49">
        <v>220.92000000000002</v>
      </c>
    </row>
    <row r="330" spans="1:2" x14ac:dyDescent="0.25">
      <c r="A330" s="1">
        <v>45680</v>
      </c>
      <c r="B330" s="49">
        <v>225.82</v>
      </c>
    </row>
    <row r="331" spans="1:2" x14ac:dyDescent="0.25">
      <c r="A331" s="1">
        <v>45681</v>
      </c>
      <c r="B331" s="49">
        <v>230.71999999999997</v>
      </c>
    </row>
    <row r="332" spans="1:2" x14ac:dyDescent="0.25">
      <c r="A332" s="1">
        <v>45682</v>
      </c>
      <c r="B332" s="49">
        <v>97.47999999999999</v>
      </c>
    </row>
    <row r="333" spans="1:2" x14ac:dyDescent="0.25">
      <c r="A333" s="1">
        <v>45683</v>
      </c>
      <c r="B333" s="49">
        <v>47.019999999999996</v>
      </c>
    </row>
    <row r="334" spans="1:2" x14ac:dyDescent="0.25">
      <c r="A334" s="1">
        <v>45684</v>
      </c>
      <c r="B334" s="49">
        <v>313.5</v>
      </c>
    </row>
    <row r="335" spans="1:2" x14ac:dyDescent="0.25">
      <c r="A335" s="1">
        <v>45685</v>
      </c>
      <c r="B335" s="49">
        <v>277.74</v>
      </c>
    </row>
    <row r="336" spans="1:2" x14ac:dyDescent="0.25">
      <c r="A336" s="1">
        <v>45686</v>
      </c>
      <c r="B336" s="49">
        <v>103.84</v>
      </c>
    </row>
    <row r="337" spans="1:2" x14ac:dyDescent="0.25">
      <c r="A337" s="1">
        <v>45687</v>
      </c>
      <c r="B337" s="49">
        <v>272.83999999999997</v>
      </c>
    </row>
    <row r="338" spans="1:2" x14ac:dyDescent="0.25">
      <c r="A338" s="1">
        <v>45688</v>
      </c>
      <c r="B338" s="49">
        <v>389.91999999999996</v>
      </c>
    </row>
    <row r="339" spans="1:2" x14ac:dyDescent="0.25">
      <c r="A339" s="1">
        <v>45689</v>
      </c>
      <c r="B339" s="49">
        <v>349.26000000000005</v>
      </c>
    </row>
    <row r="340" spans="1:2" x14ac:dyDescent="0.25">
      <c r="A340" s="1">
        <v>45690</v>
      </c>
      <c r="B340" s="49">
        <v>245.41999999999996</v>
      </c>
    </row>
    <row r="341" spans="1:2" x14ac:dyDescent="0.25">
      <c r="A341" s="1">
        <v>45691</v>
      </c>
      <c r="B341" s="49">
        <v>795.99999999999989</v>
      </c>
    </row>
    <row r="342" spans="1:2" x14ac:dyDescent="0.25">
      <c r="A342" s="1">
        <v>45692</v>
      </c>
      <c r="B342" s="49">
        <v>360.52</v>
      </c>
    </row>
    <row r="343" spans="1:2" x14ac:dyDescent="0.25">
      <c r="A343" s="1">
        <v>45693</v>
      </c>
      <c r="B343" s="49">
        <v>760.24</v>
      </c>
    </row>
    <row r="344" spans="1:2" x14ac:dyDescent="0.25">
      <c r="A344" s="1">
        <v>45694</v>
      </c>
      <c r="B344" s="49">
        <v>394.81999999999994</v>
      </c>
    </row>
    <row r="345" spans="1:2" x14ac:dyDescent="0.25">
      <c r="A345" s="1">
        <v>45695</v>
      </c>
      <c r="B345" s="49">
        <v>508.45999999999992</v>
      </c>
    </row>
    <row r="346" spans="1:2" x14ac:dyDescent="0.25">
      <c r="A346" s="1">
        <v>45696</v>
      </c>
      <c r="B346" s="49">
        <v>212.58000000000004</v>
      </c>
    </row>
    <row r="347" spans="1:2" x14ac:dyDescent="0.25">
      <c r="A347" s="1">
        <v>45697</v>
      </c>
      <c r="B347" s="49">
        <v>297.33999999999997</v>
      </c>
    </row>
    <row r="348" spans="1:2" x14ac:dyDescent="0.25">
      <c r="A348" s="1">
        <v>45698</v>
      </c>
      <c r="B348" s="49">
        <v>662.76</v>
      </c>
    </row>
    <row r="349" spans="1:2" x14ac:dyDescent="0.25">
      <c r="A349" s="1">
        <v>45699</v>
      </c>
      <c r="B349" s="49">
        <v>432.03999999999996</v>
      </c>
    </row>
    <row r="350" spans="1:2" x14ac:dyDescent="0.25">
      <c r="A350" s="1">
        <v>45700</v>
      </c>
      <c r="B350" s="49">
        <v>570.17999999999995</v>
      </c>
    </row>
    <row r="351" spans="1:2" x14ac:dyDescent="0.25">
      <c r="A351" s="1">
        <v>45701</v>
      </c>
      <c r="B351" s="49">
        <v>396.28000000000003</v>
      </c>
    </row>
    <row r="352" spans="1:2" x14ac:dyDescent="0.25">
      <c r="A352" s="1">
        <v>45702</v>
      </c>
      <c r="B352" s="49">
        <v>457.99999999999994</v>
      </c>
    </row>
    <row r="353" spans="1:2" x14ac:dyDescent="0.25">
      <c r="A353" s="1">
        <v>45703</v>
      </c>
      <c r="B353" s="49">
        <v>292.44</v>
      </c>
    </row>
    <row r="354" spans="1:2" x14ac:dyDescent="0.25">
      <c r="A354" s="1">
        <v>45704</v>
      </c>
      <c r="B354" s="49">
        <v>313.5</v>
      </c>
    </row>
    <row r="355" spans="1:2" x14ac:dyDescent="0.25">
      <c r="A355" s="1">
        <v>45705</v>
      </c>
      <c r="B355" s="49">
        <v>592.70000000000005</v>
      </c>
    </row>
    <row r="356" spans="1:2" x14ac:dyDescent="0.25">
      <c r="A356" s="1">
        <v>45706</v>
      </c>
      <c r="B356" s="49">
        <v>555.48</v>
      </c>
    </row>
    <row r="357" spans="1:2" x14ac:dyDescent="0.25">
      <c r="A357" s="1">
        <v>45707</v>
      </c>
      <c r="B357" s="49">
        <v>646.59999999999991</v>
      </c>
    </row>
    <row r="358" spans="1:2" x14ac:dyDescent="0.25">
      <c r="A358" s="1">
        <v>45708</v>
      </c>
      <c r="B358" s="49">
        <v>581.43999999999994</v>
      </c>
    </row>
    <row r="359" spans="1:2" x14ac:dyDescent="0.25">
      <c r="A359" s="1">
        <v>45709</v>
      </c>
      <c r="B359" s="49">
        <v>695.07999999999993</v>
      </c>
    </row>
    <row r="360" spans="1:2" x14ac:dyDescent="0.25">
      <c r="A360" s="1">
        <v>45710</v>
      </c>
      <c r="B360" s="49">
        <v>139.60000000000002</v>
      </c>
    </row>
    <row r="361" spans="1:2" x14ac:dyDescent="0.25">
      <c r="A361" s="1">
        <v>45711</v>
      </c>
      <c r="B361" s="49">
        <v>190.06</v>
      </c>
    </row>
    <row r="362" spans="1:2" x14ac:dyDescent="0.25">
      <c r="A362" s="1">
        <v>45712</v>
      </c>
      <c r="B362" s="49">
        <v>723.01999999999987</v>
      </c>
    </row>
    <row r="363" spans="1:2" x14ac:dyDescent="0.25">
      <c r="A363" s="1">
        <v>45713</v>
      </c>
      <c r="B363" s="49">
        <v>355.61999999999995</v>
      </c>
    </row>
    <row r="364" spans="1:2" x14ac:dyDescent="0.25">
      <c r="A364" s="1">
        <v>45714</v>
      </c>
      <c r="B364" s="49">
        <v>570.17999999999995</v>
      </c>
    </row>
    <row r="365" spans="1:2" x14ac:dyDescent="0.25">
      <c r="A365" s="1">
        <v>45715</v>
      </c>
      <c r="B365" s="49">
        <v>610.83999999999992</v>
      </c>
    </row>
    <row r="366" spans="1:2" x14ac:dyDescent="0.25">
      <c r="A366" s="1">
        <v>45716</v>
      </c>
      <c r="B366" s="49">
        <v>505.01999999999992</v>
      </c>
    </row>
    <row r="367" spans="1:2" x14ac:dyDescent="0.25">
      <c r="A367" s="1">
        <v>45717</v>
      </c>
      <c r="B367" s="49">
        <v>241.98</v>
      </c>
    </row>
    <row r="368" spans="1:2" x14ac:dyDescent="0.25">
      <c r="A368" s="1">
        <v>45718</v>
      </c>
      <c r="B368" s="49">
        <v>185.16000000000003</v>
      </c>
    </row>
    <row r="369" spans="1:2" x14ac:dyDescent="0.25">
      <c r="A369" s="1">
        <v>45719</v>
      </c>
      <c r="B369" s="49">
        <v>737.71999999999991</v>
      </c>
    </row>
    <row r="370" spans="1:2" x14ac:dyDescent="0.25">
      <c r="A370" s="1">
        <v>45720</v>
      </c>
      <c r="B370" s="49">
        <v>474.15999999999991</v>
      </c>
    </row>
    <row r="371" spans="1:2" x14ac:dyDescent="0.25">
      <c r="A371" s="1">
        <v>45721</v>
      </c>
      <c r="B371" s="49">
        <v>591.2399999999999</v>
      </c>
    </row>
    <row r="372" spans="1:2" x14ac:dyDescent="0.25">
      <c r="A372" s="1">
        <v>45722</v>
      </c>
      <c r="B372" s="49">
        <v>370.32</v>
      </c>
    </row>
    <row r="373" spans="1:2" x14ac:dyDescent="0.25">
      <c r="A373" s="1">
        <v>45723</v>
      </c>
      <c r="B373" s="49">
        <v>554.02</v>
      </c>
    </row>
    <row r="374" spans="1:2" x14ac:dyDescent="0.25">
      <c r="A374" s="1">
        <v>45724</v>
      </c>
      <c r="B374" s="49">
        <v>232.18000000000004</v>
      </c>
    </row>
    <row r="375" spans="1:2" x14ac:dyDescent="0.25">
      <c r="A375" s="1">
        <v>45725</v>
      </c>
      <c r="B375" s="49">
        <v>241.98000000000002</v>
      </c>
    </row>
    <row r="376" spans="1:2" x14ac:dyDescent="0.25">
      <c r="A376" s="1">
        <v>45726</v>
      </c>
      <c r="B376" s="49">
        <v>554.02</v>
      </c>
    </row>
    <row r="377" spans="1:2" x14ac:dyDescent="0.25">
      <c r="A377" s="1">
        <v>45727</v>
      </c>
      <c r="B377" s="49">
        <v>420.78</v>
      </c>
    </row>
    <row r="378" spans="1:2" x14ac:dyDescent="0.25">
      <c r="A378" s="1">
        <v>45728</v>
      </c>
      <c r="B378" s="49">
        <v>544.22</v>
      </c>
    </row>
    <row r="379" spans="1:2" x14ac:dyDescent="0.25">
      <c r="A379" s="1">
        <v>45729</v>
      </c>
      <c r="B379" s="49">
        <v>365.42</v>
      </c>
    </row>
    <row r="380" spans="1:2" x14ac:dyDescent="0.25">
      <c r="A380" s="1">
        <v>45730</v>
      </c>
      <c r="B380" s="49">
        <v>704.88000000000011</v>
      </c>
    </row>
    <row r="381" spans="1:2" x14ac:dyDescent="0.25">
      <c r="A381" s="1">
        <v>45731</v>
      </c>
      <c r="B381" s="49">
        <v>225.82</v>
      </c>
    </row>
    <row r="382" spans="1:2" x14ac:dyDescent="0.25">
      <c r="A382" s="1">
        <v>45732</v>
      </c>
      <c r="B382" s="49">
        <v>164.1</v>
      </c>
    </row>
    <row r="383" spans="1:2" x14ac:dyDescent="0.25">
      <c r="A383" s="1">
        <v>45733</v>
      </c>
      <c r="B383" s="49">
        <v>401.17999999999995</v>
      </c>
    </row>
    <row r="384" spans="1:2" x14ac:dyDescent="0.25">
      <c r="A384" s="1">
        <v>45734</v>
      </c>
      <c r="B384" s="49">
        <v>549.11999999999989</v>
      </c>
    </row>
    <row r="385" spans="1:5" x14ac:dyDescent="0.25">
      <c r="A385" s="1">
        <v>45735</v>
      </c>
      <c r="B385" s="49">
        <v>623.55999999999983</v>
      </c>
    </row>
    <row r="386" spans="1:5" x14ac:dyDescent="0.25">
      <c r="A386" s="1">
        <v>45736</v>
      </c>
      <c r="B386" s="49">
        <v>597.59999999999991</v>
      </c>
    </row>
    <row r="387" spans="1:5" x14ac:dyDescent="0.25">
      <c r="A387" s="1">
        <v>45737</v>
      </c>
      <c r="B387" s="49">
        <v>636.79999999999995</v>
      </c>
    </row>
    <row r="388" spans="1:5" x14ac:dyDescent="0.25">
      <c r="A388" s="1">
        <v>45738</v>
      </c>
      <c r="B388" s="49">
        <v>365.42</v>
      </c>
    </row>
    <row r="389" spans="1:5" x14ac:dyDescent="0.25">
      <c r="A389" s="1">
        <v>45739</v>
      </c>
      <c r="B389" s="49">
        <v>204.76</v>
      </c>
      <c r="C389" s="49">
        <v>204.76</v>
      </c>
      <c r="D389" s="49">
        <v>204.76</v>
      </c>
      <c r="E389" s="49">
        <v>204.76</v>
      </c>
    </row>
    <row r="390" spans="1:5" x14ac:dyDescent="0.25">
      <c r="A390" s="1">
        <v>45740</v>
      </c>
      <c r="C390" s="49">
        <f t="shared" ref="C390:C453" si="0">_xlfn.FORECAST.ETS(A390,$B$2:$B$389,$A$2:$A$389,1,1)</f>
        <v>195.69959866001028</v>
      </c>
      <c r="D390" s="49">
        <f t="shared" ref="D390:D453" si="1">C390-_xlfn.FORECAST.ETS.CONFINT(A390,$B$2:$B$389,$A$2:$A$389,0.95,1,1)</f>
        <v>-98.689069650778436</v>
      </c>
      <c r="E390" s="49">
        <f t="shared" ref="E390:E453" si="2">C390+_xlfn.FORECAST.ETS.CONFINT(A390,$B$2:$B$389,$A$2:$A$389,0.95,1,1)</f>
        <v>490.088266970799</v>
      </c>
    </row>
    <row r="391" spans="1:5" x14ac:dyDescent="0.25">
      <c r="A391" s="1">
        <v>45741</v>
      </c>
      <c r="C391" s="49">
        <f t="shared" si="0"/>
        <v>186.31289360931282</v>
      </c>
      <c r="D391" s="49">
        <f t="shared" si="1"/>
        <v>-117.27933682230412</v>
      </c>
      <c r="E391" s="49">
        <f t="shared" si="2"/>
        <v>489.90512404092976</v>
      </c>
    </row>
    <row r="392" spans="1:5" x14ac:dyDescent="0.25">
      <c r="A392" s="1">
        <v>45742</v>
      </c>
      <c r="C392" s="49">
        <f t="shared" si="0"/>
        <v>138.21588121241473</v>
      </c>
      <c r="D392" s="49">
        <f t="shared" si="1"/>
        <v>-174.37900421366425</v>
      </c>
      <c r="E392" s="49">
        <f t="shared" si="2"/>
        <v>450.8107666384937</v>
      </c>
    </row>
    <row r="393" spans="1:5" x14ac:dyDescent="0.25">
      <c r="A393" s="1">
        <v>45743</v>
      </c>
      <c r="C393" s="49">
        <f t="shared" si="0"/>
        <v>169.58321867544325</v>
      </c>
      <c r="D393" s="49">
        <f t="shared" si="1"/>
        <v>-151.83056666593561</v>
      </c>
      <c r="E393" s="49">
        <f t="shared" si="2"/>
        <v>490.99700401682207</v>
      </c>
    </row>
    <row r="394" spans="1:5" x14ac:dyDescent="0.25">
      <c r="A394" s="1">
        <v>45744</v>
      </c>
      <c r="C394" s="49">
        <f t="shared" si="0"/>
        <v>137.15958362992009</v>
      </c>
      <c r="D394" s="49">
        <f t="shared" si="1"/>
        <v>-192.90433858305326</v>
      </c>
      <c r="E394" s="49">
        <f t="shared" si="2"/>
        <v>467.22350584289347</v>
      </c>
    </row>
    <row r="395" spans="1:5" x14ac:dyDescent="0.25">
      <c r="A395" s="1">
        <v>45745</v>
      </c>
      <c r="C395" s="49">
        <f t="shared" si="0"/>
        <v>137.73775452049711</v>
      </c>
      <c r="D395" s="49">
        <f t="shared" si="1"/>
        <v>-200.82073339751781</v>
      </c>
      <c r="E395" s="49">
        <f t="shared" si="2"/>
        <v>476.29624243851202</v>
      </c>
    </row>
    <row r="396" spans="1:5" x14ac:dyDescent="0.25">
      <c r="A396" s="1">
        <v>45746</v>
      </c>
      <c r="C396" s="49">
        <f t="shared" si="0"/>
        <v>118.84988409907635</v>
      </c>
      <c r="D396" s="49">
        <f t="shared" si="1"/>
        <v>-228.05927651939578</v>
      </c>
      <c r="E396" s="49">
        <f t="shared" si="2"/>
        <v>465.75904471754848</v>
      </c>
    </row>
    <row r="397" spans="1:5" x14ac:dyDescent="0.25">
      <c r="A397" s="1">
        <v>45747</v>
      </c>
      <c r="C397" s="49">
        <f t="shared" si="0"/>
        <v>142.99678630865236</v>
      </c>
      <c r="D397" s="49">
        <f t="shared" si="1"/>
        <v>-212.12954897926807</v>
      </c>
      <c r="E397" s="49">
        <f t="shared" si="2"/>
        <v>498.12312159657279</v>
      </c>
    </row>
    <row r="398" spans="1:5" x14ac:dyDescent="0.25">
      <c r="A398" s="1">
        <v>45748</v>
      </c>
      <c r="C398" s="49">
        <f t="shared" si="0"/>
        <v>80.650675720755572</v>
      </c>
      <c r="D398" s="49">
        <f t="shared" si="1"/>
        <v>-282.56863537483503</v>
      </c>
      <c r="E398" s="49">
        <f t="shared" si="2"/>
        <v>443.86998681634623</v>
      </c>
    </row>
    <row r="399" spans="1:5" x14ac:dyDescent="0.25">
      <c r="A399" s="1">
        <v>45749</v>
      </c>
      <c r="C399" s="49">
        <f t="shared" si="0"/>
        <v>204.50058189473586</v>
      </c>
      <c r="D399" s="49">
        <f t="shared" si="1"/>
        <v>-166.69586321697304</v>
      </c>
      <c r="E399" s="49">
        <f t="shared" si="2"/>
        <v>575.69702700644473</v>
      </c>
    </row>
    <row r="400" spans="1:5" x14ac:dyDescent="0.25">
      <c r="A400" s="1">
        <v>45750</v>
      </c>
      <c r="C400" s="49">
        <f t="shared" si="0"/>
        <v>287.32668089441245</v>
      </c>
      <c r="D400" s="49">
        <f t="shared" si="1"/>
        <v>-91.738598545485445</v>
      </c>
      <c r="E400" s="49">
        <f t="shared" si="2"/>
        <v>666.3919603343104</v>
      </c>
    </row>
    <row r="401" spans="1:5" x14ac:dyDescent="0.25">
      <c r="A401" s="1">
        <v>45751</v>
      </c>
      <c r="C401" s="49">
        <f t="shared" si="0"/>
        <v>256.61919303125467</v>
      </c>
      <c r="D401" s="49">
        <f t="shared" si="1"/>
        <v>-130.21345414574546</v>
      </c>
      <c r="E401" s="49">
        <f t="shared" si="2"/>
        <v>643.45184020825479</v>
      </c>
    </row>
    <row r="402" spans="1:5" x14ac:dyDescent="0.25">
      <c r="A402" s="1">
        <v>45752</v>
      </c>
      <c r="C402" s="49">
        <f t="shared" si="0"/>
        <v>209.22534396005761</v>
      </c>
      <c r="D402" s="49">
        <f t="shared" si="1"/>
        <v>-185.27941739054847</v>
      </c>
      <c r="E402" s="49">
        <f t="shared" si="2"/>
        <v>603.7301053106637</v>
      </c>
    </row>
    <row r="403" spans="1:5" x14ac:dyDescent="0.25">
      <c r="A403" s="1">
        <v>45753</v>
      </c>
      <c r="C403" s="49">
        <f t="shared" si="0"/>
        <v>139.87964462726146</v>
      </c>
      <c r="D403" s="49">
        <f t="shared" si="1"/>
        <v>-262.20764542954146</v>
      </c>
      <c r="E403" s="49">
        <f t="shared" si="2"/>
        <v>541.96693468406443</v>
      </c>
    </row>
    <row r="404" spans="1:5" x14ac:dyDescent="0.25">
      <c r="A404" s="1">
        <v>45754</v>
      </c>
      <c r="C404" s="49">
        <f t="shared" si="0"/>
        <v>309.20222335046145</v>
      </c>
      <c r="D404" s="49">
        <f t="shared" si="1"/>
        <v>-100.38319697369542</v>
      </c>
      <c r="E404" s="49">
        <f t="shared" si="2"/>
        <v>718.78764367461827</v>
      </c>
    </row>
    <row r="405" spans="1:5" x14ac:dyDescent="0.25">
      <c r="A405" s="1">
        <v>45755</v>
      </c>
      <c r="C405" s="49">
        <f t="shared" si="0"/>
        <v>287.45675615438876</v>
      </c>
      <c r="D405" s="49">
        <f t="shared" si="1"/>
        <v>-129.5471565471023</v>
      </c>
      <c r="E405" s="49">
        <f t="shared" si="2"/>
        <v>704.46066885587982</v>
      </c>
    </row>
    <row r="406" spans="1:5" x14ac:dyDescent="0.25">
      <c r="A406" s="1">
        <v>45756</v>
      </c>
      <c r="C406" s="49">
        <f t="shared" si="0"/>
        <v>347.96831295884414</v>
      </c>
      <c r="D406" s="49">
        <f t="shared" si="1"/>
        <v>-76.37883520325812</v>
      </c>
      <c r="E406" s="49">
        <f t="shared" si="2"/>
        <v>772.31546112094634</v>
      </c>
    </row>
    <row r="407" spans="1:5" x14ac:dyDescent="0.25">
      <c r="A407" s="1">
        <v>45757</v>
      </c>
      <c r="C407" s="49">
        <f t="shared" si="0"/>
        <v>413.22488025489679</v>
      </c>
      <c r="D407" s="49">
        <f t="shared" si="1"/>
        <v>-18.394288349049077</v>
      </c>
      <c r="E407" s="49">
        <f t="shared" si="2"/>
        <v>844.8440488588426</v>
      </c>
    </row>
    <row r="408" spans="1:5" x14ac:dyDescent="0.25">
      <c r="A408" s="1">
        <v>45758</v>
      </c>
      <c r="C408" s="49">
        <f t="shared" si="0"/>
        <v>421.28194896521853</v>
      </c>
      <c r="D408" s="49">
        <f t="shared" si="1"/>
        <v>-17.541763015897857</v>
      </c>
      <c r="E408" s="49">
        <f t="shared" si="2"/>
        <v>860.10566094633487</v>
      </c>
    </row>
    <row r="409" spans="1:5" x14ac:dyDescent="0.25">
      <c r="A409" s="1">
        <v>45759</v>
      </c>
      <c r="C409" s="49">
        <f t="shared" si="0"/>
        <v>209.73398407536007</v>
      </c>
      <c r="D409" s="49">
        <f t="shared" si="1"/>
        <v>-236.23025883460485</v>
      </c>
      <c r="E409" s="49">
        <f t="shared" si="2"/>
        <v>655.69822698532494</v>
      </c>
    </row>
    <row r="410" spans="1:5" x14ac:dyDescent="0.25">
      <c r="A410" s="1">
        <v>45760</v>
      </c>
      <c r="C410" s="49">
        <f t="shared" si="0"/>
        <v>337.18782007581245</v>
      </c>
      <c r="D410" s="49">
        <f t="shared" si="1"/>
        <v>-115.85615936531724</v>
      </c>
      <c r="E410" s="49">
        <f t="shared" si="2"/>
        <v>790.23179951694215</v>
      </c>
    </row>
    <row r="411" spans="1:5" x14ac:dyDescent="0.25">
      <c r="A411" s="1">
        <v>45761</v>
      </c>
      <c r="C411" s="49">
        <f t="shared" si="0"/>
        <v>530.62396524783958</v>
      </c>
      <c r="D411" s="49">
        <f t="shared" si="1"/>
        <v>70.558048680385696</v>
      </c>
      <c r="E411" s="49">
        <f t="shared" si="2"/>
        <v>990.68988181529346</v>
      </c>
    </row>
    <row r="412" spans="1:5" x14ac:dyDescent="0.25">
      <c r="A412" s="1">
        <v>45762</v>
      </c>
      <c r="C412" s="49">
        <f t="shared" si="0"/>
        <v>534.75900228484841</v>
      </c>
      <c r="D412" s="49">
        <f t="shared" si="1"/>
        <v>67.726155344481413</v>
      </c>
      <c r="E412" s="49">
        <f t="shared" si="2"/>
        <v>1001.7918492252154</v>
      </c>
    </row>
    <row r="413" spans="1:5" x14ac:dyDescent="0.25">
      <c r="A413" s="1">
        <v>45763</v>
      </c>
      <c r="C413" s="49">
        <f t="shared" si="0"/>
        <v>441.71120136557141</v>
      </c>
      <c r="D413" s="49">
        <f t="shared" si="1"/>
        <v>-32.236177823035916</v>
      </c>
      <c r="E413" s="49">
        <f t="shared" si="2"/>
        <v>915.6585805541788</v>
      </c>
    </row>
    <row r="414" spans="1:5" x14ac:dyDescent="0.25">
      <c r="A414" s="1">
        <v>45764</v>
      </c>
      <c r="C414" s="49">
        <f t="shared" si="0"/>
        <v>292.98366774032399</v>
      </c>
      <c r="D414" s="49">
        <f t="shared" si="1"/>
        <v>-187.82828642887415</v>
      </c>
      <c r="E414" s="49">
        <f t="shared" si="2"/>
        <v>773.7956219095222</v>
      </c>
    </row>
    <row r="415" spans="1:5" x14ac:dyDescent="0.25">
      <c r="A415" s="1">
        <v>45765</v>
      </c>
      <c r="C415" s="49">
        <f t="shared" si="0"/>
        <v>369.8705547385465</v>
      </c>
      <c r="D415" s="49">
        <f t="shared" si="1"/>
        <v>-117.75830468977034</v>
      </c>
      <c r="E415" s="49">
        <f t="shared" si="2"/>
        <v>857.49941416686329</v>
      </c>
    </row>
    <row r="416" spans="1:5" x14ac:dyDescent="0.25">
      <c r="A416" s="1">
        <v>45766</v>
      </c>
      <c r="C416" s="49">
        <f t="shared" si="0"/>
        <v>303.6428626910004</v>
      </c>
      <c r="D416" s="49">
        <f t="shared" si="1"/>
        <v>-190.75737941573607</v>
      </c>
      <c r="E416" s="49">
        <f t="shared" si="2"/>
        <v>798.04310479773687</v>
      </c>
    </row>
    <row r="417" spans="1:5" x14ac:dyDescent="0.25">
      <c r="A417" s="1">
        <v>45767</v>
      </c>
      <c r="C417" s="49">
        <f t="shared" si="0"/>
        <v>407.02778096521558</v>
      </c>
      <c r="D417" s="49">
        <f t="shared" si="1"/>
        <v>-94.100339523841342</v>
      </c>
      <c r="E417" s="49">
        <f t="shared" si="2"/>
        <v>908.15590145427245</v>
      </c>
    </row>
    <row r="418" spans="1:5" x14ac:dyDescent="0.25">
      <c r="A418" s="1">
        <v>45768</v>
      </c>
      <c r="C418" s="49">
        <f t="shared" si="0"/>
        <v>348.35836062323398</v>
      </c>
      <c r="D418" s="49">
        <f t="shared" si="1"/>
        <v>-159.45603374327311</v>
      </c>
      <c r="E418" s="49">
        <f t="shared" si="2"/>
        <v>856.17275498974107</v>
      </c>
    </row>
    <row r="419" spans="1:5" x14ac:dyDescent="0.25">
      <c r="A419" s="1">
        <v>45769</v>
      </c>
      <c r="C419" s="49">
        <f t="shared" si="0"/>
        <v>359.33265382943307</v>
      </c>
      <c r="D419" s="49">
        <f t="shared" si="1"/>
        <v>-155.12820052914549</v>
      </c>
      <c r="E419" s="49">
        <f t="shared" si="2"/>
        <v>873.79350818801163</v>
      </c>
    </row>
    <row r="420" spans="1:5" x14ac:dyDescent="0.25">
      <c r="A420" s="1">
        <v>45770</v>
      </c>
      <c r="C420" s="49">
        <f t="shared" si="0"/>
        <v>274.337900477689</v>
      </c>
      <c r="D420" s="49">
        <f t="shared" si="1"/>
        <v>-246.73128984052551</v>
      </c>
      <c r="E420" s="49">
        <f t="shared" si="2"/>
        <v>795.40709079590351</v>
      </c>
    </row>
    <row r="421" spans="1:5" x14ac:dyDescent="0.25">
      <c r="A421" s="1">
        <v>45771</v>
      </c>
      <c r="C421" s="49">
        <f t="shared" si="0"/>
        <v>308.84838723546085</v>
      </c>
      <c r="D421" s="49">
        <f t="shared" si="1"/>
        <v>-218.79261169256159</v>
      </c>
      <c r="E421" s="49">
        <f t="shared" si="2"/>
        <v>836.48938616348323</v>
      </c>
    </row>
    <row r="422" spans="1:5" x14ac:dyDescent="0.25">
      <c r="A422" s="1">
        <v>45772</v>
      </c>
      <c r="C422" s="49">
        <f t="shared" si="0"/>
        <v>350.3074961908074</v>
      </c>
      <c r="D422" s="49">
        <f t="shared" si="1"/>
        <v>-183.87029438961355</v>
      </c>
      <c r="E422" s="49">
        <f t="shared" si="2"/>
        <v>884.4852867712284</v>
      </c>
    </row>
    <row r="423" spans="1:5" x14ac:dyDescent="0.25">
      <c r="A423" s="1">
        <v>45773</v>
      </c>
      <c r="C423" s="49">
        <f t="shared" si="0"/>
        <v>412.91724884836469</v>
      </c>
      <c r="D423" s="49">
        <f t="shared" si="1"/>
        <v>-127.76374677392607</v>
      </c>
      <c r="E423" s="49">
        <f t="shared" si="2"/>
        <v>953.59824447065546</v>
      </c>
    </row>
    <row r="424" spans="1:5" x14ac:dyDescent="0.25">
      <c r="A424" s="1">
        <v>45774</v>
      </c>
      <c r="C424" s="49">
        <f t="shared" si="0"/>
        <v>449.38976358495688</v>
      </c>
      <c r="D424" s="49">
        <f t="shared" si="1"/>
        <v>-97.762206449266841</v>
      </c>
      <c r="E424" s="49">
        <f t="shared" si="2"/>
        <v>996.5417336191806</v>
      </c>
    </row>
    <row r="425" spans="1:5" x14ac:dyDescent="0.25">
      <c r="A425" s="1">
        <v>45775</v>
      </c>
      <c r="C425" s="49">
        <f t="shared" si="0"/>
        <v>422.35097304513528</v>
      </c>
      <c r="D425" s="49">
        <f t="shared" si="1"/>
        <v>-131.24102756038059</v>
      </c>
      <c r="E425" s="49">
        <f t="shared" si="2"/>
        <v>975.94297365065108</v>
      </c>
    </row>
    <row r="426" spans="1:5" x14ac:dyDescent="0.25">
      <c r="A426" s="1">
        <v>45776</v>
      </c>
      <c r="C426" s="49">
        <f t="shared" si="0"/>
        <v>469.88025291159857</v>
      </c>
      <c r="D426" s="49">
        <f t="shared" si="1"/>
        <v>-90.122056746802798</v>
      </c>
      <c r="E426" s="49">
        <f t="shared" si="2"/>
        <v>1029.8825625699999</v>
      </c>
    </row>
    <row r="427" spans="1:5" x14ac:dyDescent="0.25">
      <c r="A427" s="1">
        <v>45777</v>
      </c>
      <c r="C427" s="49">
        <f t="shared" si="0"/>
        <v>461.01085032014606</v>
      </c>
      <c r="D427" s="49">
        <f t="shared" si="1"/>
        <v>-105.37320904830727</v>
      </c>
      <c r="E427" s="49">
        <f t="shared" si="2"/>
        <v>1027.3949096885995</v>
      </c>
    </row>
    <row r="428" spans="1:5" x14ac:dyDescent="0.25">
      <c r="A428" s="1">
        <v>45778</v>
      </c>
      <c r="C428" s="49">
        <f t="shared" si="0"/>
        <v>267.0747925186007</v>
      </c>
      <c r="D428" s="49">
        <f t="shared" si="1"/>
        <v>-305.66356320382215</v>
      </c>
      <c r="E428" s="49">
        <f t="shared" si="2"/>
        <v>839.81314824102355</v>
      </c>
    </row>
    <row r="429" spans="1:5" x14ac:dyDescent="0.25">
      <c r="A429" s="1">
        <v>45779</v>
      </c>
      <c r="C429" s="49">
        <f t="shared" si="0"/>
        <v>338.68556970287119</v>
      </c>
      <c r="D429" s="49">
        <f t="shared" si="1"/>
        <v>-240.38068244702816</v>
      </c>
      <c r="E429" s="49">
        <f t="shared" si="2"/>
        <v>917.75182185277049</v>
      </c>
    </row>
    <row r="430" spans="1:5" x14ac:dyDescent="0.25">
      <c r="A430" s="1">
        <v>45780</v>
      </c>
      <c r="C430" s="49">
        <f t="shared" si="0"/>
        <v>376.09223345857856</v>
      </c>
      <c r="D430" s="49">
        <f t="shared" si="1"/>
        <v>-209.27651940237013</v>
      </c>
      <c r="E430" s="49">
        <f t="shared" si="2"/>
        <v>961.46098631952725</v>
      </c>
    </row>
    <row r="431" spans="1:5" x14ac:dyDescent="0.25">
      <c r="A431" s="1">
        <v>45781</v>
      </c>
      <c r="C431" s="49">
        <f t="shared" si="0"/>
        <v>171.22654788434579</v>
      </c>
      <c r="D431" s="49">
        <f t="shared" si="1"/>
        <v>-420.42026803386329</v>
      </c>
      <c r="E431" s="49">
        <f t="shared" si="2"/>
        <v>762.87336380255488</v>
      </c>
    </row>
    <row r="432" spans="1:5" x14ac:dyDescent="0.25">
      <c r="A432" s="1">
        <v>45782</v>
      </c>
      <c r="C432" s="49">
        <f t="shared" si="0"/>
        <v>385.34133013873725</v>
      </c>
      <c r="D432" s="49">
        <f t="shared" si="1"/>
        <v>-212.56002592999198</v>
      </c>
      <c r="E432" s="49">
        <f t="shared" si="2"/>
        <v>983.24268620746648</v>
      </c>
    </row>
    <row r="433" spans="1:5" x14ac:dyDescent="0.25">
      <c r="A433" s="1">
        <v>45783</v>
      </c>
      <c r="C433" s="49">
        <f t="shared" si="0"/>
        <v>305.74568857473662</v>
      </c>
      <c r="D433" s="49">
        <f t="shared" si="1"/>
        <v>-298.3875587833021</v>
      </c>
      <c r="E433" s="49">
        <f t="shared" si="2"/>
        <v>909.87893593277533</v>
      </c>
    </row>
    <row r="434" spans="1:5" x14ac:dyDescent="0.25">
      <c r="A434" s="1">
        <v>45784</v>
      </c>
      <c r="C434" s="49">
        <f t="shared" si="0"/>
        <v>265.81554751437091</v>
      </c>
      <c r="D434" s="49">
        <f t="shared" si="1"/>
        <v>-344.5277780321303</v>
      </c>
      <c r="E434" s="49">
        <f t="shared" si="2"/>
        <v>876.15887306087211</v>
      </c>
    </row>
    <row r="435" spans="1:5" x14ac:dyDescent="0.25">
      <c r="A435" s="1">
        <v>45785</v>
      </c>
      <c r="C435" s="49">
        <f t="shared" si="0"/>
        <v>388.87947036382212</v>
      </c>
      <c r="D435" s="49">
        <f t="shared" si="1"/>
        <v>-227.65291998203901</v>
      </c>
      <c r="E435" s="49">
        <f t="shared" si="2"/>
        <v>1005.4118607096832</v>
      </c>
    </row>
    <row r="436" spans="1:5" x14ac:dyDescent="0.25">
      <c r="A436" s="1">
        <v>45786</v>
      </c>
      <c r="C436" s="49">
        <f t="shared" si="0"/>
        <v>298.63926096284695</v>
      </c>
      <c r="D436" s="49">
        <f t="shared" si="1"/>
        <v>-324.06194652915883</v>
      </c>
      <c r="E436" s="49">
        <f t="shared" si="2"/>
        <v>921.34046845485273</v>
      </c>
    </row>
    <row r="437" spans="1:5" x14ac:dyDescent="0.25">
      <c r="A437" s="1">
        <v>45787</v>
      </c>
      <c r="C437" s="49">
        <f t="shared" si="0"/>
        <v>293.65878151333015</v>
      </c>
      <c r="D437" s="49">
        <f t="shared" si="1"/>
        <v>-335.19172915498461</v>
      </c>
      <c r="E437" s="49">
        <f t="shared" si="2"/>
        <v>922.50929218164492</v>
      </c>
    </row>
    <row r="438" spans="1:5" x14ac:dyDescent="0.25">
      <c r="A438" s="1">
        <v>45788</v>
      </c>
      <c r="C438" s="49">
        <f t="shared" si="0"/>
        <v>318.19250141987669</v>
      </c>
      <c r="D438" s="49">
        <f t="shared" si="1"/>
        <v>-316.7885018726252</v>
      </c>
      <c r="E438" s="49">
        <f t="shared" si="2"/>
        <v>953.17350471237864</v>
      </c>
    </row>
    <row r="439" spans="1:5" x14ac:dyDescent="0.25">
      <c r="A439" s="1">
        <v>45789</v>
      </c>
      <c r="C439" s="49">
        <f t="shared" si="0"/>
        <v>168.16213811064182</v>
      </c>
      <c r="D439" s="49">
        <f t="shared" si="1"/>
        <v>-472.93122206791617</v>
      </c>
      <c r="E439" s="49">
        <f t="shared" si="2"/>
        <v>809.25549828919975</v>
      </c>
    </row>
    <row r="440" spans="1:5" x14ac:dyDescent="0.25">
      <c r="A440" s="1">
        <v>45790</v>
      </c>
      <c r="C440" s="49">
        <f t="shared" si="0"/>
        <v>179.30317929562153</v>
      </c>
      <c r="D440" s="49">
        <f t="shared" si="1"/>
        <v>-467.88504978863972</v>
      </c>
      <c r="E440" s="49">
        <f t="shared" si="2"/>
        <v>826.49140837988284</v>
      </c>
    </row>
    <row r="441" spans="1:5" x14ac:dyDescent="0.25">
      <c r="A441" s="1">
        <v>45791</v>
      </c>
      <c r="C441" s="49">
        <f t="shared" si="0"/>
        <v>68.071771505544802</v>
      </c>
      <c r="D441" s="49">
        <f t="shared" si="1"/>
        <v>-585.19446064815531</v>
      </c>
      <c r="E441" s="49">
        <f t="shared" si="2"/>
        <v>721.33800365924492</v>
      </c>
    </row>
    <row r="442" spans="1:5" x14ac:dyDescent="0.25">
      <c r="A442" s="1">
        <v>45792</v>
      </c>
      <c r="C442" s="49">
        <f t="shared" si="0"/>
        <v>101.63642544341531</v>
      </c>
      <c r="D442" s="49">
        <f t="shared" si="1"/>
        <v>-557.69154181993383</v>
      </c>
      <c r="E442" s="49">
        <f t="shared" si="2"/>
        <v>760.96439270676444</v>
      </c>
    </row>
    <row r="443" spans="1:5" x14ac:dyDescent="0.25">
      <c r="A443" s="1">
        <v>45793</v>
      </c>
      <c r="C443" s="49">
        <f t="shared" si="0"/>
        <v>178.00475090582583</v>
      </c>
      <c r="D443" s="49">
        <f t="shared" si="1"/>
        <v>-487.36925837360332</v>
      </c>
      <c r="E443" s="49">
        <f t="shared" si="2"/>
        <v>843.37876018525503</v>
      </c>
    </row>
    <row r="444" spans="1:5" x14ac:dyDescent="0.25">
      <c r="A444" s="1">
        <v>45794</v>
      </c>
      <c r="C444" s="49">
        <f t="shared" si="0"/>
        <v>257.96940290041107</v>
      </c>
      <c r="D444" s="49">
        <f t="shared" si="1"/>
        <v>-413.43550833315601</v>
      </c>
      <c r="E444" s="49">
        <f t="shared" si="2"/>
        <v>929.37431413397815</v>
      </c>
    </row>
    <row r="445" spans="1:5" x14ac:dyDescent="0.25">
      <c r="A445" s="1">
        <v>45795</v>
      </c>
      <c r="C445" s="49">
        <f t="shared" si="0"/>
        <v>296.85374343659072</v>
      </c>
      <c r="D445" s="49">
        <f t="shared" si="1"/>
        <v>-380.56746198652883</v>
      </c>
      <c r="E445" s="49">
        <f t="shared" si="2"/>
        <v>974.27494885971032</v>
      </c>
    </row>
    <row r="446" spans="1:5" x14ac:dyDescent="0.25">
      <c r="A446" s="1">
        <v>45796</v>
      </c>
      <c r="C446" s="49">
        <f t="shared" si="0"/>
        <v>400.26959213766924</v>
      </c>
      <c r="D446" s="49">
        <f t="shared" si="1"/>
        <v>-283.15381230428642</v>
      </c>
      <c r="E446" s="49">
        <f t="shared" si="2"/>
        <v>1083.6929965796248</v>
      </c>
    </row>
    <row r="447" spans="1:5" x14ac:dyDescent="0.25">
      <c r="A447" s="1">
        <v>45797</v>
      </c>
      <c r="C447" s="49">
        <f t="shared" si="0"/>
        <v>396.38714555509944</v>
      </c>
      <c r="D447" s="49">
        <f t="shared" si="1"/>
        <v>-293.02485659186914</v>
      </c>
      <c r="E447" s="49">
        <f t="shared" si="2"/>
        <v>1085.799147702068</v>
      </c>
    </row>
    <row r="448" spans="1:5" x14ac:dyDescent="0.25">
      <c r="A448" s="1">
        <v>45798</v>
      </c>
      <c r="C448" s="49">
        <f t="shared" si="0"/>
        <v>375.9756474060556</v>
      </c>
      <c r="D448" s="49">
        <f t="shared" si="1"/>
        <v>-319.41182715907144</v>
      </c>
      <c r="E448" s="49">
        <f t="shared" si="2"/>
        <v>1071.3631219711826</v>
      </c>
    </row>
    <row r="449" spans="1:5" x14ac:dyDescent="0.25">
      <c r="A449" s="1">
        <v>45799</v>
      </c>
      <c r="C449" s="49">
        <f t="shared" si="0"/>
        <v>338.95784266026044</v>
      </c>
      <c r="D449" s="49">
        <f t="shared" si="1"/>
        <v>-362.39243808519473</v>
      </c>
      <c r="E449" s="49">
        <f t="shared" si="2"/>
        <v>1040.3081234057156</v>
      </c>
    </row>
    <row r="450" spans="1:5" x14ac:dyDescent="0.25">
      <c r="A450" s="1">
        <v>45800</v>
      </c>
      <c r="C450" s="49">
        <f t="shared" si="0"/>
        <v>519.72291490512123</v>
      </c>
      <c r="D450" s="49">
        <f t="shared" si="1"/>
        <v>-187.57794865483447</v>
      </c>
      <c r="E450" s="49">
        <f t="shared" si="2"/>
        <v>1227.0237784650769</v>
      </c>
    </row>
    <row r="451" spans="1:5" x14ac:dyDescent="0.25">
      <c r="A451" s="1">
        <v>45801</v>
      </c>
      <c r="C451" s="49">
        <f t="shared" si="0"/>
        <v>285.40091131149228</v>
      </c>
      <c r="D451" s="49">
        <f t="shared" si="1"/>
        <v>-427.83873914565385</v>
      </c>
      <c r="E451" s="49">
        <f t="shared" si="2"/>
        <v>998.64056176863846</v>
      </c>
    </row>
    <row r="452" spans="1:5" x14ac:dyDescent="0.25">
      <c r="A452" s="1">
        <v>45802</v>
      </c>
      <c r="C452" s="49">
        <f t="shared" si="0"/>
        <v>391.19643302317866</v>
      </c>
      <c r="D452" s="49">
        <f t="shared" si="1"/>
        <v>-327.97062114839798</v>
      </c>
      <c r="E452" s="49">
        <f t="shared" si="2"/>
        <v>1110.3634871947552</v>
      </c>
    </row>
    <row r="453" spans="1:5" x14ac:dyDescent="0.25">
      <c r="A453" s="1">
        <v>45803</v>
      </c>
      <c r="C453" s="49">
        <f t="shared" si="0"/>
        <v>313.1284936664897</v>
      </c>
      <c r="D453" s="49">
        <f t="shared" si="1"/>
        <v>-411.95497972592568</v>
      </c>
      <c r="E453" s="49">
        <f t="shared" si="2"/>
        <v>1038.211967058905</v>
      </c>
    </row>
    <row r="454" spans="1:5" x14ac:dyDescent="0.25">
      <c r="A454" s="1">
        <v>45804</v>
      </c>
      <c r="C454" s="49">
        <f t="shared" ref="C454:C517" si="3">_xlfn.FORECAST.ETS(A454,$B$2:$B$389,$A$2:$A$389,1,1)</f>
        <v>269.33413898434071</v>
      </c>
      <c r="D454" s="49">
        <f t="shared" ref="D454:D517" si="4">C454-_xlfn.FORECAST.ETS.CONFINT(A454,$B$2:$B$389,$A$2:$A$389,0.95,1,1)</f>
        <v>-461.65515440959564</v>
      </c>
      <c r="E454" s="49">
        <f t="shared" ref="E454:E517" si="5">C454+_xlfn.FORECAST.ETS.CONFINT(A454,$B$2:$B$389,$A$2:$A$389,0.95,1,1)</f>
        <v>1000.3234323782771</v>
      </c>
    </row>
    <row r="455" spans="1:5" x14ac:dyDescent="0.25">
      <c r="A455" s="1">
        <v>45805</v>
      </c>
      <c r="C455" s="49">
        <f t="shared" si="3"/>
        <v>350.39965077941736</v>
      </c>
      <c r="D455" s="49">
        <f t="shared" si="4"/>
        <v>-386.48523585109967</v>
      </c>
      <c r="E455" s="49">
        <f t="shared" si="5"/>
        <v>1087.2845374099343</v>
      </c>
    </row>
    <row r="456" spans="1:5" x14ac:dyDescent="0.25">
      <c r="A456" s="1">
        <v>45806</v>
      </c>
      <c r="C456" s="49">
        <f t="shared" si="3"/>
        <v>336.14609027019645</v>
      </c>
      <c r="D456" s="49">
        <f t="shared" si="4"/>
        <v>-406.62452302834851</v>
      </c>
      <c r="E456" s="49">
        <f t="shared" si="5"/>
        <v>1078.9167035687415</v>
      </c>
    </row>
    <row r="457" spans="1:5" x14ac:dyDescent="0.25">
      <c r="A457" s="1">
        <v>45807</v>
      </c>
      <c r="C457" s="49">
        <f t="shared" si="3"/>
        <v>172.57729487543915</v>
      </c>
      <c r="D457" s="49">
        <f t="shared" si="4"/>
        <v>-576.06952699200326</v>
      </c>
      <c r="E457" s="49">
        <f t="shared" si="5"/>
        <v>921.22411674288162</v>
      </c>
    </row>
    <row r="458" spans="1:5" x14ac:dyDescent="0.25">
      <c r="A458" s="1">
        <v>45808</v>
      </c>
      <c r="C458" s="49">
        <f t="shared" si="3"/>
        <v>274.81434773849253</v>
      </c>
      <c r="D458" s="49">
        <f t="shared" si="4"/>
        <v>-479.69950184335733</v>
      </c>
      <c r="E458" s="49">
        <f t="shared" si="5"/>
        <v>1029.3281973203425</v>
      </c>
    </row>
    <row r="459" spans="1:5" x14ac:dyDescent="0.25">
      <c r="A459" s="1">
        <v>45809</v>
      </c>
      <c r="C459" s="49">
        <f t="shared" si="3"/>
        <v>278.21204016670822</v>
      </c>
      <c r="D459" s="49">
        <f t="shared" si="4"/>
        <v>-482.15998277013944</v>
      </c>
      <c r="E459" s="49">
        <f t="shared" si="5"/>
        <v>1038.5840631035558</v>
      </c>
    </row>
    <row r="460" spans="1:5" x14ac:dyDescent="0.25">
      <c r="A460" s="1">
        <v>45810</v>
      </c>
      <c r="C460" s="49">
        <f t="shared" si="3"/>
        <v>469.47593242430565</v>
      </c>
      <c r="D460" s="49">
        <f t="shared" si="4"/>
        <v>-296.74572570364927</v>
      </c>
      <c r="E460" s="49">
        <f t="shared" si="5"/>
        <v>1235.6975905522606</v>
      </c>
    </row>
    <row r="461" spans="1:5" x14ac:dyDescent="0.25">
      <c r="A461" s="1">
        <v>45811</v>
      </c>
      <c r="C461" s="49">
        <f t="shared" si="3"/>
        <v>239.61473451504037</v>
      </c>
      <c r="D461" s="49">
        <f t="shared" si="4"/>
        <v>-532.44832696247533</v>
      </c>
      <c r="E461" s="49">
        <f t="shared" si="5"/>
        <v>1011.6777959925561</v>
      </c>
    </row>
    <row r="462" spans="1:5" x14ac:dyDescent="0.25">
      <c r="A462" s="1">
        <v>45812</v>
      </c>
      <c r="C462" s="49">
        <f t="shared" si="3"/>
        <v>163.98988969409353</v>
      </c>
      <c r="D462" s="49">
        <f t="shared" si="4"/>
        <v>-613.90664014486595</v>
      </c>
      <c r="E462" s="49">
        <f t="shared" si="5"/>
        <v>941.88641953305307</v>
      </c>
    </row>
    <row r="463" spans="1:5" x14ac:dyDescent="0.25">
      <c r="A463" s="1">
        <v>45813</v>
      </c>
      <c r="C463" s="49">
        <f t="shared" si="3"/>
        <v>375.35076077338755</v>
      </c>
      <c r="D463" s="49">
        <f t="shared" si="4"/>
        <v>-408.37159020692712</v>
      </c>
      <c r="E463" s="49">
        <f t="shared" si="5"/>
        <v>1159.0731117537023</v>
      </c>
    </row>
    <row r="464" spans="1:5" x14ac:dyDescent="0.25">
      <c r="A464" s="1">
        <v>45814</v>
      </c>
      <c r="C464" s="49">
        <f t="shared" si="3"/>
        <v>429.20596665059969</v>
      </c>
      <c r="D464" s="49">
        <f t="shared" si="4"/>
        <v>-360.33483729765675</v>
      </c>
      <c r="E464" s="49">
        <f t="shared" si="5"/>
        <v>1218.7467705988561</v>
      </c>
    </row>
    <row r="465" spans="1:5" x14ac:dyDescent="0.25">
      <c r="A465" s="1">
        <v>45815</v>
      </c>
      <c r="C465" s="49">
        <f t="shared" si="3"/>
        <v>463.08662476434762</v>
      </c>
      <c r="D465" s="49">
        <f t="shared" si="4"/>
        <v>-332.26553464952741</v>
      </c>
      <c r="E465" s="49">
        <f t="shared" si="5"/>
        <v>1258.4387841782227</v>
      </c>
    </row>
    <row r="466" spans="1:5" x14ac:dyDescent="0.25">
      <c r="A466" s="1">
        <v>45816</v>
      </c>
      <c r="C466" s="49">
        <f t="shared" si="3"/>
        <v>369.17929707170384</v>
      </c>
      <c r="D466" s="49">
        <f t="shared" si="4"/>
        <v>-431.97738292956325</v>
      </c>
      <c r="E466" s="49">
        <f t="shared" si="5"/>
        <v>1170.335977072971</v>
      </c>
    </row>
    <row r="467" spans="1:5" x14ac:dyDescent="0.25">
      <c r="A467" s="1">
        <v>45817</v>
      </c>
      <c r="C467" s="49">
        <f t="shared" si="3"/>
        <v>449.34279020679946</v>
      </c>
      <c r="D467" s="49">
        <f t="shared" si="4"/>
        <v>-357.61183039317598</v>
      </c>
      <c r="E467" s="49">
        <f t="shared" si="5"/>
        <v>1256.2974108067749</v>
      </c>
    </row>
    <row r="468" spans="1:5" x14ac:dyDescent="0.25">
      <c r="A468" s="1">
        <v>45818</v>
      </c>
      <c r="C468" s="49">
        <f t="shared" si="3"/>
        <v>414.62034756206799</v>
      </c>
      <c r="D468" s="49">
        <f t="shared" si="4"/>
        <v>-398.12588110016577</v>
      </c>
      <c r="E468" s="49">
        <f t="shared" si="5"/>
        <v>1227.3665762243018</v>
      </c>
    </row>
    <row r="469" spans="1:5" x14ac:dyDescent="0.25">
      <c r="A469" s="1">
        <v>45819</v>
      </c>
      <c r="C469" s="49">
        <f t="shared" si="3"/>
        <v>427.20779257925625</v>
      </c>
      <c r="D469" s="49">
        <f t="shared" si="4"/>
        <v>-391.32395190664278</v>
      </c>
      <c r="E469" s="49">
        <f t="shared" si="5"/>
        <v>1245.7395370651552</v>
      </c>
    </row>
    <row r="470" spans="1:5" x14ac:dyDescent="0.25">
      <c r="A470" s="1">
        <v>45820</v>
      </c>
      <c r="C470" s="49">
        <f t="shared" si="3"/>
        <v>537.18132233430117</v>
      </c>
      <c r="D470" s="49">
        <f t="shared" si="4"/>
        <v>-287.13007914960531</v>
      </c>
      <c r="E470" s="49">
        <f t="shared" si="5"/>
        <v>1361.4927238182077</v>
      </c>
    </row>
    <row r="471" spans="1:5" x14ac:dyDescent="0.25">
      <c r="A471" s="1">
        <v>45821</v>
      </c>
      <c r="C471" s="49">
        <f t="shared" si="3"/>
        <v>413.37627353894817</v>
      </c>
      <c r="D471" s="49">
        <f t="shared" si="4"/>
        <v>-416.709152902065</v>
      </c>
      <c r="E471" s="49">
        <f t="shared" si="5"/>
        <v>1243.4616999799614</v>
      </c>
    </row>
    <row r="472" spans="1:5" x14ac:dyDescent="0.25">
      <c r="A472" s="1">
        <v>45822</v>
      </c>
      <c r="C472" s="49">
        <f t="shared" si="3"/>
        <v>578.96218344768704</v>
      </c>
      <c r="D472" s="49">
        <f t="shared" si="4"/>
        <v>-256.89185631086741</v>
      </c>
      <c r="E472" s="49">
        <f t="shared" si="5"/>
        <v>1414.8162232062414</v>
      </c>
    </row>
    <row r="473" spans="1:5" x14ac:dyDescent="0.25">
      <c r="A473" s="1">
        <v>45823</v>
      </c>
      <c r="C473" s="49">
        <f t="shared" si="3"/>
        <v>381.56688476705699</v>
      </c>
      <c r="D473" s="49">
        <f t="shared" si="4"/>
        <v>-460.050570920827</v>
      </c>
      <c r="E473" s="49">
        <f t="shared" si="5"/>
        <v>1223.1843404549409</v>
      </c>
    </row>
    <row r="474" spans="1:5" x14ac:dyDescent="0.25">
      <c r="A474" s="1">
        <v>45824</v>
      </c>
      <c r="C474" s="49">
        <f t="shared" si="3"/>
        <v>427.26923883728421</v>
      </c>
      <c r="D474" s="49">
        <f t="shared" si="4"/>
        <v>-420.10664371584312</v>
      </c>
      <c r="E474" s="49">
        <f t="shared" si="5"/>
        <v>1274.6451213904115</v>
      </c>
    </row>
    <row r="475" spans="1:5" x14ac:dyDescent="0.25">
      <c r="A475" s="1">
        <v>45825</v>
      </c>
      <c r="C475" s="49">
        <f t="shared" si="3"/>
        <v>419.77557056508675</v>
      </c>
      <c r="D475" s="49">
        <f t="shared" si="4"/>
        <v>-433.35395239875021</v>
      </c>
      <c r="E475" s="49">
        <f t="shared" si="5"/>
        <v>1272.9050935289238</v>
      </c>
    </row>
    <row r="476" spans="1:5" x14ac:dyDescent="0.25">
      <c r="A476" s="1">
        <v>45826</v>
      </c>
      <c r="C476" s="49">
        <f t="shared" si="3"/>
        <v>369.31250885809089</v>
      </c>
      <c r="D476" s="49">
        <f t="shared" si="4"/>
        <v>-489.56606516000642</v>
      </c>
      <c r="E476" s="49">
        <f t="shared" si="5"/>
        <v>1228.1910828761881</v>
      </c>
    </row>
    <row r="477" spans="1:5" x14ac:dyDescent="0.25">
      <c r="A477" s="1">
        <v>45827</v>
      </c>
      <c r="C477" s="49">
        <f t="shared" si="3"/>
        <v>452.57521594429181</v>
      </c>
      <c r="D477" s="49">
        <f t="shared" si="4"/>
        <v>-412.0480115523078</v>
      </c>
      <c r="E477" s="49">
        <f t="shared" si="5"/>
        <v>1317.1984434408914</v>
      </c>
    </row>
    <row r="478" spans="1:5" x14ac:dyDescent="0.25">
      <c r="A478" s="1">
        <v>45828</v>
      </c>
      <c r="C478" s="49">
        <f t="shared" si="3"/>
        <v>345.73893493451004</v>
      </c>
      <c r="D478" s="49">
        <f t="shared" si="4"/>
        <v>-524.62473511365397</v>
      </c>
      <c r="E478" s="49">
        <f t="shared" si="5"/>
        <v>1216.1026049826739</v>
      </c>
    </row>
    <row r="479" spans="1:5" x14ac:dyDescent="0.25">
      <c r="A479" s="1">
        <v>45829</v>
      </c>
      <c r="C479" s="49">
        <f t="shared" si="3"/>
        <v>574.64731675833241</v>
      </c>
      <c r="D479" s="49">
        <f t="shared" si="4"/>
        <v>-301.45276660883292</v>
      </c>
      <c r="E479" s="49">
        <f t="shared" si="5"/>
        <v>1450.7474001254977</v>
      </c>
    </row>
    <row r="480" spans="1:5" x14ac:dyDescent="0.25">
      <c r="A480" s="1">
        <v>45830</v>
      </c>
      <c r="C480" s="49">
        <f t="shared" si="3"/>
        <v>461.15998532459946</v>
      </c>
      <c r="D480" s="49">
        <f t="shared" si="4"/>
        <v>-420.67265903868736</v>
      </c>
      <c r="E480" s="49">
        <f t="shared" si="5"/>
        <v>1342.9926296878862</v>
      </c>
    </row>
    <row r="481" spans="1:5" x14ac:dyDescent="0.25">
      <c r="A481" s="1">
        <v>45831</v>
      </c>
      <c r="C481" s="49">
        <f t="shared" si="3"/>
        <v>520.4693717756079</v>
      </c>
      <c r="D481" s="49">
        <f t="shared" si="4"/>
        <v>-367.09215354839171</v>
      </c>
      <c r="E481" s="49">
        <f t="shared" si="5"/>
        <v>1408.0308970996075</v>
      </c>
    </row>
    <row r="482" spans="1:5" x14ac:dyDescent="0.25">
      <c r="A482" s="1">
        <v>45832</v>
      </c>
      <c r="C482" s="49">
        <f t="shared" si="3"/>
        <v>335.00309579789774</v>
      </c>
      <c r="D482" s="49">
        <f t="shared" si="4"/>
        <v>-558.28379827224512</v>
      </c>
      <c r="E482" s="49">
        <f t="shared" si="5"/>
        <v>1228.2899898680405</v>
      </c>
    </row>
    <row r="483" spans="1:5" x14ac:dyDescent="0.25">
      <c r="A483" s="1">
        <v>45833</v>
      </c>
      <c r="C483" s="49">
        <f t="shared" si="3"/>
        <v>391.47738621616293</v>
      </c>
      <c r="D483" s="49">
        <f t="shared" si="4"/>
        <v>-507.53152788879572</v>
      </c>
      <c r="E483" s="49">
        <f t="shared" si="5"/>
        <v>1290.4863003211217</v>
      </c>
    </row>
    <row r="484" spans="1:5" x14ac:dyDescent="0.25">
      <c r="A484" s="1">
        <v>45834</v>
      </c>
      <c r="C484" s="49">
        <f t="shared" si="3"/>
        <v>704.96274654030003</v>
      </c>
      <c r="D484" s="49">
        <f t="shared" si="4"/>
        <v>-199.76499821660968</v>
      </c>
      <c r="E484" s="49">
        <f t="shared" si="5"/>
        <v>1609.6904912972097</v>
      </c>
    </row>
    <row r="485" spans="1:5" x14ac:dyDescent="0.25">
      <c r="A485" s="1">
        <v>45835</v>
      </c>
      <c r="C485" s="49">
        <f t="shared" si="3"/>
        <v>394.54956928931404</v>
      </c>
      <c r="D485" s="49">
        <f t="shared" si="4"/>
        <v>-515.89397202727923</v>
      </c>
      <c r="E485" s="49">
        <f t="shared" si="5"/>
        <v>1304.9931106059073</v>
      </c>
    </row>
    <row r="486" spans="1:5" x14ac:dyDescent="0.25">
      <c r="A486" s="1">
        <v>45836</v>
      </c>
      <c r="C486" s="49">
        <f t="shared" si="3"/>
        <v>451.80977843644092</v>
      </c>
      <c r="D486" s="49">
        <f t="shared" si="4"/>
        <v>-464.34667673160487</v>
      </c>
      <c r="E486" s="49">
        <f t="shared" si="5"/>
        <v>1367.9662336044867</v>
      </c>
    </row>
    <row r="487" spans="1:5" x14ac:dyDescent="0.25">
      <c r="A487" s="1">
        <v>45837</v>
      </c>
      <c r="C487" s="49">
        <f t="shared" si="3"/>
        <v>441.92409171869872</v>
      </c>
      <c r="D487" s="49">
        <f t="shared" si="4"/>
        <v>-479.9425421960126</v>
      </c>
      <c r="E487" s="49">
        <f t="shared" si="5"/>
        <v>1363.7907256334101</v>
      </c>
    </row>
    <row r="488" spans="1:5" x14ac:dyDescent="0.25">
      <c r="A488" s="1">
        <v>45838</v>
      </c>
      <c r="C488" s="49">
        <f t="shared" si="3"/>
        <v>476.84686981606774</v>
      </c>
      <c r="D488" s="49">
        <f t="shared" si="4"/>
        <v>-450.72735168427016</v>
      </c>
      <c r="E488" s="49">
        <f t="shared" si="5"/>
        <v>1404.4210913164056</v>
      </c>
    </row>
    <row r="489" spans="1:5" x14ac:dyDescent="0.25">
      <c r="A489" s="1">
        <v>45839</v>
      </c>
      <c r="C489" s="49">
        <f t="shared" si="3"/>
        <v>375.00039374742721</v>
      </c>
      <c r="D489" s="49">
        <f t="shared" si="4"/>
        <v>-558.27896457761813</v>
      </c>
      <c r="E489" s="49">
        <f t="shared" si="5"/>
        <v>1308.2797520724725</v>
      </c>
    </row>
    <row r="490" spans="1:5" x14ac:dyDescent="0.25">
      <c r="A490" s="1">
        <v>45840</v>
      </c>
      <c r="C490" s="49">
        <f t="shared" si="3"/>
        <v>461.45596432695328</v>
      </c>
      <c r="D490" s="49">
        <f t="shared" si="4"/>
        <v>-477.52621702984328</v>
      </c>
      <c r="E490" s="49">
        <f t="shared" si="5"/>
        <v>1400.4381456837498</v>
      </c>
    </row>
    <row r="491" spans="1:5" x14ac:dyDescent="0.25">
      <c r="A491" s="1">
        <v>45841</v>
      </c>
      <c r="C491" s="49">
        <f t="shared" si="3"/>
        <v>528.24664392372449</v>
      </c>
      <c r="D491" s="49">
        <f t="shared" si="4"/>
        <v>-416.43618031476672</v>
      </c>
      <c r="E491" s="49">
        <f t="shared" si="5"/>
        <v>1472.9294681622157</v>
      </c>
    </row>
    <row r="492" spans="1:5" x14ac:dyDescent="0.25">
      <c r="A492" s="1">
        <v>45842</v>
      </c>
      <c r="C492" s="49">
        <f t="shared" si="3"/>
        <v>334.8716095301329</v>
      </c>
      <c r="D492" s="49">
        <f t="shared" si="4"/>
        <v>-615.50980786075741</v>
      </c>
      <c r="E492" s="49">
        <f t="shared" si="5"/>
        <v>1285.2530269210233</v>
      </c>
    </row>
    <row r="493" spans="1:5" x14ac:dyDescent="0.25">
      <c r="A493" s="1">
        <v>45843</v>
      </c>
      <c r="C493" s="49">
        <f t="shared" si="3"/>
        <v>537.68532366175214</v>
      </c>
      <c r="D493" s="49">
        <f t="shared" si="4"/>
        <v>-418.39276444980987</v>
      </c>
      <c r="E493" s="49">
        <f t="shared" si="5"/>
        <v>1493.7634117733141</v>
      </c>
    </row>
    <row r="494" spans="1:5" x14ac:dyDescent="0.25">
      <c r="A494" s="1">
        <v>45844</v>
      </c>
      <c r="C494" s="49">
        <f t="shared" si="3"/>
        <v>485.32415343559956</v>
      </c>
      <c r="D494" s="49">
        <f t="shared" si="4"/>
        <v>-476.44880723444089</v>
      </c>
      <c r="E494" s="49">
        <f t="shared" si="5"/>
        <v>1447.09711410564</v>
      </c>
    </row>
    <row r="495" spans="1:5" x14ac:dyDescent="0.25">
      <c r="A495" s="1">
        <v>45845</v>
      </c>
      <c r="C495" s="49">
        <f t="shared" si="3"/>
        <v>358.10322508456494</v>
      </c>
      <c r="D495" s="49">
        <f t="shared" si="4"/>
        <v>-609.36293131479988</v>
      </c>
      <c r="E495" s="49">
        <f t="shared" si="5"/>
        <v>1325.5693814839296</v>
      </c>
    </row>
    <row r="496" spans="1:5" x14ac:dyDescent="0.25">
      <c r="A496" s="1">
        <v>45846</v>
      </c>
      <c r="C496" s="49">
        <f t="shared" si="3"/>
        <v>396.73063140486101</v>
      </c>
      <c r="D496" s="49">
        <f t="shared" si="4"/>
        <v>-576.42716237930733</v>
      </c>
      <c r="E496" s="49">
        <f t="shared" si="5"/>
        <v>1369.8884251890295</v>
      </c>
    </row>
    <row r="497" spans="1:5" x14ac:dyDescent="0.25">
      <c r="A497" s="1">
        <v>45847</v>
      </c>
      <c r="C497" s="49">
        <f t="shared" si="3"/>
        <v>407.53432178390739</v>
      </c>
      <c r="D497" s="49">
        <f t="shared" si="4"/>
        <v>-571.31366676156699</v>
      </c>
      <c r="E497" s="49">
        <f t="shared" si="5"/>
        <v>1386.3823103293817</v>
      </c>
    </row>
    <row r="498" spans="1:5" x14ac:dyDescent="0.25">
      <c r="A498" s="1">
        <v>45848</v>
      </c>
      <c r="C498" s="49">
        <f t="shared" si="3"/>
        <v>523.47099050581642</v>
      </c>
      <c r="D498" s="49">
        <f t="shared" si="4"/>
        <v>-461.06586321652628</v>
      </c>
      <c r="E498" s="49">
        <f t="shared" si="5"/>
        <v>1508.0078442281592</v>
      </c>
    </row>
    <row r="499" spans="1:5" x14ac:dyDescent="0.25">
      <c r="A499" s="1">
        <v>45849</v>
      </c>
      <c r="C499" s="49">
        <f t="shared" si="3"/>
        <v>500.24041350344908</v>
      </c>
      <c r="D499" s="49">
        <f t="shared" si="4"/>
        <v>-489.98408624706292</v>
      </c>
      <c r="E499" s="49">
        <f t="shared" si="5"/>
        <v>1490.4649132539612</v>
      </c>
    </row>
    <row r="500" spans="1:5" x14ac:dyDescent="0.25">
      <c r="A500" s="1">
        <v>45850</v>
      </c>
      <c r="C500" s="49">
        <f t="shared" si="3"/>
        <v>340.86279188064179</v>
      </c>
      <c r="D500" s="49">
        <f t="shared" si="4"/>
        <v>-655.04824265752575</v>
      </c>
      <c r="E500" s="49">
        <f t="shared" si="5"/>
        <v>1336.7738264188092</v>
      </c>
    </row>
    <row r="501" spans="1:5" x14ac:dyDescent="0.25">
      <c r="A501" s="1">
        <v>45851</v>
      </c>
      <c r="C501" s="49">
        <f t="shared" si="3"/>
        <v>503.20576397724085</v>
      </c>
      <c r="D501" s="49">
        <f t="shared" si="4"/>
        <v>-498.39079956172236</v>
      </c>
      <c r="E501" s="49">
        <f t="shared" si="5"/>
        <v>1504.8023275162041</v>
      </c>
    </row>
    <row r="502" spans="1:5" x14ac:dyDescent="0.25">
      <c r="A502" s="1">
        <v>45852</v>
      </c>
      <c r="C502" s="49">
        <f t="shared" si="3"/>
        <v>479.94246020606226</v>
      </c>
      <c r="D502" s="49">
        <f t="shared" si="4"/>
        <v>-527.33872961635234</v>
      </c>
      <c r="E502" s="49">
        <f t="shared" si="5"/>
        <v>1487.2236500284769</v>
      </c>
    </row>
    <row r="503" spans="1:5" x14ac:dyDescent="0.25">
      <c r="A503" s="1">
        <v>45853</v>
      </c>
      <c r="C503" s="49">
        <f t="shared" si="3"/>
        <v>367.7048857248916</v>
      </c>
      <c r="D503" s="49">
        <f t="shared" si="4"/>
        <v>-645.26012841688782</v>
      </c>
      <c r="E503" s="49">
        <f t="shared" si="5"/>
        <v>1380.6698998666711</v>
      </c>
    </row>
    <row r="504" spans="1:5" x14ac:dyDescent="0.25">
      <c r="A504" s="1">
        <v>45854</v>
      </c>
      <c r="C504" s="49">
        <f t="shared" si="3"/>
        <v>256.79007258591923</v>
      </c>
      <c r="D504" s="49">
        <f t="shared" si="4"/>
        <v>-761.85806241361308</v>
      </c>
      <c r="E504" s="49">
        <f t="shared" si="5"/>
        <v>1275.4382075854514</v>
      </c>
    </row>
    <row r="505" spans="1:5" x14ac:dyDescent="0.25">
      <c r="A505" s="1">
        <v>45855</v>
      </c>
      <c r="C505" s="49">
        <f t="shared" si="3"/>
        <v>332.39561551307025</v>
      </c>
      <c r="D505" s="49">
        <f t="shared" si="4"/>
        <v>-691.93503319746469</v>
      </c>
      <c r="E505" s="49">
        <f t="shared" si="5"/>
        <v>1356.7262642236051</v>
      </c>
    </row>
    <row r="506" spans="1:5" x14ac:dyDescent="0.25">
      <c r="A506" s="1">
        <v>45856</v>
      </c>
      <c r="C506" s="49">
        <f t="shared" si="3"/>
        <v>323.95081954696417</v>
      </c>
      <c r="D506" s="49">
        <f t="shared" si="4"/>
        <v>-706.06182991603691</v>
      </c>
      <c r="E506" s="49">
        <f t="shared" si="5"/>
        <v>1353.9634690099651</v>
      </c>
    </row>
    <row r="507" spans="1:5" x14ac:dyDescent="0.25">
      <c r="A507" s="1">
        <v>45857</v>
      </c>
      <c r="C507" s="49">
        <f t="shared" si="3"/>
        <v>376.41470039771298</v>
      </c>
      <c r="D507" s="49">
        <f t="shared" si="4"/>
        <v>-659.27952897963473</v>
      </c>
      <c r="E507" s="49">
        <f t="shared" si="5"/>
        <v>1412.1089297750607</v>
      </c>
    </row>
    <row r="508" spans="1:5" x14ac:dyDescent="0.25">
      <c r="A508" s="1">
        <v>45858</v>
      </c>
      <c r="C508" s="49">
        <f t="shared" si="3"/>
        <v>261.91163020724701</v>
      </c>
      <c r="D508" s="49">
        <f t="shared" si="4"/>
        <v>-779.46384835577533</v>
      </c>
      <c r="E508" s="49">
        <f t="shared" si="5"/>
        <v>1303.2871087702695</v>
      </c>
    </row>
    <row r="509" spans="1:5" x14ac:dyDescent="0.25">
      <c r="A509" s="1">
        <v>45859</v>
      </c>
      <c r="C509" s="49">
        <f t="shared" si="3"/>
        <v>535.46838773547245</v>
      </c>
      <c r="D509" s="49">
        <f t="shared" si="4"/>
        <v>-511.58809743791278</v>
      </c>
      <c r="E509" s="49">
        <f t="shared" si="5"/>
        <v>1582.5248729088576</v>
      </c>
    </row>
    <row r="510" spans="1:5" x14ac:dyDescent="0.25">
      <c r="A510" s="1">
        <v>45860</v>
      </c>
      <c r="C510" s="49">
        <f t="shared" si="3"/>
        <v>223.6234180677838</v>
      </c>
      <c r="D510" s="49">
        <f t="shared" si="4"/>
        <v>-829.11391739094938</v>
      </c>
      <c r="E510" s="49">
        <f t="shared" si="5"/>
        <v>1276.3607535265171</v>
      </c>
    </row>
    <row r="511" spans="1:5" x14ac:dyDescent="0.25">
      <c r="A511" s="1">
        <v>45861</v>
      </c>
      <c r="C511" s="49">
        <f t="shared" si="3"/>
        <v>195.45696485329961</v>
      </c>
      <c r="D511" s="49">
        <f t="shared" si="4"/>
        <v>-862.96114896423558</v>
      </c>
      <c r="E511" s="49">
        <f t="shared" si="5"/>
        <v>1253.8750786708347</v>
      </c>
    </row>
    <row r="512" spans="1:5" x14ac:dyDescent="0.25">
      <c r="A512" s="1">
        <v>45862</v>
      </c>
      <c r="C512" s="49">
        <f t="shared" si="3"/>
        <v>363.50852427091564</v>
      </c>
      <c r="D512" s="49">
        <f t="shared" si="4"/>
        <v>-700.59037857504018</v>
      </c>
      <c r="E512" s="49">
        <f t="shared" si="5"/>
        <v>1427.6074271168713</v>
      </c>
    </row>
    <row r="513" spans="1:5" x14ac:dyDescent="0.25">
      <c r="A513" s="1">
        <v>45863</v>
      </c>
      <c r="C513" s="49">
        <f t="shared" si="3"/>
        <v>499.88317292682751</v>
      </c>
      <c r="D513" s="49">
        <f t="shared" si="4"/>
        <v>-569.89661045890421</v>
      </c>
      <c r="E513" s="49">
        <f t="shared" si="5"/>
        <v>1569.6629563125591</v>
      </c>
    </row>
    <row r="514" spans="1:5" x14ac:dyDescent="0.25">
      <c r="A514" s="1">
        <v>45864</v>
      </c>
      <c r="C514" s="49">
        <f t="shared" si="3"/>
        <v>296.75437568223265</v>
      </c>
      <c r="D514" s="49">
        <f t="shared" si="4"/>
        <v>-778.70645888823833</v>
      </c>
      <c r="E514" s="49">
        <f t="shared" si="5"/>
        <v>1372.2152102527036</v>
      </c>
    </row>
    <row r="515" spans="1:5" x14ac:dyDescent="0.25">
      <c r="A515" s="1">
        <v>45865</v>
      </c>
      <c r="C515" s="49">
        <f t="shared" si="3"/>
        <v>407.6531215783948</v>
      </c>
      <c r="D515" s="49">
        <f t="shared" si="4"/>
        <v>-673.48901229203875</v>
      </c>
      <c r="E515" s="49">
        <f t="shared" si="5"/>
        <v>1488.7952554488284</v>
      </c>
    </row>
    <row r="516" spans="1:5" x14ac:dyDescent="0.25">
      <c r="A516" s="1">
        <v>45866</v>
      </c>
      <c r="C516" s="49">
        <f t="shared" si="3"/>
        <v>357.57129079016983</v>
      </c>
      <c r="D516" s="49">
        <f t="shared" si="4"/>
        <v>-729.25246634568816</v>
      </c>
      <c r="E516" s="49">
        <f t="shared" si="5"/>
        <v>1444.3950479260277</v>
      </c>
    </row>
    <row r="517" spans="1:5" x14ac:dyDescent="0.25">
      <c r="A517" s="1">
        <v>45867</v>
      </c>
      <c r="C517" s="49">
        <f t="shared" si="3"/>
        <v>336.34266258168799</v>
      </c>
      <c r="D517" s="49">
        <f t="shared" si="4"/>
        <v>-756.16311605719488</v>
      </c>
      <c r="E517" s="49">
        <f t="shared" si="5"/>
        <v>1428.848441220571</v>
      </c>
    </row>
    <row r="518" spans="1:5" x14ac:dyDescent="0.25">
      <c r="A518" s="1">
        <v>45868</v>
      </c>
      <c r="C518" s="49">
        <f t="shared" ref="C518:C581" si="6">_xlfn.FORECAST.ETS(A518,$B$2:$B$389,$A$2:$A$389,1,1)</f>
        <v>256.89062138007188</v>
      </c>
      <c r="D518" s="49">
        <f t="shared" ref="D518:D581" si="7">C518-_xlfn.FORECAST.ETS.CONFINT(A518,$B$2:$B$389,$A$2:$A$389,0.95,1,1)</f>
        <v>-841.29764973405759</v>
      </c>
      <c r="E518" s="49">
        <f t="shared" ref="E518:E581" si="8">C518+_xlfn.FORECAST.ETS.CONFINT(A518,$B$2:$B$389,$A$2:$A$389,0.95,1,1)</f>
        <v>1355.0788924942015</v>
      </c>
    </row>
    <row r="519" spans="1:5" x14ac:dyDescent="0.25">
      <c r="A519" s="1">
        <v>45869</v>
      </c>
      <c r="C519" s="49">
        <f t="shared" si="6"/>
        <v>247.83022004008217</v>
      </c>
      <c r="D519" s="49">
        <f t="shared" si="7"/>
        <v>-865.90883983510594</v>
      </c>
      <c r="E519" s="49">
        <f t="shared" si="8"/>
        <v>1361.5692799152703</v>
      </c>
    </row>
    <row r="520" spans="1:5" x14ac:dyDescent="0.25">
      <c r="A520" s="1">
        <v>45870</v>
      </c>
      <c r="C520" s="49">
        <f t="shared" si="6"/>
        <v>238.44351498938471</v>
      </c>
      <c r="D520" s="49">
        <f t="shared" si="7"/>
        <v>-880.92908886992086</v>
      </c>
      <c r="E520" s="49">
        <f t="shared" si="8"/>
        <v>1357.8161188486904</v>
      </c>
    </row>
    <row r="521" spans="1:5" x14ac:dyDescent="0.25">
      <c r="A521" s="1">
        <v>45871</v>
      </c>
      <c r="C521" s="49">
        <f t="shared" si="6"/>
        <v>190.34650259248662</v>
      </c>
      <c r="D521" s="49">
        <f t="shared" si="7"/>
        <v>-934.66082369780133</v>
      </c>
      <c r="E521" s="49">
        <f t="shared" si="8"/>
        <v>1315.3538288827745</v>
      </c>
    </row>
    <row r="522" spans="1:5" x14ac:dyDescent="0.25">
      <c r="A522" s="1">
        <v>45872</v>
      </c>
      <c r="C522" s="49">
        <f t="shared" si="6"/>
        <v>221.71384005551508</v>
      </c>
      <c r="D522" s="49">
        <f t="shared" si="7"/>
        <v>-908.92944614452483</v>
      </c>
      <c r="E522" s="49">
        <f t="shared" si="8"/>
        <v>1352.3571262555549</v>
      </c>
    </row>
    <row r="523" spans="1:5" x14ac:dyDescent="0.25">
      <c r="A523" s="1">
        <v>45873</v>
      </c>
      <c r="C523" s="49">
        <f t="shared" si="6"/>
        <v>189.29020500999198</v>
      </c>
      <c r="D523" s="49">
        <f t="shared" si="7"/>
        <v>-946.99033643536222</v>
      </c>
      <c r="E523" s="49">
        <f t="shared" si="8"/>
        <v>1325.5707464553461</v>
      </c>
    </row>
    <row r="524" spans="1:5" x14ac:dyDescent="0.25">
      <c r="A524" s="1">
        <v>45874</v>
      </c>
      <c r="C524" s="49">
        <f t="shared" si="6"/>
        <v>189.86837590056899</v>
      </c>
      <c r="D524" s="49">
        <f t="shared" si="7"/>
        <v>-952.05077283569995</v>
      </c>
      <c r="E524" s="49">
        <f t="shared" si="8"/>
        <v>1331.7875246368378</v>
      </c>
    </row>
    <row r="525" spans="1:5" x14ac:dyDescent="0.25">
      <c r="A525" s="1">
        <v>45875</v>
      </c>
      <c r="C525" s="49">
        <f t="shared" si="6"/>
        <v>170.98050547914823</v>
      </c>
      <c r="D525" s="49">
        <f t="shared" si="7"/>
        <v>-976.57865818443065</v>
      </c>
      <c r="E525" s="49">
        <f t="shared" si="8"/>
        <v>1318.539669142727</v>
      </c>
    </row>
    <row r="526" spans="1:5" x14ac:dyDescent="0.25">
      <c r="A526" s="1">
        <v>45876</v>
      </c>
      <c r="C526" s="49">
        <f t="shared" si="6"/>
        <v>195.12740768872425</v>
      </c>
      <c r="D526" s="49">
        <f t="shared" si="7"/>
        <v>-958.07323303681221</v>
      </c>
      <c r="E526" s="49">
        <f t="shared" si="8"/>
        <v>1348.3280484142606</v>
      </c>
    </row>
    <row r="527" spans="1:5" x14ac:dyDescent="0.25">
      <c r="A527" s="1">
        <v>45877</v>
      </c>
      <c r="C527" s="49">
        <f t="shared" si="6"/>
        <v>132.78129710082746</v>
      </c>
      <c r="D527" s="49">
        <f t="shared" si="7"/>
        <v>-1026.0623362529334</v>
      </c>
      <c r="E527" s="49">
        <f t="shared" si="8"/>
        <v>1291.6249304545884</v>
      </c>
    </row>
    <row r="528" spans="1:5" x14ac:dyDescent="0.25">
      <c r="A528" s="1">
        <v>45878</v>
      </c>
      <c r="C528" s="49">
        <f t="shared" si="6"/>
        <v>256.63120327480772</v>
      </c>
      <c r="D528" s="49">
        <f t="shared" si="7"/>
        <v>-907.85699066358632</v>
      </c>
      <c r="E528" s="49">
        <f t="shared" si="8"/>
        <v>1421.1193972132019</v>
      </c>
    </row>
    <row r="529" spans="1:5" x14ac:dyDescent="0.25">
      <c r="A529" s="1">
        <v>45879</v>
      </c>
      <c r="C529" s="49">
        <f t="shared" si="6"/>
        <v>339.45730227448428</v>
      </c>
      <c r="D529" s="49">
        <f t="shared" si="7"/>
        <v>-830.67707157803864</v>
      </c>
      <c r="E529" s="49">
        <f t="shared" si="8"/>
        <v>1509.5916761270073</v>
      </c>
    </row>
    <row r="530" spans="1:5" x14ac:dyDescent="0.25">
      <c r="A530" s="1">
        <v>45880</v>
      </c>
      <c r="C530" s="49">
        <f t="shared" si="6"/>
        <v>308.7498144113265</v>
      </c>
      <c r="D530" s="49">
        <f t="shared" si="7"/>
        <v>-867.03240906456858</v>
      </c>
      <c r="E530" s="49">
        <f t="shared" si="8"/>
        <v>1484.5320378872216</v>
      </c>
    </row>
    <row r="531" spans="1:5" x14ac:dyDescent="0.25">
      <c r="A531" s="1">
        <v>45881</v>
      </c>
      <c r="C531" s="49">
        <f t="shared" si="6"/>
        <v>261.3559653401295</v>
      </c>
      <c r="D531" s="49">
        <f t="shared" si="7"/>
        <v>-920.07582687782599</v>
      </c>
      <c r="E531" s="49">
        <f t="shared" si="8"/>
        <v>1442.7877575580851</v>
      </c>
    </row>
    <row r="532" spans="1:5" x14ac:dyDescent="0.25">
      <c r="A532" s="1">
        <v>45882</v>
      </c>
      <c r="C532" s="49">
        <f t="shared" si="6"/>
        <v>192.01026600733334</v>
      </c>
      <c r="D532" s="49">
        <f t="shared" si="7"/>
        <v>-995.07286253289033</v>
      </c>
      <c r="E532" s="49">
        <f t="shared" si="8"/>
        <v>1379.093394547557</v>
      </c>
    </row>
    <row r="533" spans="1:5" x14ac:dyDescent="0.25">
      <c r="A533" s="1">
        <v>45883</v>
      </c>
      <c r="C533" s="49">
        <f t="shared" si="6"/>
        <v>361.33284473053328</v>
      </c>
      <c r="D533" s="49">
        <f t="shared" si="7"/>
        <v>-831.40343524750097</v>
      </c>
      <c r="E533" s="49">
        <f t="shared" si="8"/>
        <v>1554.0691247085674</v>
      </c>
    </row>
    <row r="534" spans="1:5" x14ac:dyDescent="0.25">
      <c r="A534" s="1">
        <v>45884</v>
      </c>
      <c r="C534" s="49">
        <f t="shared" si="6"/>
        <v>339.58737753446064</v>
      </c>
      <c r="D534" s="49">
        <f t="shared" si="7"/>
        <v>-858.80391562720467</v>
      </c>
      <c r="E534" s="49">
        <f t="shared" si="8"/>
        <v>1537.9786706961258</v>
      </c>
    </row>
    <row r="535" spans="1:5" x14ac:dyDescent="0.25">
      <c r="A535" s="1">
        <v>45885</v>
      </c>
      <c r="C535" s="49">
        <f t="shared" si="6"/>
        <v>400.09893433891602</v>
      </c>
      <c r="D535" s="49">
        <f t="shared" si="7"/>
        <v>-803.9492794979592</v>
      </c>
      <c r="E535" s="49">
        <f t="shared" si="8"/>
        <v>1604.1471481757912</v>
      </c>
    </row>
    <row r="536" spans="1:5" x14ac:dyDescent="0.25">
      <c r="A536" s="1">
        <v>45886</v>
      </c>
      <c r="C536" s="49">
        <f t="shared" si="6"/>
        <v>465.35550163496873</v>
      </c>
      <c r="D536" s="49">
        <f t="shared" si="7"/>
        <v>-744.35158524989288</v>
      </c>
      <c r="E536" s="49">
        <f t="shared" si="8"/>
        <v>1675.0625885198303</v>
      </c>
    </row>
    <row r="537" spans="1:5" x14ac:dyDescent="0.25">
      <c r="A537" s="1">
        <v>45887</v>
      </c>
      <c r="C537" s="49">
        <f t="shared" si="6"/>
        <v>473.41257034529042</v>
      </c>
      <c r="D537" s="49">
        <f t="shared" si="7"/>
        <v>-741.95538599638087</v>
      </c>
      <c r="E537" s="49">
        <f t="shared" si="8"/>
        <v>1688.7805266869618</v>
      </c>
    </row>
    <row r="538" spans="1:5" x14ac:dyDescent="0.25">
      <c r="A538" s="1">
        <v>45888</v>
      </c>
      <c r="C538" s="49">
        <f t="shared" si="6"/>
        <v>261.8646054554319</v>
      </c>
      <c r="D538" s="49">
        <f t="shared" si="7"/>
        <v>-959.16625996163975</v>
      </c>
      <c r="E538" s="49">
        <f t="shared" si="8"/>
        <v>1482.8954708725037</v>
      </c>
    </row>
    <row r="539" spans="1:5" x14ac:dyDescent="0.25">
      <c r="A539" s="1">
        <v>45889</v>
      </c>
      <c r="C539" s="49">
        <f t="shared" si="6"/>
        <v>389.31844145588434</v>
      </c>
      <c r="D539" s="49">
        <f t="shared" si="7"/>
        <v>-837.37741505702115</v>
      </c>
      <c r="E539" s="49">
        <f t="shared" si="8"/>
        <v>1616.0142979687898</v>
      </c>
    </row>
    <row r="540" spans="1:5" x14ac:dyDescent="0.25">
      <c r="A540" s="1">
        <v>45890</v>
      </c>
      <c r="C540" s="49">
        <f t="shared" si="6"/>
        <v>582.75458662791152</v>
      </c>
      <c r="D540" s="49">
        <f t="shared" si="7"/>
        <v>-649.60838461303365</v>
      </c>
      <c r="E540" s="49">
        <f t="shared" si="8"/>
        <v>1815.1175578688567</v>
      </c>
    </row>
    <row r="541" spans="1:5" x14ac:dyDescent="0.25">
      <c r="A541" s="1">
        <v>45891</v>
      </c>
      <c r="C541" s="49">
        <f t="shared" si="6"/>
        <v>586.88962366492024</v>
      </c>
      <c r="D541" s="49">
        <f t="shared" si="7"/>
        <v>-651.14262677534134</v>
      </c>
      <c r="E541" s="49">
        <f t="shared" si="8"/>
        <v>1824.9218741051818</v>
      </c>
    </row>
    <row r="542" spans="1:5" x14ac:dyDescent="0.25">
      <c r="A542" s="1">
        <v>45892</v>
      </c>
      <c r="C542" s="49">
        <f t="shared" si="6"/>
        <v>493.8418227456433</v>
      </c>
      <c r="D542" s="49">
        <f t="shared" si="7"/>
        <v>-749.86191144848146</v>
      </c>
      <c r="E542" s="49">
        <f t="shared" si="8"/>
        <v>1737.5455569397682</v>
      </c>
    </row>
    <row r="543" spans="1:5" x14ac:dyDescent="0.25">
      <c r="A543" s="1">
        <v>45893</v>
      </c>
      <c r="C543" s="49">
        <f t="shared" si="6"/>
        <v>345.11428912039588</v>
      </c>
      <c r="D543" s="49">
        <f t="shared" si="7"/>
        <v>-904.26317272605593</v>
      </c>
      <c r="E543" s="49">
        <f t="shared" si="8"/>
        <v>1594.4917509668476</v>
      </c>
    </row>
    <row r="544" spans="1:5" x14ac:dyDescent="0.25">
      <c r="A544" s="1">
        <v>45894</v>
      </c>
      <c r="C544" s="49">
        <f t="shared" si="6"/>
        <v>422.00117611861839</v>
      </c>
      <c r="D544" s="49">
        <f t="shared" si="7"/>
        <v>-833.05229589919554</v>
      </c>
      <c r="E544" s="49">
        <f t="shared" si="8"/>
        <v>1677.0546481364322</v>
      </c>
    </row>
    <row r="545" spans="1:5" x14ac:dyDescent="0.25">
      <c r="A545" s="1">
        <v>45895</v>
      </c>
      <c r="C545" s="49">
        <f t="shared" si="6"/>
        <v>355.77348407107229</v>
      </c>
      <c r="D545" s="49">
        <f t="shared" si="7"/>
        <v>-904.9583185499489</v>
      </c>
      <c r="E545" s="49">
        <f t="shared" si="8"/>
        <v>1616.5052866920935</v>
      </c>
    </row>
    <row r="546" spans="1:5" x14ac:dyDescent="0.25">
      <c r="A546" s="1">
        <v>45896</v>
      </c>
      <c r="C546" s="49">
        <f t="shared" si="6"/>
        <v>459.15840234528753</v>
      </c>
      <c r="D546" s="49">
        <f t="shared" si="7"/>
        <v>-807.254088531006</v>
      </c>
      <c r="E546" s="49">
        <f t="shared" si="8"/>
        <v>1725.5708932215812</v>
      </c>
    </row>
    <row r="547" spans="1:5" x14ac:dyDescent="0.25">
      <c r="A547" s="1">
        <v>45897</v>
      </c>
      <c r="C547" s="49">
        <f t="shared" si="6"/>
        <v>400.48898200330586</v>
      </c>
      <c r="D547" s="49">
        <f t="shared" si="7"/>
        <v>-871.60659132272781</v>
      </c>
      <c r="E547" s="49">
        <f t="shared" si="8"/>
        <v>1672.5845553293395</v>
      </c>
    </row>
    <row r="548" spans="1:5" x14ac:dyDescent="0.25">
      <c r="A548" s="1">
        <v>45898</v>
      </c>
      <c r="C548" s="49">
        <f t="shared" si="6"/>
        <v>411.46327520950496</v>
      </c>
      <c r="D548" s="49">
        <f t="shared" si="7"/>
        <v>-866.31781063971175</v>
      </c>
      <c r="E548" s="49">
        <f t="shared" si="8"/>
        <v>1689.2443610587216</v>
      </c>
    </row>
    <row r="549" spans="1:5" x14ac:dyDescent="0.25">
      <c r="A549" s="1">
        <v>45899</v>
      </c>
      <c r="C549" s="49">
        <f t="shared" si="6"/>
        <v>326.46852185776083</v>
      </c>
      <c r="D549" s="49">
        <f t="shared" si="7"/>
        <v>-957.00054181764108</v>
      </c>
      <c r="E549" s="49">
        <f t="shared" si="8"/>
        <v>1609.9375855331627</v>
      </c>
    </row>
    <row r="550" spans="1:5" x14ac:dyDescent="0.25">
      <c r="A550" s="1">
        <v>45900</v>
      </c>
      <c r="C550" s="49">
        <f t="shared" si="6"/>
        <v>360.97900861553273</v>
      </c>
      <c r="D550" s="49">
        <f t="shared" si="7"/>
        <v>-928.18053278285231</v>
      </c>
      <c r="E550" s="49">
        <f t="shared" si="8"/>
        <v>1650.1385500139177</v>
      </c>
    </row>
    <row r="551" spans="1:5" x14ac:dyDescent="0.25">
      <c r="A551" s="1">
        <v>45901</v>
      </c>
      <c r="C551" s="49">
        <f t="shared" si="6"/>
        <v>402.43811757087934</v>
      </c>
      <c r="D551" s="49">
        <f t="shared" si="7"/>
        <v>-892.41443541862031</v>
      </c>
      <c r="E551" s="49">
        <f t="shared" si="8"/>
        <v>1697.2906705603789</v>
      </c>
    </row>
    <row r="552" spans="1:5" x14ac:dyDescent="0.25">
      <c r="A552" s="1">
        <v>45902</v>
      </c>
      <c r="C552" s="49">
        <f t="shared" si="6"/>
        <v>465.04787022843658</v>
      </c>
      <c r="D552" s="49">
        <f t="shared" si="7"/>
        <v>-835.5002615821395</v>
      </c>
      <c r="E552" s="49">
        <f t="shared" si="8"/>
        <v>1765.5960020390125</v>
      </c>
    </row>
    <row r="553" spans="1:5" x14ac:dyDescent="0.25">
      <c r="A553" s="1">
        <v>45903</v>
      </c>
      <c r="C553" s="49">
        <f t="shared" si="6"/>
        <v>501.52038496502877</v>
      </c>
      <c r="D553" s="49">
        <f t="shared" si="7"/>
        <v>-804.72592566154481</v>
      </c>
      <c r="E553" s="49">
        <f t="shared" si="8"/>
        <v>1807.7666955916025</v>
      </c>
    </row>
    <row r="554" spans="1:5" x14ac:dyDescent="0.25">
      <c r="A554" s="1">
        <v>45904</v>
      </c>
      <c r="C554" s="49">
        <f t="shared" si="6"/>
        <v>474.48159442520711</v>
      </c>
      <c r="D554" s="49">
        <f t="shared" si="7"/>
        <v>-837.46552719268334</v>
      </c>
      <c r="E554" s="49">
        <f t="shared" si="8"/>
        <v>1786.4287160430974</v>
      </c>
    </row>
    <row r="555" spans="1:5" x14ac:dyDescent="0.25">
      <c r="A555" s="1">
        <v>45905</v>
      </c>
      <c r="C555" s="49">
        <f t="shared" si="6"/>
        <v>522.01087429167046</v>
      </c>
      <c r="D555" s="49">
        <f t="shared" si="7"/>
        <v>-795.63972210069369</v>
      </c>
      <c r="E555" s="49">
        <f t="shared" si="8"/>
        <v>1839.6614706840346</v>
      </c>
    </row>
    <row r="556" spans="1:5" x14ac:dyDescent="0.25">
      <c r="A556" s="1">
        <v>45906</v>
      </c>
      <c r="C556" s="49">
        <f t="shared" si="6"/>
        <v>513.14147170021795</v>
      </c>
      <c r="D556" s="49">
        <f t="shared" si="7"/>
        <v>-810.21529429675468</v>
      </c>
      <c r="E556" s="49">
        <f t="shared" si="8"/>
        <v>1836.4982376971907</v>
      </c>
    </row>
    <row r="557" spans="1:5" x14ac:dyDescent="0.25">
      <c r="A557" s="1">
        <v>45907</v>
      </c>
      <c r="C557" s="49">
        <f t="shared" si="6"/>
        <v>319.20541389867259</v>
      </c>
      <c r="D557" s="49">
        <f t="shared" si="7"/>
        <v>-1009.8602470305702</v>
      </c>
      <c r="E557" s="49">
        <f t="shared" si="8"/>
        <v>1648.2710748279153</v>
      </c>
    </row>
    <row r="558" spans="1:5" x14ac:dyDescent="0.25">
      <c r="A558" s="1">
        <v>45908</v>
      </c>
      <c r="C558" s="49">
        <f t="shared" si="6"/>
        <v>390.81619108294308</v>
      </c>
      <c r="D558" s="49">
        <f t="shared" si="7"/>
        <v>-943.96112006543149</v>
      </c>
      <c r="E558" s="49">
        <f t="shared" si="8"/>
        <v>1725.5935022313176</v>
      </c>
    </row>
    <row r="559" spans="1:5" x14ac:dyDescent="0.25">
      <c r="A559" s="1">
        <v>45909</v>
      </c>
      <c r="C559" s="49">
        <f t="shared" si="6"/>
        <v>428.22285483865039</v>
      </c>
      <c r="D559" s="49">
        <f t="shared" si="7"/>
        <v>-912.2688912474423</v>
      </c>
      <c r="E559" s="49">
        <f t="shared" si="8"/>
        <v>1768.7146009247431</v>
      </c>
    </row>
    <row r="560" spans="1:5" x14ac:dyDescent="0.25">
      <c r="A560" s="1">
        <v>45910</v>
      </c>
      <c r="C560" s="49">
        <f t="shared" si="6"/>
        <v>223.35716926441768</v>
      </c>
      <c r="D560" s="49">
        <f t="shared" si="7"/>
        <v>-1122.8518253928128</v>
      </c>
      <c r="E560" s="49">
        <f t="shared" si="8"/>
        <v>1569.5661639216482</v>
      </c>
    </row>
    <row r="561" spans="1:5" x14ac:dyDescent="0.25">
      <c r="A561" s="1">
        <v>45911</v>
      </c>
      <c r="C561" s="49">
        <f t="shared" si="6"/>
        <v>437.47195151880913</v>
      </c>
      <c r="D561" s="49">
        <f t="shared" si="7"/>
        <v>-914.4571337512466</v>
      </c>
      <c r="E561" s="49">
        <f t="shared" si="8"/>
        <v>1789.401036788865</v>
      </c>
    </row>
    <row r="562" spans="1:5" x14ac:dyDescent="0.25">
      <c r="A562" s="1">
        <v>45912</v>
      </c>
      <c r="C562" s="49">
        <f t="shared" si="6"/>
        <v>357.87630995480845</v>
      </c>
      <c r="D562" s="49">
        <f t="shared" si="7"/>
        <v>-999.775735881537</v>
      </c>
      <c r="E562" s="49">
        <f t="shared" si="8"/>
        <v>1715.5283557911539</v>
      </c>
    </row>
    <row r="563" spans="1:5" x14ac:dyDescent="0.25">
      <c r="A563" s="1">
        <v>45913</v>
      </c>
      <c r="C563" s="49">
        <f t="shared" si="6"/>
        <v>317.94616889444274</v>
      </c>
      <c r="D563" s="49">
        <f t="shared" si="7"/>
        <v>-1045.4317348867719</v>
      </c>
      <c r="E563" s="49">
        <f t="shared" si="8"/>
        <v>1681.3240726756574</v>
      </c>
    </row>
    <row r="564" spans="1:5" x14ac:dyDescent="0.25">
      <c r="A564" s="1">
        <v>45914</v>
      </c>
      <c r="C564" s="49">
        <f t="shared" si="6"/>
        <v>441.01009174389401</v>
      </c>
      <c r="D564" s="49">
        <f t="shared" si="7"/>
        <v>-928.09659430881902</v>
      </c>
      <c r="E564" s="49">
        <f t="shared" si="8"/>
        <v>1810.116777796607</v>
      </c>
    </row>
    <row r="565" spans="1:5" x14ac:dyDescent="0.25">
      <c r="A565" s="1">
        <v>45915</v>
      </c>
      <c r="C565" s="49">
        <f t="shared" si="6"/>
        <v>350.76988234291883</v>
      </c>
      <c r="D565" s="49">
        <f t="shared" si="7"/>
        <v>-1024.0685367882668</v>
      </c>
      <c r="E565" s="49">
        <f t="shared" si="8"/>
        <v>1725.6083014741046</v>
      </c>
    </row>
    <row r="566" spans="1:5" x14ac:dyDescent="0.25">
      <c r="A566" s="1">
        <v>45916</v>
      </c>
      <c r="C566" s="49">
        <f t="shared" si="6"/>
        <v>345.78940289340204</v>
      </c>
      <c r="D566" s="49">
        <f t="shared" si="7"/>
        <v>-1034.783726145014</v>
      </c>
      <c r="E566" s="49">
        <f t="shared" si="8"/>
        <v>1726.362531931818</v>
      </c>
    </row>
    <row r="567" spans="1:5" x14ac:dyDescent="0.25">
      <c r="A567" s="1">
        <v>45917</v>
      </c>
      <c r="C567" s="49">
        <f t="shared" si="6"/>
        <v>370.32312279994858</v>
      </c>
      <c r="D567" s="49">
        <f t="shared" si="7"/>
        <v>-1015.9877185465994</v>
      </c>
      <c r="E567" s="49">
        <f t="shared" si="8"/>
        <v>1756.6339641464965</v>
      </c>
    </row>
    <row r="568" spans="1:5" x14ac:dyDescent="0.25">
      <c r="A568" s="1">
        <v>45918</v>
      </c>
      <c r="C568" s="49">
        <f t="shared" si="6"/>
        <v>220.29275949071371</v>
      </c>
      <c r="D568" s="49">
        <f t="shared" si="7"/>
        <v>-1171.7588216960849</v>
      </c>
      <c r="E568" s="49">
        <f t="shared" si="8"/>
        <v>1612.3443406775123</v>
      </c>
    </row>
    <row r="569" spans="1:5" x14ac:dyDescent="0.25">
      <c r="A569" s="1">
        <v>45919</v>
      </c>
      <c r="C569" s="49">
        <f t="shared" si="6"/>
        <v>231.43380067569342</v>
      </c>
      <c r="D569" s="49">
        <f t="shared" si="7"/>
        <v>-1166.3615725822724</v>
      </c>
      <c r="E569" s="49">
        <f t="shared" si="8"/>
        <v>1629.2291739336592</v>
      </c>
    </row>
    <row r="570" spans="1:5" x14ac:dyDescent="0.25">
      <c r="A570" s="1">
        <v>45920</v>
      </c>
      <c r="C570" s="49">
        <f t="shared" si="6"/>
        <v>120.20239288561663</v>
      </c>
      <c r="D570" s="49">
        <f t="shared" si="7"/>
        <v>-1283.3398489491206</v>
      </c>
      <c r="E570" s="49">
        <f t="shared" si="8"/>
        <v>1523.7446347203536</v>
      </c>
    </row>
    <row r="571" spans="1:5" x14ac:dyDescent="0.25">
      <c r="A571" s="1">
        <v>45921</v>
      </c>
      <c r="C571" s="49">
        <f t="shared" si="6"/>
        <v>153.76704682348719</v>
      </c>
      <c r="D571" s="49">
        <f t="shared" si="7"/>
        <v>-1255.5251639523169</v>
      </c>
      <c r="E571" s="49">
        <f t="shared" si="8"/>
        <v>1563.0592575992912</v>
      </c>
    </row>
    <row r="572" spans="1:5" x14ac:dyDescent="0.25">
      <c r="A572" s="1">
        <v>45922</v>
      </c>
      <c r="C572" s="49">
        <f t="shared" si="6"/>
        <v>230.13537228589772</v>
      </c>
      <c r="D572" s="49">
        <f t="shared" si="7"/>
        <v>-1184.9099312458909</v>
      </c>
      <c r="E572" s="49">
        <f t="shared" si="8"/>
        <v>1645.1806758176865</v>
      </c>
    </row>
    <row r="573" spans="1:5" x14ac:dyDescent="0.25">
      <c r="A573" s="1">
        <v>45923</v>
      </c>
      <c r="C573" s="49">
        <f t="shared" si="6"/>
        <v>310.10002428048301</v>
      </c>
      <c r="D573" s="49">
        <f t="shared" si="7"/>
        <v>-1110.7015188725054</v>
      </c>
      <c r="E573" s="49">
        <f t="shared" si="8"/>
        <v>1730.9015674334714</v>
      </c>
    </row>
    <row r="574" spans="1:5" x14ac:dyDescent="0.25">
      <c r="A574" s="1">
        <v>45924</v>
      </c>
      <c r="C574" s="49">
        <f t="shared" si="6"/>
        <v>348.98436481666261</v>
      </c>
      <c r="D574" s="49">
        <f t="shared" si="7"/>
        <v>-1077.5765874802773</v>
      </c>
      <c r="E574" s="49">
        <f t="shared" si="8"/>
        <v>1775.5453171136028</v>
      </c>
    </row>
    <row r="575" spans="1:5" x14ac:dyDescent="0.25">
      <c r="A575" s="1">
        <v>45925</v>
      </c>
      <c r="C575" s="49">
        <f t="shared" si="6"/>
        <v>452.40021351774107</v>
      </c>
      <c r="D575" s="49">
        <f t="shared" si="7"/>
        <v>-979.9233397180717</v>
      </c>
      <c r="E575" s="49">
        <f t="shared" si="8"/>
        <v>1884.7237667535539</v>
      </c>
    </row>
    <row r="576" spans="1:5" x14ac:dyDescent="0.25">
      <c r="A576" s="1">
        <v>45926</v>
      </c>
      <c r="C576" s="49">
        <f t="shared" si="6"/>
        <v>448.51776693517132</v>
      </c>
      <c r="D576" s="49">
        <f t="shared" si="7"/>
        <v>-989.57160092846311</v>
      </c>
      <c r="E576" s="49">
        <f t="shared" si="8"/>
        <v>1886.6071347988056</v>
      </c>
    </row>
    <row r="577" spans="1:5" x14ac:dyDescent="0.25">
      <c r="A577" s="1">
        <v>45927</v>
      </c>
      <c r="C577" s="49">
        <f t="shared" si="6"/>
        <v>428.10626878612749</v>
      </c>
      <c r="D577" s="49">
        <f t="shared" si="7"/>
        <v>-1015.7521489172209</v>
      </c>
      <c r="E577" s="49">
        <f t="shared" si="8"/>
        <v>1871.9646864894758</v>
      </c>
    </row>
    <row r="578" spans="1:5" x14ac:dyDescent="0.25">
      <c r="A578" s="1">
        <v>45928</v>
      </c>
      <c r="C578" s="49">
        <f t="shared" si="6"/>
        <v>391.08846404033233</v>
      </c>
      <c r="D578" s="49">
        <f t="shared" si="7"/>
        <v>-1058.5422598733849</v>
      </c>
      <c r="E578" s="49">
        <f t="shared" si="8"/>
        <v>1840.7191879540496</v>
      </c>
    </row>
    <row r="579" spans="1:5" x14ac:dyDescent="0.25">
      <c r="A579" s="1">
        <v>45929</v>
      </c>
      <c r="C579" s="49">
        <f t="shared" si="6"/>
        <v>571.85353628519306</v>
      </c>
      <c r="D579" s="49">
        <f t="shared" si="7"/>
        <v>-883.55277101087495</v>
      </c>
      <c r="E579" s="49">
        <f t="shared" si="8"/>
        <v>2027.2598435812611</v>
      </c>
    </row>
    <row r="580" spans="1:5" x14ac:dyDescent="0.25">
      <c r="A580" s="1">
        <v>45930</v>
      </c>
      <c r="C580" s="49">
        <f t="shared" si="6"/>
        <v>337.53153269156411</v>
      </c>
      <c r="D580" s="49">
        <f t="shared" si="7"/>
        <v>-1123.6536556093236</v>
      </c>
      <c r="E580" s="49">
        <f t="shared" si="8"/>
        <v>1798.7167209924517</v>
      </c>
    </row>
    <row r="581" spans="1:5" x14ac:dyDescent="0.25">
      <c r="A581" s="1">
        <v>45931</v>
      </c>
      <c r="C581" s="49">
        <f t="shared" si="6"/>
        <v>443.32705440325054</v>
      </c>
      <c r="D581" s="49">
        <f t="shared" si="7"/>
        <v>-1023.6403326310196</v>
      </c>
      <c r="E581" s="49">
        <f t="shared" si="8"/>
        <v>1910.2944414375206</v>
      </c>
    </row>
    <row r="582" spans="1:5" x14ac:dyDescent="0.25">
      <c r="A582" s="1">
        <v>45932</v>
      </c>
      <c r="C582" s="49">
        <f t="shared" ref="C582:C647" si="9">_xlfn.FORECAST.ETS(A582,$B$2:$B$389,$A$2:$A$389,1,1)</f>
        <v>365.25911504656159</v>
      </c>
      <c r="D582" s="49">
        <f t="shared" ref="D582:D645" si="10">C582-_xlfn.FORECAST.ETS.CONFINT(A582,$B$2:$B$389,$A$2:$A$389,0.95,1,1)</f>
        <v>-1107.4938082176614</v>
      </c>
      <c r="E582" s="49">
        <f t="shared" ref="E582:E647" si="11">C582+_xlfn.FORECAST.ETS.CONFINT(A582,$B$2:$B$389,$A$2:$A$389,0.95,1,1)</f>
        <v>1838.0120383107846</v>
      </c>
    </row>
    <row r="583" spans="1:5" x14ac:dyDescent="0.25">
      <c r="A583" s="1">
        <v>45933</v>
      </c>
      <c r="C583" s="49">
        <f t="shared" si="9"/>
        <v>321.4647603644126</v>
      </c>
      <c r="D583" s="49">
        <f t="shared" si="10"/>
        <v>-1157.0770560624198</v>
      </c>
      <c r="E583" s="49">
        <f t="shared" si="11"/>
        <v>1800.0065767912449</v>
      </c>
    </row>
    <row r="584" spans="1:5" x14ac:dyDescent="0.25">
      <c r="A584" s="1">
        <v>45934</v>
      </c>
      <c r="C584" s="49">
        <f t="shared" si="9"/>
        <v>402.53027215948924</v>
      </c>
      <c r="D584" s="49">
        <f t="shared" si="10"/>
        <v>-1081.8038134728047</v>
      </c>
      <c r="E584" s="49">
        <f t="shared" si="11"/>
        <v>1886.864357791783</v>
      </c>
    </row>
    <row r="585" spans="1:5" x14ac:dyDescent="0.25">
      <c r="A585" s="1">
        <v>45935</v>
      </c>
      <c r="C585" s="49">
        <f t="shared" si="9"/>
        <v>388.27671165026834</v>
      </c>
      <c r="D585" s="49">
        <f t="shared" si="10"/>
        <v>-1101.8530380205425</v>
      </c>
      <c r="E585" s="49">
        <f t="shared" si="11"/>
        <v>1878.406461321079</v>
      </c>
    </row>
    <row r="586" spans="1:5" x14ac:dyDescent="0.25">
      <c r="A586" s="1">
        <v>45936</v>
      </c>
      <c r="C586" s="49">
        <f t="shared" si="9"/>
        <v>224.70791625551104</v>
      </c>
      <c r="D586" s="49">
        <f t="shared" si="10"/>
        <v>-1271.2209107628535</v>
      </c>
      <c r="E586" s="49">
        <f t="shared" si="11"/>
        <v>1720.6367432738755</v>
      </c>
    </row>
    <row r="587" spans="1:5" x14ac:dyDescent="0.25">
      <c r="A587" s="1">
        <v>45937</v>
      </c>
      <c r="C587" s="49">
        <f t="shared" si="9"/>
        <v>326.94496911856442</v>
      </c>
      <c r="D587" s="49">
        <f t="shared" si="10"/>
        <v>-1174.7863667237934</v>
      </c>
      <c r="E587" s="49">
        <f t="shared" si="11"/>
        <v>1828.6763049609222</v>
      </c>
    </row>
    <row r="588" spans="1:5" x14ac:dyDescent="0.25">
      <c r="A588" s="1">
        <v>45938</v>
      </c>
      <c r="C588" s="49">
        <f t="shared" si="9"/>
        <v>330.34266154678016</v>
      </c>
      <c r="D588" s="49">
        <f t="shared" si="10"/>
        <v>-1177.1946324603591</v>
      </c>
      <c r="E588" s="49">
        <f t="shared" si="11"/>
        <v>1837.8799555539194</v>
      </c>
    </row>
    <row r="589" spans="1:5" x14ac:dyDescent="0.25">
      <c r="A589" s="1">
        <v>45939</v>
      </c>
      <c r="C589" s="49">
        <f t="shared" si="9"/>
        <v>521.60655380437754</v>
      </c>
      <c r="D589" s="49">
        <f t="shared" si="10"/>
        <v>-991.74016527502852</v>
      </c>
      <c r="E589" s="49">
        <f t="shared" si="11"/>
        <v>2034.9532728837835</v>
      </c>
    </row>
    <row r="590" spans="1:5" x14ac:dyDescent="0.25">
      <c r="A590" s="1">
        <v>45940</v>
      </c>
      <c r="C590" s="49">
        <f t="shared" si="9"/>
        <v>291.74535589511225</v>
      </c>
      <c r="D590" s="49">
        <f t="shared" si="10"/>
        <v>-1227.4142724383794</v>
      </c>
      <c r="E590" s="49">
        <f t="shared" si="11"/>
        <v>1810.9049842286038</v>
      </c>
    </row>
    <row r="591" spans="1:5" x14ac:dyDescent="0.25">
      <c r="A591" s="1">
        <v>45941</v>
      </c>
      <c r="C591" s="49">
        <f t="shared" si="9"/>
        <v>216.12051107416536</v>
      </c>
      <c r="D591" s="49">
        <f t="shared" si="10"/>
        <v>-1308.8555276823761</v>
      </c>
      <c r="E591" s="49">
        <f t="shared" si="11"/>
        <v>1741.0965498307066</v>
      </c>
    </row>
    <row r="592" spans="1:5" x14ac:dyDescent="0.25">
      <c r="A592" s="1">
        <v>45942</v>
      </c>
      <c r="C592" s="49">
        <f t="shared" si="9"/>
        <v>427.48138215345944</v>
      </c>
      <c r="D592" s="49">
        <f t="shared" si="10"/>
        <v>-1103.3145849001187</v>
      </c>
      <c r="E592" s="49">
        <f t="shared" si="11"/>
        <v>1958.2773492070376</v>
      </c>
    </row>
    <row r="593" spans="1:5" x14ac:dyDescent="0.25">
      <c r="A593" s="1">
        <v>45943</v>
      </c>
      <c r="C593" s="49">
        <f t="shared" si="9"/>
        <v>481.33658803067158</v>
      </c>
      <c r="D593" s="49">
        <f t="shared" si="10"/>
        <v>-1055.2828416217876</v>
      </c>
      <c r="E593" s="49">
        <f t="shared" si="11"/>
        <v>2017.956017683131</v>
      </c>
    </row>
    <row r="594" spans="1:5" x14ac:dyDescent="0.25">
      <c r="A594" s="1">
        <v>45944</v>
      </c>
      <c r="C594" s="49">
        <f t="shared" si="9"/>
        <v>515.21724614441951</v>
      </c>
      <c r="D594" s="49">
        <f t="shared" si="10"/>
        <v>-1027.2291965643115</v>
      </c>
      <c r="E594" s="49">
        <f t="shared" si="11"/>
        <v>2057.6636888531502</v>
      </c>
    </row>
    <row r="595" spans="1:5" x14ac:dyDescent="0.25">
      <c r="A595" s="1">
        <v>45945</v>
      </c>
      <c r="C595" s="49">
        <f t="shared" si="9"/>
        <v>421.30991845177573</v>
      </c>
      <c r="D595" s="49">
        <f t="shared" si="10"/>
        <v>-1126.967103658603</v>
      </c>
      <c r="E595" s="49">
        <f t="shared" si="11"/>
        <v>1969.5869405621545</v>
      </c>
    </row>
    <row r="596" spans="1:5" x14ac:dyDescent="0.25">
      <c r="A596" s="1">
        <v>45946</v>
      </c>
      <c r="C596" s="49">
        <f t="shared" si="9"/>
        <v>501.47341158687129</v>
      </c>
      <c r="D596" s="49">
        <f t="shared" si="10"/>
        <v>-1052.6377718956101</v>
      </c>
      <c r="E596" s="49">
        <f t="shared" si="11"/>
        <v>2055.5845950693524</v>
      </c>
    </row>
    <row r="597" spans="1:5" x14ac:dyDescent="0.25">
      <c r="A597" s="1">
        <v>45947</v>
      </c>
      <c r="C597" s="49">
        <f t="shared" si="9"/>
        <v>466.75096894213988</v>
      </c>
      <c r="D597" s="49">
        <f t="shared" si="10"/>
        <v>-1093.1979732496234</v>
      </c>
      <c r="E597" s="49">
        <f t="shared" si="11"/>
        <v>2026.6999111339032</v>
      </c>
    </row>
    <row r="598" spans="1:5" x14ac:dyDescent="0.25">
      <c r="A598" s="1">
        <v>45948</v>
      </c>
      <c r="C598" s="49">
        <f t="shared" si="9"/>
        <v>479.33841395932814</v>
      </c>
      <c r="D598" s="49">
        <f t="shared" si="10"/>
        <v>-1086.4518993917309</v>
      </c>
      <c r="E598" s="49">
        <f t="shared" si="11"/>
        <v>2045.1287273103871</v>
      </c>
    </row>
    <row r="599" spans="1:5" x14ac:dyDescent="0.25">
      <c r="A599" s="1">
        <v>45949</v>
      </c>
      <c r="C599" s="49">
        <f t="shared" si="9"/>
        <v>589.311943714373</v>
      </c>
      <c r="D599" s="49">
        <f t="shared" si="10"/>
        <v>-982.3233681093061</v>
      </c>
      <c r="E599" s="49">
        <f t="shared" si="11"/>
        <v>2160.9472555380521</v>
      </c>
    </row>
    <row r="600" spans="1:5" x14ac:dyDescent="0.25">
      <c r="A600" s="1">
        <v>45950</v>
      </c>
      <c r="C600" s="49">
        <f t="shared" si="9"/>
        <v>465.50689491902006</v>
      </c>
      <c r="D600" s="49">
        <f t="shared" si="10"/>
        <v>-1111.9770573086703</v>
      </c>
      <c r="E600" s="49">
        <f t="shared" si="11"/>
        <v>2042.9908471467102</v>
      </c>
    </row>
    <row r="601" spans="1:5" x14ac:dyDescent="0.25">
      <c r="A601" s="1">
        <v>45951</v>
      </c>
      <c r="C601" s="49">
        <f t="shared" si="9"/>
        <v>631.09280482775898</v>
      </c>
      <c r="D601" s="49">
        <f t="shared" si="10"/>
        <v>-952.24344411234733</v>
      </c>
      <c r="E601" s="49">
        <f t="shared" si="11"/>
        <v>2214.4290537678653</v>
      </c>
    </row>
    <row r="602" spans="1:5" x14ac:dyDescent="0.25">
      <c r="A602" s="1">
        <v>45952</v>
      </c>
      <c r="C602" s="49">
        <f t="shared" si="9"/>
        <v>433.69750614712888</v>
      </c>
      <c r="D602" s="49">
        <f t="shared" si="10"/>
        <v>-1155.4947099538645</v>
      </c>
      <c r="E602" s="49">
        <f t="shared" si="11"/>
        <v>2022.8897222481223</v>
      </c>
    </row>
    <row r="603" spans="1:5" x14ac:dyDescent="0.25">
      <c r="A603" s="1">
        <v>45953</v>
      </c>
      <c r="C603" s="49">
        <f t="shared" si="9"/>
        <v>479.39986021735609</v>
      </c>
      <c r="D603" s="49">
        <f t="shared" si="10"/>
        <v>-1115.6520074001364</v>
      </c>
      <c r="E603" s="49">
        <f t="shared" si="11"/>
        <v>2074.4517278348485</v>
      </c>
    </row>
    <row r="604" spans="1:5" x14ac:dyDescent="0.25">
      <c r="A604" s="1">
        <v>45954</v>
      </c>
      <c r="C604" s="49">
        <f t="shared" si="9"/>
        <v>471.90619194515864</v>
      </c>
      <c r="D604" s="49">
        <f t="shared" si="10"/>
        <v>-1129.0090252226009</v>
      </c>
      <c r="E604" s="49">
        <f t="shared" si="11"/>
        <v>2072.821409112918</v>
      </c>
    </row>
    <row r="605" spans="1:5" x14ac:dyDescent="0.25">
      <c r="A605" s="1">
        <v>45955</v>
      </c>
      <c r="C605" s="49">
        <f t="shared" si="9"/>
        <v>421.44313023816278</v>
      </c>
      <c r="D605" s="49">
        <f t="shared" si="10"/>
        <v>-1185.3391479666639</v>
      </c>
      <c r="E605" s="49">
        <f t="shared" si="11"/>
        <v>2028.2254084429892</v>
      </c>
    </row>
    <row r="606" spans="1:5" x14ac:dyDescent="0.25">
      <c r="A606" s="1">
        <v>45956</v>
      </c>
      <c r="C606" s="49">
        <f t="shared" si="9"/>
        <v>504.70583732436376</v>
      </c>
      <c r="D606" s="49">
        <f t="shared" si="10"/>
        <v>-1107.9472266360233</v>
      </c>
      <c r="E606" s="49">
        <f t="shared" si="11"/>
        <v>2117.3589012847506</v>
      </c>
    </row>
    <row r="607" spans="1:5" x14ac:dyDescent="0.25">
      <c r="A607" s="1">
        <v>45957</v>
      </c>
      <c r="C607" s="49">
        <f t="shared" si="9"/>
        <v>397.86955631458187</v>
      </c>
      <c r="D607" s="49">
        <f t="shared" si="10"/>
        <v>-1220.6580311339185</v>
      </c>
      <c r="E607" s="49">
        <f t="shared" si="11"/>
        <v>2016.3971437630821</v>
      </c>
    </row>
    <row r="608" spans="1:5" x14ac:dyDescent="0.25">
      <c r="A608" s="1">
        <v>45958</v>
      </c>
      <c r="C608" s="49">
        <f t="shared" si="9"/>
        <v>626.77793813840435</v>
      </c>
      <c r="D608" s="49">
        <f t="shared" si="10"/>
        <v>-997.62792333082393</v>
      </c>
      <c r="E608" s="49">
        <f t="shared" si="11"/>
        <v>2251.1837996076329</v>
      </c>
    </row>
    <row r="609" spans="1:5" x14ac:dyDescent="0.25">
      <c r="A609" s="1">
        <v>45959</v>
      </c>
      <c r="C609" s="49">
        <f t="shared" si="9"/>
        <v>513.2906067046714</v>
      </c>
      <c r="D609" s="49">
        <f t="shared" si="10"/>
        <v>-1116.997291907524</v>
      </c>
      <c r="E609" s="49">
        <f t="shared" si="11"/>
        <v>2143.578505316867</v>
      </c>
    </row>
    <row r="610" spans="1:5" x14ac:dyDescent="0.25">
      <c r="A610" s="1">
        <v>45960</v>
      </c>
      <c r="C610" s="49">
        <f t="shared" si="9"/>
        <v>572.59999315567973</v>
      </c>
      <c r="D610" s="49">
        <f t="shared" si="10"/>
        <v>-1063.5737181044015</v>
      </c>
      <c r="E610" s="49">
        <f t="shared" si="11"/>
        <v>2208.7737044157607</v>
      </c>
    </row>
    <row r="611" spans="1:5" x14ac:dyDescent="0.25">
      <c r="A611" s="1">
        <v>45961</v>
      </c>
      <c r="C611" s="49">
        <f t="shared" si="9"/>
        <v>387.13371717796963</v>
      </c>
      <c r="D611" s="49">
        <f t="shared" si="10"/>
        <v>-1254.9295944140708</v>
      </c>
      <c r="E611" s="49">
        <f t="shared" si="11"/>
        <v>2029.1970287700101</v>
      </c>
    </row>
    <row r="612" spans="1:5" x14ac:dyDescent="0.25">
      <c r="A612" s="1">
        <v>45962</v>
      </c>
      <c r="C612" s="49">
        <f t="shared" si="9"/>
        <v>443.60800759623476</v>
      </c>
      <c r="D612" s="49">
        <f t="shared" si="10"/>
        <v>-1204.3487039908257</v>
      </c>
      <c r="E612" s="49">
        <f t="shared" si="11"/>
        <v>2091.564719183295</v>
      </c>
    </row>
    <row r="613" spans="1:5" x14ac:dyDescent="0.25">
      <c r="A613" s="1">
        <v>45963</v>
      </c>
      <c r="C613" s="49">
        <f t="shared" si="9"/>
        <v>757.09336792037197</v>
      </c>
      <c r="D613" s="49">
        <f t="shared" si="10"/>
        <v>-896.76055510687661</v>
      </c>
      <c r="E613" s="49">
        <f t="shared" si="11"/>
        <v>2410.9472909476208</v>
      </c>
    </row>
    <row r="614" spans="1:5" x14ac:dyDescent="0.25">
      <c r="A614" s="1">
        <v>45964</v>
      </c>
      <c r="C614" s="49">
        <f t="shared" si="9"/>
        <v>446.68019066938592</v>
      </c>
      <c r="D614" s="49">
        <f t="shared" si="10"/>
        <v>-1213.0747668316737</v>
      </c>
      <c r="E614" s="49">
        <f t="shared" si="11"/>
        <v>2106.4351481704457</v>
      </c>
    </row>
    <row r="615" spans="1:5" x14ac:dyDescent="0.25">
      <c r="A615" s="1">
        <v>45965</v>
      </c>
      <c r="C615" s="49">
        <f t="shared" si="9"/>
        <v>503.94039981651281</v>
      </c>
      <c r="D615" s="49">
        <f t="shared" si="10"/>
        <v>-1161.7194265899427</v>
      </c>
      <c r="E615" s="49">
        <f t="shared" si="11"/>
        <v>2169.6002262229686</v>
      </c>
    </row>
    <row r="616" spans="1:5" x14ac:dyDescent="0.25">
      <c r="A616" s="1">
        <v>45966</v>
      </c>
      <c r="C616" s="49">
        <f t="shared" si="9"/>
        <v>494.05471309877066</v>
      </c>
      <c r="D616" s="49">
        <f t="shared" si="10"/>
        <v>-1177.5138278552386</v>
      </c>
      <c r="E616" s="49">
        <f t="shared" si="11"/>
        <v>2165.6232540527799</v>
      </c>
    </row>
    <row r="617" spans="1:5" x14ac:dyDescent="0.25">
      <c r="A617" s="1">
        <v>45967</v>
      </c>
      <c r="C617" s="49">
        <f t="shared" si="9"/>
        <v>528.97749119613957</v>
      </c>
      <c r="D617" s="49">
        <f t="shared" si="10"/>
        <v>-1148.5036209738059</v>
      </c>
      <c r="E617" s="49">
        <f t="shared" si="11"/>
        <v>2206.4586033660848</v>
      </c>
    </row>
    <row r="618" spans="1:5" x14ac:dyDescent="0.25">
      <c r="A618" s="1">
        <v>45968</v>
      </c>
      <c r="C618" s="49">
        <f t="shared" si="9"/>
        <v>427.1310151274991</v>
      </c>
      <c r="D618" s="49">
        <f t="shared" si="10"/>
        <v>-1256.2665357716228</v>
      </c>
      <c r="E618" s="49">
        <f t="shared" si="11"/>
        <v>2110.5285660266209</v>
      </c>
    </row>
    <row r="619" spans="1:5" x14ac:dyDescent="0.25">
      <c r="A619" s="1">
        <v>45969</v>
      </c>
      <c r="C619" s="49">
        <f t="shared" si="9"/>
        <v>513.58658570702516</v>
      </c>
      <c r="D619" s="49">
        <f t="shared" si="10"/>
        <v>-1175.7312821009336</v>
      </c>
      <c r="E619" s="49">
        <f t="shared" si="11"/>
        <v>2202.9044535149837</v>
      </c>
    </row>
    <row r="620" spans="1:5" x14ac:dyDescent="0.25">
      <c r="A620" s="1">
        <v>45970</v>
      </c>
      <c r="C620" s="49">
        <f t="shared" si="9"/>
        <v>580.37726530379643</v>
      </c>
      <c r="D620" s="49">
        <f t="shared" si="10"/>
        <v>-1114.8648080835092</v>
      </c>
      <c r="E620" s="49">
        <f t="shared" si="11"/>
        <v>2275.6193386911018</v>
      </c>
    </row>
    <row r="621" spans="1:5" x14ac:dyDescent="0.25">
      <c r="A621" s="1">
        <v>45971</v>
      </c>
      <c r="C621" s="49">
        <f t="shared" si="9"/>
        <v>387.00223091020479</v>
      </c>
      <c r="D621" s="49">
        <f t="shared" si="10"/>
        <v>-1314.1679470450533</v>
      </c>
      <c r="E621" s="49">
        <f t="shared" si="11"/>
        <v>2088.1724088654628</v>
      </c>
    </row>
    <row r="622" spans="1:5" x14ac:dyDescent="0.25">
      <c r="A622" s="1">
        <v>45972</v>
      </c>
      <c r="C622" s="49">
        <f t="shared" si="9"/>
        <v>589.81594504182408</v>
      </c>
      <c r="D622" s="49">
        <f t="shared" si="10"/>
        <v>-1117.2862466180979</v>
      </c>
      <c r="E622" s="49">
        <f t="shared" si="11"/>
        <v>2296.9181367017463</v>
      </c>
    </row>
    <row r="623" spans="1:5" x14ac:dyDescent="0.25">
      <c r="A623" s="1">
        <v>45973</v>
      </c>
      <c r="C623" s="49">
        <f t="shared" si="9"/>
        <v>537.4547748156715</v>
      </c>
      <c r="D623" s="49">
        <f t="shared" si="10"/>
        <v>-1175.5833496664482</v>
      </c>
      <c r="E623" s="49">
        <f t="shared" si="11"/>
        <v>2250.4928992977912</v>
      </c>
    </row>
    <row r="624" spans="1:5" x14ac:dyDescent="0.25">
      <c r="A624" s="1">
        <v>45974</v>
      </c>
      <c r="C624" s="49">
        <f t="shared" si="9"/>
        <v>410.23384646463683</v>
      </c>
      <c r="D624" s="49">
        <f t="shared" si="10"/>
        <v>-1308.7441397734146</v>
      </c>
      <c r="E624" s="49">
        <f t="shared" si="11"/>
        <v>2129.2118327026883</v>
      </c>
    </row>
    <row r="625" spans="1:5" x14ac:dyDescent="0.25">
      <c r="A625" s="1">
        <v>45975</v>
      </c>
      <c r="C625" s="49">
        <f t="shared" si="9"/>
        <v>448.86125278493296</v>
      </c>
      <c r="D625" s="49">
        <f t="shared" si="10"/>
        <v>-1276.060533796973</v>
      </c>
      <c r="E625" s="49">
        <f t="shared" si="11"/>
        <v>2173.7830393668391</v>
      </c>
    </row>
    <row r="626" spans="1:5" x14ac:dyDescent="0.25">
      <c r="A626" s="1">
        <v>45976</v>
      </c>
      <c r="C626" s="49">
        <f t="shared" si="9"/>
        <v>459.66494316397927</v>
      </c>
      <c r="D626" s="49">
        <f t="shared" si="10"/>
        <v>-1271.2045918444378</v>
      </c>
      <c r="E626" s="49">
        <f t="shared" si="11"/>
        <v>2190.5344781723961</v>
      </c>
    </row>
    <row r="627" spans="1:5" x14ac:dyDescent="0.25">
      <c r="A627" s="1">
        <v>45977</v>
      </c>
      <c r="C627" s="49">
        <f t="shared" si="9"/>
        <v>575.60161188588836</v>
      </c>
      <c r="D627" s="49">
        <f t="shared" si="10"/>
        <v>-1161.2196289694914</v>
      </c>
      <c r="E627" s="49">
        <f t="shared" si="11"/>
        <v>2312.4228527412679</v>
      </c>
    </row>
    <row r="628" spans="1:5" x14ac:dyDescent="0.25">
      <c r="A628" s="1">
        <v>45978</v>
      </c>
      <c r="C628" s="49">
        <f t="shared" si="9"/>
        <v>552.37103488352091</v>
      </c>
      <c r="D628" s="49">
        <f t="shared" si="10"/>
        <v>-1190.4058784225958</v>
      </c>
      <c r="E628" s="49">
        <f t="shared" si="11"/>
        <v>2295.1479481896376</v>
      </c>
    </row>
    <row r="629" spans="1:5" x14ac:dyDescent="0.25">
      <c r="A629" s="1">
        <v>45979</v>
      </c>
      <c r="C629" s="49">
        <f t="shared" si="9"/>
        <v>392.99341326071368</v>
      </c>
      <c r="D629" s="49">
        <f t="shared" si="10"/>
        <v>-1355.7431481311819</v>
      </c>
      <c r="E629" s="49">
        <f t="shared" si="11"/>
        <v>2141.7299746526091</v>
      </c>
    </row>
    <row r="630" spans="1:5" x14ac:dyDescent="0.25">
      <c r="A630" s="1">
        <v>45980</v>
      </c>
      <c r="C630" s="49">
        <f t="shared" si="9"/>
        <v>555.33638535731279</v>
      </c>
      <c r="D630" s="49">
        <f t="shared" si="10"/>
        <v>-1199.3638086369954</v>
      </c>
      <c r="E630" s="49">
        <f t="shared" si="11"/>
        <v>2310.0365793516212</v>
      </c>
    </row>
    <row r="631" spans="1:5" x14ac:dyDescent="0.25">
      <c r="A631" s="1">
        <v>45981</v>
      </c>
      <c r="C631" s="49">
        <f t="shared" si="9"/>
        <v>532.07308158613421</v>
      </c>
      <c r="D631" s="49">
        <f t="shared" si="10"/>
        <v>-1228.5947382614681</v>
      </c>
      <c r="E631" s="49">
        <f t="shared" si="11"/>
        <v>2292.7409014337368</v>
      </c>
    </row>
    <row r="632" spans="1:5" x14ac:dyDescent="0.25">
      <c r="A632" s="1">
        <v>45982</v>
      </c>
      <c r="C632" s="49">
        <f t="shared" si="9"/>
        <v>419.83550710496348</v>
      </c>
      <c r="D632" s="49">
        <f t="shared" si="10"/>
        <v>-1346.8039404360063</v>
      </c>
      <c r="E632" s="49">
        <f t="shared" si="11"/>
        <v>2186.4749546459334</v>
      </c>
    </row>
    <row r="633" spans="1:5" x14ac:dyDescent="0.25">
      <c r="A633" s="1">
        <v>45983</v>
      </c>
      <c r="C633" s="49">
        <f t="shared" si="9"/>
        <v>308.92069396599106</v>
      </c>
      <c r="D633" s="49">
        <f t="shared" si="10"/>
        <v>-1463.6943915548063</v>
      </c>
      <c r="E633" s="49">
        <f t="shared" si="11"/>
        <v>2081.5357794867887</v>
      </c>
    </row>
    <row r="634" spans="1:5" x14ac:dyDescent="0.25">
      <c r="A634" s="1">
        <v>45984</v>
      </c>
      <c r="C634" s="49">
        <f t="shared" si="9"/>
        <v>384.52623689314214</v>
      </c>
      <c r="D634" s="49">
        <f t="shared" si="10"/>
        <v>-1394.0685051997286</v>
      </c>
      <c r="E634" s="49">
        <f t="shared" si="11"/>
        <v>2163.1209789860131</v>
      </c>
    </row>
    <row r="635" spans="1:5" x14ac:dyDescent="0.25">
      <c r="A635" s="1">
        <v>45985</v>
      </c>
      <c r="C635" s="49">
        <f t="shared" si="9"/>
        <v>376.08144092703606</v>
      </c>
      <c r="D635" s="49">
        <f t="shared" si="10"/>
        <v>-1408.496984497508</v>
      </c>
      <c r="E635" s="49">
        <f t="shared" si="11"/>
        <v>2160.6598663515801</v>
      </c>
    </row>
    <row r="636" spans="1:5" x14ac:dyDescent="0.25">
      <c r="A636" s="1">
        <v>45986</v>
      </c>
      <c r="C636" s="49">
        <f t="shared" si="9"/>
        <v>428.54532177778486</v>
      </c>
      <c r="D636" s="49">
        <f t="shared" si="10"/>
        <v>-1362.0208217690815</v>
      </c>
      <c r="E636" s="49">
        <f t="shared" si="11"/>
        <v>2219.1114653246514</v>
      </c>
    </row>
    <row r="637" spans="1:5" x14ac:dyDescent="0.25">
      <c r="A637" s="1">
        <v>45987</v>
      </c>
      <c r="C637" s="49">
        <f t="shared" si="9"/>
        <v>314.0422515873189</v>
      </c>
      <c r="D637" s="49">
        <f t="shared" si="10"/>
        <v>-1482.5156527693539</v>
      </c>
      <c r="E637" s="49">
        <f t="shared" si="11"/>
        <v>2110.6001559439915</v>
      </c>
    </row>
    <row r="638" spans="1:5" x14ac:dyDescent="0.25">
      <c r="A638" s="1">
        <v>45988</v>
      </c>
      <c r="C638" s="49">
        <f t="shared" si="9"/>
        <v>587.59900911554428</v>
      </c>
      <c r="D638" s="49">
        <f t="shared" si="10"/>
        <v>-1214.9547065030908</v>
      </c>
      <c r="E638" s="49">
        <f t="shared" si="11"/>
        <v>2390.1527247341792</v>
      </c>
    </row>
    <row r="639" spans="1:5" x14ac:dyDescent="0.25">
      <c r="A639" s="1">
        <v>45989</v>
      </c>
      <c r="C639" s="49">
        <f t="shared" si="9"/>
        <v>275.75403944785569</v>
      </c>
      <c r="D639" s="49">
        <f t="shared" si="10"/>
        <v>-1532.7995455194232</v>
      </c>
      <c r="E639" s="49">
        <f t="shared" si="11"/>
        <v>2084.3076244151348</v>
      </c>
    </row>
    <row r="640" spans="1:5" x14ac:dyDescent="0.25">
      <c r="A640" s="1">
        <v>45990</v>
      </c>
      <c r="C640" s="49">
        <f t="shared" si="9"/>
        <v>247.5875862333715</v>
      </c>
      <c r="D640" s="49">
        <f t="shared" si="10"/>
        <v>-1566.9699336755912</v>
      </c>
      <c r="E640" s="49">
        <f t="shared" si="11"/>
        <v>2062.145106142334</v>
      </c>
    </row>
    <row r="641" spans="1:5" x14ac:dyDescent="0.25">
      <c r="A641" s="1">
        <v>45991</v>
      </c>
      <c r="C641" s="49">
        <f t="shared" si="9"/>
        <v>415.63914565098753</v>
      </c>
      <c r="D641" s="49">
        <f t="shared" si="10"/>
        <v>-1404.9263821728332</v>
      </c>
      <c r="E641" s="49">
        <f t="shared" si="11"/>
        <v>2236.2046734748083</v>
      </c>
    </row>
    <row r="642" spans="1:5" x14ac:dyDescent="0.25">
      <c r="A642" s="1">
        <v>45992</v>
      </c>
      <c r="C642" s="49">
        <f t="shared" si="9"/>
        <v>552.0137943068994</v>
      </c>
      <c r="D642" s="49">
        <f t="shared" si="10"/>
        <v>-1274.5638216607765</v>
      </c>
      <c r="E642" s="49">
        <f t="shared" si="11"/>
        <v>2378.5914102745755</v>
      </c>
    </row>
    <row r="643" spans="1:5" x14ac:dyDescent="0.25">
      <c r="A643" s="1">
        <v>45993</v>
      </c>
      <c r="C643" s="49">
        <f t="shared" si="9"/>
        <v>348.88499706230454</v>
      </c>
      <c r="D643" s="49">
        <f t="shared" si="10"/>
        <v>-1483.7087944116097</v>
      </c>
      <c r="E643" s="49">
        <f t="shared" si="11"/>
        <v>2181.4787885362189</v>
      </c>
    </row>
    <row r="644" spans="1:5" x14ac:dyDescent="0.25">
      <c r="A644" s="1">
        <v>45994</v>
      </c>
      <c r="C644" s="49">
        <f t="shared" si="9"/>
        <v>459.78374295846663</v>
      </c>
      <c r="D644" s="49">
        <f t="shared" si="10"/>
        <v>-1378.8303183968615</v>
      </c>
      <c r="E644" s="49">
        <f t="shared" si="11"/>
        <v>2298.3978043137949</v>
      </c>
    </row>
    <row r="645" spans="1:5" x14ac:dyDescent="0.25">
      <c r="A645" s="1">
        <v>45995</v>
      </c>
      <c r="C645" s="49">
        <f t="shared" si="9"/>
        <v>409.70191217024171</v>
      </c>
      <c r="D645" s="49">
        <f t="shared" si="10"/>
        <v>-1434.9365203356881</v>
      </c>
      <c r="E645" s="49">
        <f t="shared" si="11"/>
        <v>2254.3403446761713</v>
      </c>
    </row>
    <row r="646" spans="1:5" x14ac:dyDescent="0.25">
      <c r="A646" s="1">
        <v>45996</v>
      </c>
      <c r="C646" s="49">
        <f t="shared" si="9"/>
        <v>388.47328396175993</v>
      </c>
      <c r="D646" s="49">
        <f t="shared" ref="D646:D647" si="12">C646-_xlfn.FORECAST.ETS.CONFINT(A646,$B$2:$B$389,$A$2:$A$389,0.95,1,1)</f>
        <v>-1462.1936277409659</v>
      </c>
      <c r="E646" s="49">
        <f t="shared" si="11"/>
        <v>2239.1401956644859</v>
      </c>
    </row>
    <row r="647" spans="1:5" x14ac:dyDescent="0.25">
      <c r="A647" s="1">
        <v>45997</v>
      </c>
      <c r="C647" s="49">
        <f t="shared" si="9"/>
        <v>309.02124276014376</v>
      </c>
      <c r="D647" s="49">
        <f t="shared" si="12"/>
        <v>-1547.678262847327</v>
      </c>
      <c r="E647" s="49">
        <f t="shared" si="11"/>
        <v>2165.7207483676148</v>
      </c>
    </row>
  </sheetData>
  <sheetProtection sheet="1" objects="1" scenarios="1" selectLockedCells="1" selectUnlockedCells="1"/>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C5412-9214-4BD5-8A57-AE44938A3085}">
  <dimension ref="A3:B19"/>
  <sheetViews>
    <sheetView workbookViewId="0">
      <selection activeCell="O5" sqref="O5"/>
    </sheetView>
  </sheetViews>
  <sheetFormatPr defaultRowHeight="15" x14ac:dyDescent="0.25"/>
  <cols>
    <col min="1" max="3" width="14" bestFit="1" customWidth="1"/>
    <col min="4" max="12" width="16.85546875" bestFit="1" customWidth="1"/>
    <col min="13" max="13" width="11.28515625" bestFit="1" customWidth="1"/>
    <col min="14" max="24" width="16.85546875" bestFit="1" customWidth="1"/>
    <col min="25" max="25" width="19" bestFit="1" customWidth="1"/>
    <col min="26" max="26" width="20" bestFit="1" customWidth="1"/>
    <col min="27" max="382" width="10.140625" bestFit="1" customWidth="1"/>
    <col min="383" max="383" width="13.42578125" bestFit="1" customWidth="1"/>
  </cols>
  <sheetData>
    <row r="3" spans="1:2" x14ac:dyDescent="0.25">
      <c r="A3" s="10" t="s">
        <v>62</v>
      </c>
      <c r="B3" t="s">
        <v>70</v>
      </c>
    </row>
    <row r="4" spans="1:2" x14ac:dyDescent="0.25">
      <c r="A4" s="11" t="s">
        <v>68</v>
      </c>
      <c r="B4" s="9"/>
    </row>
    <row r="5" spans="1:2" x14ac:dyDescent="0.25">
      <c r="A5" s="12" t="s">
        <v>44</v>
      </c>
      <c r="B5" s="9">
        <v>5905.199999999988</v>
      </c>
    </row>
    <row r="6" spans="1:2" x14ac:dyDescent="0.25">
      <c r="A6" s="12" t="s">
        <v>52</v>
      </c>
      <c r="B6" s="9">
        <v>5719.5599999999904</v>
      </c>
    </row>
    <row r="7" spans="1:2" x14ac:dyDescent="0.25">
      <c r="A7" s="12" t="s">
        <v>32</v>
      </c>
      <c r="B7" s="9">
        <v>8164.4200000000237</v>
      </c>
    </row>
    <row r="8" spans="1:2" x14ac:dyDescent="0.25">
      <c r="A8" s="12" t="s">
        <v>53</v>
      </c>
      <c r="B8" s="9">
        <v>7617.7600000000175</v>
      </c>
    </row>
    <row r="9" spans="1:2" x14ac:dyDescent="0.25">
      <c r="A9" s="12" t="s">
        <v>54</v>
      </c>
      <c r="B9" s="9">
        <v>6915.9399999999969</v>
      </c>
    </row>
    <row r="10" spans="1:2" x14ac:dyDescent="0.25">
      <c r="A10" s="12" t="s">
        <v>55</v>
      </c>
      <c r="B10" s="9">
        <v>7613.8400000000056</v>
      </c>
    </row>
    <row r="11" spans="1:2" x14ac:dyDescent="0.25">
      <c r="A11" s="12" t="s">
        <v>56</v>
      </c>
      <c r="B11" s="9">
        <v>9988.6399999999903</v>
      </c>
    </row>
    <row r="12" spans="1:2" x14ac:dyDescent="0.25">
      <c r="A12" s="12" t="s">
        <v>57</v>
      </c>
      <c r="B12" s="9">
        <v>13891.160000000065</v>
      </c>
    </row>
    <row r="13" spans="1:2" x14ac:dyDescent="0.25">
      <c r="A13" s="12" t="s">
        <v>58</v>
      </c>
      <c r="B13" s="9">
        <v>8590.5400000000354</v>
      </c>
    </row>
    <row r="14" spans="1:2" x14ac:dyDescent="0.25">
      <c r="A14" s="12" t="s">
        <v>59</v>
      </c>
      <c r="B14" s="9">
        <v>8237.7400000000325</v>
      </c>
    </row>
    <row r="15" spans="1:2" x14ac:dyDescent="0.25">
      <c r="A15" s="11" t="s">
        <v>69</v>
      </c>
      <c r="B15" s="9"/>
    </row>
    <row r="16" spans="1:2" x14ac:dyDescent="0.25">
      <c r="A16" s="12" t="s">
        <v>42</v>
      </c>
      <c r="B16" s="9">
        <v>6398.8600000000215</v>
      </c>
    </row>
    <row r="17" spans="1:2" x14ac:dyDescent="0.25">
      <c r="A17" s="12" t="s">
        <v>43</v>
      </c>
      <c r="B17" s="9">
        <v>13215.480000000016</v>
      </c>
    </row>
    <row r="18" spans="1:2" x14ac:dyDescent="0.25">
      <c r="A18" s="12" t="s">
        <v>44</v>
      </c>
      <c r="B18" s="9">
        <v>9986.4400000000442</v>
      </c>
    </row>
    <row r="19" spans="1:2" x14ac:dyDescent="0.25">
      <c r="A19" s="11" t="s">
        <v>61</v>
      </c>
      <c r="B19" s="9">
        <v>112245.58000000022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A8C29-3AE2-4E83-B7A4-1853A1E0F122}">
  <dimension ref="A3:B21"/>
  <sheetViews>
    <sheetView workbookViewId="0">
      <selection activeCell="G32" sqref="G32"/>
    </sheetView>
  </sheetViews>
  <sheetFormatPr defaultRowHeight="15" x14ac:dyDescent="0.25"/>
  <cols>
    <col min="1" max="1" width="13.42578125" bestFit="1" customWidth="1"/>
    <col min="2" max="2" width="14.42578125" bestFit="1" customWidth="1"/>
    <col min="3" max="3" width="14" bestFit="1" customWidth="1"/>
  </cols>
  <sheetData>
    <row r="3" spans="1:2" x14ac:dyDescent="0.25">
      <c r="A3" s="10" t="s">
        <v>62</v>
      </c>
      <c r="B3" t="s">
        <v>63</v>
      </c>
    </row>
    <row r="4" spans="1:2" x14ac:dyDescent="0.25">
      <c r="A4" s="11">
        <v>10</v>
      </c>
      <c r="B4">
        <v>328</v>
      </c>
    </row>
    <row r="5" spans="1:2" x14ac:dyDescent="0.25">
      <c r="A5" s="11">
        <v>11</v>
      </c>
      <c r="B5">
        <v>283</v>
      </c>
    </row>
    <row r="6" spans="1:2" x14ac:dyDescent="0.25">
      <c r="A6" s="11">
        <v>16</v>
      </c>
      <c r="B6">
        <v>278</v>
      </c>
    </row>
    <row r="7" spans="1:2" x14ac:dyDescent="0.25">
      <c r="A7" s="11">
        <v>9</v>
      </c>
      <c r="B7">
        <v>242</v>
      </c>
    </row>
    <row r="8" spans="1:2" x14ac:dyDescent="0.25">
      <c r="A8" s="11">
        <v>12</v>
      </c>
      <c r="B8">
        <v>241</v>
      </c>
    </row>
    <row r="9" spans="1:2" x14ac:dyDescent="0.25">
      <c r="A9" s="11">
        <v>17</v>
      </c>
      <c r="B9">
        <v>237</v>
      </c>
    </row>
    <row r="10" spans="1:2" x14ac:dyDescent="0.25">
      <c r="A10" s="11">
        <v>15</v>
      </c>
      <c r="B10">
        <v>236</v>
      </c>
    </row>
    <row r="11" spans="1:2" x14ac:dyDescent="0.25">
      <c r="A11" s="11">
        <v>8</v>
      </c>
      <c r="B11">
        <v>235</v>
      </c>
    </row>
    <row r="12" spans="1:2" x14ac:dyDescent="0.25">
      <c r="A12" s="11">
        <v>19</v>
      </c>
      <c r="B12">
        <v>229</v>
      </c>
    </row>
    <row r="13" spans="1:2" x14ac:dyDescent="0.25">
      <c r="A13" s="11">
        <v>13</v>
      </c>
      <c r="B13">
        <v>225</v>
      </c>
    </row>
    <row r="14" spans="1:2" x14ac:dyDescent="0.25">
      <c r="A14" s="11">
        <v>14</v>
      </c>
      <c r="B14">
        <v>225</v>
      </c>
    </row>
    <row r="15" spans="1:2" x14ac:dyDescent="0.25">
      <c r="A15" s="11">
        <v>18</v>
      </c>
      <c r="B15">
        <v>218</v>
      </c>
    </row>
    <row r="16" spans="1:2" x14ac:dyDescent="0.25">
      <c r="A16" s="11">
        <v>21</v>
      </c>
      <c r="B16">
        <v>195</v>
      </c>
    </row>
    <row r="17" spans="1:2" x14ac:dyDescent="0.25">
      <c r="A17" s="11">
        <v>20</v>
      </c>
      <c r="B17">
        <v>169</v>
      </c>
    </row>
    <row r="18" spans="1:2" x14ac:dyDescent="0.25">
      <c r="A18" s="11">
        <v>22</v>
      </c>
      <c r="B18">
        <v>113</v>
      </c>
    </row>
    <row r="19" spans="1:2" x14ac:dyDescent="0.25">
      <c r="A19" s="11">
        <v>7</v>
      </c>
      <c r="B19">
        <v>88</v>
      </c>
    </row>
    <row r="20" spans="1:2" x14ac:dyDescent="0.25">
      <c r="A20" s="11">
        <v>6</v>
      </c>
      <c r="B20">
        <v>5</v>
      </c>
    </row>
    <row r="21" spans="1:2" x14ac:dyDescent="0.25">
      <c r="A21" s="11" t="s">
        <v>61</v>
      </c>
      <c r="B21">
        <v>3547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F2745-3B9C-4BDC-9DB6-4F699B3CF150}">
  <dimension ref="A3:B5"/>
  <sheetViews>
    <sheetView workbookViewId="0">
      <selection activeCell="F34" sqref="F34"/>
    </sheetView>
  </sheetViews>
  <sheetFormatPr defaultRowHeight="15" x14ac:dyDescent="0.25"/>
  <cols>
    <col min="1" max="1" width="13.42578125" bestFit="1" customWidth="1"/>
    <col min="2" max="2" width="18.5703125" bestFit="1" customWidth="1"/>
  </cols>
  <sheetData>
    <row r="3" spans="1:2" x14ac:dyDescent="0.25">
      <c r="A3" s="10" t="s">
        <v>62</v>
      </c>
      <c r="B3" t="s">
        <v>71</v>
      </c>
    </row>
    <row r="4" spans="1:2" x14ac:dyDescent="0.25">
      <c r="A4" s="11" t="s">
        <v>11</v>
      </c>
      <c r="B4">
        <v>3547</v>
      </c>
    </row>
    <row r="5" spans="1:2" x14ac:dyDescent="0.25">
      <c r="A5" s="11" t="s">
        <v>61</v>
      </c>
      <c r="B5">
        <v>3547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7F2EF-988C-449E-B081-1E5017B21795}">
  <dimension ref="A3:G44"/>
  <sheetViews>
    <sheetView workbookViewId="0">
      <selection activeCell="D48" sqref="D48"/>
    </sheetView>
  </sheetViews>
  <sheetFormatPr defaultRowHeight="15" x14ac:dyDescent="0.25"/>
  <cols>
    <col min="1" max="1" width="21.140625" bestFit="1" customWidth="1"/>
    <col min="2" max="3" width="10.140625" bestFit="1" customWidth="1"/>
    <col min="4" max="4" width="14.42578125" bestFit="1" customWidth="1"/>
    <col min="5" max="5" width="14" bestFit="1" customWidth="1"/>
    <col min="6" max="6" width="15.5703125" bestFit="1" customWidth="1"/>
    <col min="7" max="7" width="15.28515625" bestFit="1" customWidth="1"/>
    <col min="8" max="65" width="10.140625" bestFit="1" customWidth="1"/>
    <col min="66" max="66" width="14.42578125" bestFit="1" customWidth="1"/>
    <col min="67" max="68" width="3" bestFit="1" customWidth="1"/>
    <col min="69" max="69" width="4" bestFit="1" customWidth="1"/>
    <col min="70" max="70" width="3" bestFit="1" customWidth="1"/>
    <col min="71" max="73" width="4" bestFit="1" customWidth="1"/>
    <col min="74" max="74" width="3" bestFit="1" customWidth="1"/>
    <col min="75" max="75" width="4" bestFit="1" customWidth="1"/>
    <col min="76" max="76" width="3" bestFit="1" customWidth="1"/>
    <col min="77" max="77" width="4" bestFit="1" customWidth="1"/>
    <col min="78" max="80" width="3" bestFit="1" customWidth="1"/>
    <col min="81" max="81" width="4" bestFit="1" customWidth="1"/>
    <col min="82" max="84" width="3" bestFit="1" customWidth="1"/>
    <col min="85" max="85" width="4" bestFit="1" customWidth="1"/>
    <col min="86" max="92" width="3" bestFit="1" customWidth="1"/>
    <col min="93" max="93" width="4" bestFit="1" customWidth="1"/>
    <col min="94" max="94" width="3" bestFit="1" customWidth="1"/>
    <col min="95" max="97" width="4" bestFit="1" customWidth="1"/>
    <col min="98" max="98" width="14" bestFit="1" customWidth="1"/>
    <col min="99" max="104" width="11.28515625" bestFit="1" customWidth="1"/>
    <col min="105" max="105" width="12.28515625" bestFit="1" customWidth="1"/>
    <col min="106" max="109" width="11.28515625" bestFit="1" customWidth="1"/>
    <col min="110" max="112" width="9.85546875" bestFit="1" customWidth="1"/>
    <col min="113" max="117" width="11.28515625" bestFit="1" customWidth="1"/>
    <col min="118" max="120" width="9.85546875" bestFit="1" customWidth="1"/>
    <col min="121" max="123" width="11.28515625" bestFit="1" customWidth="1"/>
    <col min="124" max="124" width="9.85546875" bestFit="1" customWidth="1"/>
    <col min="125" max="128" width="11.28515625" bestFit="1" customWidth="1"/>
    <col min="129" max="129" width="12.28515625" bestFit="1" customWidth="1"/>
    <col min="130" max="130" width="15" bestFit="1" customWidth="1"/>
    <col min="131" max="131" width="14.140625" bestFit="1" customWidth="1"/>
    <col min="132" max="132" width="19.42578125" bestFit="1" customWidth="1"/>
    <col min="133" max="133" width="19" bestFit="1" customWidth="1"/>
  </cols>
  <sheetData>
    <row r="3" spans="1:7" x14ac:dyDescent="0.25">
      <c r="A3" s="54" t="s">
        <v>62</v>
      </c>
      <c r="B3" s="52" t="s">
        <v>79</v>
      </c>
      <c r="C3" s="52" t="s">
        <v>80</v>
      </c>
      <c r="D3" s="52" t="s">
        <v>63</v>
      </c>
      <c r="E3" s="52" t="s">
        <v>70</v>
      </c>
      <c r="F3" s="53" t="s">
        <v>81</v>
      </c>
      <c r="G3" s="53" t="s">
        <v>82</v>
      </c>
    </row>
    <row r="4" spans="1:7" x14ac:dyDescent="0.25">
      <c r="A4" s="11" t="s">
        <v>18</v>
      </c>
      <c r="B4" s="1">
        <v>45352</v>
      </c>
      <c r="C4" s="1">
        <v>45739</v>
      </c>
      <c r="D4">
        <v>564</v>
      </c>
      <c r="E4" s="9">
        <v>14650.259999999895</v>
      </c>
    </row>
    <row r="5" spans="1:7" x14ac:dyDescent="0.25">
      <c r="A5" s="50">
        <v>23.02</v>
      </c>
      <c r="B5" s="1">
        <v>45481</v>
      </c>
      <c r="C5" s="1">
        <v>45562</v>
      </c>
      <c r="D5">
        <v>98</v>
      </c>
      <c r="E5" s="9">
        <v>2255.9599999999987</v>
      </c>
      <c r="F5">
        <f t="shared" ref="F5:F43" si="0">C5-B5</f>
        <v>81</v>
      </c>
      <c r="G5" s="51">
        <f>D5/F5</f>
        <v>1.2098765432098766</v>
      </c>
    </row>
    <row r="6" spans="1:7" x14ac:dyDescent="0.25">
      <c r="A6" s="50">
        <v>25.96</v>
      </c>
      <c r="B6" s="1">
        <v>45564</v>
      </c>
      <c r="C6" s="1">
        <v>45739</v>
      </c>
      <c r="D6">
        <v>341</v>
      </c>
      <c r="E6" s="9">
        <v>8852.3599999999878</v>
      </c>
      <c r="F6">
        <f t="shared" si="0"/>
        <v>175</v>
      </c>
      <c r="G6" s="51">
        <f t="shared" ref="G6:G43" si="1">D6/F6</f>
        <v>1.9485714285714286</v>
      </c>
    </row>
    <row r="7" spans="1:7" x14ac:dyDescent="0.25">
      <c r="A7" s="50">
        <v>27.92</v>
      </c>
      <c r="B7" s="1">
        <v>45403</v>
      </c>
      <c r="C7" s="1">
        <v>45478</v>
      </c>
      <c r="D7">
        <v>72</v>
      </c>
      <c r="E7" s="9">
        <v>2010.2400000000021</v>
      </c>
      <c r="F7">
        <f t="shared" si="0"/>
        <v>75</v>
      </c>
      <c r="G7" s="51">
        <f t="shared" si="1"/>
        <v>0.96</v>
      </c>
    </row>
    <row r="8" spans="1:7" x14ac:dyDescent="0.25">
      <c r="A8" s="50">
        <v>28.9</v>
      </c>
      <c r="B8" s="1">
        <v>45352</v>
      </c>
      <c r="C8" s="1">
        <v>45402</v>
      </c>
      <c r="D8">
        <v>53</v>
      </c>
      <c r="E8" s="9">
        <v>1531.700000000001</v>
      </c>
      <c r="F8">
        <f t="shared" si="0"/>
        <v>50</v>
      </c>
      <c r="G8" s="51">
        <f t="shared" si="1"/>
        <v>1.06</v>
      </c>
    </row>
    <row r="9" spans="1:7" x14ac:dyDescent="0.25">
      <c r="A9" s="11" t="s">
        <v>19</v>
      </c>
      <c r="B9" s="1">
        <v>45352</v>
      </c>
      <c r="C9" s="1">
        <v>45738</v>
      </c>
      <c r="D9">
        <v>809</v>
      </c>
      <c r="E9" s="9">
        <v>24751.120000000101</v>
      </c>
      <c r="G9" s="51"/>
    </row>
    <row r="10" spans="1:7" x14ac:dyDescent="0.25">
      <c r="A10" s="50">
        <v>27.92</v>
      </c>
      <c r="B10" s="1">
        <v>45479</v>
      </c>
      <c r="C10" s="1">
        <v>45563</v>
      </c>
      <c r="D10">
        <v>222</v>
      </c>
      <c r="E10" s="9">
        <v>6198.2400000000125</v>
      </c>
      <c r="F10">
        <f t="shared" si="0"/>
        <v>84</v>
      </c>
      <c r="G10" s="51">
        <f t="shared" si="1"/>
        <v>2.6428571428571428</v>
      </c>
    </row>
    <row r="11" spans="1:7" x14ac:dyDescent="0.25">
      <c r="A11" s="50">
        <v>30.86</v>
      </c>
      <c r="B11" s="1">
        <v>45563</v>
      </c>
      <c r="C11" s="1">
        <v>45738</v>
      </c>
      <c r="D11">
        <v>389</v>
      </c>
      <c r="E11" s="9">
        <v>12004.540000000034</v>
      </c>
      <c r="F11">
        <f t="shared" si="0"/>
        <v>175</v>
      </c>
      <c r="G11" s="51">
        <f t="shared" si="1"/>
        <v>2.2228571428571429</v>
      </c>
    </row>
    <row r="12" spans="1:7" x14ac:dyDescent="0.25">
      <c r="A12" s="50">
        <v>32.82</v>
      </c>
      <c r="B12" s="1">
        <v>45402</v>
      </c>
      <c r="C12" s="1">
        <v>45478</v>
      </c>
      <c r="D12">
        <v>147</v>
      </c>
      <c r="E12" s="9">
        <v>4824.5400000000027</v>
      </c>
      <c r="F12">
        <f t="shared" si="0"/>
        <v>76</v>
      </c>
      <c r="G12" s="51">
        <f t="shared" si="1"/>
        <v>1.9342105263157894</v>
      </c>
    </row>
    <row r="13" spans="1:7" x14ac:dyDescent="0.25">
      <c r="A13" s="50">
        <v>33.799999999999997</v>
      </c>
      <c r="B13" s="1">
        <v>45352</v>
      </c>
      <c r="C13" s="1">
        <v>45402</v>
      </c>
      <c r="D13">
        <v>51</v>
      </c>
      <c r="E13" s="9">
        <v>1723.7999999999986</v>
      </c>
      <c r="F13">
        <f t="shared" si="0"/>
        <v>50</v>
      </c>
      <c r="G13" s="51">
        <f t="shared" si="1"/>
        <v>1.02</v>
      </c>
    </row>
    <row r="14" spans="1:7" x14ac:dyDescent="0.25">
      <c r="A14" s="11" t="s">
        <v>29</v>
      </c>
      <c r="B14" s="1">
        <v>45357</v>
      </c>
      <c r="C14" s="1">
        <v>45739</v>
      </c>
      <c r="D14">
        <v>486</v>
      </c>
      <c r="E14" s="9">
        <v>17439.140000000007</v>
      </c>
      <c r="G14" s="51"/>
    </row>
    <row r="15" spans="1:7" x14ac:dyDescent="0.25">
      <c r="A15" s="50">
        <v>32.82</v>
      </c>
      <c r="B15" s="1">
        <v>45480</v>
      </c>
      <c r="C15" s="1">
        <v>45562</v>
      </c>
      <c r="D15">
        <v>96</v>
      </c>
      <c r="E15" s="9">
        <v>3150.7200000000043</v>
      </c>
      <c r="F15">
        <f t="shared" si="0"/>
        <v>82</v>
      </c>
      <c r="G15" s="51">
        <f t="shared" si="1"/>
        <v>1.1707317073170731</v>
      </c>
    </row>
    <row r="16" spans="1:7" x14ac:dyDescent="0.25">
      <c r="A16" s="50">
        <v>35.76</v>
      </c>
      <c r="B16" s="1">
        <v>45563</v>
      </c>
      <c r="C16" s="1">
        <v>45739</v>
      </c>
      <c r="D16">
        <v>235</v>
      </c>
      <c r="E16" s="9">
        <v>8403.6000000000386</v>
      </c>
      <c r="F16">
        <f t="shared" si="0"/>
        <v>176</v>
      </c>
      <c r="G16" s="51">
        <f t="shared" si="1"/>
        <v>1.3352272727272727</v>
      </c>
    </row>
    <row r="17" spans="1:7" x14ac:dyDescent="0.25">
      <c r="A17" s="50">
        <v>37.72</v>
      </c>
      <c r="B17" s="1">
        <v>45402</v>
      </c>
      <c r="C17" s="1">
        <v>45478</v>
      </c>
      <c r="D17">
        <v>116</v>
      </c>
      <c r="E17" s="9">
        <v>4375.5199999999923</v>
      </c>
      <c r="F17">
        <f t="shared" si="0"/>
        <v>76</v>
      </c>
      <c r="G17" s="51">
        <f t="shared" si="1"/>
        <v>1.5263157894736843</v>
      </c>
    </row>
    <row r="18" spans="1:7" x14ac:dyDescent="0.25">
      <c r="A18" s="50">
        <v>38.700000000000003</v>
      </c>
      <c r="B18" s="1">
        <v>45357</v>
      </c>
      <c r="C18" s="1">
        <v>45402</v>
      </c>
      <c r="D18">
        <v>39</v>
      </c>
      <c r="E18" s="9">
        <v>1509.3000000000011</v>
      </c>
      <c r="F18">
        <f t="shared" si="0"/>
        <v>45</v>
      </c>
      <c r="G18" s="51">
        <f t="shared" si="1"/>
        <v>0.8666666666666667</v>
      </c>
    </row>
    <row r="19" spans="1:7" x14ac:dyDescent="0.25">
      <c r="A19" s="11" t="s">
        <v>21</v>
      </c>
      <c r="B19" s="1">
        <v>45352</v>
      </c>
      <c r="C19" s="1">
        <v>45739</v>
      </c>
      <c r="D19">
        <v>239</v>
      </c>
      <c r="E19" s="9">
        <v>8521.1600000000435</v>
      </c>
      <c r="G19" s="51"/>
    </row>
    <row r="20" spans="1:7" x14ac:dyDescent="0.25">
      <c r="A20" s="50">
        <v>32.82</v>
      </c>
      <c r="B20" s="1">
        <v>45480</v>
      </c>
      <c r="C20" s="1">
        <v>45557</v>
      </c>
      <c r="D20">
        <v>27</v>
      </c>
      <c r="E20" s="9">
        <v>886.14000000000055</v>
      </c>
      <c r="F20">
        <f t="shared" si="0"/>
        <v>77</v>
      </c>
      <c r="G20" s="51">
        <f t="shared" si="1"/>
        <v>0.35064935064935066</v>
      </c>
    </row>
    <row r="21" spans="1:7" x14ac:dyDescent="0.25">
      <c r="A21" s="50">
        <v>35.76</v>
      </c>
      <c r="B21" s="1">
        <v>45563</v>
      </c>
      <c r="C21" s="1">
        <v>45739</v>
      </c>
      <c r="D21">
        <v>189</v>
      </c>
      <c r="E21" s="9">
        <v>6758.6400000000285</v>
      </c>
      <c r="F21">
        <f t="shared" si="0"/>
        <v>176</v>
      </c>
      <c r="G21" s="51">
        <f t="shared" si="1"/>
        <v>1.0738636363636365</v>
      </c>
    </row>
    <row r="22" spans="1:7" x14ac:dyDescent="0.25">
      <c r="A22" s="50">
        <v>37.72</v>
      </c>
      <c r="B22" s="1">
        <v>45408</v>
      </c>
      <c r="C22" s="1">
        <v>45478</v>
      </c>
      <c r="D22">
        <v>14</v>
      </c>
      <c r="E22" s="9">
        <v>528.08000000000015</v>
      </c>
      <c r="F22">
        <f t="shared" si="0"/>
        <v>70</v>
      </c>
      <c r="G22" s="51">
        <f t="shared" si="1"/>
        <v>0.2</v>
      </c>
    </row>
    <row r="23" spans="1:7" x14ac:dyDescent="0.25">
      <c r="A23" s="50">
        <v>38.700000000000003</v>
      </c>
      <c r="B23" s="1">
        <v>45352</v>
      </c>
      <c r="C23" s="1">
        <v>45401</v>
      </c>
      <c r="D23">
        <v>9</v>
      </c>
      <c r="E23" s="9">
        <v>348.29999999999995</v>
      </c>
      <c r="F23">
        <f t="shared" si="0"/>
        <v>49</v>
      </c>
      <c r="G23" s="51">
        <f t="shared" si="1"/>
        <v>0.18367346938775511</v>
      </c>
    </row>
    <row r="24" spans="1:7" x14ac:dyDescent="0.25">
      <c r="A24" s="11" t="s">
        <v>24</v>
      </c>
      <c r="B24" s="1">
        <v>45354</v>
      </c>
      <c r="C24" s="1">
        <v>45736</v>
      </c>
      <c r="D24">
        <v>287</v>
      </c>
      <c r="E24" s="9">
        <v>7384.8599999999915</v>
      </c>
      <c r="G24" s="51"/>
    </row>
    <row r="25" spans="1:7" x14ac:dyDescent="0.25">
      <c r="A25" s="50">
        <v>23.02</v>
      </c>
      <c r="B25" s="1">
        <v>45485</v>
      </c>
      <c r="C25" s="1">
        <v>45562</v>
      </c>
      <c r="D25">
        <v>89</v>
      </c>
      <c r="E25" s="9">
        <v>2048.7799999999988</v>
      </c>
      <c r="F25">
        <f t="shared" si="0"/>
        <v>77</v>
      </c>
      <c r="G25" s="51">
        <f t="shared" si="1"/>
        <v>1.1558441558441559</v>
      </c>
    </row>
    <row r="26" spans="1:7" x14ac:dyDescent="0.25">
      <c r="A26" s="50">
        <v>25.96</v>
      </c>
      <c r="B26" s="1">
        <v>45563</v>
      </c>
      <c r="C26" s="1">
        <v>45736</v>
      </c>
      <c r="D26">
        <v>118</v>
      </c>
      <c r="E26" s="9">
        <v>3063.2800000000034</v>
      </c>
      <c r="F26">
        <f t="shared" si="0"/>
        <v>173</v>
      </c>
      <c r="G26" s="51">
        <f t="shared" si="1"/>
        <v>0.68208092485549132</v>
      </c>
    </row>
    <row r="27" spans="1:7" x14ac:dyDescent="0.25">
      <c r="A27" s="50">
        <v>27.92</v>
      </c>
      <c r="B27" s="1">
        <v>45408</v>
      </c>
      <c r="C27" s="1">
        <v>45471</v>
      </c>
      <c r="D27">
        <v>40</v>
      </c>
      <c r="E27" s="9">
        <v>1116.7999999999997</v>
      </c>
      <c r="F27">
        <f t="shared" si="0"/>
        <v>63</v>
      </c>
      <c r="G27" s="51">
        <f t="shared" si="1"/>
        <v>0.63492063492063489</v>
      </c>
    </row>
    <row r="28" spans="1:7" x14ac:dyDescent="0.25">
      <c r="A28" s="50">
        <v>28.9</v>
      </c>
      <c r="B28" s="1">
        <v>45354</v>
      </c>
      <c r="C28" s="1">
        <v>45400</v>
      </c>
      <c r="D28">
        <v>40</v>
      </c>
      <c r="E28" s="9">
        <v>1155.9999999999998</v>
      </c>
      <c r="F28">
        <f t="shared" si="0"/>
        <v>46</v>
      </c>
      <c r="G28" s="51">
        <f t="shared" si="1"/>
        <v>0.86956521739130432</v>
      </c>
    </row>
    <row r="29" spans="1:7" x14ac:dyDescent="0.25">
      <c r="A29" s="11" t="s">
        <v>26</v>
      </c>
      <c r="B29" s="1">
        <v>45355</v>
      </c>
      <c r="C29" s="1">
        <v>45738</v>
      </c>
      <c r="D29">
        <v>129</v>
      </c>
      <c r="E29" s="9">
        <v>2690.2799999999966</v>
      </c>
      <c r="G29" s="51"/>
    </row>
    <row r="30" spans="1:7" x14ac:dyDescent="0.25">
      <c r="A30" s="50">
        <v>18.12</v>
      </c>
      <c r="B30" s="1">
        <v>45491</v>
      </c>
      <c r="C30" s="1">
        <v>45561</v>
      </c>
      <c r="D30">
        <v>36</v>
      </c>
      <c r="E30" s="9">
        <v>652.32000000000005</v>
      </c>
      <c r="F30">
        <f t="shared" si="0"/>
        <v>70</v>
      </c>
      <c r="G30" s="51">
        <f t="shared" si="1"/>
        <v>0.51428571428571423</v>
      </c>
    </row>
    <row r="31" spans="1:7" x14ac:dyDescent="0.25">
      <c r="A31" s="50">
        <v>21.06</v>
      </c>
      <c r="B31" s="1">
        <v>45571</v>
      </c>
      <c r="C31" s="1">
        <v>45738</v>
      </c>
      <c r="D31">
        <v>59</v>
      </c>
      <c r="E31" s="9">
        <v>1242.5399999999981</v>
      </c>
      <c r="F31">
        <f t="shared" si="0"/>
        <v>167</v>
      </c>
      <c r="G31" s="51">
        <f t="shared" si="1"/>
        <v>0.3532934131736527</v>
      </c>
    </row>
    <row r="32" spans="1:7" x14ac:dyDescent="0.25">
      <c r="A32" s="50">
        <v>23.02</v>
      </c>
      <c r="B32" s="1">
        <v>45427</v>
      </c>
      <c r="C32" s="1">
        <v>45478</v>
      </c>
      <c r="D32">
        <v>21</v>
      </c>
      <c r="E32" s="9">
        <v>483.4199999999999</v>
      </c>
      <c r="F32">
        <f t="shared" si="0"/>
        <v>51</v>
      </c>
      <c r="G32" s="51">
        <f t="shared" si="1"/>
        <v>0.41176470588235292</v>
      </c>
    </row>
    <row r="33" spans="1:7" x14ac:dyDescent="0.25">
      <c r="A33" s="50">
        <v>24</v>
      </c>
      <c r="B33" s="1">
        <v>45355</v>
      </c>
      <c r="C33" s="1">
        <v>45399</v>
      </c>
      <c r="D33">
        <v>13</v>
      </c>
      <c r="E33" s="9">
        <v>312</v>
      </c>
      <c r="F33">
        <f t="shared" si="0"/>
        <v>44</v>
      </c>
      <c r="G33" s="51">
        <f t="shared" si="1"/>
        <v>0.29545454545454547</v>
      </c>
    </row>
    <row r="34" spans="1:7" x14ac:dyDescent="0.25">
      <c r="A34" s="11" t="s">
        <v>16</v>
      </c>
      <c r="B34" s="1">
        <v>45352</v>
      </c>
      <c r="C34" s="1">
        <v>45738</v>
      </c>
      <c r="D34">
        <v>276</v>
      </c>
      <c r="E34" s="9">
        <v>9933.4600000000482</v>
      </c>
      <c r="G34" s="51"/>
    </row>
    <row r="35" spans="1:7" x14ac:dyDescent="0.25">
      <c r="A35" s="50">
        <v>32.82</v>
      </c>
      <c r="B35" s="1">
        <v>45480</v>
      </c>
      <c r="C35" s="1">
        <v>45559</v>
      </c>
      <c r="D35">
        <v>26</v>
      </c>
      <c r="E35" s="9">
        <v>853.3200000000005</v>
      </c>
      <c r="F35">
        <f t="shared" si="0"/>
        <v>79</v>
      </c>
      <c r="G35" s="51">
        <f t="shared" si="1"/>
        <v>0.32911392405063289</v>
      </c>
    </row>
    <row r="36" spans="1:7" x14ac:dyDescent="0.25">
      <c r="A36" s="50">
        <v>35.76</v>
      </c>
      <c r="B36" s="1">
        <v>45563</v>
      </c>
      <c r="C36" s="1">
        <v>45738</v>
      </c>
      <c r="D36">
        <v>193</v>
      </c>
      <c r="E36" s="9">
        <v>6901.6800000000294</v>
      </c>
      <c r="F36">
        <f t="shared" si="0"/>
        <v>175</v>
      </c>
      <c r="G36" s="51">
        <f t="shared" si="1"/>
        <v>1.1028571428571428</v>
      </c>
    </row>
    <row r="37" spans="1:7" x14ac:dyDescent="0.25">
      <c r="A37" s="50">
        <v>37.72</v>
      </c>
      <c r="B37" s="1">
        <v>45408</v>
      </c>
      <c r="C37" s="1">
        <v>45473</v>
      </c>
      <c r="D37">
        <v>28</v>
      </c>
      <c r="E37" s="9">
        <v>1056.1600000000005</v>
      </c>
      <c r="F37">
        <f t="shared" si="0"/>
        <v>65</v>
      </c>
      <c r="G37" s="51">
        <f t="shared" si="1"/>
        <v>0.43076923076923079</v>
      </c>
    </row>
    <row r="38" spans="1:7" x14ac:dyDescent="0.25">
      <c r="A38" s="50">
        <v>38.700000000000003</v>
      </c>
      <c r="B38" s="1">
        <v>45352</v>
      </c>
      <c r="C38" s="1">
        <v>45402</v>
      </c>
      <c r="D38">
        <v>29</v>
      </c>
      <c r="E38" s="9">
        <v>1122.3000000000006</v>
      </c>
      <c r="F38">
        <f t="shared" si="0"/>
        <v>50</v>
      </c>
      <c r="G38" s="51">
        <f t="shared" si="1"/>
        <v>0.57999999999999996</v>
      </c>
    </row>
    <row r="39" spans="1:7" x14ac:dyDescent="0.25">
      <c r="A39" s="11" t="s">
        <v>12</v>
      </c>
      <c r="B39" s="1">
        <v>45352</v>
      </c>
      <c r="C39" s="1">
        <v>45739</v>
      </c>
      <c r="D39">
        <v>757</v>
      </c>
      <c r="E39" s="9">
        <v>26875.300000000036</v>
      </c>
      <c r="G39" s="51"/>
    </row>
    <row r="40" spans="1:7" x14ac:dyDescent="0.25">
      <c r="A40" s="50">
        <v>32.82</v>
      </c>
      <c r="B40" s="1">
        <v>45479</v>
      </c>
      <c r="C40" s="1">
        <v>45562</v>
      </c>
      <c r="D40">
        <v>194</v>
      </c>
      <c r="E40" s="9">
        <v>6367.079999999989</v>
      </c>
      <c r="F40">
        <f t="shared" si="0"/>
        <v>83</v>
      </c>
      <c r="G40" s="51">
        <f t="shared" si="1"/>
        <v>2.3373493975903616</v>
      </c>
    </row>
    <row r="41" spans="1:7" x14ac:dyDescent="0.25">
      <c r="A41" s="50">
        <v>35.76</v>
      </c>
      <c r="B41" s="1">
        <v>45563</v>
      </c>
      <c r="C41" s="1">
        <v>45739</v>
      </c>
      <c r="D41">
        <v>397</v>
      </c>
      <c r="E41" s="9">
        <v>14196.720000000074</v>
      </c>
      <c r="F41">
        <f t="shared" si="0"/>
        <v>176</v>
      </c>
      <c r="G41" s="51">
        <f t="shared" si="1"/>
        <v>2.2556818181818183</v>
      </c>
    </row>
    <row r="42" spans="1:7" x14ac:dyDescent="0.25">
      <c r="A42" s="50">
        <v>37.72</v>
      </c>
      <c r="B42" s="1">
        <v>45402</v>
      </c>
      <c r="C42" s="1">
        <v>45479</v>
      </c>
      <c r="D42">
        <v>115</v>
      </c>
      <c r="E42" s="9">
        <v>4337.799999999992</v>
      </c>
      <c r="F42">
        <f t="shared" si="0"/>
        <v>77</v>
      </c>
      <c r="G42" s="51">
        <f t="shared" si="1"/>
        <v>1.4935064935064934</v>
      </c>
    </row>
    <row r="43" spans="1:7" x14ac:dyDescent="0.25">
      <c r="A43" s="50">
        <v>38.700000000000003</v>
      </c>
      <c r="B43" s="1">
        <v>45352</v>
      </c>
      <c r="C43" s="1">
        <v>45401</v>
      </c>
      <c r="D43">
        <v>51</v>
      </c>
      <c r="E43" s="9">
        <v>1973.7000000000016</v>
      </c>
      <c r="F43">
        <f t="shared" si="0"/>
        <v>49</v>
      </c>
      <c r="G43" s="51">
        <f t="shared" si="1"/>
        <v>1.0408163265306123</v>
      </c>
    </row>
    <row r="44" spans="1:7" x14ac:dyDescent="0.25">
      <c r="A44" s="11" t="s">
        <v>61</v>
      </c>
      <c r="B44" s="1">
        <v>45352</v>
      </c>
      <c r="C44" s="1">
        <v>45739</v>
      </c>
      <c r="D44">
        <v>3547</v>
      </c>
      <c r="E44" s="9">
        <v>112245.57999999971</v>
      </c>
    </row>
  </sheetData>
  <sheetProtection sheet="1" objects="1" scenarios="1" selectLockedCells="1" selectUnlockedCell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EFA4-4057-4C06-8F00-1CB3940BEC39}">
  <dimension ref="A1:AA59"/>
  <sheetViews>
    <sheetView showGridLines="0" workbookViewId="0">
      <selection activeCell="O3" sqref="O3"/>
    </sheetView>
  </sheetViews>
  <sheetFormatPr defaultColWidth="10" defaultRowHeight="15" x14ac:dyDescent="0.25"/>
  <sheetData>
    <row r="1" spans="1:27" ht="22.5" customHeight="1" x14ac:dyDescent="0.25">
      <c r="A1" s="68" t="s">
        <v>83</v>
      </c>
      <c r="B1" s="68"/>
      <c r="C1" s="68"/>
      <c r="D1" s="68"/>
      <c r="E1" s="68"/>
      <c r="F1" s="68"/>
      <c r="G1" s="68"/>
      <c r="H1" s="68"/>
      <c r="I1" s="68"/>
      <c r="J1" s="68"/>
      <c r="K1" s="68"/>
      <c r="L1" s="68"/>
    </row>
    <row r="2" spans="1:27" ht="15" customHeight="1" x14ac:dyDescent="0.25">
      <c r="A2" s="69" t="s">
        <v>84</v>
      </c>
      <c r="B2" s="69"/>
      <c r="C2" s="69"/>
      <c r="D2" s="69"/>
      <c r="E2" s="69"/>
      <c r="F2" s="69"/>
      <c r="G2" s="69"/>
      <c r="H2" s="69"/>
      <c r="I2" s="69"/>
      <c r="J2" s="69"/>
      <c r="K2" s="69"/>
      <c r="L2" s="69"/>
    </row>
    <row r="3" spans="1:27" x14ac:dyDescent="0.25">
      <c r="A3" s="69"/>
      <c r="B3" s="69"/>
      <c r="C3" s="69"/>
      <c r="D3" s="69"/>
      <c r="E3" s="69"/>
      <c r="F3" s="69"/>
      <c r="G3" s="69"/>
      <c r="H3" s="69"/>
      <c r="I3" s="69"/>
      <c r="J3" s="69"/>
      <c r="K3" s="69"/>
      <c r="L3" s="69"/>
      <c r="P3" s="58"/>
    </row>
    <row r="4" spans="1:27" ht="15" customHeight="1" x14ac:dyDescent="0.25">
      <c r="A4" s="69"/>
      <c r="B4" s="69"/>
      <c r="C4" s="69"/>
      <c r="D4" s="69"/>
      <c r="E4" s="69"/>
      <c r="F4" s="69"/>
      <c r="G4" s="69"/>
      <c r="H4" s="69"/>
      <c r="I4" s="69"/>
      <c r="J4" s="69"/>
      <c r="K4" s="69"/>
      <c r="L4" s="69"/>
      <c r="P4" s="58"/>
      <c r="Q4" s="58"/>
      <c r="R4" s="58"/>
      <c r="S4" s="58"/>
      <c r="T4" s="58"/>
      <c r="U4" s="58"/>
      <c r="V4" s="58"/>
      <c r="W4" s="58"/>
      <c r="X4" s="58"/>
      <c r="Y4" s="58"/>
      <c r="Z4" s="58"/>
      <c r="AA4" s="58"/>
    </row>
    <row r="5" spans="1:27" ht="22.5" customHeight="1" x14ac:dyDescent="0.25">
      <c r="A5" s="68" t="s">
        <v>85</v>
      </c>
      <c r="B5" s="68"/>
      <c r="C5" s="68"/>
      <c r="D5" s="68"/>
      <c r="E5" s="68"/>
      <c r="F5" s="68"/>
      <c r="G5" s="68"/>
      <c r="H5" s="68"/>
      <c r="I5" s="68"/>
      <c r="J5" s="68"/>
      <c r="K5" s="68"/>
      <c r="L5" s="68"/>
      <c r="P5" s="58"/>
      <c r="Q5" s="58"/>
      <c r="R5" s="58"/>
      <c r="S5" s="58"/>
      <c r="T5" s="58"/>
      <c r="U5" s="58"/>
      <c r="V5" s="58"/>
      <c r="W5" s="58"/>
      <c r="X5" s="58"/>
      <c r="Y5" s="58"/>
      <c r="Z5" s="58"/>
      <c r="AA5" s="58"/>
    </row>
    <row r="6" spans="1:27" ht="15" customHeight="1" x14ac:dyDescent="0.25">
      <c r="A6" s="69" t="s">
        <v>86</v>
      </c>
      <c r="B6" s="69"/>
      <c r="C6" s="69"/>
      <c r="D6" s="69"/>
      <c r="E6" s="69"/>
      <c r="F6" s="69"/>
      <c r="G6" s="69"/>
      <c r="H6" s="69"/>
      <c r="I6" s="69"/>
      <c r="J6" s="69"/>
      <c r="K6" s="69"/>
      <c r="L6" s="69"/>
      <c r="P6" s="58"/>
      <c r="Q6" s="58"/>
      <c r="R6" s="58"/>
      <c r="S6" s="58"/>
      <c r="T6" s="58"/>
      <c r="U6" s="58"/>
      <c r="V6" s="58"/>
      <c r="W6" s="58"/>
      <c r="X6" s="58"/>
      <c r="Y6" s="58"/>
      <c r="Z6" s="58"/>
      <c r="AA6" s="58"/>
    </row>
    <row r="7" spans="1:27" ht="15" customHeight="1" x14ac:dyDescent="0.25">
      <c r="A7" s="69"/>
      <c r="B7" s="69"/>
      <c r="C7" s="69"/>
      <c r="D7" s="69"/>
      <c r="E7" s="69"/>
      <c r="F7" s="69"/>
      <c r="G7" s="69"/>
      <c r="H7" s="69"/>
      <c r="I7" s="69"/>
      <c r="J7" s="69"/>
      <c r="K7" s="69"/>
      <c r="L7" s="69"/>
      <c r="P7" s="58"/>
      <c r="Q7" s="58"/>
      <c r="R7" s="58"/>
      <c r="S7" s="58"/>
      <c r="T7" s="58"/>
      <c r="U7" s="58"/>
      <c r="V7" s="58"/>
      <c r="W7" s="58"/>
      <c r="X7" s="58"/>
      <c r="Y7" s="58"/>
      <c r="Z7" s="58"/>
      <c r="AA7" s="58"/>
    </row>
    <row r="8" spans="1:27" x14ac:dyDescent="0.25">
      <c r="A8" s="69"/>
      <c r="B8" s="69"/>
      <c r="C8" s="69"/>
      <c r="D8" s="69"/>
      <c r="E8" s="69"/>
      <c r="F8" s="69"/>
      <c r="G8" s="69"/>
      <c r="H8" s="69"/>
      <c r="I8" s="69"/>
      <c r="J8" s="69"/>
      <c r="K8" s="69"/>
      <c r="L8" s="69"/>
      <c r="P8" s="58"/>
      <c r="Q8" s="58"/>
      <c r="R8" s="58"/>
      <c r="S8" s="58"/>
      <c r="T8" s="58"/>
      <c r="U8" s="58"/>
      <c r="V8" s="58"/>
      <c r="W8" s="58"/>
      <c r="X8" s="58"/>
      <c r="Y8" s="58"/>
      <c r="Z8" s="58"/>
      <c r="AA8" s="58"/>
    </row>
    <row r="9" spans="1:27" x14ac:dyDescent="0.25">
      <c r="A9" s="69"/>
      <c r="B9" s="69"/>
      <c r="C9" s="69"/>
      <c r="D9" s="69"/>
      <c r="E9" s="69"/>
      <c r="F9" s="69"/>
      <c r="G9" s="69"/>
      <c r="H9" s="69"/>
      <c r="I9" s="69"/>
      <c r="J9" s="69"/>
      <c r="K9" s="69"/>
      <c r="L9" s="69"/>
      <c r="P9" s="58"/>
      <c r="Q9" s="58"/>
      <c r="R9" s="58"/>
      <c r="S9" s="58"/>
      <c r="T9" s="58"/>
      <c r="U9" s="58"/>
      <c r="V9" s="58"/>
      <c r="W9" s="58"/>
      <c r="X9" s="58"/>
      <c r="Y9" s="58"/>
      <c r="Z9" s="58"/>
      <c r="AA9" s="58"/>
    </row>
    <row r="10" spans="1:27" x14ac:dyDescent="0.25">
      <c r="A10" s="69"/>
      <c r="B10" s="69"/>
      <c r="C10" s="69"/>
      <c r="D10" s="69"/>
      <c r="E10" s="69"/>
      <c r="F10" s="69"/>
      <c r="G10" s="69"/>
      <c r="H10" s="69"/>
      <c r="I10" s="69"/>
      <c r="J10" s="69"/>
      <c r="K10" s="69"/>
      <c r="L10" s="69"/>
      <c r="P10" s="58"/>
      <c r="Q10" s="58"/>
      <c r="R10" s="58"/>
      <c r="S10" s="58"/>
      <c r="T10" s="58"/>
      <c r="U10" s="58"/>
      <c r="V10" s="58"/>
      <c r="W10" s="58"/>
      <c r="X10" s="58"/>
      <c r="Y10" s="58"/>
      <c r="Z10" s="58"/>
      <c r="AA10" s="58"/>
    </row>
    <row r="11" spans="1:27" x14ac:dyDescent="0.25">
      <c r="A11" s="69"/>
      <c r="B11" s="69"/>
      <c r="C11" s="69"/>
      <c r="D11" s="69"/>
      <c r="E11" s="69"/>
      <c r="F11" s="69"/>
      <c r="G11" s="69"/>
      <c r="H11" s="69"/>
      <c r="I11" s="69"/>
      <c r="J11" s="69"/>
      <c r="K11" s="69"/>
      <c r="L11" s="69"/>
      <c r="P11" s="58"/>
      <c r="Q11" s="58"/>
      <c r="R11" s="58"/>
      <c r="S11" s="58"/>
      <c r="T11" s="58"/>
      <c r="U11" s="58"/>
      <c r="V11" s="58"/>
      <c r="W11" s="58"/>
      <c r="X11" s="58"/>
      <c r="Y11" s="58"/>
      <c r="Z11" s="58"/>
      <c r="AA11" s="58"/>
    </row>
    <row r="12" spans="1:27" x14ac:dyDescent="0.25">
      <c r="A12" s="69"/>
      <c r="B12" s="69"/>
      <c r="C12" s="69"/>
      <c r="D12" s="69"/>
      <c r="E12" s="69"/>
      <c r="F12" s="69"/>
      <c r="G12" s="69"/>
      <c r="H12" s="69"/>
      <c r="I12" s="69"/>
      <c r="J12" s="69"/>
      <c r="K12" s="69"/>
      <c r="L12" s="69"/>
      <c r="Q12" s="58"/>
      <c r="R12" s="58"/>
      <c r="S12" s="58"/>
      <c r="T12" s="58"/>
      <c r="U12" s="58"/>
      <c r="V12" s="58"/>
      <c r="W12" s="58"/>
      <c r="X12" s="58"/>
      <c r="Y12" s="58"/>
      <c r="Z12" s="58"/>
      <c r="AA12" s="58"/>
    </row>
    <row r="13" spans="1:27" ht="15" customHeight="1" x14ac:dyDescent="0.25">
      <c r="A13" s="69"/>
      <c r="B13" s="69"/>
      <c r="C13" s="69"/>
      <c r="D13" s="69"/>
      <c r="E13" s="69"/>
      <c r="F13" s="69"/>
      <c r="G13" s="69"/>
      <c r="H13" s="69"/>
      <c r="I13" s="69"/>
      <c r="J13" s="69"/>
      <c r="K13" s="69"/>
      <c r="L13" s="69"/>
      <c r="P13" s="58"/>
      <c r="Q13" s="58"/>
      <c r="R13" s="58"/>
      <c r="S13" s="58"/>
      <c r="T13" s="58"/>
      <c r="U13" s="58"/>
      <c r="V13" s="58"/>
      <c r="W13" s="58"/>
      <c r="X13" s="58"/>
      <c r="Y13" s="58"/>
      <c r="Z13" s="58"/>
      <c r="AA13" s="58"/>
    </row>
    <row r="14" spans="1:27" ht="15" customHeight="1" x14ac:dyDescent="0.25">
      <c r="A14" s="69"/>
      <c r="B14" s="69"/>
      <c r="C14" s="69"/>
      <c r="D14" s="69"/>
      <c r="E14" s="69"/>
      <c r="F14" s="69"/>
      <c r="G14" s="69"/>
      <c r="H14" s="69"/>
      <c r="I14" s="69"/>
      <c r="J14" s="69"/>
      <c r="K14" s="69"/>
      <c r="L14" s="69"/>
      <c r="P14" s="58"/>
      <c r="Q14" s="58"/>
      <c r="R14" s="58"/>
      <c r="S14" s="58"/>
      <c r="T14" s="58"/>
      <c r="U14" s="58"/>
      <c r="V14" s="58"/>
      <c r="W14" s="58"/>
      <c r="X14" s="58"/>
      <c r="Y14" s="58"/>
      <c r="Z14" s="58"/>
      <c r="AA14" s="58"/>
    </row>
    <row r="15" spans="1:27" ht="22.5" customHeight="1" x14ac:dyDescent="0.25">
      <c r="A15" s="70" t="s">
        <v>87</v>
      </c>
      <c r="B15" s="70"/>
      <c r="C15" s="70"/>
      <c r="D15" s="70"/>
      <c r="E15" s="70"/>
      <c r="F15" s="70"/>
      <c r="G15" s="70"/>
      <c r="H15" s="70"/>
      <c r="I15" s="70"/>
      <c r="J15" s="70"/>
      <c r="K15" s="70"/>
      <c r="L15" s="70"/>
      <c r="P15" s="58"/>
      <c r="Q15" s="58"/>
      <c r="R15" s="58"/>
      <c r="S15" s="58"/>
      <c r="T15" s="58"/>
      <c r="U15" s="58"/>
      <c r="V15" s="58"/>
      <c r="W15" s="58"/>
      <c r="X15" s="58"/>
      <c r="Y15" s="58"/>
      <c r="Z15" s="58"/>
      <c r="AA15" s="58"/>
    </row>
    <row r="16" spans="1:27" x14ac:dyDescent="0.25">
      <c r="A16" s="69" t="s">
        <v>88</v>
      </c>
      <c r="B16" s="69"/>
      <c r="C16" s="69"/>
      <c r="D16" s="69"/>
      <c r="E16" s="69"/>
      <c r="F16" s="69"/>
      <c r="G16" s="69"/>
      <c r="H16" s="69"/>
      <c r="I16" s="69"/>
      <c r="J16" s="69"/>
      <c r="K16" s="69"/>
      <c r="L16" s="69"/>
      <c r="Z16" s="58"/>
      <c r="AA16" s="58"/>
    </row>
    <row r="17" spans="1:27" x14ac:dyDescent="0.25">
      <c r="A17" s="69"/>
      <c r="B17" s="69"/>
      <c r="C17" s="69"/>
      <c r="D17" s="69"/>
      <c r="E17" s="69"/>
      <c r="F17" s="69"/>
      <c r="G17" s="69"/>
      <c r="H17" s="69"/>
      <c r="I17" s="69"/>
      <c r="J17" s="69"/>
      <c r="K17" s="69"/>
      <c r="L17" s="69"/>
      <c r="Z17" s="58"/>
      <c r="AA17" s="58"/>
    </row>
    <row r="18" spans="1:27" x14ac:dyDescent="0.25">
      <c r="A18" s="69"/>
      <c r="B18" s="69"/>
      <c r="C18" s="69"/>
      <c r="D18" s="69"/>
      <c r="E18" s="69"/>
      <c r="F18" s="69"/>
      <c r="G18" s="69"/>
      <c r="H18" s="69"/>
      <c r="I18" s="69"/>
      <c r="J18" s="69"/>
      <c r="K18" s="69"/>
      <c r="L18" s="69"/>
      <c r="Z18" s="58"/>
      <c r="AA18" s="58"/>
    </row>
    <row r="19" spans="1:27" ht="15" customHeight="1" x14ac:dyDescent="0.25">
      <c r="A19" s="69"/>
      <c r="B19" s="69"/>
      <c r="C19" s="69"/>
      <c r="D19" s="69"/>
      <c r="E19" s="69"/>
      <c r="F19" s="69"/>
      <c r="G19" s="69"/>
      <c r="H19" s="69"/>
      <c r="I19" s="69"/>
      <c r="J19" s="69"/>
      <c r="K19" s="69"/>
      <c r="L19" s="69"/>
      <c r="Z19" s="58"/>
      <c r="AA19" s="58"/>
    </row>
    <row r="20" spans="1:27" x14ac:dyDescent="0.25">
      <c r="A20" s="69"/>
      <c r="B20" s="69"/>
      <c r="C20" s="69"/>
      <c r="D20" s="69"/>
      <c r="E20" s="69"/>
      <c r="F20" s="69"/>
      <c r="G20" s="69"/>
      <c r="H20" s="69"/>
      <c r="I20" s="69"/>
      <c r="J20" s="69"/>
      <c r="K20" s="69"/>
      <c r="L20" s="69"/>
      <c r="Z20" s="58"/>
      <c r="AA20" s="58"/>
    </row>
    <row r="21" spans="1:27" x14ac:dyDescent="0.25">
      <c r="A21" s="69"/>
      <c r="B21" s="69"/>
      <c r="C21" s="69"/>
      <c r="D21" s="69"/>
      <c r="E21" s="69"/>
      <c r="F21" s="69"/>
      <c r="G21" s="69"/>
      <c r="H21" s="69"/>
      <c r="I21" s="69"/>
      <c r="J21" s="69"/>
      <c r="K21" s="69"/>
      <c r="L21" s="69"/>
      <c r="Z21" s="58"/>
      <c r="AA21" s="58"/>
    </row>
    <row r="22" spans="1:27" ht="15" customHeight="1" x14ac:dyDescent="0.25">
      <c r="A22" s="69"/>
      <c r="B22" s="69"/>
      <c r="C22" s="69"/>
      <c r="D22" s="69"/>
      <c r="E22" s="69"/>
      <c r="F22" s="69"/>
      <c r="G22" s="69"/>
      <c r="H22" s="69"/>
      <c r="I22" s="69"/>
      <c r="J22" s="69"/>
      <c r="K22" s="69"/>
      <c r="L22" s="69"/>
      <c r="Z22" s="58"/>
      <c r="AA22" s="58"/>
    </row>
    <row r="23" spans="1:27" ht="15" customHeight="1" x14ac:dyDescent="0.25">
      <c r="A23" s="69"/>
      <c r="B23" s="69"/>
      <c r="C23" s="69"/>
      <c r="D23" s="69"/>
      <c r="E23" s="69"/>
      <c r="F23" s="69"/>
      <c r="G23" s="69"/>
      <c r="H23" s="69"/>
      <c r="I23" s="69"/>
      <c r="J23" s="69"/>
      <c r="K23" s="69"/>
      <c r="L23" s="69"/>
      <c r="Z23" s="58"/>
      <c r="AA23" s="58"/>
    </row>
    <row r="24" spans="1:27" ht="22.5" customHeight="1" x14ac:dyDescent="0.25">
      <c r="A24" s="70" t="s">
        <v>89</v>
      </c>
      <c r="B24" s="70"/>
      <c r="C24" s="70"/>
      <c r="D24" s="70"/>
      <c r="E24" s="70"/>
      <c r="F24" s="70"/>
      <c r="G24" s="70"/>
      <c r="H24" s="70"/>
      <c r="I24" s="70"/>
      <c r="J24" s="70"/>
      <c r="K24" s="70"/>
      <c r="L24" s="70"/>
      <c r="Z24" s="58"/>
      <c r="AA24" s="58"/>
    </row>
    <row r="25" spans="1:27" x14ac:dyDescent="0.25">
      <c r="A25" s="71" t="s">
        <v>90</v>
      </c>
      <c r="B25" s="71"/>
      <c r="C25" s="71"/>
      <c r="D25" s="71"/>
      <c r="E25" s="71"/>
      <c r="F25" s="71"/>
      <c r="G25" s="71"/>
      <c r="H25" s="71"/>
      <c r="I25" s="71"/>
      <c r="J25" s="71"/>
      <c r="K25" s="71"/>
      <c r="L25" s="71"/>
      <c r="Z25" s="58"/>
      <c r="AA25" s="58"/>
    </row>
    <row r="26" spans="1:27" x14ac:dyDescent="0.25">
      <c r="A26" s="71"/>
      <c r="B26" s="71"/>
      <c r="C26" s="71"/>
      <c r="D26" s="71"/>
      <c r="E26" s="71"/>
      <c r="F26" s="71"/>
      <c r="G26" s="71"/>
      <c r="H26" s="71"/>
      <c r="I26" s="71"/>
      <c r="J26" s="71"/>
      <c r="K26" s="71"/>
      <c r="L26" s="71"/>
      <c r="Z26" s="58"/>
      <c r="AA26" s="58"/>
    </row>
    <row r="27" spans="1:27" x14ac:dyDescent="0.25">
      <c r="A27" s="71"/>
      <c r="B27" s="71"/>
      <c r="C27" s="71"/>
      <c r="D27" s="71"/>
      <c r="E27" s="71"/>
      <c r="F27" s="71"/>
      <c r="G27" s="71"/>
      <c r="H27" s="71"/>
      <c r="I27" s="71"/>
      <c r="J27" s="71"/>
      <c r="K27" s="71"/>
      <c r="L27" s="71"/>
    </row>
    <row r="28" spans="1:27" x14ac:dyDescent="0.25">
      <c r="A28" s="71"/>
      <c r="B28" s="71"/>
      <c r="C28" s="71"/>
      <c r="D28" s="71"/>
      <c r="E28" s="71"/>
      <c r="F28" s="71"/>
      <c r="G28" s="71"/>
      <c r="H28" s="71"/>
      <c r="I28" s="71"/>
      <c r="J28" s="71"/>
      <c r="K28" s="71"/>
      <c r="L28" s="71"/>
    </row>
    <row r="29" spans="1:27" x14ac:dyDescent="0.25">
      <c r="A29" s="71"/>
      <c r="B29" s="71"/>
      <c r="C29" s="71"/>
      <c r="D29" s="71"/>
      <c r="E29" s="71"/>
      <c r="F29" s="71"/>
      <c r="G29" s="71"/>
      <c r="H29" s="71"/>
      <c r="I29" s="71"/>
      <c r="J29" s="71"/>
      <c r="K29" s="71"/>
      <c r="L29" s="71"/>
    </row>
    <row r="30" spans="1:27" x14ac:dyDescent="0.25">
      <c r="A30" s="71"/>
      <c r="B30" s="71"/>
      <c r="C30" s="71"/>
      <c r="D30" s="71"/>
      <c r="E30" s="71"/>
      <c r="F30" s="71"/>
      <c r="G30" s="71"/>
      <c r="H30" s="71"/>
      <c r="I30" s="71"/>
      <c r="J30" s="71"/>
      <c r="K30" s="71"/>
      <c r="L30" s="71"/>
    </row>
    <row r="31" spans="1:27" x14ac:dyDescent="0.25">
      <c r="A31" s="71"/>
      <c r="B31" s="71"/>
      <c r="C31" s="71"/>
      <c r="D31" s="71"/>
      <c r="E31" s="71"/>
      <c r="F31" s="71"/>
      <c r="G31" s="71"/>
      <c r="H31" s="71"/>
      <c r="I31" s="71"/>
      <c r="J31" s="71"/>
      <c r="K31" s="71"/>
      <c r="L31" s="71"/>
    </row>
    <row r="32" spans="1:27" x14ac:dyDescent="0.25">
      <c r="A32" s="71"/>
      <c r="B32" s="71"/>
      <c r="C32" s="71"/>
      <c r="D32" s="71"/>
      <c r="E32" s="71"/>
      <c r="F32" s="71"/>
      <c r="G32" s="71"/>
      <c r="H32" s="71"/>
      <c r="I32" s="71"/>
      <c r="J32" s="71"/>
      <c r="K32" s="71"/>
      <c r="L32" s="71"/>
    </row>
    <row r="33" spans="1:12" x14ac:dyDescent="0.25">
      <c r="A33" s="71"/>
      <c r="B33" s="71"/>
      <c r="C33" s="71"/>
      <c r="D33" s="71"/>
      <c r="E33" s="71"/>
      <c r="F33" s="71"/>
      <c r="G33" s="71"/>
      <c r="H33" s="71"/>
      <c r="I33" s="71"/>
      <c r="J33" s="71"/>
      <c r="K33" s="71"/>
      <c r="L33" s="71"/>
    </row>
    <row r="34" spans="1:12" ht="15" customHeight="1" x14ac:dyDescent="0.25">
      <c r="A34" s="71"/>
      <c r="B34" s="71"/>
      <c r="C34" s="71"/>
      <c r="D34" s="71"/>
      <c r="E34" s="71"/>
      <c r="F34" s="71"/>
      <c r="G34" s="71"/>
      <c r="H34" s="71"/>
      <c r="I34" s="71"/>
      <c r="J34" s="71"/>
      <c r="K34" s="71"/>
      <c r="L34" s="71"/>
    </row>
    <row r="35" spans="1:12" ht="15" customHeight="1" x14ac:dyDescent="0.25">
      <c r="A35" s="71"/>
      <c r="B35" s="71"/>
      <c r="C35" s="71"/>
      <c r="D35" s="71"/>
      <c r="E35" s="71"/>
      <c r="F35" s="71"/>
      <c r="G35" s="71"/>
      <c r="H35" s="71"/>
      <c r="I35" s="71"/>
      <c r="J35" s="71"/>
      <c r="K35" s="71"/>
      <c r="L35" s="71"/>
    </row>
    <row r="36" spans="1:12" ht="22.5" customHeight="1" x14ac:dyDescent="0.25">
      <c r="A36" s="68" t="s">
        <v>91</v>
      </c>
      <c r="B36" s="68"/>
      <c r="C36" s="68"/>
      <c r="D36" s="68"/>
      <c r="E36" s="68"/>
      <c r="F36" s="68"/>
      <c r="G36" s="68"/>
      <c r="H36" s="68"/>
      <c r="I36" s="68"/>
      <c r="J36" s="68"/>
      <c r="K36" s="68"/>
      <c r="L36" s="68"/>
    </row>
    <row r="37" spans="1:12" x14ac:dyDescent="0.25">
      <c r="A37" s="71" t="s">
        <v>94</v>
      </c>
      <c r="B37" s="71"/>
      <c r="C37" s="71"/>
      <c r="D37" s="71"/>
      <c r="E37" s="71"/>
      <c r="F37" s="71"/>
      <c r="G37" s="71"/>
      <c r="H37" s="71"/>
      <c r="I37" s="71"/>
      <c r="J37" s="71"/>
      <c r="K37" s="71"/>
      <c r="L37" s="71"/>
    </row>
    <row r="38" spans="1:12" x14ac:dyDescent="0.25">
      <c r="A38" s="71"/>
      <c r="B38" s="71"/>
      <c r="C38" s="71"/>
      <c r="D38" s="71"/>
      <c r="E38" s="71"/>
      <c r="F38" s="71"/>
      <c r="G38" s="71"/>
      <c r="H38" s="71"/>
      <c r="I38" s="71"/>
      <c r="J38" s="71"/>
      <c r="K38" s="71"/>
      <c r="L38" s="71"/>
    </row>
    <row r="39" spans="1:12" x14ac:dyDescent="0.25">
      <c r="A39" s="71"/>
      <c r="B39" s="71"/>
      <c r="C39" s="71"/>
      <c r="D39" s="71"/>
      <c r="E39" s="71"/>
      <c r="F39" s="71"/>
      <c r="G39" s="71"/>
      <c r="H39" s="71"/>
      <c r="I39" s="71"/>
      <c r="J39" s="71"/>
      <c r="K39" s="71"/>
      <c r="L39" s="71"/>
    </row>
    <row r="40" spans="1:12" x14ac:dyDescent="0.25">
      <c r="A40" s="71"/>
      <c r="B40" s="71"/>
      <c r="C40" s="71"/>
      <c r="D40" s="71"/>
      <c r="E40" s="71"/>
      <c r="F40" s="71"/>
      <c r="G40" s="71"/>
      <c r="H40" s="71"/>
      <c r="I40" s="71"/>
      <c r="J40" s="71"/>
      <c r="K40" s="71"/>
      <c r="L40" s="71"/>
    </row>
    <row r="41" spans="1:12" x14ac:dyDescent="0.25">
      <c r="A41" s="71"/>
      <c r="B41" s="71"/>
      <c r="C41" s="71"/>
      <c r="D41" s="71"/>
      <c r="E41" s="71"/>
      <c r="F41" s="71"/>
      <c r="G41" s="71"/>
      <c r="H41" s="71"/>
      <c r="I41" s="71"/>
      <c r="J41" s="71"/>
      <c r="K41" s="71"/>
      <c r="L41" s="71"/>
    </row>
    <row r="42" spans="1:12" x14ac:dyDescent="0.25">
      <c r="A42" s="71"/>
      <c r="B42" s="71"/>
      <c r="C42" s="71"/>
      <c r="D42" s="71"/>
      <c r="E42" s="71"/>
      <c r="F42" s="71"/>
      <c r="G42" s="71"/>
      <c r="H42" s="71"/>
      <c r="I42" s="71"/>
      <c r="J42" s="71"/>
      <c r="K42" s="71"/>
      <c r="L42" s="71"/>
    </row>
    <row r="43" spans="1:12" x14ac:dyDescent="0.25">
      <c r="A43" s="71"/>
      <c r="B43" s="71"/>
      <c r="C43" s="71"/>
      <c r="D43" s="71"/>
      <c r="E43" s="71"/>
      <c r="F43" s="71"/>
      <c r="G43" s="71"/>
      <c r="H43" s="71"/>
      <c r="I43" s="71"/>
      <c r="J43" s="71"/>
      <c r="K43" s="71"/>
      <c r="L43" s="71"/>
    </row>
    <row r="44" spans="1:12" x14ac:dyDescent="0.25">
      <c r="A44" s="71"/>
      <c r="B44" s="71"/>
      <c r="C44" s="71"/>
      <c r="D44" s="71"/>
      <c r="E44" s="71"/>
      <c r="F44" s="71"/>
      <c r="G44" s="71"/>
      <c r="H44" s="71"/>
      <c r="I44" s="71"/>
      <c r="J44" s="71"/>
      <c r="K44" s="71"/>
      <c r="L44" s="71"/>
    </row>
    <row r="45" spans="1:12" x14ac:dyDescent="0.25">
      <c r="A45" s="71"/>
      <c r="B45" s="71"/>
      <c r="C45" s="71"/>
      <c r="D45" s="71"/>
      <c r="E45" s="71"/>
      <c r="F45" s="71"/>
      <c r="G45" s="71"/>
      <c r="H45" s="71"/>
      <c r="I45" s="71"/>
      <c r="J45" s="71"/>
      <c r="K45" s="71"/>
      <c r="L45" s="71"/>
    </row>
    <row r="46" spans="1:12" x14ac:dyDescent="0.25">
      <c r="A46" s="71"/>
      <c r="B46" s="71"/>
      <c r="C46" s="71"/>
      <c r="D46" s="71"/>
      <c r="E46" s="71"/>
      <c r="F46" s="71"/>
      <c r="G46" s="71"/>
      <c r="H46" s="71"/>
      <c r="I46" s="71"/>
      <c r="J46" s="71"/>
      <c r="K46" s="71"/>
      <c r="L46" s="71"/>
    </row>
    <row r="47" spans="1:12" x14ac:dyDescent="0.25">
      <c r="A47" s="71"/>
      <c r="B47" s="71"/>
      <c r="C47" s="71"/>
      <c r="D47" s="71"/>
      <c r="E47" s="71"/>
      <c r="F47" s="71"/>
      <c r="G47" s="71"/>
      <c r="H47" s="71"/>
      <c r="I47" s="71"/>
      <c r="J47" s="71"/>
      <c r="K47" s="71"/>
      <c r="L47" s="71"/>
    </row>
    <row r="48" spans="1:12" ht="15" customHeight="1" x14ac:dyDescent="0.25">
      <c r="A48" s="71"/>
      <c r="B48" s="71"/>
      <c r="C48" s="71"/>
      <c r="D48" s="71"/>
      <c r="E48" s="71"/>
      <c r="F48" s="71"/>
      <c r="G48" s="71"/>
      <c r="H48" s="71"/>
      <c r="I48" s="71"/>
      <c r="J48" s="71"/>
      <c r="K48" s="71"/>
      <c r="L48" s="71"/>
    </row>
    <row r="49" spans="1:12" x14ac:dyDescent="0.25">
      <c r="A49" s="71"/>
      <c r="B49" s="71"/>
      <c r="C49" s="71"/>
      <c r="D49" s="71"/>
      <c r="E49" s="71"/>
      <c r="F49" s="71"/>
      <c r="G49" s="71"/>
      <c r="H49" s="71"/>
      <c r="I49" s="71"/>
      <c r="J49" s="71"/>
      <c r="K49" s="71"/>
      <c r="L49" s="71"/>
    </row>
    <row r="50" spans="1:12" ht="22.5" customHeight="1" x14ac:dyDescent="0.25">
      <c r="A50" s="70" t="s">
        <v>92</v>
      </c>
      <c r="B50" s="70"/>
      <c r="C50" s="70"/>
      <c r="D50" s="70"/>
      <c r="E50" s="70"/>
      <c r="F50" s="70"/>
      <c r="G50" s="70"/>
      <c r="H50" s="70"/>
      <c r="I50" s="70"/>
      <c r="J50" s="70"/>
      <c r="K50" s="70"/>
      <c r="L50" s="70"/>
    </row>
    <row r="51" spans="1:12" ht="15" customHeight="1" x14ac:dyDescent="0.25">
      <c r="A51" s="69" t="s">
        <v>93</v>
      </c>
      <c r="B51" s="69"/>
      <c r="C51" s="69"/>
      <c r="D51" s="69"/>
      <c r="E51" s="69"/>
      <c r="F51" s="69"/>
      <c r="G51" s="69"/>
      <c r="H51" s="69"/>
      <c r="I51" s="69"/>
      <c r="J51" s="69"/>
      <c r="K51" s="69"/>
      <c r="L51" s="69"/>
    </row>
    <row r="52" spans="1:12" x14ac:dyDescent="0.25">
      <c r="A52" s="69"/>
      <c r="B52" s="69"/>
      <c r="C52" s="69"/>
      <c r="D52" s="69"/>
      <c r="E52" s="69"/>
      <c r="F52" s="69"/>
      <c r="G52" s="69"/>
      <c r="H52" s="69"/>
      <c r="I52" s="69"/>
      <c r="J52" s="69"/>
      <c r="K52" s="69"/>
      <c r="L52" s="69"/>
    </row>
    <row r="53" spans="1:12" x14ac:dyDescent="0.25">
      <c r="A53" s="69"/>
      <c r="B53" s="69"/>
      <c r="C53" s="69"/>
      <c r="D53" s="69"/>
      <c r="E53" s="69"/>
      <c r="F53" s="69"/>
      <c r="G53" s="69"/>
      <c r="H53" s="69"/>
      <c r="I53" s="69"/>
      <c r="J53" s="69"/>
      <c r="K53" s="69"/>
      <c r="L53" s="69"/>
    </row>
    <row r="54" spans="1:12" x14ac:dyDescent="0.25">
      <c r="A54" s="69"/>
      <c r="B54" s="69"/>
      <c r="C54" s="69"/>
      <c r="D54" s="69"/>
      <c r="E54" s="69"/>
      <c r="F54" s="69"/>
      <c r="G54" s="69"/>
      <c r="H54" s="69"/>
      <c r="I54" s="69"/>
      <c r="J54" s="69"/>
      <c r="K54" s="69"/>
      <c r="L54" s="69"/>
    </row>
    <row r="55" spans="1:12" x14ac:dyDescent="0.25">
      <c r="A55" s="69"/>
      <c r="B55" s="69"/>
      <c r="C55" s="69"/>
      <c r="D55" s="69"/>
      <c r="E55" s="69"/>
      <c r="F55" s="69"/>
      <c r="G55" s="69"/>
      <c r="H55" s="69"/>
      <c r="I55" s="69"/>
      <c r="J55" s="69"/>
      <c r="K55" s="69"/>
      <c r="L55" s="69"/>
    </row>
    <row r="56" spans="1:12" x14ac:dyDescent="0.25">
      <c r="A56" s="69"/>
      <c r="B56" s="69"/>
      <c r="C56" s="69"/>
      <c r="D56" s="69"/>
      <c r="E56" s="69"/>
      <c r="F56" s="69"/>
      <c r="G56" s="69"/>
      <c r="H56" s="69"/>
      <c r="I56" s="69"/>
      <c r="J56" s="69"/>
      <c r="K56" s="69"/>
      <c r="L56" s="69"/>
    </row>
    <row r="57" spans="1:12" x14ac:dyDescent="0.25">
      <c r="A57" s="69"/>
      <c r="B57" s="69"/>
      <c r="C57" s="69"/>
      <c r="D57" s="69"/>
      <c r="E57" s="69"/>
      <c r="F57" s="69"/>
      <c r="G57" s="69"/>
      <c r="H57" s="69"/>
      <c r="I57" s="69"/>
      <c r="J57" s="69"/>
      <c r="K57" s="69"/>
      <c r="L57" s="69"/>
    </row>
    <row r="58" spans="1:12" x14ac:dyDescent="0.25">
      <c r="A58" s="69"/>
      <c r="B58" s="69"/>
      <c r="C58" s="69"/>
      <c r="D58" s="69"/>
      <c r="E58" s="69"/>
      <c r="F58" s="69"/>
      <c r="G58" s="69"/>
      <c r="H58" s="69"/>
      <c r="I58" s="69"/>
      <c r="J58" s="69"/>
      <c r="K58" s="69"/>
      <c r="L58" s="69"/>
    </row>
    <row r="59" spans="1:12" x14ac:dyDescent="0.25">
      <c r="A59" s="69"/>
      <c r="B59" s="69"/>
      <c r="C59" s="69"/>
      <c r="D59" s="69"/>
      <c r="E59" s="69"/>
      <c r="F59" s="69"/>
      <c r="G59" s="69"/>
      <c r="H59" s="69"/>
      <c r="I59" s="69"/>
      <c r="J59" s="69"/>
      <c r="K59" s="69"/>
      <c r="L59" s="69"/>
    </row>
  </sheetData>
  <sheetProtection sheet="1" objects="1" scenarios="1" selectLockedCells="1" selectUnlockedCells="1"/>
  <mergeCells count="12">
    <mergeCell ref="A51:L59"/>
    <mergeCell ref="A24:L24"/>
    <mergeCell ref="A25:L35"/>
    <mergeCell ref="A36:L36"/>
    <mergeCell ref="A15:L15"/>
    <mergeCell ref="A1:L1"/>
    <mergeCell ref="A2:L4"/>
    <mergeCell ref="A5:L5"/>
    <mergeCell ref="A50:L50"/>
    <mergeCell ref="A6:L14"/>
    <mergeCell ref="A16:L23"/>
    <mergeCell ref="A37:L4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7F92E-2E86-4CA3-8CE4-5F820D000E53}">
  <dimension ref="A1:N3548"/>
  <sheetViews>
    <sheetView workbookViewId="0">
      <selection activeCell="Q7" sqref="Q7"/>
    </sheetView>
  </sheetViews>
  <sheetFormatPr defaultRowHeight="15" x14ac:dyDescent="0.25"/>
  <cols>
    <col min="1" max="1" width="10.5703125" bestFit="1" customWidth="1"/>
    <col min="2" max="2" width="16.42578125" bestFit="1" customWidth="1"/>
    <col min="3" max="3" width="14.5703125" bestFit="1" customWidth="1"/>
    <col min="4" max="4" width="11.7109375" bestFit="1" customWidth="1"/>
    <col min="5" max="5" width="19.140625" bestFit="1" customWidth="1"/>
    <col min="6" max="6" width="17" bestFit="1" customWidth="1"/>
    <col min="7" max="7" width="13.85546875" bestFit="1" customWidth="1"/>
    <col min="8" max="8" width="17.140625" bestFit="1" customWidth="1"/>
    <col min="9" max="9" width="10.140625" bestFit="1" customWidth="1"/>
    <col min="10" max="10" width="18.140625" bestFit="1" customWidth="1"/>
    <col min="13" max="14" width="0" hidden="1" customWidth="1"/>
  </cols>
  <sheetData>
    <row r="1" spans="1:14" x14ac:dyDescent="0.25">
      <c r="A1" s="2" t="s">
        <v>78</v>
      </c>
      <c r="B1" s="2" t="s">
        <v>0</v>
      </c>
      <c r="C1" s="2" t="s">
        <v>1</v>
      </c>
      <c r="D1" s="3" t="s">
        <v>2</v>
      </c>
      <c r="E1" s="2" t="s">
        <v>3</v>
      </c>
      <c r="F1" s="2" t="s">
        <v>4</v>
      </c>
      <c r="G1" s="2" t="s">
        <v>5</v>
      </c>
      <c r="H1" s="2" t="s">
        <v>6</v>
      </c>
      <c r="I1" s="2" t="s">
        <v>9</v>
      </c>
      <c r="J1" s="2" t="s">
        <v>77</v>
      </c>
    </row>
    <row r="2" spans="1:14" x14ac:dyDescent="0.25">
      <c r="A2" s="4">
        <f>_xlfn.XLOOKUP(E2,'Data Validation'!$M$3:$M$10,'Data Validation'!$N$3:$N$10)</f>
        <v>1</v>
      </c>
      <c r="B2" s="4">
        <v>13</v>
      </c>
      <c r="C2" s="4" t="s">
        <v>11</v>
      </c>
      <c r="D2" s="7">
        <v>28.9</v>
      </c>
      <c r="E2" s="4" t="s">
        <v>18</v>
      </c>
      <c r="F2" s="4" t="s">
        <v>17</v>
      </c>
      <c r="G2" s="4" t="s">
        <v>49</v>
      </c>
      <c r="H2" s="4" t="s">
        <v>44</v>
      </c>
      <c r="I2" s="5">
        <v>45352</v>
      </c>
      <c r="J2" s="4">
        <f>1</f>
        <v>1</v>
      </c>
    </row>
    <row r="3" spans="1:14" x14ac:dyDescent="0.25">
      <c r="A3" s="4">
        <f>_xlfn.XLOOKUP(E3,'Data Validation'!$M$3:$M$10,'Data Validation'!$N$3:$N$10)</f>
        <v>1</v>
      </c>
      <c r="B3" s="4">
        <v>10</v>
      </c>
      <c r="C3" s="4" t="s">
        <v>11</v>
      </c>
      <c r="D3" s="7">
        <v>28.9</v>
      </c>
      <c r="E3" s="4" t="s">
        <v>18</v>
      </c>
      <c r="F3" s="4" t="s">
        <v>13</v>
      </c>
      <c r="G3" s="4" t="s">
        <v>50</v>
      </c>
      <c r="H3" s="4" t="s">
        <v>44</v>
      </c>
      <c r="I3" s="5">
        <v>45353</v>
      </c>
      <c r="J3" s="4">
        <f t="shared" ref="J3:J66" si="0">IF(OR(E3&lt;&gt;E2,D3&lt;&gt;D2),J2+1,J2)</f>
        <v>1</v>
      </c>
      <c r="M3" t="s">
        <v>18</v>
      </c>
      <c r="N3">
        <v>1</v>
      </c>
    </row>
    <row r="4" spans="1:14" x14ac:dyDescent="0.25">
      <c r="A4" s="4">
        <f>_xlfn.XLOOKUP(E4,'Data Validation'!$M$3:$M$10,'Data Validation'!$N$3:$N$10)</f>
        <v>1</v>
      </c>
      <c r="B4" s="4">
        <v>14</v>
      </c>
      <c r="C4" s="4" t="s">
        <v>11</v>
      </c>
      <c r="D4" s="7">
        <v>28.9</v>
      </c>
      <c r="E4" s="4" t="s">
        <v>18</v>
      </c>
      <c r="F4" s="4" t="s">
        <v>17</v>
      </c>
      <c r="G4" s="4" t="s">
        <v>50</v>
      </c>
      <c r="H4" s="4" t="s">
        <v>44</v>
      </c>
      <c r="I4" s="5">
        <v>45353</v>
      </c>
      <c r="J4" s="4">
        <f t="shared" si="0"/>
        <v>1</v>
      </c>
      <c r="M4" t="s">
        <v>19</v>
      </c>
      <c r="N4">
        <v>2</v>
      </c>
    </row>
    <row r="5" spans="1:14" x14ac:dyDescent="0.25">
      <c r="A5" s="4">
        <f>_xlfn.XLOOKUP(E5,'Data Validation'!$M$3:$M$10,'Data Validation'!$N$3:$N$10)</f>
        <v>1</v>
      </c>
      <c r="B5" s="4">
        <v>17</v>
      </c>
      <c r="C5" s="4" t="s">
        <v>11</v>
      </c>
      <c r="D5" s="7">
        <v>28.9</v>
      </c>
      <c r="E5" s="4" t="s">
        <v>18</v>
      </c>
      <c r="F5" s="4" t="s">
        <v>20</v>
      </c>
      <c r="G5" s="4" t="s">
        <v>50</v>
      </c>
      <c r="H5" s="4" t="s">
        <v>44</v>
      </c>
      <c r="I5" s="5">
        <v>45353</v>
      </c>
      <c r="J5" s="4">
        <f t="shared" si="0"/>
        <v>1</v>
      </c>
      <c r="M5" t="s">
        <v>29</v>
      </c>
      <c r="N5">
        <v>3</v>
      </c>
    </row>
    <row r="6" spans="1:14" x14ac:dyDescent="0.25">
      <c r="A6" s="4">
        <f>_xlfn.XLOOKUP(E6,'Data Validation'!$M$3:$M$10,'Data Validation'!$N$3:$N$10)</f>
        <v>1</v>
      </c>
      <c r="B6" s="4">
        <v>12</v>
      </c>
      <c r="C6" s="4" t="s">
        <v>11</v>
      </c>
      <c r="D6" s="7">
        <v>28.9</v>
      </c>
      <c r="E6" s="4" t="s">
        <v>18</v>
      </c>
      <c r="F6" s="4" t="s">
        <v>17</v>
      </c>
      <c r="G6" s="4" t="s">
        <v>51</v>
      </c>
      <c r="H6" s="4" t="s">
        <v>44</v>
      </c>
      <c r="I6" s="5">
        <v>45354</v>
      </c>
      <c r="J6" s="4">
        <f t="shared" si="0"/>
        <v>1</v>
      </c>
      <c r="M6" t="s">
        <v>21</v>
      </c>
      <c r="N6">
        <v>4</v>
      </c>
    </row>
    <row r="7" spans="1:14" x14ac:dyDescent="0.25">
      <c r="A7" s="4">
        <f>_xlfn.XLOOKUP(E7,'Data Validation'!$M$3:$M$10,'Data Validation'!$N$3:$N$10)</f>
        <v>1</v>
      </c>
      <c r="B7" s="4">
        <v>13</v>
      </c>
      <c r="C7" s="4" t="s">
        <v>11</v>
      </c>
      <c r="D7" s="7">
        <v>28.9</v>
      </c>
      <c r="E7" s="4" t="s">
        <v>18</v>
      </c>
      <c r="F7" s="4" t="s">
        <v>17</v>
      </c>
      <c r="G7" s="4" t="s">
        <v>47</v>
      </c>
      <c r="H7" s="4" t="s">
        <v>44</v>
      </c>
      <c r="I7" s="5">
        <v>45357</v>
      </c>
      <c r="J7" s="4">
        <f t="shared" si="0"/>
        <v>1</v>
      </c>
      <c r="M7" t="s">
        <v>24</v>
      </c>
      <c r="N7">
        <v>5</v>
      </c>
    </row>
    <row r="8" spans="1:14" x14ac:dyDescent="0.25">
      <c r="A8" s="4">
        <f>_xlfn.XLOOKUP(E8,'Data Validation'!$M$3:$M$10,'Data Validation'!$N$3:$N$10)</f>
        <v>1</v>
      </c>
      <c r="B8" s="4">
        <v>15</v>
      </c>
      <c r="C8" s="4" t="s">
        <v>11</v>
      </c>
      <c r="D8" s="7">
        <v>28.9</v>
      </c>
      <c r="E8" s="4" t="s">
        <v>18</v>
      </c>
      <c r="F8" s="4" t="s">
        <v>17</v>
      </c>
      <c r="G8" s="4" t="s">
        <v>48</v>
      </c>
      <c r="H8" s="4" t="s">
        <v>44</v>
      </c>
      <c r="I8" s="5">
        <v>45358</v>
      </c>
      <c r="J8" s="4">
        <f t="shared" si="0"/>
        <v>1</v>
      </c>
      <c r="M8" t="s">
        <v>26</v>
      </c>
      <c r="N8">
        <v>6</v>
      </c>
    </row>
    <row r="9" spans="1:14" x14ac:dyDescent="0.25">
      <c r="A9" s="4">
        <f>_xlfn.XLOOKUP(E9,'Data Validation'!$M$3:$M$10,'Data Validation'!$N$3:$N$10)</f>
        <v>1</v>
      </c>
      <c r="B9" s="4">
        <v>13</v>
      </c>
      <c r="C9" s="4" t="s">
        <v>11</v>
      </c>
      <c r="D9" s="7">
        <v>28.9</v>
      </c>
      <c r="E9" s="4" t="s">
        <v>18</v>
      </c>
      <c r="F9" s="4" t="s">
        <v>17</v>
      </c>
      <c r="G9" s="4" t="s">
        <v>49</v>
      </c>
      <c r="H9" s="4" t="s">
        <v>44</v>
      </c>
      <c r="I9" s="5">
        <v>45359</v>
      </c>
      <c r="J9" s="4">
        <f t="shared" si="0"/>
        <v>1</v>
      </c>
      <c r="M9" t="s">
        <v>16</v>
      </c>
      <c r="N9">
        <v>7</v>
      </c>
    </row>
    <row r="10" spans="1:14" x14ac:dyDescent="0.25">
      <c r="A10" s="4">
        <f>_xlfn.XLOOKUP(E10,'Data Validation'!$M$3:$M$10,'Data Validation'!$N$3:$N$10)</f>
        <v>1</v>
      </c>
      <c r="B10" s="4">
        <v>14</v>
      </c>
      <c r="C10" s="4" t="s">
        <v>11</v>
      </c>
      <c r="D10" s="7">
        <v>28.9</v>
      </c>
      <c r="E10" s="4" t="s">
        <v>18</v>
      </c>
      <c r="F10" s="4" t="s">
        <v>17</v>
      </c>
      <c r="G10" s="4" t="s">
        <v>49</v>
      </c>
      <c r="H10" s="4" t="s">
        <v>44</v>
      </c>
      <c r="I10" s="5">
        <v>45359</v>
      </c>
      <c r="J10" s="4">
        <f t="shared" si="0"/>
        <v>1</v>
      </c>
      <c r="M10" t="s">
        <v>12</v>
      </c>
      <c r="N10">
        <v>8</v>
      </c>
    </row>
    <row r="11" spans="1:14" x14ac:dyDescent="0.25">
      <c r="A11" s="4">
        <f>_xlfn.XLOOKUP(E11,'Data Validation'!$M$3:$M$10,'Data Validation'!$N$3:$N$10)</f>
        <v>1</v>
      </c>
      <c r="B11" s="4">
        <v>14</v>
      </c>
      <c r="C11" s="4" t="s">
        <v>11</v>
      </c>
      <c r="D11" s="7">
        <v>28.9</v>
      </c>
      <c r="E11" s="4" t="s">
        <v>18</v>
      </c>
      <c r="F11" s="4" t="s">
        <v>17</v>
      </c>
      <c r="G11" s="4" t="s">
        <v>49</v>
      </c>
      <c r="H11" s="4" t="s">
        <v>44</v>
      </c>
      <c r="I11" s="5">
        <v>45359</v>
      </c>
      <c r="J11" s="4">
        <f t="shared" si="0"/>
        <v>1</v>
      </c>
    </row>
    <row r="12" spans="1:14" x14ac:dyDescent="0.25">
      <c r="A12" s="4">
        <f>_xlfn.XLOOKUP(E12,'Data Validation'!$M$3:$M$10,'Data Validation'!$N$3:$N$10)</f>
        <v>1</v>
      </c>
      <c r="B12" s="4">
        <v>12</v>
      </c>
      <c r="C12" s="4" t="s">
        <v>11</v>
      </c>
      <c r="D12" s="7">
        <v>28.9</v>
      </c>
      <c r="E12" s="4" t="s">
        <v>18</v>
      </c>
      <c r="F12" s="4" t="s">
        <v>17</v>
      </c>
      <c r="G12" s="4" t="s">
        <v>50</v>
      </c>
      <c r="H12" s="4" t="s">
        <v>44</v>
      </c>
      <c r="I12" s="5">
        <v>45360</v>
      </c>
      <c r="J12" s="4">
        <f t="shared" si="0"/>
        <v>1</v>
      </c>
    </row>
    <row r="13" spans="1:14" x14ac:dyDescent="0.25">
      <c r="A13" s="4">
        <f>_xlfn.XLOOKUP(E13,'Data Validation'!$M$3:$M$10,'Data Validation'!$N$3:$N$10)</f>
        <v>1</v>
      </c>
      <c r="B13" s="4">
        <v>12</v>
      </c>
      <c r="C13" s="4" t="s">
        <v>11</v>
      </c>
      <c r="D13" s="7">
        <v>28.9</v>
      </c>
      <c r="E13" s="4" t="s">
        <v>18</v>
      </c>
      <c r="F13" s="4" t="s">
        <v>17</v>
      </c>
      <c r="G13" s="4" t="s">
        <v>50</v>
      </c>
      <c r="H13" s="4" t="s">
        <v>44</v>
      </c>
      <c r="I13" s="5">
        <v>45360</v>
      </c>
      <c r="J13" s="4">
        <f t="shared" si="0"/>
        <v>1</v>
      </c>
    </row>
    <row r="14" spans="1:14" x14ac:dyDescent="0.25">
      <c r="A14" s="4">
        <f>_xlfn.XLOOKUP(E14,'Data Validation'!$M$3:$M$10,'Data Validation'!$N$3:$N$10)</f>
        <v>1</v>
      </c>
      <c r="B14" s="4">
        <v>12</v>
      </c>
      <c r="C14" s="4" t="s">
        <v>11</v>
      </c>
      <c r="D14" s="7">
        <v>28.9</v>
      </c>
      <c r="E14" s="4" t="s">
        <v>18</v>
      </c>
      <c r="F14" s="4" t="s">
        <v>17</v>
      </c>
      <c r="G14" s="4" t="s">
        <v>50</v>
      </c>
      <c r="H14" s="4" t="s">
        <v>44</v>
      </c>
      <c r="I14" s="5">
        <v>45360</v>
      </c>
      <c r="J14" s="4">
        <f t="shared" si="0"/>
        <v>1</v>
      </c>
    </row>
    <row r="15" spans="1:14" x14ac:dyDescent="0.25">
      <c r="A15" s="4">
        <f>_xlfn.XLOOKUP(E15,'Data Validation'!$M$3:$M$10,'Data Validation'!$N$3:$N$10)</f>
        <v>1</v>
      </c>
      <c r="B15" s="4">
        <v>16</v>
      </c>
      <c r="C15" s="4" t="s">
        <v>11</v>
      </c>
      <c r="D15" s="7">
        <v>28.9</v>
      </c>
      <c r="E15" s="4" t="s">
        <v>18</v>
      </c>
      <c r="F15" s="4" t="s">
        <v>17</v>
      </c>
      <c r="G15" s="4" t="s">
        <v>45</v>
      </c>
      <c r="H15" s="4" t="s">
        <v>44</v>
      </c>
      <c r="I15" s="5">
        <v>45362</v>
      </c>
      <c r="J15" s="4">
        <f t="shared" si="0"/>
        <v>1</v>
      </c>
    </row>
    <row r="16" spans="1:14" x14ac:dyDescent="0.25">
      <c r="A16" s="4">
        <f>_xlfn.XLOOKUP(E16,'Data Validation'!$M$3:$M$10,'Data Validation'!$N$3:$N$10)</f>
        <v>1</v>
      </c>
      <c r="B16" s="4">
        <v>10</v>
      </c>
      <c r="C16" s="4" t="s">
        <v>11</v>
      </c>
      <c r="D16" s="7">
        <v>28.9</v>
      </c>
      <c r="E16" s="4" t="s">
        <v>18</v>
      </c>
      <c r="F16" s="4" t="s">
        <v>13</v>
      </c>
      <c r="G16" s="4" t="s">
        <v>46</v>
      </c>
      <c r="H16" s="4" t="s">
        <v>44</v>
      </c>
      <c r="I16" s="5">
        <v>45363</v>
      </c>
      <c r="J16" s="4">
        <f t="shared" si="0"/>
        <v>1</v>
      </c>
    </row>
    <row r="17" spans="1:10" x14ac:dyDescent="0.25">
      <c r="A17" s="4">
        <f>_xlfn.XLOOKUP(E17,'Data Validation'!$M$3:$M$10,'Data Validation'!$N$3:$N$10)</f>
        <v>1</v>
      </c>
      <c r="B17" s="4">
        <v>12</v>
      </c>
      <c r="C17" s="4" t="s">
        <v>11</v>
      </c>
      <c r="D17" s="7">
        <v>28.9</v>
      </c>
      <c r="E17" s="4" t="s">
        <v>18</v>
      </c>
      <c r="F17" s="4" t="s">
        <v>17</v>
      </c>
      <c r="G17" s="4" t="s">
        <v>46</v>
      </c>
      <c r="H17" s="4" t="s">
        <v>44</v>
      </c>
      <c r="I17" s="5">
        <v>45363</v>
      </c>
      <c r="J17" s="4">
        <f t="shared" si="0"/>
        <v>1</v>
      </c>
    </row>
    <row r="18" spans="1:10" x14ac:dyDescent="0.25">
      <c r="A18" s="4">
        <f>_xlfn.XLOOKUP(E18,'Data Validation'!$M$3:$M$10,'Data Validation'!$N$3:$N$10)</f>
        <v>1</v>
      </c>
      <c r="B18" s="4">
        <v>16</v>
      </c>
      <c r="C18" s="4" t="s">
        <v>11</v>
      </c>
      <c r="D18" s="7">
        <v>28.9</v>
      </c>
      <c r="E18" s="4" t="s">
        <v>18</v>
      </c>
      <c r="F18" s="4" t="s">
        <v>17</v>
      </c>
      <c r="G18" s="4" t="s">
        <v>46</v>
      </c>
      <c r="H18" s="4" t="s">
        <v>44</v>
      </c>
      <c r="I18" s="5">
        <v>45363</v>
      </c>
      <c r="J18" s="4">
        <f t="shared" si="0"/>
        <v>1</v>
      </c>
    </row>
    <row r="19" spans="1:10" x14ac:dyDescent="0.25">
      <c r="A19" s="4">
        <f>_xlfn.XLOOKUP(E19,'Data Validation'!$M$3:$M$10,'Data Validation'!$N$3:$N$10)</f>
        <v>1</v>
      </c>
      <c r="B19" s="4">
        <v>11</v>
      </c>
      <c r="C19" s="4" t="s">
        <v>11</v>
      </c>
      <c r="D19" s="7">
        <v>28.9</v>
      </c>
      <c r="E19" s="4" t="s">
        <v>18</v>
      </c>
      <c r="F19" s="4" t="s">
        <v>13</v>
      </c>
      <c r="G19" s="4" t="s">
        <v>47</v>
      </c>
      <c r="H19" s="4" t="s">
        <v>44</v>
      </c>
      <c r="I19" s="5">
        <v>45364</v>
      </c>
      <c r="J19" s="4">
        <f t="shared" si="0"/>
        <v>1</v>
      </c>
    </row>
    <row r="20" spans="1:10" x14ac:dyDescent="0.25">
      <c r="A20" s="4">
        <f>_xlfn.XLOOKUP(E20,'Data Validation'!$M$3:$M$10,'Data Validation'!$N$3:$N$10)</f>
        <v>1</v>
      </c>
      <c r="B20" s="4">
        <v>12</v>
      </c>
      <c r="C20" s="4" t="s">
        <v>11</v>
      </c>
      <c r="D20" s="7">
        <v>28.9</v>
      </c>
      <c r="E20" s="4" t="s">
        <v>18</v>
      </c>
      <c r="F20" s="4" t="s">
        <v>17</v>
      </c>
      <c r="G20" s="4" t="s">
        <v>47</v>
      </c>
      <c r="H20" s="4" t="s">
        <v>44</v>
      </c>
      <c r="I20" s="5">
        <v>45364</v>
      </c>
      <c r="J20" s="4">
        <f t="shared" si="0"/>
        <v>1</v>
      </c>
    </row>
    <row r="21" spans="1:10" x14ac:dyDescent="0.25">
      <c r="A21" s="4">
        <f>_xlfn.XLOOKUP(E21,'Data Validation'!$M$3:$M$10,'Data Validation'!$N$3:$N$10)</f>
        <v>1</v>
      </c>
      <c r="B21" s="4">
        <v>12</v>
      </c>
      <c r="C21" s="4" t="s">
        <v>11</v>
      </c>
      <c r="D21" s="7">
        <v>28.9</v>
      </c>
      <c r="E21" s="4" t="s">
        <v>18</v>
      </c>
      <c r="F21" s="4" t="s">
        <v>17</v>
      </c>
      <c r="G21" s="4" t="s">
        <v>47</v>
      </c>
      <c r="H21" s="4" t="s">
        <v>44</v>
      </c>
      <c r="I21" s="5">
        <v>45364</v>
      </c>
      <c r="J21" s="4">
        <f t="shared" si="0"/>
        <v>1</v>
      </c>
    </row>
    <row r="22" spans="1:10" x14ac:dyDescent="0.25">
      <c r="A22" s="4">
        <f>_xlfn.XLOOKUP(E22,'Data Validation'!$M$3:$M$10,'Data Validation'!$N$3:$N$10)</f>
        <v>1</v>
      </c>
      <c r="B22" s="4">
        <v>13</v>
      </c>
      <c r="C22" s="4" t="s">
        <v>11</v>
      </c>
      <c r="D22" s="7">
        <v>28.9</v>
      </c>
      <c r="E22" s="4" t="s">
        <v>18</v>
      </c>
      <c r="F22" s="4" t="s">
        <v>17</v>
      </c>
      <c r="G22" s="4" t="s">
        <v>48</v>
      </c>
      <c r="H22" s="4" t="s">
        <v>44</v>
      </c>
      <c r="I22" s="5">
        <v>45365</v>
      </c>
      <c r="J22" s="4">
        <f t="shared" si="0"/>
        <v>1</v>
      </c>
    </row>
    <row r="23" spans="1:10" x14ac:dyDescent="0.25">
      <c r="A23" s="4">
        <f>_xlfn.XLOOKUP(E23,'Data Validation'!$M$3:$M$10,'Data Validation'!$N$3:$N$10)</f>
        <v>1</v>
      </c>
      <c r="B23" s="4">
        <v>18</v>
      </c>
      <c r="C23" s="4" t="s">
        <v>11</v>
      </c>
      <c r="D23" s="7">
        <v>28.9</v>
      </c>
      <c r="E23" s="4" t="s">
        <v>18</v>
      </c>
      <c r="F23" s="4" t="s">
        <v>20</v>
      </c>
      <c r="G23" s="4" t="s">
        <v>49</v>
      </c>
      <c r="H23" s="4" t="s">
        <v>44</v>
      </c>
      <c r="I23" s="5">
        <v>45366</v>
      </c>
      <c r="J23" s="4">
        <f t="shared" si="0"/>
        <v>1</v>
      </c>
    </row>
    <row r="24" spans="1:10" x14ac:dyDescent="0.25">
      <c r="A24" s="4">
        <f>_xlfn.XLOOKUP(E24,'Data Validation'!$M$3:$M$10,'Data Validation'!$N$3:$N$10)</f>
        <v>1</v>
      </c>
      <c r="B24" s="4">
        <v>12</v>
      </c>
      <c r="C24" s="4" t="s">
        <v>11</v>
      </c>
      <c r="D24" s="7">
        <v>28.9</v>
      </c>
      <c r="E24" s="4" t="s">
        <v>18</v>
      </c>
      <c r="F24" s="4" t="s">
        <v>17</v>
      </c>
      <c r="G24" s="4" t="s">
        <v>50</v>
      </c>
      <c r="H24" s="4" t="s">
        <v>44</v>
      </c>
      <c r="I24" s="5">
        <v>45367</v>
      </c>
      <c r="J24" s="4">
        <f t="shared" si="0"/>
        <v>1</v>
      </c>
    </row>
    <row r="25" spans="1:10" x14ac:dyDescent="0.25">
      <c r="A25" s="4">
        <f>_xlfn.XLOOKUP(E25,'Data Validation'!$M$3:$M$10,'Data Validation'!$N$3:$N$10)</f>
        <v>1</v>
      </c>
      <c r="B25" s="4">
        <v>15</v>
      </c>
      <c r="C25" s="4" t="s">
        <v>11</v>
      </c>
      <c r="D25" s="7">
        <v>28.9</v>
      </c>
      <c r="E25" s="4" t="s">
        <v>18</v>
      </c>
      <c r="F25" s="4" t="s">
        <v>17</v>
      </c>
      <c r="G25" s="4" t="s">
        <v>45</v>
      </c>
      <c r="H25" s="4" t="s">
        <v>44</v>
      </c>
      <c r="I25" s="5">
        <v>45369</v>
      </c>
      <c r="J25" s="4">
        <f t="shared" si="0"/>
        <v>1</v>
      </c>
    </row>
    <row r="26" spans="1:10" x14ac:dyDescent="0.25">
      <c r="A26" s="4">
        <f>_xlfn.XLOOKUP(E26,'Data Validation'!$M$3:$M$10,'Data Validation'!$N$3:$N$10)</f>
        <v>1</v>
      </c>
      <c r="B26" s="4">
        <v>15</v>
      </c>
      <c r="C26" s="4" t="s">
        <v>11</v>
      </c>
      <c r="D26" s="7">
        <v>28.9</v>
      </c>
      <c r="E26" s="4" t="s">
        <v>18</v>
      </c>
      <c r="F26" s="4" t="s">
        <v>17</v>
      </c>
      <c r="G26" s="4" t="s">
        <v>45</v>
      </c>
      <c r="H26" s="4" t="s">
        <v>44</v>
      </c>
      <c r="I26" s="5">
        <v>45369</v>
      </c>
      <c r="J26" s="4">
        <f t="shared" si="0"/>
        <v>1</v>
      </c>
    </row>
    <row r="27" spans="1:10" x14ac:dyDescent="0.25">
      <c r="A27" s="4">
        <f>_xlfn.XLOOKUP(E27,'Data Validation'!$M$3:$M$10,'Data Validation'!$N$3:$N$10)</f>
        <v>1</v>
      </c>
      <c r="B27" s="4">
        <v>15</v>
      </c>
      <c r="C27" s="4" t="s">
        <v>11</v>
      </c>
      <c r="D27" s="7">
        <v>28.9</v>
      </c>
      <c r="E27" s="4" t="s">
        <v>18</v>
      </c>
      <c r="F27" s="4" t="s">
        <v>17</v>
      </c>
      <c r="G27" s="4" t="s">
        <v>45</v>
      </c>
      <c r="H27" s="4" t="s">
        <v>44</v>
      </c>
      <c r="I27" s="5">
        <v>45369</v>
      </c>
      <c r="J27" s="4">
        <f t="shared" si="0"/>
        <v>1</v>
      </c>
    </row>
    <row r="28" spans="1:10" x14ac:dyDescent="0.25">
      <c r="A28" s="4">
        <f>_xlfn.XLOOKUP(E28,'Data Validation'!$M$3:$M$10,'Data Validation'!$N$3:$N$10)</f>
        <v>1</v>
      </c>
      <c r="B28" s="4">
        <v>17</v>
      </c>
      <c r="C28" s="4" t="s">
        <v>11</v>
      </c>
      <c r="D28" s="7">
        <v>28.9</v>
      </c>
      <c r="E28" s="4" t="s">
        <v>18</v>
      </c>
      <c r="F28" s="4" t="s">
        <v>20</v>
      </c>
      <c r="G28" s="4" t="s">
        <v>49</v>
      </c>
      <c r="H28" s="4" t="s">
        <v>44</v>
      </c>
      <c r="I28" s="5">
        <v>45373</v>
      </c>
      <c r="J28" s="4">
        <f t="shared" si="0"/>
        <v>1</v>
      </c>
    </row>
    <row r="29" spans="1:10" x14ac:dyDescent="0.25">
      <c r="A29" s="4">
        <f>_xlfn.XLOOKUP(E29,'Data Validation'!$M$3:$M$10,'Data Validation'!$N$3:$N$10)</f>
        <v>1</v>
      </c>
      <c r="B29" s="4">
        <v>17</v>
      </c>
      <c r="C29" s="4" t="s">
        <v>11</v>
      </c>
      <c r="D29" s="7">
        <v>28.9</v>
      </c>
      <c r="E29" s="4" t="s">
        <v>18</v>
      </c>
      <c r="F29" s="4" t="s">
        <v>20</v>
      </c>
      <c r="G29" s="4" t="s">
        <v>49</v>
      </c>
      <c r="H29" s="4" t="s">
        <v>44</v>
      </c>
      <c r="I29" s="5">
        <v>45373</v>
      </c>
      <c r="J29" s="4">
        <f t="shared" si="0"/>
        <v>1</v>
      </c>
    </row>
    <row r="30" spans="1:10" x14ac:dyDescent="0.25">
      <c r="A30" s="4">
        <f>_xlfn.XLOOKUP(E30,'Data Validation'!$M$3:$M$10,'Data Validation'!$N$3:$N$10)</f>
        <v>1</v>
      </c>
      <c r="B30" s="4">
        <v>13</v>
      </c>
      <c r="C30" s="4" t="s">
        <v>11</v>
      </c>
      <c r="D30" s="7">
        <v>28.9</v>
      </c>
      <c r="E30" s="4" t="s">
        <v>18</v>
      </c>
      <c r="F30" s="4" t="s">
        <v>17</v>
      </c>
      <c r="G30" s="4" t="s">
        <v>46</v>
      </c>
      <c r="H30" s="4" t="s">
        <v>44</v>
      </c>
      <c r="I30" s="5">
        <v>45377</v>
      </c>
      <c r="J30" s="4">
        <f t="shared" si="0"/>
        <v>1</v>
      </c>
    </row>
    <row r="31" spans="1:10" x14ac:dyDescent="0.25">
      <c r="A31" s="4">
        <f>_xlfn.XLOOKUP(E31,'Data Validation'!$M$3:$M$10,'Data Validation'!$N$3:$N$10)</f>
        <v>1</v>
      </c>
      <c r="B31" s="4">
        <v>13</v>
      </c>
      <c r="C31" s="4" t="s">
        <v>11</v>
      </c>
      <c r="D31" s="7">
        <v>28.9</v>
      </c>
      <c r="E31" s="4" t="s">
        <v>18</v>
      </c>
      <c r="F31" s="4" t="s">
        <v>17</v>
      </c>
      <c r="G31" s="4" t="s">
        <v>46</v>
      </c>
      <c r="H31" s="4" t="s">
        <v>44</v>
      </c>
      <c r="I31" s="5">
        <v>45377</v>
      </c>
      <c r="J31" s="4">
        <f t="shared" si="0"/>
        <v>1</v>
      </c>
    </row>
    <row r="32" spans="1:10" x14ac:dyDescent="0.25">
      <c r="A32" s="4">
        <f>_xlfn.XLOOKUP(E32,'Data Validation'!$M$3:$M$10,'Data Validation'!$N$3:$N$10)</f>
        <v>1</v>
      </c>
      <c r="B32" s="4">
        <v>14</v>
      </c>
      <c r="C32" s="4" t="s">
        <v>11</v>
      </c>
      <c r="D32" s="7">
        <v>28.9</v>
      </c>
      <c r="E32" s="4" t="s">
        <v>18</v>
      </c>
      <c r="F32" s="4" t="s">
        <v>17</v>
      </c>
      <c r="G32" s="4" t="s">
        <v>47</v>
      </c>
      <c r="H32" s="4" t="s">
        <v>44</v>
      </c>
      <c r="I32" s="5">
        <v>45378</v>
      </c>
      <c r="J32" s="4">
        <f t="shared" si="0"/>
        <v>1</v>
      </c>
    </row>
    <row r="33" spans="1:10" x14ac:dyDescent="0.25">
      <c r="A33" s="4">
        <f>_xlfn.XLOOKUP(E33,'Data Validation'!$M$3:$M$10,'Data Validation'!$N$3:$N$10)</f>
        <v>1</v>
      </c>
      <c r="B33" s="4">
        <v>17</v>
      </c>
      <c r="C33" s="4" t="s">
        <v>11</v>
      </c>
      <c r="D33" s="7">
        <v>28.9</v>
      </c>
      <c r="E33" s="4" t="s">
        <v>18</v>
      </c>
      <c r="F33" s="4" t="s">
        <v>20</v>
      </c>
      <c r="G33" s="4" t="s">
        <v>48</v>
      </c>
      <c r="H33" s="4" t="s">
        <v>44</v>
      </c>
      <c r="I33" s="5">
        <v>45379</v>
      </c>
      <c r="J33" s="4">
        <f t="shared" si="0"/>
        <v>1</v>
      </c>
    </row>
    <row r="34" spans="1:10" x14ac:dyDescent="0.25">
      <c r="A34" s="4">
        <f>_xlfn.XLOOKUP(E34,'Data Validation'!$M$3:$M$10,'Data Validation'!$N$3:$N$10)</f>
        <v>1</v>
      </c>
      <c r="B34" s="4">
        <v>10</v>
      </c>
      <c r="C34" s="4" t="s">
        <v>11</v>
      </c>
      <c r="D34" s="7">
        <v>28.9</v>
      </c>
      <c r="E34" s="4" t="s">
        <v>18</v>
      </c>
      <c r="F34" s="4" t="s">
        <v>13</v>
      </c>
      <c r="G34" s="4" t="s">
        <v>45</v>
      </c>
      <c r="H34" s="4" t="s">
        <v>52</v>
      </c>
      <c r="I34" s="5">
        <v>45383</v>
      </c>
      <c r="J34" s="4">
        <f t="shared" si="0"/>
        <v>1</v>
      </c>
    </row>
    <row r="35" spans="1:10" x14ac:dyDescent="0.25">
      <c r="A35" s="4">
        <f>_xlfn.XLOOKUP(E35,'Data Validation'!$M$3:$M$10,'Data Validation'!$N$3:$N$10)</f>
        <v>1</v>
      </c>
      <c r="B35" s="4">
        <v>16</v>
      </c>
      <c r="C35" s="4" t="s">
        <v>11</v>
      </c>
      <c r="D35" s="7">
        <v>28.9</v>
      </c>
      <c r="E35" s="4" t="s">
        <v>18</v>
      </c>
      <c r="F35" s="4" t="s">
        <v>17</v>
      </c>
      <c r="G35" s="4" t="s">
        <v>46</v>
      </c>
      <c r="H35" s="4" t="s">
        <v>52</v>
      </c>
      <c r="I35" s="5">
        <v>45384</v>
      </c>
      <c r="J35" s="4">
        <f t="shared" si="0"/>
        <v>1</v>
      </c>
    </row>
    <row r="36" spans="1:10" x14ac:dyDescent="0.25">
      <c r="A36" s="4">
        <f>_xlfn.XLOOKUP(E36,'Data Validation'!$M$3:$M$10,'Data Validation'!$N$3:$N$10)</f>
        <v>1</v>
      </c>
      <c r="B36" s="4">
        <v>10</v>
      </c>
      <c r="C36" s="4" t="s">
        <v>11</v>
      </c>
      <c r="D36" s="7">
        <v>28.9</v>
      </c>
      <c r="E36" s="4" t="s">
        <v>18</v>
      </c>
      <c r="F36" s="4" t="s">
        <v>13</v>
      </c>
      <c r="G36" s="4" t="s">
        <v>47</v>
      </c>
      <c r="H36" s="4" t="s">
        <v>52</v>
      </c>
      <c r="I36" s="5">
        <v>45385</v>
      </c>
      <c r="J36" s="4">
        <f t="shared" si="0"/>
        <v>1</v>
      </c>
    </row>
    <row r="37" spans="1:10" x14ac:dyDescent="0.25">
      <c r="A37" s="4">
        <f>_xlfn.XLOOKUP(E37,'Data Validation'!$M$3:$M$10,'Data Validation'!$N$3:$N$10)</f>
        <v>1</v>
      </c>
      <c r="B37" s="4">
        <v>10</v>
      </c>
      <c r="C37" s="4" t="s">
        <v>11</v>
      </c>
      <c r="D37" s="7">
        <v>28.9</v>
      </c>
      <c r="E37" s="4" t="s">
        <v>18</v>
      </c>
      <c r="F37" s="4" t="s">
        <v>13</v>
      </c>
      <c r="G37" s="4" t="s">
        <v>49</v>
      </c>
      <c r="H37" s="4" t="s">
        <v>52</v>
      </c>
      <c r="I37" s="5">
        <v>45387</v>
      </c>
      <c r="J37" s="4">
        <f t="shared" si="0"/>
        <v>1</v>
      </c>
    </row>
    <row r="38" spans="1:10" x14ac:dyDescent="0.25">
      <c r="A38" s="4">
        <f>_xlfn.XLOOKUP(E38,'Data Validation'!$M$3:$M$10,'Data Validation'!$N$3:$N$10)</f>
        <v>1</v>
      </c>
      <c r="B38" s="4">
        <v>10</v>
      </c>
      <c r="C38" s="4" t="s">
        <v>11</v>
      </c>
      <c r="D38" s="7">
        <v>28.9</v>
      </c>
      <c r="E38" s="4" t="s">
        <v>18</v>
      </c>
      <c r="F38" s="4" t="s">
        <v>13</v>
      </c>
      <c r="G38" s="4" t="s">
        <v>49</v>
      </c>
      <c r="H38" s="4" t="s">
        <v>52</v>
      </c>
      <c r="I38" s="5">
        <v>45387</v>
      </c>
      <c r="J38" s="4">
        <f t="shared" si="0"/>
        <v>1</v>
      </c>
    </row>
    <row r="39" spans="1:10" x14ac:dyDescent="0.25">
      <c r="A39" s="4">
        <f>_xlfn.XLOOKUP(E39,'Data Validation'!$M$3:$M$10,'Data Validation'!$N$3:$N$10)</f>
        <v>1</v>
      </c>
      <c r="B39" s="4">
        <v>14</v>
      </c>
      <c r="C39" s="4" t="s">
        <v>11</v>
      </c>
      <c r="D39" s="7">
        <v>28.9</v>
      </c>
      <c r="E39" s="4" t="s">
        <v>18</v>
      </c>
      <c r="F39" s="4" t="s">
        <v>17</v>
      </c>
      <c r="G39" s="4" t="s">
        <v>50</v>
      </c>
      <c r="H39" s="4" t="s">
        <v>52</v>
      </c>
      <c r="I39" s="5">
        <v>45388</v>
      </c>
      <c r="J39" s="4">
        <f t="shared" si="0"/>
        <v>1</v>
      </c>
    </row>
    <row r="40" spans="1:10" x14ac:dyDescent="0.25">
      <c r="A40" s="4">
        <f>_xlfn.XLOOKUP(E40,'Data Validation'!$M$3:$M$10,'Data Validation'!$N$3:$N$10)</f>
        <v>1</v>
      </c>
      <c r="B40" s="4">
        <v>11</v>
      </c>
      <c r="C40" s="4" t="s">
        <v>11</v>
      </c>
      <c r="D40" s="7">
        <v>28.9</v>
      </c>
      <c r="E40" s="4" t="s">
        <v>18</v>
      </c>
      <c r="F40" s="4" t="s">
        <v>13</v>
      </c>
      <c r="G40" s="4" t="s">
        <v>45</v>
      </c>
      <c r="H40" s="4" t="s">
        <v>52</v>
      </c>
      <c r="I40" s="5">
        <v>45390</v>
      </c>
      <c r="J40" s="4">
        <f t="shared" si="0"/>
        <v>1</v>
      </c>
    </row>
    <row r="41" spans="1:10" x14ac:dyDescent="0.25">
      <c r="A41" s="4">
        <f>_xlfn.XLOOKUP(E41,'Data Validation'!$M$3:$M$10,'Data Validation'!$N$3:$N$10)</f>
        <v>1</v>
      </c>
      <c r="B41" s="4">
        <v>18</v>
      </c>
      <c r="C41" s="4" t="s">
        <v>11</v>
      </c>
      <c r="D41" s="7">
        <v>28.9</v>
      </c>
      <c r="E41" s="4" t="s">
        <v>18</v>
      </c>
      <c r="F41" s="4" t="s">
        <v>20</v>
      </c>
      <c r="G41" s="4" t="s">
        <v>45</v>
      </c>
      <c r="H41" s="4" t="s">
        <v>52</v>
      </c>
      <c r="I41" s="5">
        <v>45390</v>
      </c>
      <c r="J41" s="4">
        <f t="shared" si="0"/>
        <v>1</v>
      </c>
    </row>
    <row r="42" spans="1:10" x14ac:dyDescent="0.25">
      <c r="A42" s="4">
        <f>_xlfn.XLOOKUP(E42,'Data Validation'!$M$3:$M$10,'Data Validation'!$N$3:$N$10)</f>
        <v>1</v>
      </c>
      <c r="B42" s="4">
        <v>10</v>
      </c>
      <c r="C42" s="4" t="s">
        <v>11</v>
      </c>
      <c r="D42" s="7">
        <v>28.9</v>
      </c>
      <c r="E42" s="4" t="s">
        <v>18</v>
      </c>
      <c r="F42" s="4" t="s">
        <v>13</v>
      </c>
      <c r="G42" s="4" t="s">
        <v>48</v>
      </c>
      <c r="H42" s="4" t="s">
        <v>52</v>
      </c>
      <c r="I42" s="5">
        <v>45393</v>
      </c>
      <c r="J42" s="4">
        <f t="shared" si="0"/>
        <v>1</v>
      </c>
    </row>
    <row r="43" spans="1:10" x14ac:dyDescent="0.25">
      <c r="A43" s="4">
        <f>_xlfn.XLOOKUP(E43,'Data Validation'!$M$3:$M$10,'Data Validation'!$N$3:$N$10)</f>
        <v>1</v>
      </c>
      <c r="B43" s="4">
        <v>10</v>
      </c>
      <c r="C43" s="4" t="s">
        <v>11</v>
      </c>
      <c r="D43" s="7">
        <v>28.9</v>
      </c>
      <c r="E43" s="4" t="s">
        <v>18</v>
      </c>
      <c r="F43" s="4" t="s">
        <v>13</v>
      </c>
      <c r="G43" s="4" t="s">
        <v>48</v>
      </c>
      <c r="H43" s="4" t="s">
        <v>52</v>
      </c>
      <c r="I43" s="5">
        <v>45393</v>
      </c>
      <c r="J43" s="4">
        <f t="shared" si="0"/>
        <v>1</v>
      </c>
    </row>
    <row r="44" spans="1:10" x14ac:dyDescent="0.25">
      <c r="A44" s="4">
        <f>_xlfn.XLOOKUP(E44,'Data Validation'!$M$3:$M$10,'Data Validation'!$N$3:$N$10)</f>
        <v>1</v>
      </c>
      <c r="B44" s="4">
        <v>12</v>
      </c>
      <c r="C44" s="4" t="s">
        <v>11</v>
      </c>
      <c r="D44" s="7">
        <v>28.9</v>
      </c>
      <c r="E44" s="4" t="s">
        <v>18</v>
      </c>
      <c r="F44" s="4" t="s">
        <v>17</v>
      </c>
      <c r="G44" s="4" t="s">
        <v>50</v>
      </c>
      <c r="H44" s="4" t="s">
        <v>52</v>
      </c>
      <c r="I44" s="5">
        <v>45395</v>
      </c>
      <c r="J44" s="4">
        <f t="shared" si="0"/>
        <v>1</v>
      </c>
    </row>
    <row r="45" spans="1:10" x14ac:dyDescent="0.25">
      <c r="A45" s="4">
        <f>_xlfn.XLOOKUP(E45,'Data Validation'!$M$3:$M$10,'Data Validation'!$N$3:$N$10)</f>
        <v>1</v>
      </c>
      <c r="B45" s="4">
        <v>14</v>
      </c>
      <c r="C45" s="4" t="s">
        <v>11</v>
      </c>
      <c r="D45" s="7">
        <v>28.9</v>
      </c>
      <c r="E45" s="4" t="s">
        <v>18</v>
      </c>
      <c r="F45" s="4" t="s">
        <v>17</v>
      </c>
      <c r="G45" s="4" t="s">
        <v>51</v>
      </c>
      <c r="H45" s="4" t="s">
        <v>52</v>
      </c>
      <c r="I45" s="5">
        <v>45396</v>
      </c>
      <c r="J45" s="4">
        <f t="shared" si="0"/>
        <v>1</v>
      </c>
    </row>
    <row r="46" spans="1:10" x14ac:dyDescent="0.25">
      <c r="A46" s="4">
        <f>_xlfn.XLOOKUP(E46,'Data Validation'!$M$3:$M$10,'Data Validation'!$N$3:$N$10)</f>
        <v>1</v>
      </c>
      <c r="B46" s="4">
        <v>14</v>
      </c>
      <c r="C46" s="4" t="s">
        <v>11</v>
      </c>
      <c r="D46" s="7">
        <v>28.9</v>
      </c>
      <c r="E46" s="4" t="s">
        <v>18</v>
      </c>
      <c r="F46" s="4" t="s">
        <v>17</v>
      </c>
      <c r="G46" s="4" t="s">
        <v>51</v>
      </c>
      <c r="H46" s="4" t="s">
        <v>52</v>
      </c>
      <c r="I46" s="5">
        <v>45396</v>
      </c>
      <c r="J46" s="4">
        <f t="shared" si="0"/>
        <v>1</v>
      </c>
    </row>
    <row r="47" spans="1:10" x14ac:dyDescent="0.25">
      <c r="A47" s="4">
        <f>_xlfn.XLOOKUP(E47,'Data Validation'!$M$3:$M$10,'Data Validation'!$N$3:$N$10)</f>
        <v>1</v>
      </c>
      <c r="B47" s="4">
        <v>14</v>
      </c>
      <c r="C47" s="4" t="s">
        <v>11</v>
      </c>
      <c r="D47" s="7">
        <v>28.9</v>
      </c>
      <c r="E47" s="4" t="s">
        <v>18</v>
      </c>
      <c r="F47" s="4" t="s">
        <v>17</v>
      </c>
      <c r="G47" s="4" t="s">
        <v>51</v>
      </c>
      <c r="H47" s="4" t="s">
        <v>52</v>
      </c>
      <c r="I47" s="5">
        <v>45396</v>
      </c>
      <c r="J47" s="4">
        <f t="shared" si="0"/>
        <v>1</v>
      </c>
    </row>
    <row r="48" spans="1:10" x14ac:dyDescent="0.25">
      <c r="A48" s="4">
        <f>_xlfn.XLOOKUP(E48,'Data Validation'!$M$3:$M$10,'Data Validation'!$N$3:$N$10)</f>
        <v>1</v>
      </c>
      <c r="B48" s="4">
        <v>11</v>
      </c>
      <c r="C48" s="4" t="s">
        <v>11</v>
      </c>
      <c r="D48" s="7">
        <v>28.9</v>
      </c>
      <c r="E48" s="4" t="s">
        <v>18</v>
      </c>
      <c r="F48" s="4" t="s">
        <v>13</v>
      </c>
      <c r="G48" s="4" t="s">
        <v>45</v>
      </c>
      <c r="H48" s="4" t="s">
        <v>52</v>
      </c>
      <c r="I48" s="5">
        <v>45397</v>
      </c>
      <c r="J48" s="4">
        <f t="shared" si="0"/>
        <v>1</v>
      </c>
    </row>
    <row r="49" spans="1:10" x14ac:dyDescent="0.25">
      <c r="A49" s="4">
        <f>_xlfn.XLOOKUP(E49,'Data Validation'!$M$3:$M$10,'Data Validation'!$N$3:$N$10)</f>
        <v>1</v>
      </c>
      <c r="B49" s="4">
        <v>17</v>
      </c>
      <c r="C49" s="4" t="s">
        <v>11</v>
      </c>
      <c r="D49" s="7">
        <v>28.9</v>
      </c>
      <c r="E49" s="4" t="s">
        <v>18</v>
      </c>
      <c r="F49" s="4" t="s">
        <v>20</v>
      </c>
      <c r="G49" s="4" t="s">
        <v>45</v>
      </c>
      <c r="H49" s="4" t="s">
        <v>52</v>
      </c>
      <c r="I49" s="5">
        <v>45397</v>
      </c>
      <c r="J49" s="4">
        <f t="shared" si="0"/>
        <v>1</v>
      </c>
    </row>
    <row r="50" spans="1:10" x14ac:dyDescent="0.25">
      <c r="A50" s="4">
        <f>_xlfn.XLOOKUP(E50,'Data Validation'!$M$3:$M$10,'Data Validation'!$N$3:$N$10)</f>
        <v>1</v>
      </c>
      <c r="B50" s="4">
        <v>15</v>
      </c>
      <c r="C50" s="4" t="s">
        <v>11</v>
      </c>
      <c r="D50" s="7">
        <v>28.9</v>
      </c>
      <c r="E50" s="4" t="s">
        <v>18</v>
      </c>
      <c r="F50" s="4" t="s">
        <v>17</v>
      </c>
      <c r="G50" s="4" t="s">
        <v>46</v>
      </c>
      <c r="H50" s="4" t="s">
        <v>52</v>
      </c>
      <c r="I50" s="5">
        <v>45398</v>
      </c>
      <c r="J50" s="4">
        <f t="shared" si="0"/>
        <v>1</v>
      </c>
    </row>
    <row r="51" spans="1:10" x14ac:dyDescent="0.25">
      <c r="A51" s="4">
        <f>_xlfn.XLOOKUP(E51,'Data Validation'!$M$3:$M$10,'Data Validation'!$N$3:$N$10)</f>
        <v>1</v>
      </c>
      <c r="B51" s="4">
        <v>13</v>
      </c>
      <c r="C51" s="4" t="s">
        <v>11</v>
      </c>
      <c r="D51" s="7">
        <v>28.9</v>
      </c>
      <c r="E51" s="4" t="s">
        <v>18</v>
      </c>
      <c r="F51" s="4" t="s">
        <v>17</v>
      </c>
      <c r="G51" s="4" t="s">
        <v>47</v>
      </c>
      <c r="H51" s="4" t="s">
        <v>52</v>
      </c>
      <c r="I51" s="5">
        <v>45399</v>
      </c>
      <c r="J51" s="4">
        <f t="shared" si="0"/>
        <v>1</v>
      </c>
    </row>
    <row r="52" spans="1:10" x14ac:dyDescent="0.25">
      <c r="A52" s="4">
        <f>_xlfn.XLOOKUP(E52,'Data Validation'!$M$3:$M$10,'Data Validation'!$N$3:$N$10)</f>
        <v>1</v>
      </c>
      <c r="B52" s="4">
        <v>11</v>
      </c>
      <c r="C52" s="4" t="s">
        <v>11</v>
      </c>
      <c r="D52" s="7">
        <v>28.9</v>
      </c>
      <c r="E52" s="4" t="s">
        <v>18</v>
      </c>
      <c r="F52" s="4" t="s">
        <v>13</v>
      </c>
      <c r="G52" s="4" t="s">
        <v>48</v>
      </c>
      <c r="H52" s="4" t="s">
        <v>52</v>
      </c>
      <c r="I52" s="5">
        <v>45400</v>
      </c>
      <c r="J52" s="4">
        <f t="shared" si="0"/>
        <v>1</v>
      </c>
    </row>
    <row r="53" spans="1:10" x14ac:dyDescent="0.25">
      <c r="A53" s="4">
        <f>_xlfn.XLOOKUP(E53,'Data Validation'!$M$3:$M$10,'Data Validation'!$N$3:$N$10)</f>
        <v>1</v>
      </c>
      <c r="B53" s="4">
        <v>11</v>
      </c>
      <c r="C53" s="4" t="s">
        <v>11</v>
      </c>
      <c r="D53" s="7">
        <v>28.9</v>
      </c>
      <c r="E53" s="4" t="s">
        <v>18</v>
      </c>
      <c r="F53" s="4" t="s">
        <v>13</v>
      </c>
      <c r="G53" s="4" t="s">
        <v>48</v>
      </c>
      <c r="H53" s="4" t="s">
        <v>52</v>
      </c>
      <c r="I53" s="5">
        <v>45400</v>
      </c>
      <c r="J53" s="4">
        <f t="shared" si="0"/>
        <v>1</v>
      </c>
    </row>
    <row r="54" spans="1:10" x14ac:dyDescent="0.25">
      <c r="A54" s="4">
        <f>_xlfn.XLOOKUP(E54,'Data Validation'!$M$3:$M$10,'Data Validation'!$N$3:$N$10)</f>
        <v>1</v>
      </c>
      <c r="B54" s="4">
        <v>13</v>
      </c>
      <c r="C54" s="4" t="s">
        <v>11</v>
      </c>
      <c r="D54" s="7">
        <v>28.9</v>
      </c>
      <c r="E54" s="4" t="s">
        <v>18</v>
      </c>
      <c r="F54" s="4" t="s">
        <v>17</v>
      </c>
      <c r="G54" s="4" t="s">
        <v>50</v>
      </c>
      <c r="H54" s="4" t="s">
        <v>52</v>
      </c>
      <c r="I54" s="5">
        <v>45402</v>
      </c>
      <c r="J54" s="4">
        <f t="shared" si="0"/>
        <v>1</v>
      </c>
    </row>
    <row r="55" spans="1:10" x14ac:dyDescent="0.25">
      <c r="A55" s="4">
        <f>_xlfn.XLOOKUP(E55,'Data Validation'!$M$3:$M$10,'Data Validation'!$N$3:$N$10)</f>
        <v>1</v>
      </c>
      <c r="B55" s="4">
        <v>14</v>
      </c>
      <c r="C55" s="4" t="s">
        <v>11</v>
      </c>
      <c r="D55" s="7">
        <v>27.92</v>
      </c>
      <c r="E55" s="4" t="s">
        <v>18</v>
      </c>
      <c r="F55" s="4" t="s">
        <v>17</v>
      </c>
      <c r="G55" s="4" t="s">
        <v>51</v>
      </c>
      <c r="H55" s="4" t="s">
        <v>52</v>
      </c>
      <c r="I55" s="5">
        <v>45403</v>
      </c>
      <c r="J55" s="4">
        <f t="shared" si="0"/>
        <v>2</v>
      </c>
    </row>
    <row r="56" spans="1:10" x14ac:dyDescent="0.25">
      <c r="A56" s="4">
        <f>_xlfn.XLOOKUP(E56,'Data Validation'!$M$3:$M$10,'Data Validation'!$N$3:$N$10)</f>
        <v>1</v>
      </c>
      <c r="B56" s="4">
        <v>11</v>
      </c>
      <c r="C56" s="4" t="s">
        <v>11</v>
      </c>
      <c r="D56" s="7">
        <v>27.92</v>
      </c>
      <c r="E56" s="4" t="s">
        <v>18</v>
      </c>
      <c r="F56" s="4" t="s">
        <v>13</v>
      </c>
      <c r="G56" s="4" t="s">
        <v>45</v>
      </c>
      <c r="H56" s="4" t="s">
        <v>52</v>
      </c>
      <c r="I56" s="5">
        <v>45404</v>
      </c>
      <c r="J56" s="4">
        <f t="shared" si="0"/>
        <v>2</v>
      </c>
    </row>
    <row r="57" spans="1:10" x14ac:dyDescent="0.25">
      <c r="A57" s="4">
        <f>_xlfn.XLOOKUP(E57,'Data Validation'!$M$3:$M$10,'Data Validation'!$N$3:$N$10)</f>
        <v>1</v>
      </c>
      <c r="B57" s="4">
        <v>10</v>
      </c>
      <c r="C57" s="4" t="s">
        <v>11</v>
      </c>
      <c r="D57" s="7">
        <v>27.92</v>
      </c>
      <c r="E57" s="4" t="s">
        <v>18</v>
      </c>
      <c r="F57" s="4" t="s">
        <v>13</v>
      </c>
      <c r="G57" s="4" t="s">
        <v>48</v>
      </c>
      <c r="H57" s="4" t="s">
        <v>52</v>
      </c>
      <c r="I57" s="5">
        <v>45407</v>
      </c>
      <c r="J57" s="4">
        <f t="shared" si="0"/>
        <v>2</v>
      </c>
    </row>
    <row r="58" spans="1:10" x14ac:dyDescent="0.25">
      <c r="A58" s="4">
        <f>_xlfn.XLOOKUP(E58,'Data Validation'!$M$3:$M$10,'Data Validation'!$N$3:$N$10)</f>
        <v>1</v>
      </c>
      <c r="B58" s="4">
        <v>17</v>
      </c>
      <c r="C58" s="4" t="s">
        <v>11</v>
      </c>
      <c r="D58" s="7">
        <v>27.92</v>
      </c>
      <c r="E58" s="4" t="s">
        <v>18</v>
      </c>
      <c r="F58" s="4" t="s">
        <v>20</v>
      </c>
      <c r="G58" s="4" t="s">
        <v>48</v>
      </c>
      <c r="H58" s="4" t="s">
        <v>52</v>
      </c>
      <c r="I58" s="5">
        <v>45407</v>
      </c>
      <c r="J58" s="4">
        <f t="shared" si="0"/>
        <v>2</v>
      </c>
    </row>
    <row r="59" spans="1:10" x14ac:dyDescent="0.25">
      <c r="A59" s="4">
        <f>_xlfn.XLOOKUP(E59,'Data Validation'!$M$3:$M$10,'Data Validation'!$N$3:$N$10)</f>
        <v>1</v>
      </c>
      <c r="B59" s="4">
        <v>17</v>
      </c>
      <c r="C59" s="4" t="s">
        <v>11</v>
      </c>
      <c r="D59" s="7">
        <v>27.92</v>
      </c>
      <c r="E59" s="4" t="s">
        <v>18</v>
      </c>
      <c r="F59" s="4" t="s">
        <v>20</v>
      </c>
      <c r="G59" s="4" t="s">
        <v>48</v>
      </c>
      <c r="H59" s="4" t="s">
        <v>52</v>
      </c>
      <c r="I59" s="5">
        <v>45407</v>
      </c>
      <c r="J59" s="4">
        <f t="shared" si="0"/>
        <v>2</v>
      </c>
    </row>
    <row r="60" spans="1:10" x14ac:dyDescent="0.25">
      <c r="A60" s="4">
        <f>_xlfn.XLOOKUP(E60,'Data Validation'!$M$3:$M$10,'Data Validation'!$N$3:$N$10)</f>
        <v>1</v>
      </c>
      <c r="B60" s="4">
        <v>15</v>
      </c>
      <c r="C60" s="4" t="s">
        <v>11</v>
      </c>
      <c r="D60" s="7">
        <v>27.92</v>
      </c>
      <c r="E60" s="4" t="s">
        <v>18</v>
      </c>
      <c r="F60" s="4" t="s">
        <v>17</v>
      </c>
      <c r="G60" s="4" t="s">
        <v>49</v>
      </c>
      <c r="H60" s="4" t="s">
        <v>52</v>
      </c>
      <c r="I60" s="5">
        <v>45408</v>
      </c>
      <c r="J60" s="4">
        <f t="shared" si="0"/>
        <v>2</v>
      </c>
    </row>
    <row r="61" spans="1:10" x14ac:dyDescent="0.25">
      <c r="A61" s="4">
        <f>_xlfn.XLOOKUP(E61,'Data Validation'!$M$3:$M$10,'Data Validation'!$N$3:$N$10)</f>
        <v>1</v>
      </c>
      <c r="B61" s="4">
        <v>15</v>
      </c>
      <c r="C61" s="4" t="s">
        <v>11</v>
      </c>
      <c r="D61" s="7">
        <v>27.92</v>
      </c>
      <c r="E61" s="4" t="s">
        <v>18</v>
      </c>
      <c r="F61" s="4" t="s">
        <v>17</v>
      </c>
      <c r="G61" s="4" t="s">
        <v>49</v>
      </c>
      <c r="H61" s="4" t="s">
        <v>52</v>
      </c>
      <c r="I61" s="5">
        <v>45408</v>
      </c>
      <c r="J61" s="4">
        <f t="shared" si="0"/>
        <v>2</v>
      </c>
    </row>
    <row r="62" spans="1:10" x14ac:dyDescent="0.25">
      <c r="A62" s="4">
        <f>_xlfn.XLOOKUP(E62,'Data Validation'!$M$3:$M$10,'Data Validation'!$N$3:$N$10)</f>
        <v>1</v>
      </c>
      <c r="B62" s="4">
        <v>16</v>
      </c>
      <c r="C62" s="4" t="s">
        <v>11</v>
      </c>
      <c r="D62" s="7">
        <v>27.92</v>
      </c>
      <c r="E62" s="4" t="s">
        <v>18</v>
      </c>
      <c r="F62" s="4" t="s">
        <v>17</v>
      </c>
      <c r="G62" s="4" t="s">
        <v>49</v>
      </c>
      <c r="H62" s="4" t="s">
        <v>52</v>
      </c>
      <c r="I62" s="5">
        <v>45408</v>
      </c>
      <c r="J62" s="4">
        <f t="shared" si="0"/>
        <v>2</v>
      </c>
    </row>
    <row r="63" spans="1:10" x14ac:dyDescent="0.25">
      <c r="A63" s="4">
        <f>_xlfn.XLOOKUP(E63,'Data Validation'!$M$3:$M$10,'Data Validation'!$N$3:$N$10)</f>
        <v>1</v>
      </c>
      <c r="B63" s="4">
        <v>18</v>
      </c>
      <c r="C63" s="4" t="s">
        <v>11</v>
      </c>
      <c r="D63" s="7">
        <v>27.92</v>
      </c>
      <c r="E63" s="4" t="s">
        <v>18</v>
      </c>
      <c r="F63" s="4" t="s">
        <v>20</v>
      </c>
      <c r="G63" s="4" t="s">
        <v>51</v>
      </c>
      <c r="H63" s="4" t="s">
        <v>52</v>
      </c>
      <c r="I63" s="5">
        <v>45410</v>
      </c>
      <c r="J63" s="4">
        <f t="shared" si="0"/>
        <v>2</v>
      </c>
    </row>
    <row r="64" spans="1:10" x14ac:dyDescent="0.25">
      <c r="A64" s="4">
        <f>_xlfn.XLOOKUP(E64,'Data Validation'!$M$3:$M$10,'Data Validation'!$N$3:$N$10)</f>
        <v>1</v>
      </c>
      <c r="B64" s="4">
        <v>18</v>
      </c>
      <c r="C64" s="4" t="s">
        <v>11</v>
      </c>
      <c r="D64" s="7">
        <v>27.92</v>
      </c>
      <c r="E64" s="4" t="s">
        <v>18</v>
      </c>
      <c r="F64" s="4" t="s">
        <v>20</v>
      </c>
      <c r="G64" s="4" t="s">
        <v>51</v>
      </c>
      <c r="H64" s="4" t="s">
        <v>52</v>
      </c>
      <c r="I64" s="5">
        <v>45410</v>
      </c>
      <c r="J64" s="4">
        <f t="shared" si="0"/>
        <v>2</v>
      </c>
    </row>
    <row r="65" spans="1:10" x14ac:dyDescent="0.25">
      <c r="A65" s="4">
        <f>_xlfn.XLOOKUP(E65,'Data Validation'!$M$3:$M$10,'Data Validation'!$N$3:$N$10)</f>
        <v>1</v>
      </c>
      <c r="B65" s="4">
        <v>13</v>
      </c>
      <c r="C65" s="4" t="s">
        <v>11</v>
      </c>
      <c r="D65" s="7">
        <v>27.92</v>
      </c>
      <c r="E65" s="4" t="s">
        <v>18</v>
      </c>
      <c r="F65" s="4" t="s">
        <v>17</v>
      </c>
      <c r="G65" s="4" t="s">
        <v>45</v>
      </c>
      <c r="H65" s="4" t="s">
        <v>52</v>
      </c>
      <c r="I65" s="5">
        <v>45411</v>
      </c>
      <c r="J65" s="4">
        <f t="shared" si="0"/>
        <v>2</v>
      </c>
    </row>
    <row r="66" spans="1:10" x14ac:dyDescent="0.25">
      <c r="A66" s="4">
        <f>_xlfn.XLOOKUP(E66,'Data Validation'!$M$3:$M$10,'Data Validation'!$N$3:$N$10)</f>
        <v>1</v>
      </c>
      <c r="B66" s="4">
        <v>13</v>
      </c>
      <c r="C66" s="4" t="s">
        <v>11</v>
      </c>
      <c r="D66" s="7">
        <v>27.92</v>
      </c>
      <c r="E66" s="4" t="s">
        <v>18</v>
      </c>
      <c r="F66" s="4" t="s">
        <v>17</v>
      </c>
      <c r="G66" s="4" t="s">
        <v>46</v>
      </c>
      <c r="H66" s="4" t="s">
        <v>52</v>
      </c>
      <c r="I66" s="5">
        <v>45412</v>
      </c>
      <c r="J66" s="4">
        <f t="shared" si="0"/>
        <v>2</v>
      </c>
    </row>
    <row r="67" spans="1:10" x14ac:dyDescent="0.25">
      <c r="A67" s="4">
        <f>_xlfn.XLOOKUP(E67,'Data Validation'!$M$3:$M$10,'Data Validation'!$N$3:$N$10)</f>
        <v>1</v>
      </c>
      <c r="B67" s="4">
        <v>10</v>
      </c>
      <c r="C67" s="4" t="s">
        <v>11</v>
      </c>
      <c r="D67" s="7">
        <v>27.92</v>
      </c>
      <c r="E67" s="4" t="s">
        <v>18</v>
      </c>
      <c r="F67" s="4" t="s">
        <v>13</v>
      </c>
      <c r="G67" s="4" t="s">
        <v>48</v>
      </c>
      <c r="H67" s="4" t="s">
        <v>32</v>
      </c>
      <c r="I67" s="5">
        <v>45414</v>
      </c>
      <c r="J67" s="4">
        <f t="shared" ref="J67:J130" si="1">IF(OR(E67&lt;&gt;E66,D67&lt;&gt;D66),J66+1,J66)</f>
        <v>2</v>
      </c>
    </row>
    <row r="68" spans="1:10" x14ac:dyDescent="0.25">
      <c r="A68" s="4">
        <f>_xlfn.XLOOKUP(E68,'Data Validation'!$M$3:$M$10,'Data Validation'!$N$3:$N$10)</f>
        <v>1</v>
      </c>
      <c r="B68" s="4">
        <v>10</v>
      </c>
      <c r="C68" s="4" t="s">
        <v>11</v>
      </c>
      <c r="D68" s="7">
        <v>27.92</v>
      </c>
      <c r="E68" s="4" t="s">
        <v>18</v>
      </c>
      <c r="F68" s="4" t="s">
        <v>13</v>
      </c>
      <c r="G68" s="4" t="s">
        <v>45</v>
      </c>
      <c r="H68" s="4" t="s">
        <v>32</v>
      </c>
      <c r="I68" s="5">
        <v>45418</v>
      </c>
      <c r="J68" s="4">
        <f t="shared" si="1"/>
        <v>2</v>
      </c>
    </row>
    <row r="69" spans="1:10" x14ac:dyDescent="0.25">
      <c r="A69" s="4">
        <f>_xlfn.XLOOKUP(E69,'Data Validation'!$M$3:$M$10,'Data Validation'!$N$3:$N$10)</f>
        <v>1</v>
      </c>
      <c r="B69" s="4">
        <v>10</v>
      </c>
      <c r="C69" s="4" t="s">
        <v>11</v>
      </c>
      <c r="D69" s="7">
        <v>27.92</v>
      </c>
      <c r="E69" s="4" t="s">
        <v>18</v>
      </c>
      <c r="F69" s="4" t="s">
        <v>13</v>
      </c>
      <c r="G69" s="4" t="s">
        <v>45</v>
      </c>
      <c r="H69" s="4" t="s">
        <v>32</v>
      </c>
      <c r="I69" s="5">
        <v>45418</v>
      </c>
      <c r="J69" s="4">
        <f t="shared" si="1"/>
        <v>2</v>
      </c>
    </row>
    <row r="70" spans="1:10" x14ac:dyDescent="0.25">
      <c r="A70" s="4">
        <f>_xlfn.XLOOKUP(E70,'Data Validation'!$M$3:$M$10,'Data Validation'!$N$3:$N$10)</f>
        <v>1</v>
      </c>
      <c r="B70" s="4">
        <v>13</v>
      </c>
      <c r="C70" s="4" t="s">
        <v>11</v>
      </c>
      <c r="D70" s="7">
        <v>27.92</v>
      </c>
      <c r="E70" s="4" t="s">
        <v>18</v>
      </c>
      <c r="F70" s="4" t="s">
        <v>17</v>
      </c>
      <c r="G70" s="4" t="s">
        <v>45</v>
      </c>
      <c r="H70" s="4" t="s">
        <v>32</v>
      </c>
      <c r="I70" s="5">
        <v>45418</v>
      </c>
      <c r="J70" s="4">
        <f t="shared" si="1"/>
        <v>2</v>
      </c>
    </row>
    <row r="71" spans="1:10" x14ac:dyDescent="0.25">
      <c r="A71" s="4">
        <f>_xlfn.XLOOKUP(E71,'Data Validation'!$M$3:$M$10,'Data Validation'!$N$3:$N$10)</f>
        <v>1</v>
      </c>
      <c r="B71" s="4">
        <v>16</v>
      </c>
      <c r="C71" s="4" t="s">
        <v>11</v>
      </c>
      <c r="D71" s="7">
        <v>27.92</v>
      </c>
      <c r="E71" s="4" t="s">
        <v>18</v>
      </c>
      <c r="F71" s="4" t="s">
        <v>17</v>
      </c>
      <c r="G71" s="4" t="s">
        <v>46</v>
      </c>
      <c r="H71" s="4" t="s">
        <v>32</v>
      </c>
      <c r="I71" s="5">
        <v>45419</v>
      </c>
      <c r="J71" s="4">
        <f t="shared" si="1"/>
        <v>2</v>
      </c>
    </row>
    <row r="72" spans="1:10" x14ac:dyDescent="0.25">
      <c r="A72" s="4">
        <f>_xlfn.XLOOKUP(E72,'Data Validation'!$M$3:$M$10,'Data Validation'!$N$3:$N$10)</f>
        <v>1</v>
      </c>
      <c r="B72" s="4">
        <v>13</v>
      </c>
      <c r="C72" s="4" t="s">
        <v>11</v>
      </c>
      <c r="D72" s="7">
        <v>27.92</v>
      </c>
      <c r="E72" s="4" t="s">
        <v>18</v>
      </c>
      <c r="F72" s="4" t="s">
        <v>17</v>
      </c>
      <c r="G72" s="4" t="s">
        <v>48</v>
      </c>
      <c r="H72" s="4" t="s">
        <v>32</v>
      </c>
      <c r="I72" s="5">
        <v>45421</v>
      </c>
      <c r="J72" s="4">
        <f t="shared" si="1"/>
        <v>2</v>
      </c>
    </row>
    <row r="73" spans="1:10" x14ac:dyDescent="0.25">
      <c r="A73" s="4">
        <f>_xlfn.XLOOKUP(E73,'Data Validation'!$M$3:$M$10,'Data Validation'!$N$3:$N$10)</f>
        <v>1</v>
      </c>
      <c r="B73" s="4">
        <v>16</v>
      </c>
      <c r="C73" s="4" t="s">
        <v>11</v>
      </c>
      <c r="D73" s="7">
        <v>27.92</v>
      </c>
      <c r="E73" s="4" t="s">
        <v>18</v>
      </c>
      <c r="F73" s="4" t="s">
        <v>17</v>
      </c>
      <c r="G73" s="4" t="s">
        <v>48</v>
      </c>
      <c r="H73" s="4" t="s">
        <v>32</v>
      </c>
      <c r="I73" s="5">
        <v>45421</v>
      </c>
      <c r="J73" s="4">
        <f t="shared" si="1"/>
        <v>2</v>
      </c>
    </row>
    <row r="74" spans="1:10" x14ac:dyDescent="0.25">
      <c r="A74" s="4">
        <f>_xlfn.XLOOKUP(E74,'Data Validation'!$M$3:$M$10,'Data Validation'!$N$3:$N$10)</f>
        <v>1</v>
      </c>
      <c r="B74" s="4">
        <v>16</v>
      </c>
      <c r="C74" s="4" t="s">
        <v>11</v>
      </c>
      <c r="D74" s="7">
        <v>27.92</v>
      </c>
      <c r="E74" s="4" t="s">
        <v>18</v>
      </c>
      <c r="F74" s="4" t="s">
        <v>17</v>
      </c>
      <c r="G74" s="4" t="s">
        <v>48</v>
      </c>
      <c r="H74" s="4" t="s">
        <v>32</v>
      </c>
      <c r="I74" s="5">
        <v>45421</v>
      </c>
      <c r="J74" s="4">
        <f t="shared" si="1"/>
        <v>2</v>
      </c>
    </row>
    <row r="75" spans="1:10" x14ac:dyDescent="0.25">
      <c r="A75" s="4">
        <f>_xlfn.XLOOKUP(E75,'Data Validation'!$M$3:$M$10,'Data Validation'!$N$3:$N$10)</f>
        <v>1</v>
      </c>
      <c r="B75" s="4">
        <v>18</v>
      </c>
      <c r="C75" s="4" t="s">
        <v>11</v>
      </c>
      <c r="D75" s="7">
        <v>27.92</v>
      </c>
      <c r="E75" s="4" t="s">
        <v>18</v>
      </c>
      <c r="F75" s="4" t="s">
        <v>20</v>
      </c>
      <c r="G75" s="4" t="s">
        <v>48</v>
      </c>
      <c r="H75" s="4" t="s">
        <v>32</v>
      </c>
      <c r="I75" s="5">
        <v>45421</v>
      </c>
      <c r="J75" s="4">
        <f t="shared" si="1"/>
        <v>2</v>
      </c>
    </row>
    <row r="76" spans="1:10" x14ac:dyDescent="0.25">
      <c r="A76" s="4">
        <f>_xlfn.XLOOKUP(E76,'Data Validation'!$M$3:$M$10,'Data Validation'!$N$3:$N$10)</f>
        <v>1</v>
      </c>
      <c r="B76" s="4">
        <v>13</v>
      </c>
      <c r="C76" s="4" t="s">
        <v>11</v>
      </c>
      <c r="D76" s="7">
        <v>27.92</v>
      </c>
      <c r="E76" s="4" t="s">
        <v>18</v>
      </c>
      <c r="F76" s="4" t="s">
        <v>17</v>
      </c>
      <c r="G76" s="4" t="s">
        <v>51</v>
      </c>
      <c r="H76" s="4" t="s">
        <v>32</v>
      </c>
      <c r="I76" s="5">
        <v>45424</v>
      </c>
      <c r="J76" s="4">
        <f t="shared" si="1"/>
        <v>2</v>
      </c>
    </row>
    <row r="77" spans="1:10" x14ac:dyDescent="0.25">
      <c r="A77" s="4">
        <f>_xlfn.XLOOKUP(E77,'Data Validation'!$M$3:$M$10,'Data Validation'!$N$3:$N$10)</f>
        <v>1</v>
      </c>
      <c r="B77" s="4">
        <v>8</v>
      </c>
      <c r="C77" s="4" t="s">
        <v>11</v>
      </c>
      <c r="D77" s="7">
        <v>27.92</v>
      </c>
      <c r="E77" s="4" t="s">
        <v>18</v>
      </c>
      <c r="F77" s="4" t="s">
        <v>13</v>
      </c>
      <c r="G77" s="4" t="s">
        <v>46</v>
      </c>
      <c r="H77" s="4" t="s">
        <v>32</v>
      </c>
      <c r="I77" s="5">
        <v>45426</v>
      </c>
      <c r="J77" s="4">
        <f t="shared" si="1"/>
        <v>2</v>
      </c>
    </row>
    <row r="78" spans="1:10" x14ac:dyDescent="0.25">
      <c r="A78" s="4">
        <f>_xlfn.XLOOKUP(E78,'Data Validation'!$M$3:$M$10,'Data Validation'!$N$3:$N$10)</f>
        <v>1</v>
      </c>
      <c r="B78" s="4">
        <v>8</v>
      </c>
      <c r="C78" s="4" t="s">
        <v>11</v>
      </c>
      <c r="D78" s="7">
        <v>27.92</v>
      </c>
      <c r="E78" s="4" t="s">
        <v>18</v>
      </c>
      <c r="F78" s="4" t="s">
        <v>13</v>
      </c>
      <c r="G78" s="4" t="s">
        <v>46</v>
      </c>
      <c r="H78" s="4" t="s">
        <v>32</v>
      </c>
      <c r="I78" s="5">
        <v>45426</v>
      </c>
      <c r="J78" s="4">
        <f t="shared" si="1"/>
        <v>2</v>
      </c>
    </row>
    <row r="79" spans="1:10" x14ac:dyDescent="0.25">
      <c r="A79" s="4">
        <f>_xlfn.XLOOKUP(E79,'Data Validation'!$M$3:$M$10,'Data Validation'!$N$3:$N$10)</f>
        <v>1</v>
      </c>
      <c r="B79" s="4">
        <v>8</v>
      </c>
      <c r="C79" s="4" t="s">
        <v>11</v>
      </c>
      <c r="D79" s="7">
        <v>27.92</v>
      </c>
      <c r="E79" s="4" t="s">
        <v>18</v>
      </c>
      <c r="F79" s="4" t="s">
        <v>13</v>
      </c>
      <c r="G79" s="4" t="s">
        <v>46</v>
      </c>
      <c r="H79" s="4" t="s">
        <v>32</v>
      </c>
      <c r="I79" s="5">
        <v>45426</v>
      </c>
      <c r="J79" s="4">
        <f t="shared" si="1"/>
        <v>2</v>
      </c>
    </row>
    <row r="80" spans="1:10" x14ac:dyDescent="0.25">
      <c r="A80" s="4">
        <f>_xlfn.XLOOKUP(E80,'Data Validation'!$M$3:$M$10,'Data Validation'!$N$3:$N$10)</f>
        <v>1</v>
      </c>
      <c r="B80" s="4">
        <v>15</v>
      </c>
      <c r="C80" s="4" t="s">
        <v>11</v>
      </c>
      <c r="D80" s="7">
        <v>27.92</v>
      </c>
      <c r="E80" s="4" t="s">
        <v>18</v>
      </c>
      <c r="F80" s="4" t="s">
        <v>17</v>
      </c>
      <c r="G80" s="4" t="s">
        <v>46</v>
      </c>
      <c r="H80" s="4" t="s">
        <v>32</v>
      </c>
      <c r="I80" s="5">
        <v>45426</v>
      </c>
      <c r="J80" s="4">
        <f t="shared" si="1"/>
        <v>2</v>
      </c>
    </row>
    <row r="81" spans="1:10" x14ac:dyDescent="0.25">
      <c r="A81" s="4">
        <f>_xlfn.XLOOKUP(E81,'Data Validation'!$M$3:$M$10,'Data Validation'!$N$3:$N$10)</f>
        <v>1</v>
      </c>
      <c r="B81" s="4">
        <v>11</v>
      </c>
      <c r="C81" s="4" t="s">
        <v>11</v>
      </c>
      <c r="D81" s="7">
        <v>27.92</v>
      </c>
      <c r="E81" s="4" t="s">
        <v>18</v>
      </c>
      <c r="F81" s="4" t="s">
        <v>13</v>
      </c>
      <c r="G81" s="4" t="s">
        <v>47</v>
      </c>
      <c r="H81" s="4" t="s">
        <v>32</v>
      </c>
      <c r="I81" s="5">
        <v>45427</v>
      </c>
      <c r="J81" s="4">
        <f t="shared" si="1"/>
        <v>2</v>
      </c>
    </row>
    <row r="82" spans="1:10" x14ac:dyDescent="0.25">
      <c r="A82" s="4">
        <f>_xlfn.XLOOKUP(E82,'Data Validation'!$M$3:$M$10,'Data Validation'!$N$3:$N$10)</f>
        <v>1</v>
      </c>
      <c r="B82" s="4">
        <v>13</v>
      </c>
      <c r="C82" s="4" t="s">
        <v>11</v>
      </c>
      <c r="D82" s="7">
        <v>27.92</v>
      </c>
      <c r="E82" s="4" t="s">
        <v>18</v>
      </c>
      <c r="F82" s="4" t="s">
        <v>17</v>
      </c>
      <c r="G82" s="4" t="s">
        <v>47</v>
      </c>
      <c r="H82" s="4" t="s">
        <v>32</v>
      </c>
      <c r="I82" s="5">
        <v>45427</v>
      </c>
      <c r="J82" s="4">
        <f t="shared" si="1"/>
        <v>2</v>
      </c>
    </row>
    <row r="83" spans="1:10" x14ac:dyDescent="0.25">
      <c r="A83" s="4">
        <f>_xlfn.XLOOKUP(E83,'Data Validation'!$M$3:$M$10,'Data Validation'!$N$3:$N$10)</f>
        <v>1</v>
      </c>
      <c r="B83" s="4">
        <v>13</v>
      </c>
      <c r="C83" s="4" t="s">
        <v>11</v>
      </c>
      <c r="D83" s="7">
        <v>27.92</v>
      </c>
      <c r="E83" s="4" t="s">
        <v>18</v>
      </c>
      <c r="F83" s="4" t="s">
        <v>17</v>
      </c>
      <c r="G83" s="4" t="s">
        <v>47</v>
      </c>
      <c r="H83" s="4" t="s">
        <v>32</v>
      </c>
      <c r="I83" s="5">
        <v>45427</v>
      </c>
      <c r="J83" s="4">
        <f t="shared" si="1"/>
        <v>2</v>
      </c>
    </row>
    <row r="84" spans="1:10" x14ac:dyDescent="0.25">
      <c r="A84" s="4">
        <f>_xlfn.XLOOKUP(E84,'Data Validation'!$M$3:$M$10,'Data Validation'!$N$3:$N$10)</f>
        <v>1</v>
      </c>
      <c r="B84" s="4">
        <v>13</v>
      </c>
      <c r="C84" s="4" t="s">
        <v>11</v>
      </c>
      <c r="D84" s="7">
        <v>27.92</v>
      </c>
      <c r="E84" s="4" t="s">
        <v>18</v>
      </c>
      <c r="F84" s="4" t="s">
        <v>17</v>
      </c>
      <c r="G84" s="4" t="s">
        <v>47</v>
      </c>
      <c r="H84" s="4" t="s">
        <v>32</v>
      </c>
      <c r="I84" s="5">
        <v>45427</v>
      </c>
      <c r="J84" s="4">
        <f t="shared" si="1"/>
        <v>2</v>
      </c>
    </row>
    <row r="85" spans="1:10" x14ac:dyDescent="0.25">
      <c r="A85" s="4">
        <f>_xlfn.XLOOKUP(E85,'Data Validation'!$M$3:$M$10,'Data Validation'!$N$3:$N$10)</f>
        <v>1</v>
      </c>
      <c r="B85" s="4">
        <v>9</v>
      </c>
      <c r="C85" s="4" t="s">
        <v>11</v>
      </c>
      <c r="D85" s="7">
        <v>27.92</v>
      </c>
      <c r="E85" s="4" t="s">
        <v>18</v>
      </c>
      <c r="F85" s="4" t="s">
        <v>13</v>
      </c>
      <c r="G85" s="4" t="s">
        <v>49</v>
      </c>
      <c r="H85" s="4" t="s">
        <v>32</v>
      </c>
      <c r="I85" s="5">
        <v>45429</v>
      </c>
      <c r="J85" s="4">
        <f t="shared" si="1"/>
        <v>2</v>
      </c>
    </row>
    <row r="86" spans="1:10" x14ac:dyDescent="0.25">
      <c r="A86" s="4">
        <f>_xlfn.XLOOKUP(E86,'Data Validation'!$M$3:$M$10,'Data Validation'!$N$3:$N$10)</f>
        <v>1</v>
      </c>
      <c r="B86" s="4">
        <v>22</v>
      </c>
      <c r="C86" s="4" t="s">
        <v>11</v>
      </c>
      <c r="D86" s="7">
        <v>27.92</v>
      </c>
      <c r="E86" s="4" t="s">
        <v>18</v>
      </c>
      <c r="F86" s="4" t="s">
        <v>20</v>
      </c>
      <c r="G86" s="4" t="s">
        <v>49</v>
      </c>
      <c r="H86" s="4" t="s">
        <v>32</v>
      </c>
      <c r="I86" s="5">
        <v>45429</v>
      </c>
      <c r="J86" s="4">
        <f t="shared" si="1"/>
        <v>2</v>
      </c>
    </row>
    <row r="87" spans="1:10" x14ac:dyDescent="0.25">
      <c r="A87" s="4">
        <f>_xlfn.XLOOKUP(E87,'Data Validation'!$M$3:$M$10,'Data Validation'!$N$3:$N$10)</f>
        <v>1</v>
      </c>
      <c r="B87" s="4">
        <v>7</v>
      </c>
      <c r="C87" s="4" t="s">
        <v>11</v>
      </c>
      <c r="D87" s="7">
        <v>27.92</v>
      </c>
      <c r="E87" s="4" t="s">
        <v>18</v>
      </c>
      <c r="F87" s="4" t="s">
        <v>13</v>
      </c>
      <c r="G87" s="4" t="s">
        <v>51</v>
      </c>
      <c r="H87" s="4" t="s">
        <v>32</v>
      </c>
      <c r="I87" s="5">
        <v>45431</v>
      </c>
      <c r="J87" s="4">
        <f t="shared" si="1"/>
        <v>2</v>
      </c>
    </row>
    <row r="88" spans="1:10" x14ac:dyDescent="0.25">
      <c r="A88" s="4">
        <f>_xlfn.XLOOKUP(E88,'Data Validation'!$M$3:$M$10,'Data Validation'!$N$3:$N$10)</f>
        <v>1</v>
      </c>
      <c r="B88" s="4">
        <v>7</v>
      </c>
      <c r="C88" s="4" t="s">
        <v>11</v>
      </c>
      <c r="D88" s="7">
        <v>27.92</v>
      </c>
      <c r="E88" s="4" t="s">
        <v>18</v>
      </c>
      <c r="F88" s="4" t="s">
        <v>13</v>
      </c>
      <c r="G88" s="4" t="s">
        <v>51</v>
      </c>
      <c r="H88" s="4" t="s">
        <v>32</v>
      </c>
      <c r="I88" s="5">
        <v>45431</v>
      </c>
      <c r="J88" s="4">
        <f t="shared" si="1"/>
        <v>2</v>
      </c>
    </row>
    <row r="89" spans="1:10" x14ac:dyDescent="0.25">
      <c r="A89" s="4">
        <f>_xlfn.XLOOKUP(E89,'Data Validation'!$M$3:$M$10,'Data Validation'!$N$3:$N$10)</f>
        <v>1</v>
      </c>
      <c r="B89" s="4">
        <v>14</v>
      </c>
      <c r="C89" s="4" t="s">
        <v>11</v>
      </c>
      <c r="D89" s="7">
        <v>27.92</v>
      </c>
      <c r="E89" s="4" t="s">
        <v>18</v>
      </c>
      <c r="F89" s="4" t="s">
        <v>17</v>
      </c>
      <c r="G89" s="4" t="s">
        <v>51</v>
      </c>
      <c r="H89" s="4" t="s">
        <v>32</v>
      </c>
      <c r="I89" s="5">
        <v>45431</v>
      </c>
      <c r="J89" s="4">
        <f t="shared" si="1"/>
        <v>2</v>
      </c>
    </row>
    <row r="90" spans="1:10" x14ac:dyDescent="0.25">
      <c r="A90" s="4">
        <f>_xlfn.XLOOKUP(E90,'Data Validation'!$M$3:$M$10,'Data Validation'!$N$3:$N$10)</f>
        <v>1</v>
      </c>
      <c r="B90" s="4">
        <v>11</v>
      </c>
      <c r="C90" s="4" t="s">
        <v>11</v>
      </c>
      <c r="D90" s="7">
        <v>27.92</v>
      </c>
      <c r="E90" s="4" t="s">
        <v>18</v>
      </c>
      <c r="F90" s="4" t="s">
        <v>13</v>
      </c>
      <c r="G90" s="4" t="s">
        <v>45</v>
      </c>
      <c r="H90" s="4" t="s">
        <v>32</v>
      </c>
      <c r="I90" s="5">
        <v>45432</v>
      </c>
      <c r="J90" s="4">
        <f t="shared" si="1"/>
        <v>2</v>
      </c>
    </row>
    <row r="91" spans="1:10" x14ac:dyDescent="0.25">
      <c r="A91" s="4">
        <f>_xlfn.XLOOKUP(E91,'Data Validation'!$M$3:$M$10,'Data Validation'!$N$3:$N$10)</f>
        <v>1</v>
      </c>
      <c r="B91" s="4">
        <v>11</v>
      </c>
      <c r="C91" s="4" t="s">
        <v>11</v>
      </c>
      <c r="D91" s="7">
        <v>27.92</v>
      </c>
      <c r="E91" s="4" t="s">
        <v>18</v>
      </c>
      <c r="F91" s="4" t="s">
        <v>13</v>
      </c>
      <c r="G91" s="4" t="s">
        <v>45</v>
      </c>
      <c r="H91" s="4" t="s">
        <v>32</v>
      </c>
      <c r="I91" s="5">
        <v>45432</v>
      </c>
      <c r="J91" s="4">
        <f t="shared" si="1"/>
        <v>2</v>
      </c>
    </row>
    <row r="92" spans="1:10" x14ac:dyDescent="0.25">
      <c r="A92" s="4">
        <f>_xlfn.XLOOKUP(E92,'Data Validation'!$M$3:$M$10,'Data Validation'!$N$3:$N$10)</f>
        <v>1</v>
      </c>
      <c r="B92" s="4">
        <v>13</v>
      </c>
      <c r="C92" s="4" t="s">
        <v>11</v>
      </c>
      <c r="D92" s="7">
        <v>27.92</v>
      </c>
      <c r="E92" s="4" t="s">
        <v>18</v>
      </c>
      <c r="F92" s="4" t="s">
        <v>17</v>
      </c>
      <c r="G92" s="4" t="s">
        <v>45</v>
      </c>
      <c r="H92" s="4" t="s">
        <v>32</v>
      </c>
      <c r="I92" s="5">
        <v>45432</v>
      </c>
      <c r="J92" s="4">
        <f t="shared" si="1"/>
        <v>2</v>
      </c>
    </row>
    <row r="93" spans="1:10" x14ac:dyDescent="0.25">
      <c r="A93" s="4">
        <f>_xlfn.XLOOKUP(E93,'Data Validation'!$M$3:$M$10,'Data Validation'!$N$3:$N$10)</f>
        <v>1</v>
      </c>
      <c r="B93" s="4">
        <v>13</v>
      </c>
      <c r="C93" s="4" t="s">
        <v>11</v>
      </c>
      <c r="D93" s="7">
        <v>27.92</v>
      </c>
      <c r="E93" s="4" t="s">
        <v>18</v>
      </c>
      <c r="F93" s="4" t="s">
        <v>17</v>
      </c>
      <c r="G93" s="4" t="s">
        <v>45</v>
      </c>
      <c r="H93" s="4" t="s">
        <v>32</v>
      </c>
      <c r="I93" s="5">
        <v>45432</v>
      </c>
      <c r="J93" s="4">
        <f t="shared" si="1"/>
        <v>2</v>
      </c>
    </row>
    <row r="94" spans="1:10" x14ac:dyDescent="0.25">
      <c r="A94" s="4">
        <f>_xlfn.XLOOKUP(E94,'Data Validation'!$M$3:$M$10,'Data Validation'!$N$3:$N$10)</f>
        <v>1</v>
      </c>
      <c r="B94" s="4">
        <v>12</v>
      </c>
      <c r="C94" s="4" t="s">
        <v>11</v>
      </c>
      <c r="D94" s="7">
        <v>27.92</v>
      </c>
      <c r="E94" s="4" t="s">
        <v>18</v>
      </c>
      <c r="F94" s="4" t="s">
        <v>17</v>
      </c>
      <c r="G94" s="4" t="s">
        <v>47</v>
      </c>
      <c r="H94" s="4" t="s">
        <v>32</v>
      </c>
      <c r="I94" s="5">
        <v>45434</v>
      </c>
      <c r="J94" s="4">
        <f t="shared" si="1"/>
        <v>2</v>
      </c>
    </row>
    <row r="95" spans="1:10" x14ac:dyDescent="0.25">
      <c r="A95" s="4">
        <f>_xlfn.XLOOKUP(E95,'Data Validation'!$M$3:$M$10,'Data Validation'!$N$3:$N$10)</f>
        <v>1</v>
      </c>
      <c r="B95" s="4">
        <v>12</v>
      </c>
      <c r="C95" s="4" t="s">
        <v>11</v>
      </c>
      <c r="D95" s="7">
        <v>27.92</v>
      </c>
      <c r="E95" s="4" t="s">
        <v>18</v>
      </c>
      <c r="F95" s="4" t="s">
        <v>17</v>
      </c>
      <c r="G95" s="4" t="s">
        <v>47</v>
      </c>
      <c r="H95" s="4" t="s">
        <v>32</v>
      </c>
      <c r="I95" s="5">
        <v>45434</v>
      </c>
      <c r="J95" s="4">
        <f t="shared" si="1"/>
        <v>2</v>
      </c>
    </row>
    <row r="96" spans="1:10" x14ac:dyDescent="0.25">
      <c r="A96" s="4">
        <f>_xlfn.XLOOKUP(E96,'Data Validation'!$M$3:$M$10,'Data Validation'!$N$3:$N$10)</f>
        <v>1</v>
      </c>
      <c r="B96" s="4">
        <v>11</v>
      </c>
      <c r="C96" s="4" t="s">
        <v>11</v>
      </c>
      <c r="D96" s="7">
        <v>27.92</v>
      </c>
      <c r="E96" s="4" t="s">
        <v>18</v>
      </c>
      <c r="F96" s="4" t="s">
        <v>13</v>
      </c>
      <c r="G96" s="4" t="s">
        <v>49</v>
      </c>
      <c r="H96" s="4" t="s">
        <v>32</v>
      </c>
      <c r="I96" s="5">
        <v>45436</v>
      </c>
      <c r="J96" s="4">
        <f t="shared" si="1"/>
        <v>2</v>
      </c>
    </row>
    <row r="97" spans="1:10" x14ac:dyDescent="0.25">
      <c r="A97" s="4">
        <f>_xlfn.XLOOKUP(E97,'Data Validation'!$M$3:$M$10,'Data Validation'!$N$3:$N$10)</f>
        <v>1</v>
      </c>
      <c r="B97" s="4">
        <v>11</v>
      </c>
      <c r="C97" s="4" t="s">
        <v>11</v>
      </c>
      <c r="D97" s="7">
        <v>27.92</v>
      </c>
      <c r="E97" s="4" t="s">
        <v>18</v>
      </c>
      <c r="F97" s="4" t="s">
        <v>13</v>
      </c>
      <c r="G97" s="4" t="s">
        <v>49</v>
      </c>
      <c r="H97" s="4" t="s">
        <v>32</v>
      </c>
      <c r="I97" s="5">
        <v>45436</v>
      </c>
      <c r="J97" s="4">
        <f t="shared" si="1"/>
        <v>2</v>
      </c>
    </row>
    <row r="98" spans="1:10" x14ac:dyDescent="0.25">
      <c r="A98" s="4">
        <f>_xlfn.XLOOKUP(E98,'Data Validation'!$M$3:$M$10,'Data Validation'!$N$3:$N$10)</f>
        <v>1</v>
      </c>
      <c r="B98" s="4">
        <v>16</v>
      </c>
      <c r="C98" s="4" t="s">
        <v>11</v>
      </c>
      <c r="D98" s="7">
        <v>27.92</v>
      </c>
      <c r="E98" s="4" t="s">
        <v>18</v>
      </c>
      <c r="F98" s="4" t="s">
        <v>17</v>
      </c>
      <c r="G98" s="4" t="s">
        <v>50</v>
      </c>
      <c r="H98" s="4" t="s">
        <v>32</v>
      </c>
      <c r="I98" s="5">
        <v>45437</v>
      </c>
      <c r="J98" s="4">
        <f t="shared" si="1"/>
        <v>2</v>
      </c>
    </row>
    <row r="99" spans="1:10" x14ac:dyDescent="0.25">
      <c r="A99" s="4">
        <f>_xlfn.XLOOKUP(E99,'Data Validation'!$M$3:$M$10,'Data Validation'!$N$3:$N$10)</f>
        <v>1</v>
      </c>
      <c r="B99" s="4">
        <v>18</v>
      </c>
      <c r="C99" s="4" t="s">
        <v>11</v>
      </c>
      <c r="D99" s="7">
        <v>27.92</v>
      </c>
      <c r="E99" s="4" t="s">
        <v>18</v>
      </c>
      <c r="F99" s="4" t="s">
        <v>20</v>
      </c>
      <c r="G99" s="4" t="s">
        <v>51</v>
      </c>
      <c r="H99" s="4" t="s">
        <v>32</v>
      </c>
      <c r="I99" s="5">
        <v>45438</v>
      </c>
      <c r="J99" s="4">
        <f t="shared" si="1"/>
        <v>2</v>
      </c>
    </row>
    <row r="100" spans="1:10" x14ac:dyDescent="0.25">
      <c r="A100" s="4">
        <f>_xlfn.XLOOKUP(E100,'Data Validation'!$M$3:$M$10,'Data Validation'!$N$3:$N$10)</f>
        <v>1</v>
      </c>
      <c r="B100" s="4">
        <v>11</v>
      </c>
      <c r="C100" s="4" t="s">
        <v>11</v>
      </c>
      <c r="D100" s="7">
        <v>27.92</v>
      </c>
      <c r="E100" s="4" t="s">
        <v>18</v>
      </c>
      <c r="F100" s="4" t="s">
        <v>13</v>
      </c>
      <c r="G100" s="4" t="s">
        <v>45</v>
      </c>
      <c r="H100" s="4" t="s">
        <v>32</v>
      </c>
      <c r="I100" s="5">
        <v>45439</v>
      </c>
      <c r="J100" s="4">
        <f t="shared" si="1"/>
        <v>2</v>
      </c>
    </row>
    <row r="101" spans="1:10" x14ac:dyDescent="0.25">
      <c r="A101" s="4">
        <f>_xlfn.XLOOKUP(E101,'Data Validation'!$M$3:$M$10,'Data Validation'!$N$3:$N$10)</f>
        <v>1</v>
      </c>
      <c r="B101" s="4">
        <v>15</v>
      </c>
      <c r="C101" s="4" t="s">
        <v>11</v>
      </c>
      <c r="D101" s="7">
        <v>27.92</v>
      </c>
      <c r="E101" s="4" t="s">
        <v>18</v>
      </c>
      <c r="F101" s="4" t="s">
        <v>17</v>
      </c>
      <c r="G101" s="4" t="s">
        <v>45</v>
      </c>
      <c r="H101" s="4" t="s">
        <v>32</v>
      </c>
      <c r="I101" s="5">
        <v>45439</v>
      </c>
      <c r="J101" s="4">
        <f t="shared" si="1"/>
        <v>2</v>
      </c>
    </row>
    <row r="102" spans="1:10" x14ac:dyDescent="0.25">
      <c r="A102" s="4">
        <f>_xlfn.XLOOKUP(E102,'Data Validation'!$M$3:$M$10,'Data Validation'!$N$3:$N$10)</f>
        <v>1</v>
      </c>
      <c r="B102" s="4">
        <v>15</v>
      </c>
      <c r="C102" s="4" t="s">
        <v>11</v>
      </c>
      <c r="D102" s="7">
        <v>27.92</v>
      </c>
      <c r="E102" s="4" t="s">
        <v>18</v>
      </c>
      <c r="F102" s="4" t="s">
        <v>17</v>
      </c>
      <c r="G102" s="4" t="s">
        <v>45</v>
      </c>
      <c r="H102" s="4" t="s">
        <v>32</v>
      </c>
      <c r="I102" s="5">
        <v>45439</v>
      </c>
      <c r="J102" s="4">
        <f t="shared" si="1"/>
        <v>2</v>
      </c>
    </row>
    <row r="103" spans="1:10" x14ac:dyDescent="0.25">
      <c r="A103" s="4">
        <f>_xlfn.XLOOKUP(E103,'Data Validation'!$M$3:$M$10,'Data Validation'!$N$3:$N$10)</f>
        <v>1</v>
      </c>
      <c r="B103" s="4">
        <v>18</v>
      </c>
      <c r="C103" s="4" t="s">
        <v>11</v>
      </c>
      <c r="D103" s="7">
        <v>27.92</v>
      </c>
      <c r="E103" s="4" t="s">
        <v>18</v>
      </c>
      <c r="F103" s="4" t="s">
        <v>20</v>
      </c>
      <c r="G103" s="4" t="s">
        <v>45</v>
      </c>
      <c r="H103" s="4" t="s">
        <v>32</v>
      </c>
      <c r="I103" s="5">
        <v>45439</v>
      </c>
      <c r="J103" s="4">
        <f t="shared" si="1"/>
        <v>2</v>
      </c>
    </row>
    <row r="104" spans="1:10" x14ac:dyDescent="0.25">
      <c r="A104" s="4">
        <f>_xlfn.XLOOKUP(E104,'Data Validation'!$M$3:$M$10,'Data Validation'!$N$3:$N$10)</f>
        <v>1</v>
      </c>
      <c r="B104" s="4">
        <v>19</v>
      </c>
      <c r="C104" s="4" t="s">
        <v>11</v>
      </c>
      <c r="D104" s="7">
        <v>27.92</v>
      </c>
      <c r="E104" s="4" t="s">
        <v>18</v>
      </c>
      <c r="F104" s="4" t="s">
        <v>20</v>
      </c>
      <c r="G104" s="4" t="s">
        <v>46</v>
      </c>
      <c r="H104" s="4" t="s">
        <v>32</v>
      </c>
      <c r="I104" s="5">
        <v>45440</v>
      </c>
      <c r="J104" s="4">
        <f t="shared" si="1"/>
        <v>2</v>
      </c>
    </row>
    <row r="105" spans="1:10" x14ac:dyDescent="0.25">
      <c r="A105" s="4">
        <f>_xlfn.XLOOKUP(E105,'Data Validation'!$M$3:$M$10,'Data Validation'!$N$3:$N$10)</f>
        <v>1</v>
      </c>
      <c r="B105" s="4">
        <v>20</v>
      </c>
      <c r="C105" s="4" t="s">
        <v>11</v>
      </c>
      <c r="D105" s="7">
        <v>27.92</v>
      </c>
      <c r="E105" s="4" t="s">
        <v>18</v>
      </c>
      <c r="F105" s="4" t="s">
        <v>20</v>
      </c>
      <c r="G105" s="4" t="s">
        <v>46</v>
      </c>
      <c r="H105" s="4" t="s">
        <v>32</v>
      </c>
      <c r="I105" s="5">
        <v>45440</v>
      </c>
      <c r="J105" s="4">
        <f t="shared" si="1"/>
        <v>2</v>
      </c>
    </row>
    <row r="106" spans="1:10" x14ac:dyDescent="0.25">
      <c r="A106" s="4">
        <f>_xlfn.XLOOKUP(E106,'Data Validation'!$M$3:$M$10,'Data Validation'!$N$3:$N$10)</f>
        <v>1</v>
      </c>
      <c r="B106" s="4">
        <v>15</v>
      </c>
      <c r="C106" s="4" t="s">
        <v>11</v>
      </c>
      <c r="D106" s="7">
        <v>27.92</v>
      </c>
      <c r="E106" s="4" t="s">
        <v>18</v>
      </c>
      <c r="F106" s="4" t="s">
        <v>17</v>
      </c>
      <c r="G106" s="4" t="s">
        <v>47</v>
      </c>
      <c r="H106" s="4" t="s">
        <v>32</v>
      </c>
      <c r="I106" s="5">
        <v>45441</v>
      </c>
      <c r="J106" s="4">
        <f t="shared" si="1"/>
        <v>2</v>
      </c>
    </row>
    <row r="107" spans="1:10" x14ac:dyDescent="0.25">
      <c r="A107" s="4">
        <f>_xlfn.XLOOKUP(E107,'Data Validation'!$M$3:$M$10,'Data Validation'!$N$3:$N$10)</f>
        <v>1</v>
      </c>
      <c r="B107" s="4">
        <v>9</v>
      </c>
      <c r="C107" s="4" t="s">
        <v>11</v>
      </c>
      <c r="D107" s="7">
        <v>27.92</v>
      </c>
      <c r="E107" s="4" t="s">
        <v>18</v>
      </c>
      <c r="F107" s="4" t="s">
        <v>13</v>
      </c>
      <c r="G107" s="4" t="s">
        <v>47</v>
      </c>
      <c r="H107" s="4" t="s">
        <v>53</v>
      </c>
      <c r="I107" s="5">
        <v>45448</v>
      </c>
      <c r="J107" s="4">
        <f t="shared" si="1"/>
        <v>2</v>
      </c>
    </row>
    <row r="108" spans="1:10" x14ac:dyDescent="0.25">
      <c r="A108" s="4">
        <f>_xlfn.XLOOKUP(E108,'Data Validation'!$M$3:$M$10,'Data Validation'!$N$3:$N$10)</f>
        <v>1</v>
      </c>
      <c r="B108" s="4">
        <v>12</v>
      </c>
      <c r="C108" s="4" t="s">
        <v>11</v>
      </c>
      <c r="D108" s="7">
        <v>27.92</v>
      </c>
      <c r="E108" s="4" t="s">
        <v>18</v>
      </c>
      <c r="F108" s="4" t="s">
        <v>17</v>
      </c>
      <c r="G108" s="4" t="s">
        <v>48</v>
      </c>
      <c r="H108" s="4" t="s">
        <v>53</v>
      </c>
      <c r="I108" s="5">
        <v>45449</v>
      </c>
      <c r="J108" s="4">
        <f t="shared" si="1"/>
        <v>2</v>
      </c>
    </row>
    <row r="109" spans="1:10" x14ac:dyDescent="0.25">
      <c r="A109" s="4">
        <f>_xlfn.XLOOKUP(E109,'Data Validation'!$M$3:$M$10,'Data Validation'!$N$3:$N$10)</f>
        <v>1</v>
      </c>
      <c r="B109" s="4">
        <v>21</v>
      </c>
      <c r="C109" s="4" t="s">
        <v>11</v>
      </c>
      <c r="D109" s="7">
        <v>27.92</v>
      </c>
      <c r="E109" s="4" t="s">
        <v>18</v>
      </c>
      <c r="F109" s="4" t="s">
        <v>20</v>
      </c>
      <c r="G109" s="4" t="s">
        <v>51</v>
      </c>
      <c r="H109" s="4" t="s">
        <v>53</v>
      </c>
      <c r="I109" s="5">
        <v>45452</v>
      </c>
      <c r="J109" s="4">
        <f t="shared" si="1"/>
        <v>2</v>
      </c>
    </row>
    <row r="110" spans="1:10" x14ac:dyDescent="0.25">
      <c r="A110" s="4">
        <f>_xlfn.XLOOKUP(E110,'Data Validation'!$M$3:$M$10,'Data Validation'!$N$3:$N$10)</f>
        <v>1</v>
      </c>
      <c r="B110" s="4">
        <v>8</v>
      </c>
      <c r="C110" s="4" t="s">
        <v>11</v>
      </c>
      <c r="D110" s="7">
        <v>27.92</v>
      </c>
      <c r="E110" s="4" t="s">
        <v>18</v>
      </c>
      <c r="F110" s="4" t="s">
        <v>13</v>
      </c>
      <c r="G110" s="4" t="s">
        <v>48</v>
      </c>
      <c r="H110" s="4" t="s">
        <v>53</v>
      </c>
      <c r="I110" s="5">
        <v>45456</v>
      </c>
      <c r="J110" s="4">
        <f t="shared" si="1"/>
        <v>2</v>
      </c>
    </row>
    <row r="111" spans="1:10" x14ac:dyDescent="0.25">
      <c r="A111" s="4">
        <f>_xlfn.XLOOKUP(E111,'Data Validation'!$M$3:$M$10,'Data Validation'!$N$3:$N$10)</f>
        <v>1</v>
      </c>
      <c r="B111" s="4">
        <v>10</v>
      </c>
      <c r="C111" s="4" t="s">
        <v>11</v>
      </c>
      <c r="D111" s="7">
        <v>27.92</v>
      </c>
      <c r="E111" s="4" t="s">
        <v>18</v>
      </c>
      <c r="F111" s="4" t="s">
        <v>13</v>
      </c>
      <c r="G111" s="4" t="s">
        <v>49</v>
      </c>
      <c r="H111" s="4" t="s">
        <v>53</v>
      </c>
      <c r="I111" s="5">
        <v>45457</v>
      </c>
      <c r="J111" s="4">
        <f t="shared" si="1"/>
        <v>2</v>
      </c>
    </row>
    <row r="112" spans="1:10" x14ac:dyDescent="0.25">
      <c r="A112" s="4">
        <f>_xlfn.XLOOKUP(E112,'Data Validation'!$M$3:$M$10,'Data Validation'!$N$3:$N$10)</f>
        <v>1</v>
      </c>
      <c r="B112" s="4">
        <v>18</v>
      </c>
      <c r="C112" s="4" t="s">
        <v>11</v>
      </c>
      <c r="D112" s="7">
        <v>27.92</v>
      </c>
      <c r="E112" s="4" t="s">
        <v>18</v>
      </c>
      <c r="F112" s="4" t="s">
        <v>20</v>
      </c>
      <c r="G112" s="4" t="s">
        <v>50</v>
      </c>
      <c r="H112" s="4" t="s">
        <v>53</v>
      </c>
      <c r="I112" s="5">
        <v>45458</v>
      </c>
      <c r="J112" s="4">
        <f t="shared" si="1"/>
        <v>2</v>
      </c>
    </row>
    <row r="113" spans="1:10" x14ac:dyDescent="0.25">
      <c r="A113" s="4">
        <f>_xlfn.XLOOKUP(E113,'Data Validation'!$M$3:$M$10,'Data Validation'!$N$3:$N$10)</f>
        <v>1</v>
      </c>
      <c r="B113" s="4">
        <v>8</v>
      </c>
      <c r="C113" s="4" t="s">
        <v>11</v>
      </c>
      <c r="D113" s="7">
        <v>27.92</v>
      </c>
      <c r="E113" s="4" t="s">
        <v>18</v>
      </c>
      <c r="F113" s="4" t="s">
        <v>13</v>
      </c>
      <c r="G113" s="4" t="s">
        <v>45</v>
      </c>
      <c r="H113" s="4" t="s">
        <v>53</v>
      </c>
      <c r="I113" s="5">
        <v>45460</v>
      </c>
      <c r="J113" s="4">
        <f t="shared" si="1"/>
        <v>2</v>
      </c>
    </row>
    <row r="114" spans="1:10" x14ac:dyDescent="0.25">
      <c r="A114" s="4">
        <f>_xlfn.XLOOKUP(E114,'Data Validation'!$M$3:$M$10,'Data Validation'!$N$3:$N$10)</f>
        <v>1</v>
      </c>
      <c r="B114" s="4">
        <v>16</v>
      </c>
      <c r="C114" s="4" t="s">
        <v>11</v>
      </c>
      <c r="D114" s="7">
        <v>27.92</v>
      </c>
      <c r="E114" s="4" t="s">
        <v>18</v>
      </c>
      <c r="F114" s="4" t="s">
        <v>17</v>
      </c>
      <c r="G114" s="4" t="s">
        <v>45</v>
      </c>
      <c r="H114" s="4" t="s">
        <v>53</v>
      </c>
      <c r="I114" s="5">
        <v>45460</v>
      </c>
      <c r="J114" s="4">
        <f t="shared" si="1"/>
        <v>2</v>
      </c>
    </row>
    <row r="115" spans="1:10" x14ac:dyDescent="0.25">
      <c r="A115" s="4">
        <f>_xlfn.XLOOKUP(E115,'Data Validation'!$M$3:$M$10,'Data Validation'!$N$3:$N$10)</f>
        <v>1</v>
      </c>
      <c r="B115" s="4">
        <v>18</v>
      </c>
      <c r="C115" s="4" t="s">
        <v>11</v>
      </c>
      <c r="D115" s="7">
        <v>27.92</v>
      </c>
      <c r="E115" s="4" t="s">
        <v>18</v>
      </c>
      <c r="F115" s="4" t="s">
        <v>20</v>
      </c>
      <c r="G115" s="4" t="s">
        <v>45</v>
      </c>
      <c r="H115" s="4" t="s">
        <v>53</v>
      </c>
      <c r="I115" s="5">
        <v>45460</v>
      </c>
      <c r="J115" s="4">
        <f t="shared" si="1"/>
        <v>2</v>
      </c>
    </row>
    <row r="116" spans="1:10" x14ac:dyDescent="0.25">
      <c r="A116" s="4">
        <f>_xlfn.XLOOKUP(E116,'Data Validation'!$M$3:$M$10,'Data Validation'!$N$3:$N$10)</f>
        <v>1</v>
      </c>
      <c r="B116" s="4">
        <v>14</v>
      </c>
      <c r="C116" s="4" t="s">
        <v>11</v>
      </c>
      <c r="D116" s="7">
        <v>27.92</v>
      </c>
      <c r="E116" s="4" t="s">
        <v>18</v>
      </c>
      <c r="F116" s="4" t="s">
        <v>17</v>
      </c>
      <c r="G116" s="4" t="s">
        <v>46</v>
      </c>
      <c r="H116" s="4" t="s">
        <v>53</v>
      </c>
      <c r="I116" s="5">
        <v>45461</v>
      </c>
      <c r="J116" s="4">
        <f t="shared" si="1"/>
        <v>2</v>
      </c>
    </row>
    <row r="117" spans="1:10" x14ac:dyDescent="0.25">
      <c r="A117" s="4">
        <f>_xlfn.XLOOKUP(E117,'Data Validation'!$M$3:$M$10,'Data Validation'!$N$3:$N$10)</f>
        <v>1</v>
      </c>
      <c r="B117" s="4">
        <v>10</v>
      </c>
      <c r="C117" s="4" t="s">
        <v>11</v>
      </c>
      <c r="D117" s="7">
        <v>27.92</v>
      </c>
      <c r="E117" s="4" t="s">
        <v>18</v>
      </c>
      <c r="F117" s="4" t="s">
        <v>13</v>
      </c>
      <c r="G117" s="4" t="s">
        <v>47</v>
      </c>
      <c r="H117" s="4" t="s">
        <v>53</v>
      </c>
      <c r="I117" s="5">
        <v>45462</v>
      </c>
      <c r="J117" s="4">
        <f t="shared" si="1"/>
        <v>2</v>
      </c>
    </row>
    <row r="118" spans="1:10" x14ac:dyDescent="0.25">
      <c r="A118" s="4">
        <f>_xlfn.XLOOKUP(E118,'Data Validation'!$M$3:$M$10,'Data Validation'!$N$3:$N$10)</f>
        <v>1</v>
      </c>
      <c r="B118" s="4">
        <v>10</v>
      </c>
      <c r="C118" s="4" t="s">
        <v>11</v>
      </c>
      <c r="D118" s="7">
        <v>27.92</v>
      </c>
      <c r="E118" s="4" t="s">
        <v>18</v>
      </c>
      <c r="F118" s="4" t="s">
        <v>13</v>
      </c>
      <c r="G118" s="4" t="s">
        <v>49</v>
      </c>
      <c r="H118" s="4" t="s">
        <v>53</v>
      </c>
      <c r="I118" s="5">
        <v>45464</v>
      </c>
      <c r="J118" s="4">
        <f t="shared" si="1"/>
        <v>2</v>
      </c>
    </row>
    <row r="119" spans="1:10" x14ac:dyDescent="0.25">
      <c r="A119" s="4">
        <f>_xlfn.XLOOKUP(E119,'Data Validation'!$M$3:$M$10,'Data Validation'!$N$3:$N$10)</f>
        <v>1</v>
      </c>
      <c r="B119" s="4">
        <v>19</v>
      </c>
      <c r="C119" s="4" t="s">
        <v>11</v>
      </c>
      <c r="D119" s="7">
        <v>27.92</v>
      </c>
      <c r="E119" s="4" t="s">
        <v>18</v>
      </c>
      <c r="F119" s="4" t="s">
        <v>20</v>
      </c>
      <c r="G119" s="4" t="s">
        <v>49</v>
      </c>
      <c r="H119" s="4" t="s">
        <v>53</v>
      </c>
      <c r="I119" s="5">
        <v>45464</v>
      </c>
      <c r="J119" s="4">
        <f t="shared" si="1"/>
        <v>2</v>
      </c>
    </row>
    <row r="120" spans="1:10" x14ac:dyDescent="0.25">
      <c r="A120" s="4">
        <f>_xlfn.XLOOKUP(E120,'Data Validation'!$M$3:$M$10,'Data Validation'!$N$3:$N$10)</f>
        <v>1</v>
      </c>
      <c r="B120" s="4">
        <v>16</v>
      </c>
      <c r="C120" s="4" t="s">
        <v>11</v>
      </c>
      <c r="D120" s="7">
        <v>27.92</v>
      </c>
      <c r="E120" s="4" t="s">
        <v>18</v>
      </c>
      <c r="F120" s="4" t="s">
        <v>17</v>
      </c>
      <c r="G120" s="4" t="s">
        <v>47</v>
      </c>
      <c r="H120" s="4" t="s">
        <v>53</v>
      </c>
      <c r="I120" s="5">
        <v>45469</v>
      </c>
      <c r="J120" s="4">
        <f t="shared" si="1"/>
        <v>2</v>
      </c>
    </row>
    <row r="121" spans="1:10" x14ac:dyDescent="0.25">
      <c r="A121" s="4">
        <f>_xlfn.XLOOKUP(E121,'Data Validation'!$M$3:$M$10,'Data Validation'!$N$3:$N$10)</f>
        <v>1</v>
      </c>
      <c r="B121" s="4">
        <v>10</v>
      </c>
      <c r="C121" s="4" t="s">
        <v>11</v>
      </c>
      <c r="D121" s="7">
        <v>27.92</v>
      </c>
      <c r="E121" s="4" t="s">
        <v>18</v>
      </c>
      <c r="F121" s="4" t="s">
        <v>13</v>
      </c>
      <c r="G121" s="4" t="s">
        <v>46</v>
      </c>
      <c r="H121" s="4" t="s">
        <v>54</v>
      </c>
      <c r="I121" s="5">
        <v>45475</v>
      </c>
      <c r="J121" s="4">
        <f t="shared" si="1"/>
        <v>2</v>
      </c>
    </row>
    <row r="122" spans="1:10" x14ac:dyDescent="0.25">
      <c r="A122" s="4">
        <f>_xlfn.XLOOKUP(E122,'Data Validation'!$M$3:$M$10,'Data Validation'!$N$3:$N$10)</f>
        <v>1</v>
      </c>
      <c r="B122" s="4">
        <v>14</v>
      </c>
      <c r="C122" s="4" t="s">
        <v>11</v>
      </c>
      <c r="D122" s="7">
        <v>27.92</v>
      </c>
      <c r="E122" s="4" t="s">
        <v>18</v>
      </c>
      <c r="F122" s="4" t="s">
        <v>17</v>
      </c>
      <c r="G122" s="4" t="s">
        <v>46</v>
      </c>
      <c r="H122" s="4" t="s">
        <v>54</v>
      </c>
      <c r="I122" s="5">
        <v>45475</v>
      </c>
      <c r="J122" s="4">
        <f t="shared" si="1"/>
        <v>2</v>
      </c>
    </row>
    <row r="123" spans="1:10" x14ac:dyDescent="0.25">
      <c r="A123" s="4">
        <f>_xlfn.XLOOKUP(E123,'Data Validation'!$M$3:$M$10,'Data Validation'!$N$3:$N$10)</f>
        <v>1</v>
      </c>
      <c r="B123" s="4">
        <v>10</v>
      </c>
      <c r="C123" s="4" t="s">
        <v>11</v>
      </c>
      <c r="D123" s="7">
        <v>27.92</v>
      </c>
      <c r="E123" s="4" t="s">
        <v>18</v>
      </c>
      <c r="F123" s="4" t="s">
        <v>13</v>
      </c>
      <c r="G123" s="4" t="s">
        <v>48</v>
      </c>
      <c r="H123" s="4" t="s">
        <v>54</v>
      </c>
      <c r="I123" s="5">
        <v>45477</v>
      </c>
      <c r="J123" s="4">
        <f t="shared" si="1"/>
        <v>2</v>
      </c>
    </row>
    <row r="124" spans="1:10" x14ac:dyDescent="0.25">
      <c r="A124" s="4">
        <f>_xlfn.XLOOKUP(E124,'Data Validation'!$M$3:$M$10,'Data Validation'!$N$3:$N$10)</f>
        <v>1</v>
      </c>
      <c r="B124" s="4">
        <v>19</v>
      </c>
      <c r="C124" s="4" t="s">
        <v>11</v>
      </c>
      <c r="D124" s="7">
        <v>27.92</v>
      </c>
      <c r="E124" s="4" t="s">
        <v>18</v>
      </c>
      <c r="F124" s="4" t="s">
        <v>20</v>
      </c>
      <c r="G124" s="4" t="s">
        <v>49</v>
      </c>
      <c r="H124" s="4" t="s">
        <v>54</v>
      </c>
      <c r="I124" s="5">
        <v>45478</v>
      </c>
      <c r="J124" s="4">
        <f t="shared" si="1"/>
        <v>2</v>
      </c>
    </row>
    <row r="125" spans="1:10" x14ac:dyDescent="0.25">
      <c r="A125" s="4">
        <f>_xlfn.XLOOKUP(E125,'Data Validation'!$M$3:$M$10,'Data Validation'!$N$3:$N$10)</f>
        <v>1</v>
      </c>
      <c r="B125" s="4">
        <v>22</v>
      </c>
      <c r="C125" s="4" t="s">
        <v>11</v>
      </c>
      <c r="D125" s="7">
        <v>27.92</v>
      </c>
      <c r="E125" s="4" t="s">
        <v>18</v>
      </c>
      <c r="F125" s="4" t="s">
        <v>20</v>
      </c>
      <c r="G125" s="4" t="s">
        <v>49</v>
      </c>
      <c r="H125" s="4" t="s">
        <v>54</v>
      </c>
      <c r="I125" s="5">
        <v>45478</v>
      </c>
      <c r="J125" s="4">
        <f t="shared" si="1"/>
        <v>2</v>
      </c>
    </row>
    <row r="126" spans="1:10" x14ac:dyDescent="0.25">
      <c r="A126" s="4">
        <f>_xlfn.XLOOKUP(E126,'Data Validation'!$M$3:$M$10,'Data Validation'!$N$3:$N$10)</f>
        <v>1</v>
      </c>
      <c r="B126" s="4">
        <v>22</v>
      </c>
      <c r="C126" s="4" t="s">
        <v>11</v>
      </c>
      <c r="D126" s="7">
        <v>27.92</v>
      </c>
      <c r="E126" s="4" t="s">
        <v>18</v>
      </c>
      <c r="F126" s="4" t="s">
        <v>20</v>
      </c>
      <c r="G126" s="4" t="s">
        <v>49</v>
      </c>
      <c r="H126" s="4" t="s">
        <v>54</v>
      </c>
      <c r="I126" s="5">
        <v>45478</v>
      </c>
      <c r="J126" s="4">
        <f t="shared" si="1"/>
        <v>2</v>
      </c>
    </row>
    <row r="127" spans="1:10" x14ac:dyDescent="0.25">
      <c r="A127" s="4">
        <f>_xlfn.XLOOKUP(E127,'Data Validation'!$M$3:$M$10,'Data Validation'!$N$3:$N$10)</f>
        <v>1</v>
      </c>
      <c r="B127" s="4">
        <v>12</v>
      </c>
      <c r="C127" s="4" t="s">
        <v>11</v>
      </c>
      <c r="D127" s="7">
        <v>23.02</v>
      </c>
      <c r="E127" s="4" t="s">
        <v>18</v>
      </c>
      <c r="F127" s="4" t="s">
        <v>17</v>
      </c>
      <c r="G127" s="4" t="s">
        <v>45</v>
      </c>
      <c r="H127" s="4" t="s">
        <v>54</v>
      </c>
      <c r="I127" s="5">
        <v>45481</v>
      </c>
      <c r="J127" s="4">
        <f t="shared" si="1"/>
        <v>3</v>
      </c>
    </row>
    <row r="128" spans="1:10" x14ac:dyDescent="0.25">
      <c r="A128" s="4">
        <f>_xlfn.XLOOKUP(E128,'Data Validation'!$M$3:$M$10,'Data Validation'!$N$3:$N$10)</f>
        <v>1</v>
      </c>
      <c r="B128" s="4">
        <v>14</v>
      </c>
      <c r="C128" s="4" t="s">
        <v>11</v>
      </c>
      <c r="D128" s="7">
        <v>23.02</v>
      </c>
      <c r="E128" s="4" t="s">
        <v>18</v>
      </c>
      <c r="F128" s="4" t="s">
        <v>17</v>
      </c>
      <c r="G128" s="4" t="s">
        <v>45</v>
      </c>
      <c r="H128" s="4" t="s">
        <v>54</v>
      </c>
      <c r="I128" s="5">
        <v>45481</v>
      </c>
      <c r="J128" s="4">
        <f t="shared" si="1"/>
        <v>3</v>
      </c>
    </row>
    <row r="129" spans="1:10" x14ac:dyDescent="0.25">
      <c r="A129" s="4">
        <f>_xlfn.XLOOKUP(E129,'Data Validation'!$M$3:$M$10,'Data Validation'!$N$3:$N$10)</f>
        <v>1</v>
      </c>
      <c r="B129" s="4">
        <v>11</v>
      </c>
      <c r="C129" s="4" t="s">
        <v>11</v>
      </c>
      <c r="D129" s="7">
        <v>23.02</v>
      </c>
      <c r="E129" s="4" t="s">
        <v>18</v>
      </c>
      <c r="F129" s="4" t="s">
        <v>13</v>
      </c>
      <c r="G129" s="4" t="s">
        <v>47</v>
      </c>
      <c r="H129" s="4" t="s">
        <v>54</v>
      </c>
      <c r="I129" s="5">
        <v>45483</v>
      </c>
      <c r="J129" s="4">
        <f t="shared" si="1"/>
        <v>3</v>
      </c>
    </row>
    <row r="130" spans="1:10" x14ac:dyDescent="0.25">
      <c r="A130" s="4">
        <f>_xlfn.XLOOKUP(E130,'Data Validation'!$M$3:$M$10,'Data Validation'!$N$3:$N$10)</f>
        <v>1</v>
      </c>
      <c r="B130" s="4">
        <v>22</v>
      </c>
      <c r="C130" s="4" t="s">
        <v>11</v>
      </c>
      <c r="D130" s="7">
        <v>23.02</v>
      </c>
      <c r="E130" s="4" t="s">
        <v>18</v>
      </c>
      <c r="F130" s="4" t="s">
        <v>20</v>
      </c>
      <c r="G130" s="4" t="s">
        <v>48</v>
      </c>
      <c r="H130" s="4" t="s">
        <v>54</v>
      </c>
      <c r="I130" s="5">
        <v>45484</v>
      </c>
      <c r="J130" s="4">
        <f t="shared" si="1"/>
        <v>3</v>
      </c>
    </row>
    <row r="131" spans="1:10" x14ac:dyDescent="0.25">
      <c r="A131" s="4">
        <f>_xlfn.XLOOKUP(E131,'Data Validation'!$M$3:$M$10,'Data Validation'!$N$3:$N$10)</f>
        <v>1</v>
      </c>
      <c r="B131" s="4">
        <v>10</v>
      </c>
      <c r="C131" s="4" t="s">
        <v>11</v>
      </c>
      <c r="D131" s="7">
        <v>23.02</v>
      </c>
      <c r="E131" s="4" t="s">
        <v>18</v>
      </c>
      <c r="F131" s="4" t="s">
        <v>13</v>
      </c>
      <c r="G131" s="4" t="s">
        <v>51</v>
      </c>
      <c r="H131" s="4" t="s">
        <v>54</v>
      </c>
      <c r="I131" s="5">
        <v>45487</v>
      </c>
      <c r="J131" s="4">
        <f t="shared" ref="J131:J194" si="2">IF(OR(E131&lt;&gt;E130,D131&lt;&gt;D130),J130+1,J130)</f>
        <v>3</v>
      </c>
    </row>
    <row r="132" spans="1:10" x14ac:dyDescent="0.25">
      <c r="A132" s="4">
        <f>_xlfn.XLOOKUP(E132,'Data Validation'!$M$3:$M$10,'Data Validation'!$N$3:$N$10)</f>
        <v>1</v>
      </c>
      <c r="B132" s="4">
        <v>11</v>
      </c>
      <c r="C132" s="4" t="s">
        <v>11</v>
      </c>
      <c r="D132" s="7">
        <v>23.02</v>
      </c>
      <c r="E132" s="4" t="s">
        <v>18</v>
      </c>
      <c r="F132" s="4" t="s">
        <v>13</v>
      </c>
      <c r="G132" s="4" t="s">
        <v>51</v>
      </c>
      <c r="H132" s="4" t="s">
        <v>54</v>
      </c>
      <c r="I132" s="5">
        <v>45487</v>
      </c>
      <c r="J132" s="4">
        <f t="shared" si="2"/>
        <v>3</v>
      </c>
    </row>
    <row r="133" spans="1:10" x14ac:dyDescent="0.25">
      <c r="A133" s="4">
        <f>_xlfn.XLOOKUP(E133,'Data Validation'!$M$3:$M$10,'Data Validation'!$N$3:$N$10)</f>
        <v>1</v>
      </c>
      <c r="B133" s="4">
        <v>11</v>
      </c>
      <c r="C133" s="4" t="s">
        <v>11</v>
      </c>
      <c r="D133" s="7">
        <v>23.02</v>
      </c>
      <c r="E133" s="4" t="s">
        <v>18</v>
      </c>
      <c r="F133" s="4" t="s">
        <v>13</v>
      </c>
      <c r="G133" s="4" t="s">
        <v>48</v>
      </c>
      <c r="H133" s="4" t="s">
        <v>54</v>
      </c>
      <c r="I133" s="5">
        <v>45491</v>
      </c>
      <c r="J133" s="4">
        <f t="shared" si="2"/>
        <v>3</v>
      </c>
    </row>
    <row r="134" spans="1:10" x14ac:dyDescent="0.25">
      <c r="A134" s="4">
        <f>_xlfn.XLOOKUP(E134,'Data Validation'!$M$3:$M$10,'Data Validation'!$N$3:$N$10)</f>
        <v>1</v>
      </c>
      <c r="B134" s="4">
        <v>11</v>
      </c>
      <c r="C134" s="4" t="s">
        <v>11</v>
      </c>
      <c r="D134" s="7">
        <v>23.02</v>
      </c>
      <c r="E134" s="4" t="s">
        <v>18</v>
      </c>
      <c r="F134" s="4" t="s">
        <v>13</v>
      </c>
      <c r="G134" s="4" t="s">
        <v>48</v>
      </c>
      <c r="H134" s="4" t="s">
        <v>54</v>
      </c>
      <c r="I134" s="5">
        <v>45491</v>
      </c>
      <c r="J134" s="4">
        <f t="shared" si="2"/>
        <v>3</v>
      </c>
    </row>
    <row r="135" spans="1:10" x14ac:dyDescent="0.25">
      <c r="A135" s="4">
        <f>_xlfn.XLOOKUP(E135,'Data Validation'!$M$3:$M$10,'Data Validation'!$N$3:$N$10)</f>
        <v>1</v>
      </c>
      <c r="B135" s="4">
        <v>11</v>
      </c>
      <c r="C135" s="4" t="s">
        <v>11</v>
      </c>
      <c r="D135" s="7">
        <v>23.02</v>
      </c>
      <c r="E135" s="4" t="s">
        <v>18</v>
      </c>
      <c r="F135" s="4" t="s">
        <v>13</v>
      </c>
      <c r="G135" s="4" t="s">
        <v>49</v>
      </c>
      <c r="H135" s="4" t="s">
        <v>54</v>
      </c>
      <c r="I135" s="5">
        <v>45492</v>
      </c>
      <c r="J135" s="4">
        <f t="shared" si="2"/>
        <v>3</v>
      </c>
    </row>
    <row r="136" spans="1:10" x14ac:dyDescent="0.25">
      <c r="A136" s="4">
        <f>_xlfn.XLOOKUP(E136,'Data Validation'!$M$3:$M$10,'Data Validation'!$N$3:$N$10)</f>
        <v>1</v>
      </c>
      <c r="B136" s="4">
        <v>8</v>
      </c>
      <c r="C136" s="4" t="s">
        <v>11</v>
      </c>
      <c r="D136" s="7">
        <v>23.02</v>
      </c>
      <c r="E136" s="4" t="s">
        <v>18</v>
      </c>
      <c r="F136" s="4" t="s">
        <v>13</v>
      </c>
      <c r="G136" s="4" t="s">
        <v>50</v>
      </c>
      <c r="H136" s="4" t="s">
        <v>54</v>
      </c>
      <c r="I136" s="5">
        <v>45493</v>
      </c>
      <c r="J136" s="4">
        <f t="shared" si="2"/>
        <v>3</v>
      </c>
    </row>
    <row r="137" spans="1:10" x14ac:dyDescent="0.25">
      <c r="A137" s="4">
        <f>_xlfn.XLOOKUP(E137,'Data Validation'!$M$3:$M$10,'Data Validation'!$N$3:$N$10)</f>
        <v>1</v>
      </c>
      <c r="B137" s="4">
        <v>8</v>
      </c>
      <c r="C137" s="4" t="s">
        <v>11</v>
      </c>
      <c r="D137" s="7">
        <v>23.02</v>
      </c>
      <c r="E137" s="4" t="s">
        <v>18</v>
      </c>
      <c r="F137" s="4" t="s">
        <v>13</v>
      </c>
      <c r="G137" s="4" t="s">
        <v>50</v>
      </c>
      <c r="H137" s="4" t="s">
        <v>54</v>
      </c>
      <c r="I137" s="5">
        <v>45493</v>
      </c>
      <c r="J137" s="4">
        <f t="shared" si="2"/>
        <v>3</v>
      </c>
    </row>
    <row r="138" spans="1:10" x14ac:dyDescent="0.25">
      <c r="A138" s="4">
        <f>_xlfn.XLOOKUP(E138,'Data Validation'!$M$3:$M$10,'Data Validation'!$N$3:$N$10)</f>
        <v>1</v>
      </c>
      <c r="B138" s="4">
        <v>10</v>
      </c>
      <c r="C138" s="4" t="s">
        <v>11</v>
      </c>
      <c r="D138" s="7">
        <v>23.02</v>
      </c>
      <c r="E138" s="4" t="s">
        <v>18</v>
      </c>
      <c r="F138" s="4" t="s">
        <v>13</v>
      </c>
      <c r="G138" s="4" t="s">
        <v>50</v>
      </c>
      <c r="H138" s="4" t="s">
        <v>54</v>
      </c>
      <c r="I138" s="5">
        <v>45493</v>
      </c>
      <c r="J138" s="4">
        <f t="shared" si="2"/>
        <v>3</v>
      </c>
    </row>
    <row r="139" spans="1:10" x14ac:dyDescent="0.25">
      <c r="A139" s="4">
        <f>_xlfn.XLOOKUP(E139,'Data Validation'!$M$3:$M$10,'Data Validation'!$N$3:$N$10)</f>
        <v>1</v>
      </c>
      <c r="B139" s="4">
        <v>8</v>
      </c>
      <c r="C139" s="4" t="s">
        <v>11</v>
      </c>
      <c r="D139" s="7">
        <v>23.02</v>
      </c>
      <c r="E139" s="4" t="s">
        <v>18</v>
      </c>
      <c r="F139" s="4" t="s">
        <v>13</v>
      </c>
      <c r="G139" s="4" t="s">
        <v>45</v>
      </c>
      <c r="H139" s="4" t="s">
        <v>54</v>
      </c>
      <c r="I139" s="5">
        <v>45495</v>
      </c>
      <c r="J139" s="4">
        <f t="shared" si="2"/>
        <v>3</v>
      </c>
    </row>
    <row r="140" spans="1:10" x14ac:dyDescent="0.25">
      <c r="A140" s="4">
        <f>_xlfn.XLOOKUP(E140,'Data Validation'!$M$3:$M$10,'Data Validation'!$N$3:$N$10)</f>
        <v>1</v>
      </c>
      <c r="B140" s="4">
        <v>8</v>
      </c>
      <c r="C140" s="4" t="s">
        <v>11</v>
      </c>
      <c r="D140" s="7">
        <v>23.02</v>
      </c>
      <c r="E140" s="4" t="s">
        <v>18</v>
      </c>
      <c r="F140" s="4" t="s">
        <v>13</v>
      </c>
      <c r="G140" s="4" t="s">
        <v>45</v>
      </c>
      <c r="H140" s="4" t="s">
        <v>54</v>
      </c>
      <c r="I140" s="5">
        <v>45495</v>
      </c>
      <c r="J140" s="4">
        <f t="shared" si="2"/>
        <v>3</v>
      </c>
    </row>
    <row r="141" spans="1:10" x14ac:dyDescent="0.25">
      <c r="A141" s="4">
        <f>_xlfn.XLOOKUP(E141,'Data Validation'!$M$3:$M$10,'Data Validation'!$N$3:$N$10)</f>
        <v>1</v>
      </c>
      <c r="B141" s="4">
        <v>8</v>
      </c>
      <c r="C141" s="4" t="s">
        <v>11</v>
      </c>
      <c r="D141" s="7">
        <v>23.02</v>
      </c>
      <c r="E141" s="4" t="s">
        <v>18</v>
      </c>
      <c r="F141" s="4" t="s">
        <v>13</v>
      </c>
      <c r="G141" s="4" t="s">
        <v>46</v>
      </c>
      <c r="H141" s="4" t="s">
        <v>54</v>
      </c>
      <c r="I141" s="5">
        <v>45496</v>
      </c>
      <c r="J141" s="4">
        <f t="shared" si="2"/>
        <v>3</v>
      </c>
    </row>
    <row r="142" spans="1:10" x14ac:dyDescent="0.25">
      <c r="A142" s="4">
        <f>_xlfn.XLOOKUP(E142,'Data Validation'!$M$3:$M$10,'Data Validation'!$N$3:$N$10)</f>
        <v>1</v>
      </c>
      <c r="B142" s="4">
        <v>9</v>
      </c>
      <c r="C142" s="4" t="s">
        <v>11</v>
      </c>
      <c r="D142" s="7">
        <v>23.02</v>
      </c>
      <c r="E142" s="4" t="s">
        <v>18</v>
      </c>
      <c r="F142" s="4" t="s">
        <v>13</v>
      </c>
      <c r="G142" s="4" t="s">
        <v>46</v>
      </c>
      <c r="H142" s="4" t="s">
        <v>54</v>
      </c>
      <c r="I142" s="5">
        <v>45496</v>
      </c>
      <c r="J142" s="4">
        <f t="shared" si="2"/>
        <v>3</v>
      </c>
    </row>
    <row r="143" spans="1:10" x14ac:dyDescent="0.25">
      <c r="A143" s="4">
        <f>_xlfn.XLOOKUP(E143,'Data Validation'!$M$3:$M$10,'Data Validation'!$N$3:$N$10)</f>
        <v>1</v>
      </c>
      <c r="B143" s="4">
        <v>21</v>
      </c>
      <c r="C143" s="4" t="s">
        <v>11</v>
      </c>
      <c r="D143" s="7">
        <v>23.02</v>
      </c>
      <c r="E143" s="4" t="s">
        <v>18</v>
      </c>
      <c r="F143" s="4" t="s">
        <v>20</v>
      </c>
      <c r="G143" s="4" t="s">
        <v>46</v>
      </c>
      <c r="H143" s="4" t="s">
        <v>54</v>
      </c>
      <c r="I143" s="5">
        <v>45496</v>
      </c>
      <c r="J143" s="4">
        <f t="shared" si="2"/>
        <v>3</v>
      </c>
    </row>
    <row r="144" spans="1:10" x14ac:dyDescent="0.25">
      <c r="A144" s="4">
        <f>_xlfn.XLOOKUP(E144,'Data Validation'!$M$3:$M$10,'Data Validation'!$N$3:$N$10)</f>
        <v>1</v>
      </c>
      <c r="B144" s="4">
        <v>21</v>
      </c>
      <c r="C144" s="4" t="s">
        <v>11</v>
      </c>
      <c r="D144" s="7">
        <v>23.02</v>
      </c>
      <c r="E144" s="4" t="s">
        <v>18</v>
      </c>
      <c r="F144" s="4" t="s">
        <v>20</v>
      </c>
      <c r="G144" s="4" t="s">
        <v>46</v>
      </c>
      <c r="H144" s="4" t="s">
        <v>54</v>
      </c>
      <c r="I144" s="5">
        <v>45496</v>
      </c>
      <c r="J144" s="4">
        <f t="shared" si="2"/>
        <v>3</v>
      </c>
    </row>
    <row r="145" spans="1:10" x14ac:dyDescent="0.25">
      <c r="A145" s="4">
        <f>_xlfn.XLOOKUP(E145,'Data Validation'!$M$3:$M$10,'Data Validation'!$N$3:$N$10)</f>
        <v>1</v>
      </c>
      <c r="B145" s="4">
        <v>21</v>
      </c>
      <c r="C145" s="4" t="s">
        <v>11</v>
      </c>
      <c r="D145" s="7">
        <v>23.02</v>
      </c>
      <c r="E145" s="4" t="s">
        <v>18</v>
      </c>
      <c r="F145" s="4" t="s">
        <v>20</v>
      </c>
      <c r="G145" s="4" t="s">
        <v>47</v>
      </c>
      <c r="H145" s="4" t="s">
        <v>54</v>
      </c>
      <c r="I145" s="5">
        <v>45497</v>
      </c>
      <c r="J145" s="4">
        <f t="shared" si="2"/>
        <v>3</v>
      </c>
    </row>
    <row r="146" spans="1:10" x14ac:dyDescent="0.25">
      <c r="A146" s="4">
        <f>_xlfn.XLOOKUP(E146,'Data Validation'!$M$3:$M$10,'Data Validation'!$N$3:$N$10)</f>
        <v>1</v>
      </c>
      <c r="B146" s="4">
        <v>21</v>
      </c>
      <c r="C146" s="4" t="s">
        <v>11</v>
      </c>
      <c r="D146" s="7">
        <v>23.02</v>
      </c>
      <c r="E146" s="4" t="s">
        <v>18</v>
      </c>
      <c r="F146" s="4" t="s">
        <v>20</v>
      </c>
      <c r="G146" s="4" t="s">
        <v>47</v>
      </c>
      <c r="H146" s="4" t="s">
        <v>54</v>
      </c>
      <c r="I146" s="5">
        <v>45497</v>
      </c>
      <c r="J146" s="4">
        <f t="shared" si="2"/>
        <v>3</v>
      </c>
    </row>
    <row r="147" spans="1:10" x14ac:dyDescent="0.25">
      <c r="A147" s="4">
        <f>_xlfn.XLOOKUP(E147,'Data Validation'!$M$3:$M$10,'Data Validation'!$N$3:$N$10)</f>
        <v>1</v>
      </c>
      <c r="B147" s="4">
        <v>7</v>
      </c>
      <c r="C147" s="4" t="s">
        <v>11</v>
      </c>
      <c r="D147" s="7">
        <v>23.02</v>
      </c>
      <c r="E147" s="4" t="s">
        <v>18</v>
      </c>
      <c r="F147" s="4" t="s">
        <v>13</v>
      </c>
      <c r="G147" s="4" t="s">
        <v>48</v>
      </c>
      <c r="H147" s="4" t="s">
        <v>54</v>
      </c>
      <c r="I147" s="5">
        <v>45498</v>
      </c>
      <c r="J147" s="4">
        <f t="shared" si="2"/>
        <v>3</v>
      </c>
    </row>
    <row r="148" spans="1:10" x14ac:dyDescent="0.25">
      <c r="A148" s="4">
        <f>_xlfn.XLOOKUP(E148,'Data Validation'!$M$3:$M$10,'Data Validation'!$N$3:$N$10)</f>
        <v>1</v>
      </c>
      <c r="B148" s="4">
        <v>11</v>
      </c>
      <c r="C148" s="4" t="s">
        <v>11</v>
      </c>
      <c r="D148" s="7">
        <v>23.02</v>
      </c>
      <c r="E148" s="4" t="s">
        <v>18</v>
      </c>
      <c r="F148" s="4" t="s">
        <v>13</v>
      </c>
      <c r="G148" s="4" t="s">
        <v>48</v>
      </c>
      <c r="H148" s="4" t="s">
        <v>54</v>
      </c>
      <c r="I148" s="5">
        <v>45498</v>
      </c>
      <c r="J148" s="4">
        <f t="shared" si="2"/>
        <v>3</v>
      </c>
    </row>
    <row r="149" spans="1:10" x14ac:dyDescent="0.25">
      <c r="A149" s="4">
        <f>_xlfn.XLOOKUP(E149,'Data Validation'!$M$3:$M$10,'Data Validation'!$N$3:$N$10)</f>
        <v>1</v>
      </c>
      <c r="B149" s="4">
        <v>17</v>
      </c>
      <c r="C149" s="4" t="s">
        <v>11</v>
      </c>
      <c r="D149" s="7">
        <v>23.02</v>
      </c>
      <c r="E149" s="4" t="s">
        <v>18</v>
      </c>
      <c r="F149" s="4" t="s">
        <v>20</v>
      </c>
      <c r="G149" s="4" t="s">
        <v>49</v>
      </c>
      <c r="H149" s="4" t="s">
        <v>54</v>
      </c>
      <c r="I149" s="5">
        <v>45499</v>
      </c>
      <c r="J149" s="4">
        <f t="shared" si="2"/>
        <v>3</v>
      </c>
    </row>
    <row r="150" spans="1:10" x14ac:dyDescent="0.25">
      <c r="A150" s="4">
        <f>_xlfn.XLOOKUP(E150,'Data Validation'!$M$3:$M$10,'Data Validation'!$N$3:$N$10)</f>
        <v>1</v>
      </c>
      <c r="B150" s="4">
        <v>9</v>
      </c>
      <c r="C150" s="4" t="s">
        <v>11</v>
      </c>
      <c r="D150" s="7">
        <v>23.02</v>
      </c>
      <c r="E150" s="4" t="s">
        <v>18</v>
      </c>
      <c r="F150" s="4" t="s">
        <v>13</v>
      </c>
      <c r="G150" s="4" t="s">
        <v>45</v>
      </c>
      <c r="H150" s="4" t="s">
        <v>54</v>
      </c>
      <c r="I150" s="5">
        <v>45502</v>
      </c>
      <c r="J150" s="4">
        <f t="shared" si="2"/>
        <v>3</v>
      </c>
    </row>
    <row r="151" spans="1:10" x14ac:dyDescent="0.25">
      <c r="A151" s="4">
        <f>_xlfn.XLOOKUP(E151,'Data Validation'!$M$3:$M$10,'Data Validation'!$N$3:$N$10)</f>
        <v>1</v>
      </c>
      <c r="B151" s="4">
        <v>9</v>
      </c>
      <c r="C151" s="4" t="s">
        <v>11</v>
      </c>
      <c r="D151" s="7">
        <v>23.02</v>
      </c>
      <c r="E151" s="4" t="s">
        <v>18</v>
      </c>
      <c r="F151" s="4" t="s">
        <v>13</v>
      </c>
      <c r="G151" s="4" t="s">
        <v>45</v>
      </c>
      <c r="H151" s="4" t="s">
        <v>54</v>
      </c>
      <c r="I151" s="5">
        <v>45502</v>
      </c>
      <c r="J151" s="4">
        <f t="shared" si="2"/>
        <v>3</v>
      </c>
    </row>
    <row r="152" spans="1:10" x14ac:dyDescent="0.25">
      <c r="A152" s="4">
        <f>_xlfn.XLOOKUP(E152,'Data Validation'!$M$3:$M$10,'Data Validation'!$N$3:$N$10)</f>
        <v>1</v>
      </c>
      <c r="B152" s="4">
        <v>19</v>
      </c>
      <c r="C152" s="4" t="s">
        <v>11</v>
      </c>
      <c r="D152" s="7">
        <v>23.02</v>
      </c>
      <c r="E152" s="4" t="s">
        <v>18</v>
      </c>
      <c r="F152" s="4" t="s">
        <v>20</v>
      </c>
      <c r="G152" s="4" t="s">
        <v>45</v>
      </c>
      <c r="H152" s="4" t="s">
        <v>54</v>
      </c>
      <c r="I152" s="5">
        <v>45502</v>
      </c>
      <c r="J152" s="4">
        <f t="shared" si="2"/>
        <v>3</v>
      </c>
    </row>
    <row r="153" spans="1:10" x14ac:dyDescent="0.25">
      <c r="A153" s="4">
        <f>_xlfn.XLOOKUP(E153,'Data Validation'!$M$3:$M$10,'Data Validation'!$N$3:$N$10)</f>
        <v>1</v>
      </c>
      <c r="B153" s="4">
        <v>11</v>
      </c>
      <c r="C153" s="4" t="s">
        <v>11</v>
      </c>
      <c r="D153" s="7">
        <v>23.02</v>
      </c>
      <c r="E153" s="4" t="s">
        <v>18</v>
      </c>
      <c r="F153" s="4" t="s">
        <v>13</v>
      </c>
      <c r="G153" s="4" t="s">
        <v>46</v>
      </c>
      <c r="H153" s="4" t="s">
        <v>54</v>
      </c>
      <c r="I153" s="5">
        <v>45503</v>
      </c>
      <c r="J153" s="4">
        <f t="shared" si="2"/>
        <v>3</v>
      </c>
    </row>
    <row r="154" spans="1:10" x14ac:dyDescent="0.25">
      <c r="A154" s="4">
        <f>_xlfn.XLOOKUP(E154,'Data Validation'!$M$3:$M$10,'Data Validation'!$N$3:$N$10)</f>
        <v>1</v>
      </c>
      <c r="B154" s="4">
        <v>22</v>
      </c>
      <c r="C154" s="4" t="s">
        <v>11</v>
      </c>
      <c r="D154" s="7">
        <v>23.02</v>
      </c>
      <c r="E154" s="4" t="s">
        <v>18</v>
      </c>
      <c r="F154" s="4" t="s">
        <v>20</v>
      </c>
      <c r="G154" s="4" t="s">
        <v>46</v>
      </c>
      <c r="H154" s="4" t="s">
        <v>54</v>
      </c>
      <c r="I154" s="5">
        <v>45503</v>
      </c>
      <c r="J154" s="4">
        <f t="shared" si="2"/>
        <v>3</v>
      </c>
    </row>
    <row r="155" spans="1:10" x14ac:dyDescent="0.25">
      <c r="A155" s="4">
        <f>_xlfn.XLOOKUP(E155,'Data Validation'!$M$3:$M$10,'Data Validation'!$N$3:$N$10)</f>
        <v>1</v>
      </c>
      <c r="B155" s="4">
        <v>9</v>
      </c>
      <c r="C155" s="4" t="s">
        <v>11</v>
      </c>
      <c r="D155" s="7">
        <v>23.02</v>
      </c>
      <c r="E155" s="4" t="s">
        <v>18</v>
      </c>
      <c r="F155" s="4" t="s">
        <v>13</v>
      </c>
      <c r="G155" s="4" t="s">
        <v>47</v>
      </c>
      <c r="H155" s="4" t="s">
        <v>54</v>
      </c>
      <c r="I155" s="5">
        <v>45504</v>
      </c>
      <c r="J155" s="4">
        <f t="shared" si="2"/>
        <v>3</v>
      </c>
    </row>
    <row r="156" spans="1:10" x14ac:dyDescent="0.25">
      <c r="A156" s="4">
        <f>_xlfn.XLOOKUP(E156,'Data Validation'!$M$3:$M$10,'Data Validation'!$N$3:$N$10)</f>
        <v>1</v>
      </c>
      <c r="B156" s="4">
        <v>9</v>
      </c>
      <c r="C156" s="4" t="s">
        <v>11</v>
      </c>
      <c r="D156" s="7">
        <v>23.02</v>
      </c>
      <c r="E156" s="4" t="s">
        <v>18</v>
      </c>
      <c r="F156" s="4" t="s">
        <v>13</v>
      </c>
      <c r="G156" s="4" t="s">
        <v>47</v>
      </c>
      <c r="H156" s="4" t="s">
        <v>54</v>
      </c>
      <c r="I156" s="5">
        <v>45504</v>
      </c>
      <c r="J156" s="4">
        <f t="shared" si="2"/>
        <v>3</v>
      </c>
    </row>
    <row r="157" spans="1:10" x14ac:dyDescent="0.25">
      <c r="A157" s="4">
        <f>_xlfn.XLOOKUP(E157,'Data Validation'!$M$3:$M$10,'Data Validation'!$N$3:$N$10)</f>
        <v>1</v>
      </c>
      <c r="B157" s="4">
        <v>16</v>
      </c>
      <c r="C157" s="4" t="s">
        <v>11</v>
      </c>
      <c r="D157" s="7">
        <v>23.02</v>
      </c>
      <c r="E157" s="4" t="s">
        <v>18</v>
      </c>
      <c r="F157" s="4" t="s">
        <v>17</v>
      </c>
      <c r="G157" s="4" t="s">
        <v>48</v>
      </c>
      <c r="H157" s="4" t="s">
        <v>55</v>
      </c>
      <c r="I157" s="5">
        <v>45505</v>
      </c>
      <c r="J157" s="4">
        <f t="shared" si="2"/>
        <v>3</v>
      </c>
    </row>
    <row r="158" spans="1:10" x14ac:dyDescent="0.25">
      <c r="A158" s="4">
        <f>_xlfn.XLOOKUP(E158,'Data Validation'!$M$3:$M$10,'Data Validation'!$N$3:$N$10)</f>
        <v>1</v>
      </c>
      <c r="B158" s="4">
        <v>17</v>
      </c>
      <c r="C158" s="4" t="s">
        <v>11</v>
      </c>
      <c r="D158" s="7">
        <v>23.02</v>
      </c>
      <c r="E158" s="4" t="s">
        <v>18</v>
      </c>
      <c r="F158" s="4" t="s">
        <v>20</v>
      </c>
      <c r="G158" s="4" t="s">
        <v>48</v>
      </c>
      <c r="H158" s="4" t="s">
        <v>55</v>
      </c>
      <c r="I158" s="5">
        <v>45505</v>
      </c>
      <c r="J158" s="4">
        <f t="shared" si="2"/>
        <v>3</v>
      </c>
    </row>
    <row r="159" spans="1:10" x14ac:dyDescent="0.25">
      <c r="A159" s="4">
        <f>_xlfn.XLOOKUP(E159,'Data Validation'!$M$3:$M$10,'Data Validation'!$N$3:$N$10)</f>
        <v>1</v>
      </c>
      <c r="B159" s="4">
        <v>12</v>
      </c>
      <c r="C159" s="4" t="s">
        <v>11</v>
      </c>
      <c r="D159" s="7">
        <v>23.02</v>
      </c>
      <c r="E159" s="4" t="s">
        <v>18</v>
      </c>
      <c r="F159" s="4" t="s">
        <v>17</v>
      </c>
      <c r="G159" s="4" t="s">
        <v>47</v>
      </c>
      <c r="H159" s="4" t="s">
        <v>55</v>
      </c>
      <c r="I159" s="5">
        <v>45511</v>
      </c>
      <c r="J159" s="4">
        <f t="shared" si="2"/>
        <v>3</v>
      </c>
    </row>
    <row r="160" spans="1:10" x14ac:dyDescent="0.25">
      <c r="A160" s="4">
        <f>_xlfn.XLOOKUP(E160,'Data Validation'!$M$3:$M$10,'Data Validation'!$N$3:$N$10)</f>
        <v>1</v>
      </c>
      <c r="B160" s="4">
        <v>12</v>
      </c>
      <c r="C160" s="4" t="s">
        <v>11</v>
      </c>
      <c r="D160" s="7">
        <v>23.02</v>
      </c>
      <c r="E160" s="4" t="s">
        <v>18</v>
      </c>
      <c r="F160" s="4" t="s">
        <v>17</v>
      </c>
      <c r="G160" s="4" t="s">
        <v>47</v>
      </c>
      <c r="H160" s="4" t="s">
        <v>55</v>
      </c>
      <c r="I160" s="5">
        <v>45511</v>
      </c>
      <c r="J160" s="4">
        <f t="shared" si="2"/>
        <v>3</v>
      </c>
    </row>
    <row r="161" spans="1:10" x14ac:dyDescent="0.25">
      <c r="A161" s="4">
        <f>_xlfn.XLOOKUP(E161,'Data Validation'!$M$3:$M$10,'Data Validation'!$N$3:$N$10)</f>
        <v>1</v>
      </c>
      <c r="B161" s="4">
        <v>16</v>
      </c>
      <c r="C161" s="4" t="s">
        <v>11</v>
      </c>
      <c r="D161" s="7">
        <v>23.02</v>
      </c>
      <c r="E161" s="4" t="s">
        <v>18</v>
      </c>
      <c r="F161" s="4" t="s">
        <v>17</v>
      </c>
      <c r="G161" s="4" t="s">
        <v>47</v>
      </c>
      <c r="H161" s="4" t="s">
        <v>55</v>
      </c>
      <c r="I161" s="5">
        <v>45511</v>
      </c>
      <c r="J161" s="4">
        <f t="shared" si="2"/>
        <v>3</v>
      </c>
    </row>
    <row r="162" spans="1:10" x14ac:dyDescent="0.25">
      <c r="A162" s="4">
        <f>_xlfn.XLOOKUP(E162,'Data Validation'!$M$3:$M$10,'Data Validation'!$N$3:$N$10)</f>
        <v>1</v>
      </c>
      <c r="B162" s="4">
        <v>9</v>
      </c>
      <c r="C162" s="4" t="s">
        <v>11</v>
      </c>
      <c r="D162" s="7">
        <v>23.02</v>
      </c>
      <c r="E162" s="4" t="s">
        <v>18</v>
      </c>
      <c r="F162" s="4" t="s">
        <v>13</v>
      </c>
      <c r="G162" s="4" t="s">
        <v>49</v>
      </c>
      <c r="H162" s="4" t="s">
        <v>55</v>
      </c>
      <c r="I162" s="5">
        <v>45513</v>
      </c>
      <c r="J162" s="4">
        <f t="shared" si="2"/>
        <v>3</v>
      </c>
    </row>
    <row r="163" spans="1:10" x14ac:dyDescent="0.25">
      <c r="A163" s="4">
        <f>_xlfn.XLOOKUP(E163,'Data Validation'!$M$3:$M$10,'Data Validation'!$N$3:$N$10)</f>
        <v>1</v>
      </c>
      <c r="B163" s="4">
        <v>11</v>
      </c>
      <c r="C163" s="4" t="s">
        <v>11</v>
      </c>
      <c r="D163" s="7">
        <v>23.02</v>
      </c>
      <c r="E163" s="4" t="s">
        <v>18</v>
      </c>
      <c r="F163" s="4" t="s">
        <v>13</v>
      </c>
      <c r="G163" s="4" t="s">
        <v>49</v>
      </c>
      <c r="H163" s="4" t="s">
        <v>55</v>
      </c>
      <c r="I163" s="5">
        <v>45513</v>
      </c>
      <c r="J163" s="4">
        <f t="shared" si="2"/>
        <v>3</v>
      </c>
    </row>
    <row r="164" spans="1:10" x14ac:dyDescent="0.25">
      <c r="A164" s="4">
        <f>_xlfn.XLOOKUP(E164,'Data Validation'!$M$3:$M$10,'Data Validation'!$N$3:$N$10)</f>
        <v>1</v>
      </c>
      <c r="B164" s="4">
        <v>18</v>
      </c>
      <c r="C164" s="4" t="s">
        <v>11</v>
      </c>
      <c r="D164" s="7">
        <v>23.02</v>
      </c>
      <c r="E164" s="4" t="s">
        <v>18</v>
      </c>
      <c r="F164" s="4" t="s">
        <v>20</v>
      </c>
      <c r="G164" s="4" t="s">
        <v>49</v>
      </c>
      <c r="H164" s="4" t="s">
        <v>55</v>
      </c>
      <c r="I164" s="5">
        <v>45513</v>
      </c>
      <c r="J164" s="4">
        <f t="shared" si="2"/>
        <v>3</v>
      </c>
    </row>
    <row r="165" spans="1:10" x14ac:dyDescent="0.25">
      <c r="A165" s="4">
        <f>_xlfn.XLOOKUP(E165,'Data Validation'!$M$3:$M$10,'Data Validation'!$N$3:$N$10)</f>
        <v>1</v>
      </c>
      <c r="B165" s="4">
        <v>11</v>
      </c>
      <c r="C165" s="4" t="s">
        <v>11</v>
      </c>
      <c r="D165" s="7">
        <v>23.02</v>
      </c>
      <c r="E165" s="4" t="s">
        <v>18</v>
      </c>
      <c r="F165" s="4" t="s">
        <v>13</v>
      </c>
      <c r="G165" s="4" t="s">
        <v>50</v>
      </c>
      <c r="H165" s="4" t="s">
        <v>55</v>
      </c>
      <c r="I165" s="5">
        <v>45514</v>
      </c>
      <c r="J165" s="4">
        <f t="shared" si="2"/>
        <v>3</v>
      </c>
    </row>
    <row r="166" spans="1:10" x14ac:dyDescent="0.25">
      <c r="A166" s="4">
        <f>_xlfn.XLOOKUP(E166,'Data Validation'!$M$3:$M$10,'Data Validation'!$N$3:$N$10)</f>
        <v>1</v>
      </c>
      <c r="B166" s="4">
        <v>11</v>
      </c>
      <c r="C166" s="4" t="s">
        <v>11</v>
      </c>
      <c r="D166" s="7">
        <v>23.02</v>
      </c>
      <c r="E166" s="4" t="s">
        <v>18</v>
      </c>
      <c r="F166" s="4" t="s">
        <v>13</v>
      </c>
      <c r="G166" s="4" t="s">
        <v>45</v>
      </c>
      <c r="H166" s="4" t="s">
        <v>55</v>
      </c>
      <c r="I166" s="5">
        <v>45516</v>
      </c>
      <c r="J166" s="4">
        <f t="shared" si="2"/>
        <v>3</v>
      </c>
    </row>
    <row r="167" spans="1:10" x14ac:dyDescent="0.25">
      <c r="A167" s="4">
        <f>_xlfn.XLOOKUP(E167,'Data Validation'!$M$3:$M$10,'Data Validation'!$N$3:$N$10)</f>
        <v>1</v>
      </c>
      <c r="B167" s="4">
        <v>12</v>
      </c>
      <c r="C167" s="4" t="s">
        <v>11</v>
      </c>
      <c r="D167" s="7">
        <v>23.02</v>
      </c>
      <c r="E167" s="4" t="s">
        <v>18</v>
      </c>
      <c r="F167" s="4" t="s">
        <v>17</v>
      </c>
      <c r="G167" s="4" t="s">
        <v>47</v>
      </c>
      <c r="H167" s="4" t="s">
        <v>55</v>
      </c>
      <c r="I167" s="5">
        <v>45518</v>
      </c>
      <c r="J167" s="4">
        <f t="shared" si="2"/>
        <v>3</v>
      </c>
    </row>
    <row r="168" spans="1:10" x14ac:dyDescent="0.25">
      <c r="A168" s="4">
        <f>_xlfn.XLOOKUP(E168,'Data Validation'!$M$3:$M$10,'Data Validation'!$N$3:$N$10)</f>
        <v>1</v>
      </c>
      <c r="B168" s="4">
        <v>12</v>
      </c>
      <c r="C168" s="4" t="s">
        <v>11</v>
      </c>
      <c r="D168" s="7">
        <v>23.02</v>
      </c>
      <c r="E168" s="4" t="s">
        <v>18</v>
      </c>
      <c r="F168" s="4" t="s">
        <v>17</v>
      </c>
      <c r="G168" s="4" t="s">
        <v>47</v>
      </c>
      <c r="H168" s="4" t="s">
        <v>55</v>
      </c>
      <c r="I168" s="5">
        <v>45518</v>
      </c>
      <c r="J168" s="4">
        <f t="shared" si="2"/>
        <v>3</v>
      </c>
    </row>
    <row r="169" spans="1:10" x14ac:dyDescent="0.25">
      <c r="A169" s="4">
        <f>_xlfn.XLOOKUP(E169,'Data Validation'!$M$3:$M$10,'Data Validation'!$N$3:$N$10)</f>
        <v>1</v>
      </c>
      <c r="B169" s="4">
        <v>17</v>
      </c>
      <c r="C169" s="4" t="s">
        <v>11</v>
      </c>
      <c r="D169" s="7">
        <v>23.02</v>
      </c>
      <c r="E169" s="4" t="s">
        <v>18</v>
      </c>
      <c r="F169" s="4" t="s">
        <v>20</v>
      </c>
      <c r="G169" s="4" t="s">
        <v>47</v>
      </c>
      <c r="H169" s="4" t="s">
        <v>55</v>
      </c>
      <c r="I169" s="5">
        <v>45518</v>
      </c>
      <c r="J169" s="4">
        <f t="shared" si="2"/>
        <v>3</v>
      </c>
    </row>
    <row r="170" spans="1:10" x14ac:dyDescent="0.25">
      <c r="A170" s="4">
        <f>_xlfn.XLOOKUP(E170,'Data Validation'!$M$3:$M$10,'Data Validation'!$N$3:$N$10)</f>
        <v>1</v>
      </c>
      <c r="B170" s="4">
        <v>14</v>
      </c>
      <c r="C170" s="4" t="s">
        <v>11</v>
      </c>
      <c r="D170" s="7">
        <v>23.02</v>
      </c>
      <c r="E170" s="4" t="s">
        <v>18</v>
      </c>
      <c r="F170" s="4" t="s">
        <v>17</v>
      </c>
      <c r="G170" s="4" t="s">
        <v>48</v>
      </c>
      <c r="H170" s="4" t="s">
        <v>55</v>
      </c>
      <c r="I170" s="5">
        <v>45519</v>
      </c>
      <c r="J170" s="4">
        <f t="shared" si="2"/>
        <v>3</v>
      </c>
    </row>
    <row r="171" spans="1:10" x14ac:dyDescent="0.25">
      <c r="A171" s="4">
        <f>_xlfn.XLOOKUP(E171,'Data Validation'!$M$3:$M$10,'Data Validation'!$N$3:$N$10)</f>
        <v>1</v>
      </c>
      <c r="B171" s="4">
        <v>19</v>
      </c>
      <c r="C171" s="4" t="s">
        <v>11</v>
      </c>
      <c r="D171" s="7">
        <v>23.02</v>
      </c>
      <c r="E171" s="4" t="s">
        <v>18</v>
      </c>
      <c r="F171" s="4" t="s">
        <v>20</v>
      </c>
      <c r="G171" s="4" t="s">
        <v>48</v>
      </c>
      <c r="H171" s="4" t="s">
        <v>55</v>
      </c>
      <c r="I171" s="5">
        <v>45519</v>
      </c>
      <c r="J171" s="4">
        <f t="shared" si="2"/>
        <v>3</v>
      </c>
    </row>
    <row r="172" spans="1:10" x14ac:dyDescent="0.25">
      <c r="A172" s="4">
        <f>_xlfn.XLOOKUP(E172,'Data Validation'!$M$3:$M$10,'Data Validation'!$N$3:$N$10)</f>
        <v>1</v>
      </c>
      <c r="B172" s="4">
        <v>12</v>
      </c>
      <c r="C172" s="4" t="s">
        <v>11</v>
      </c>
      <c r="D172" s="7">
        <v>23.02</v>
      </c>
      <c r="E172" s="4" t="s">
        <v>18</v>
      </c>
      <c r="F172" s="4" t="s">
        <v>17</v>
      </c>
      <c r="G172" s="4" t="s">
        <v>49</v>
      </c>
      <c r="H172" s="4" t="s">
        <v>55</v>
      </c>
      <c r="I172" s="5">
        <v>45520</v>
      </c>
      <c r="J172" s="4">
        <f t="shared" si="2"/>
        <v>3</v>
      </c>
    </row>
    <row r="173" spans="1:10" x14ac:dyDescent="0.25">
      <c r="A173" s="4">
        <f>_xlfn.XLOOKUP(E173,'Data Validation'!$M$3:$M$10,'Data Validation'!$N$3:$N$10)</f>
        <v>1</v>
      </c>
      <c r="B173" s="4">
        <v>18</v>
      </c>
      <c r="C173" s="4" t="s">
        <v>11</v>
      </c>
      <c r="D173" s="7">
        <v>23.02</v>
      </c>
      <c r="E173" s="4" t="s">
        <v>18</v>
      </c>
      <c r="F173" s="4" t="s">
        <v>20</v>
      </c>
      <c r="G173" s="4" t="s">
        <v>51</v>
      </c>
      <c r="H173" s="4" t="s">
        <v>55</v>
      </c>
      <c r="I173" s="5">
        <v>45522</v>
      </c>
      <c r="J173" s="4">
        <f t="shared" si="2"/>
        <v>3</v>
      </c>
    </row>
    <row r="174" spans="1:10" x14ac:dyDescent="0.25">
      <c r="A174" s="4">
        <f>_xlfn.XLOOKUP(E174,'Data Validation'!$M$3:$M$10,'Data Validation'!$N$3:$N$10)</f>
        <v>1</v>
      </c>
      <c r="B174" s="4">
        <v>18</v>
      </c>
      <c r="C174" s="4" t="s">
        <v>11</v>
      </c>
      <c r="D174" s="7">
        <v>23.02</v>
      </c>
      <c r="E174" s="4" t="s">
        <v>18</v>
      </c>
      <c r="F174" s="4" t="s">
        <v>20</v>
      </c>
      <c r="G174" s="4" t="s">
        <v>51</v>
      </c>
      <c r="H174" s="4" t="s">
        <v>55</v>
      </c>
      <c r="I174" s="5">
        <v>45522</v>
      </c>
      <c r="J174" s="4">
        <f t="shared" si="2"/>
        <v>3</v>
      </c>
    </row>
    <row r="175" spans="1:10" x14ac:dyDescent="0.25">
      <c r="A175" s="4">
        <f>_xlfn.XLOOKUP(E175,'Data Validation'!$M$3:$M$10,'Data Validation'!$N$3:$N$10)</f>
        <v>1</v>
      </c>
      <c r="B175" s="4">
        <v>11</v>
      </c>
      <c r="C175" s="4" t="s">
        <v>11</v>
      </c>
      <c r="D175" s="7">
        <v>23.02</v>
      </c>
      <c r="E175" s="4" t="s">
        <v>18</v>
      </c>
      <c r="F175" s="4" t="s">
        <v>13</v>
      </c>
      <c r="G175" s="4" t="s">
        <v>46</v>
      </c>
      <c r="H175" s="4" t="s">
        <v>55</v>
      </c>
      <c r="I175" s="5">
        <v>45524</v>
      </c>
      <c r="J175" s="4">
        <f t="shared" si="2"/>
        <v>3</v>
      </c>
    </row>
    <row r="176" spans="1:10" x14ac:dyDescent="0.25">
      <c r="A176" s="4">
        <f>_xlfn.XLOOKUP(E176,'Data Validation'!$M$3:$M$10,'Data Validation'!$N$3:$N$10)</f>
        <v>1</v>
      </c>
      <c r="B176" s="4">
        <v>11</v>
      </c>
      <c r="C176" s="4" t="s">
        <v>11</v>
      </c>
      <c r="D176" s="7">
        <v>23.02</v>
      </c>
      <c r="E176" s="4" t="s">
        <v>18</v>
      </c>
      <c r="F176" s="4" t="s">
        <v>13</v>
      </c>
      <c r="G176" s="4" t="s">
        <v>46</v>
      </c>
      <c r="H176" s="4" t="s">
        <v>55</v>
      </c>
      <c r="I176" s="5">
        <v>45524</v>
      </c>
      <c r="J176" s="4">
        <f t="shared" si="2"/>
        <v>3</v>
      </c>
    </row>
    <row r="177" spans="1:10" x14ac:dyDescent="0.25">
      <c r="A177" s="4">
        <f>_xlfn.XLOOKUP(E177,'Data Validation'!$M$3:$M$10,'Data Validation'!$N$3:$N$10)</f>
        <v>1</v>
      </c>
      <c r="B177" s="4">
        <v>11</v>
      </c>
      <c r="C177" s="4" t="s">
        <v>11</v>
      </c>
      <c r="D177" s="7">
        <v>23.02</v>
      </c>
      <c r="E177" s="4" t="s">
        <v>18</v>
      </c>
      <c r="F177" s="4" t="s">
        <v>13</v>
      </c>
      <c r="G177" s="4" t="s">
        <v>46</v>
      </c>
      <c r="H177" s="4" t="s">
        <v>55</v>
      </c>
      <c r="I177" s="5">
        <v>45524</v>
      </c>
      <c r="J177" s="4">
        <f t="shared" si="2"/>
        <v>3</v>
      </c>
    </row>
    <row r="178" spans="1:10" x14ac:dyDescent="0.25">
      <c r="A178" s="4">
        <f>_xlfn.XLOOKUP(E178,'Data Validation'!$M$3:$M$10,'Data Validation'!$N$3:$N$10)</f>
        <v>1</v>
      </c>
      <c r="B178" s="4">
        <v>10</v>
      </c>
      <c r="C178" s="4" t="s">
        <v>11</v>
      </c>
      <c r="D178" s="7">
        <v>23.02</v>
      </c>
      <c r="E178" s="4" t="s">
        <v>18</v>
      </c>
      <c r="F178" s="4" t="s">
        <v>13</v>
      </c>
      <c r="G178" s="4" t="s">
        <v>47</v>
      </c>
      <c r="H178" s="4" t="s">
        <v>55</v>
      </c>
      <c r="I178" s="5">
        <v>45525</v>
      </c>
      <c r="J178" s="4">
        <f t="shared" si="2"/>
        <v>3</v>
      </c>
    </row>
    <row r="179" spans="1:10" x14ac:dyDescent="0.25">
      <c r="A179" s="4">
        <f>_xlfn.XLOOKUP(E179,'Data Validation'!$M$3:$M$10,'Data Validation'!$N$3:$N$10)</f>
        <v>1</v>
      </c>
      <c r="B179" s="4">
        <v>15</v>
      </c>
      <c r="C179" s="4" t="s">
        <v>11</v>
      </c>
      <c r="D179" s="7">
        <v>23.02</v>
      </c>
      <c r="E179" s="4" t="s">
        <v>18</v>
      </c>
      <c r="F179" s="4" t="s">
        <v>17</v>
      </c>
      <c r="G179" s="4" t="s">
        <v>48</v>
      </c>
      <c r="H179" s="4" t="s">
        <v>55</v>
      </c>
      <c r="I179" s="5">
        <v>45526</v>
      </c>
      <c r="J179" s="4">
        <f t="shared" si="2"/>
        <v>3</v>
      </c>
    </row>
    <row r="180" spans="1:10" x14ac:dyDescent="0.25">
      <c r="A180" s="4">
        <f>_xlfn.XLOOKUP(E180,'Data Validation'!$M$3:$M$10,'Data Validation'!$N$3:$N$10)</f>
        <v>1</v>
      </c>
      <c r="B180" s="4">
        <v>8</v>
      </c>
      <c r="C180" s="4" t="s">
        <v>11</v>
      </c>
      <c r="D180" s="7">
        <v>23.02</v>
      </c>
      <c r="E180" s="4" t="s">
        <v>18</v>
      </c>
      <c r="F180" s="4" t="s">
        <v>13</v>
      </c>
      <c r="G180" s="4" t="s">
        <v>49</v>
      </c>
      <c r="H180" s="4" t="s">
        <v>55</v>
      </c>
      <c r="I180" s="5">
        <v>45527</v>
      </c>
      <c r="J180" s="4">
        <f t="shared" si="2"/>
        <v>3</v>
      </c>
    </row>
    <row r="181" spans="1:10" x14ac:dyDescent="0.25">
      <c r="A181" s="4">
        <f>_xlfn.XLOOKUP(E181,'Data Validation'!$M$3:$M$10,'Data Validation'!$N$3:$N$10)</f>
        <v>1</v>
      </c>
      <c r="B181" s="4">
        <v>8</v>
      </c>
      <c r="C181" s="4" t="s">
        <v>11</v>
      </c>
      <c r="D181" s="7">
        <v>23.02</v>
      </c>
      <c r="E181" s="4" t="s">
        <v>18</v>
      </c>
      <c r="F181" s="4" t="s">
        <v>13</v>
      </c>
      <c r="G181" s="4" t="s">
        <v>49</v>
      </c>
      <c r="H181" s="4" t="s">
        <v>55</v>
      </c>
      <c r="I181" s="5">
        <v>45527</v>
      </c>
      <c r="J181" s="4">
        <f t="shared" si="2"/>
        <v>3</v>
      </c>
    </row>
    <row r="182" spans="1:10" x14ac:dyDescent="0.25">
      <c r="A182" s="4">
        <f>_xlfn.XLOOKUP(E182,'Data Validation'!$M$3:$M$10,'Data Validation'!$N$3:$N$10)</f>
        <v>1</v>
      </c>
      <c r="B182" s="4">
        <v>10</v>
      </c>
      <c r="C182" s="4" t="s">
        <v>11</v>
      </c>
      <c r="D182" s="7">
        <v>23.02</v>
      </c>
      <c r="E182" s="4" t="s">
        <v>18</v>
      </c>
      <c r="F182" s="4" t="s">
        <v>13</v>
      </c>
      <c r="G182" s="4" t="s">
        <v>49</v>
      </c>
      <c r="H182" s="4" t="s">
        <v>55</v>
      </c>
      <c r="I182" s="5">
        <v>45527</v>
      </c>
      <c r="J182" s="4">
        <f t="shared" si="2"/>
        <v>3</v>
      </c>
    </row>
    <row r="183" spans="1:10" x14ac:dyDescent="0.25">
      <c r="A183" s="4">
        <f>_xlfn.XLOOKUP(E183,'Data Validation'!$M$3:$M$10,'Data Validation'!$N$3:$N$10)</f>
        <v>1</v>
      </c>
      <c r="B183" s="4">
        <v>13</v>
      </c>
      <c r="C183" s="4" t="s">
        <v>11</v>
      </c>
      <c r="D183" s="7">
        <v>23.02</v>
      </c>
      <c r="E183" s="4" t="s">
        <v>18</v>
      </c>
      <c r="F183" s="4" t="s">
        <v>17</v>
      </c>
      <c r="G183" s="4" t="s">
        <v>49</v>
      </c>
      <c r="H183" s="4" t="s">
        <v>55</v>
      </c>
      <c r="I183" s="5">
        <v>45527</v>
      </c>
      <c r="J183" s="4">
        <f t="shared" si="2"/>
        <v>3</v>
      </c>
    </row>
    <row r="184" spans="1:10" x14ac:dyDescent="0.25">
      <c r="A184" s="4">
        <f>_xlfn.XLOOKUP(E184,'Data Validation'!$M$3:$M$10,'Data Validation'!$N$3:$N$10)</f>
        <v>1</v>
      </c>
      <c r="B184" s="4">
        <v>15</v>
      </c>
      <c r="C184" s="4" t="s">
        <v>11</v>
      </c>
      <c r="D184" s="7">
        <v>23.02</v>
      </c>
      <c r="E184" s="4" t="s">
        <v>18</v>
      </c>
      <c r="F184" s="4" t="s">
        <v>17</v>
      </c>
      <c r="G184" s="4" t="s">
        <v>49</v>
      </c>
      <c r="H184" s="4" t="s">
        <v>55</v>
      </c>
      <c r="I184" s="5">
        <v>45527</v>
      </c>
      <c r="J184" s="4">
        <f t="shared" si="2"/>
        <v>3</v>
      </c>
    </row>
    <row r="185" spans="1:10" x14ac:dyDescent="0.25">
      <c r="A185" s="4">
        <f>_xlfn.XLOOKUP(E185,'Data Validation'!$M$3:$M$10,'Data Validation'!$N$3:$N$10)</f>
        <v>1</v>
      </c>
      <c r="B185" s="4">
        <v>10</v>
      </c>
      <c r="C185" s="4" t="s">
        <v>11</v>
      </c>
      <c r="D185" s="7">
        <v>23.02</v>
      </c>
      <c r="E185" s="4" t="s">
        <v>18</v>
      </c>
      <c r="F185" s="4" t="s">
        <v>13</v>
      </c>
      <c r="G185" s="4" t="s">
        <v>50</v>
      </c>
      <c r="H185" s="4" t="s">
        <v>55</v>
      </c>
      <c r="I185" s="5">
        <v>45528</v>
      </c>
      <c r="J185" s="4">
        <f t="shared" si="2"/>
        <v>3</v>
      </c>
    </row>
    <row r="186" spans="1:10" x14ac:dyDescent="0.25">
      <c r="A186" s="4">
        <f>_xlfn.XLOOKUP(E186,'Data Validation'!$M$3:$M$10,'Data Validation'!$N$3:$N$10)</f>
        <v>1</v>
      </c>
      <c r="B186" s="4">
        <v>8</v>
      </c>
      <c r="C186" s="4" t="s">
        <v>11</v>
      </c>
      <c r="D186" s="7">
        <v>23.02</v>
      </c>
      <c r="E186" s="4" t="s">
        <v>18</v>
      </c>
      <c r="F186" s="4" t="s">
        <v>13</v>
      </c>
      <c r="G186" s="4" t="s">
        <v>51</v>
      </c>
      <c r="H186" s="4" t="s">
        <v>55</v>
      </c>
      <c r="I186" s="5">
        <v>45529</v>
      </c>
      <c r="J186" s="4">
        <f t="shared" si="2"/>
        <v>3</v>
      </c>
    </row>
    <row r="187" spans="1:10" x14ac:dyDescent="0.25">
      <c r="A187" s="4">
        <f>_xlfn.XLOOKUP(E187,'Data Validation'!$M$3:$M$10,'Data Validation'!$N$3:$N$10)</f>
        <v>1</v>
      </c>
      <c r="B187" s="4">
        <v>8</v>
      </c>
      <c r="C187" s="4" t="s">
        <v>11</v>
      </c>
      <c r="D187" s="7">
        <v>23.02</v>
      </c>
      <c r="E187" s="4" t="s">
        <v>18</v>
      </c>
      <c r="F187" s="4" t="s">
        <v>13</v>
      </c>
      <c r="G187" s="4" t="s">
        <v>51</v>
      </c>
      <c r="H187" s="4" t="s">
        <v>55</v>
      </c>
      <c r="I187" s="5">
        <v>45529</v>
      </c>
      <c r="J187" s="4">
        <f t="shared" si="2"/>
        <v>3</v>
      </c>
    </row>
    <row r="188" spans="1:10" x14ac:dyDescent="0.25">
      <c r="A188" s="4">
        <f>_xlfn.XLOOKUP(E188,'Data Validation'!$M$3:$M$10,'Data Validation'!$N$3:$N$10)</f>
        <v>1</v>
      </c>
      <c r="B188" s="4">
        <v>8</v>
      </c>
      <c r="C188" s="4" t="s">
        <v>11</v>
      </c>
      <c r="D188" s="7">
        <v>23.02</v>
      </c>
      <c r="E188" s="4" t="s">
        <v>18</v>
      </c>
      <c r="F188" s="4" t="s">
        <v>13</v>
      </c>
      <c r="G188" s="4" t="s">
        <v>45</v>
      </c>
      <c r="H188" s="4" t="s">
        <v>55</v>
      </c>
      <c r="I188" s="5">
        <v>45530</v>
      </c>
      <c r="J188" s="4">
        <f t="shared" si="2"/>
        <v>3</v>
      </c>
    </row>
    <row r="189" spans="1:10" x14ac:dyDescent="0.25">
      <c r="A189" s="4">
        <f>_xlfn.XLOOKUP(E189,'Data Validation'!$M$3:$M$10,'Data Validation'!$N$3:$N$10)</f>
        <v>1</v>
      </c>
      <c r="B189" s="4">
        <v>8</v>
      </c>
      <c r="C189" s="4" t="s">
        <v>11</v>
      </c>
      <c r="D189" s="7">
        <v>23.02</v>
      </c>
      <c r="E189" s="4" t="s">
        <v>18</v>
      </c>
      <c r="F189" s="4" t="s">
        <v>13</v>
      </c>
      <c r="G189" s="4" t="s">
        <v>45</v>
      </c>
      <c r="H189" s="4" t="s">
        <v>55</v>
      </c>
      <c r="I189" s="5">
        <v>45530</v>
      </c>
      <c r="J189" s="4">
        <f t="shared" si="2"/>
        <v>3</v>
      </c>
    </row>
    <row r="190" spans="1:10" x14ac:dyDescent="0.25">
      <c r="A190" s="4">
        <f>_xlfn.XLOOKUP(E190,'Data Validation'!$M$3:$M$10,'Data Validation'!$N$3:$N$10)</f>
        <v>1</v>
      </c>
      <c r="B190" s="4">
        <v>12</v>
      </c>
      <c r="C190" s="4" t="s">
        <v>11</v>
      </c>
      <c r="D190" s="7">
        <v>23.02</v>
      </c>
      <c r="E190" s="4" t="s">
        <v>18</v>
      </c>
      <c r="F190" s="4" t="s">
        <v>17</v>
      </c>
      <c r="G190" s="4" t="s">
        <v>45</v>
      </c>
      <c r="H190" s="4" t="s">
        <v>55</v>
      </c>
      <c r="I190" s="5">
        <v>45530</v>
      </c>
      <c r="J190" s="4">
        <f t="shared" si="2"/>
        <v>3</v>
      </c>
    </row>
    <row r="191" spans="1:10" x14ac:dyDescent="0.25">
      <c r="A191" s="4">
        <f>_xlfn.XLOOKUP(E191,'Data Validation'!$M$3:$M$10,'Data Validation'!$N$3:$N$10)</f>
        <v>1</v>
      </c>
      <c r="B191" s="4">
        <v>12</v>
      </c>
      <c r="C191" s="4" t="s">
        <v>11</v>
      </c>
      <c r="D191" s="7">
        <v>23.02</v>
      </c>
      <c r="E191" s="4" t="s">
        <v>18</v>
      </c>
      <c r="F191" s="4" t="s">
        <v>17</v>
      </c>
      <c r="G191" s="4" t="s">
        <v>45</v>
      </c>
      <c r="H191" s="4" t="s">
        <v>55</v>
      </c>
      <c r="I191" s="5">
        <v>45530</v>
      </c>
      <c r="J191" s="4">
        <f t="shared" si="2"/>
        <v>3</v>
      </c>
    </row>
    <row r="192" spans="1:10" x14ac:dyDescent="0.25">
      <c r="A192" s="4">
        <f>_xlfn.XLOOKUP(E192,'Data Validation'!$M$3:$M$10,'Data Validation'!$N$3:$N$10)</f>
        <v>1</v>
      </c>
      <c r="B192" s="4">
        <v>12</v>
      </c>
      <c r="C192" s="4" t="s">
        <v>11</v>
      </c>
      <c r="D192" s="7">
        <v>23.02</v>
      </c>
      <c r="E192" s="4" t="s">
        <v>18</v>
      </c>
      <c r="F192" s="4" t="s">
        <v>17</v>
      </c>
      <c r="G192" s="4" t="s">
        <v>47</v>
      </c>
      <c r="H192" s="4" t="s">
        <v>55</v>
      </c>
      <c r="I192" s="5">
        <v>45532</v>
      </c>
      <c r="J192" s="4">
        <f t="shared" si="2"/>
        <v>3</v>
      </c>
    </row>
    <row r="193" spans="1:10" x14ac:dyDescent="0.25">
      <c r="A193" s="4">
        <f>_xlfn.XLOOKUP(E193,'Data Validation'!$M$3:$M$10,'Data Validation'!$N$3:$N$10)</f>
        <v>1</v>
      </c>
      <c r="B193" s="4">
        <v>7</v>
      </c>
      <c r="C193" s="4" t="s">
        <v>11</v>
      </c>
      <c r="D193" s="7">
        <v>23.02</v>
      </c>
      <c r="E193" s="4" t="s">
        <v>18</v>
      </c>
      <c r="F193" s="4" t="s">
        <v>13</v>
      </c>
      <c r="G193" s="4" t="s">
        <v>48</v>
      </c>
      <c r="H193" s="4" t="s">
        <v>55</v>
      </c>
      <c r="I193" s="5">
        <v>45533</v>
      </c>
      <c r="J193" s="4">
        <f t="shared" si="2"/>
        <v>3</v>
      </c>
    </row>
    <row r="194" spans="1:10" x14ac:dyDescent="0.25">
      <c r="A194" s="4">
        <f>_xlfn.XLOOKUP(E194,'Data Validation'!$M$3:$M$10,'Data Validation'!$N$3:$N$10)</f>
        <v>1</v>
      </c>
      <c r="B194" s="4">
        <v>12</v>
      </c>
      <c r="C194" s="4" t="s">
        <v>11</v>
      </c>
      <c r="D194" s="7">
        <v>23.02</v>
      </c>
      <c r="E194" s="4" t="s">
        <v>18</v>
      </c>
      <c r="F194" s="4" t="s">
        <v>17</v>
      </c>
      <c r="G194" s="4" t="s">
        <v>51</v>
      </c>
      <c r="H194" s="4" t="s">
        <v>56</v>
      </c>
      <c r="I194" s="5">
        <v>45536</v>
      </c>
      <c r="J194" s="4">
        <f t="shared" si="2"/>
        <v>3</v>
      </c>
    </row>
    <row r="195" spans="1:10" x14ac:dyDescent="0.25">
      <c r="A195" s="4">
        <f>_xlfn.XLOOKUP(E195,'Data Validation'!$M$3:$M$10,'Data Validation'!$N$3:$N$10)</f>
        <v>1</v>
      </c>
      <c r="B195" s="4">
        <v>20</v>
      </c>
      <c r="C195" s="4" t="s">
        <v>11</v>
      </c>
      <c r="D195" s="7">
        <v>23.02</v>
      </c>
      <c r="E195" s="4" t="s">
        <v>18</v>
      </c>
      <c r="F195" s="4" t="s">
        <v>20</v>
      </c>
      <c r="G195" s="4" t="s">
        <v>45</v>
      </c>
      <c r="H195" s="4" t="s">
        <v>56</v>
      </c>
      <c r="I195" s="5">
        <v>45537</v>
      </c>
      <c r="J195" s="4">
        <f t="shared" ref="J195:J258" si="3">IF(OR(E195&lt;&gt;E194,D195&lt;&gt;D194),J194+1,J194)</f>
        <v>3</v>
      </c>
    </row>
    <row r="196" spans="1:10" x14ac:dyDescent="0.25">
      <c r="A196" s="4">
        <f>_xlfn.XLOOKUP(E196,'Data Validation'!$M$3:$M$10,'Data Validation'!$N$3:$N$10)</f>
        <v>1</v>
      </c>
      <c r="B196" s="4">
        <v>20</v>
      </c>
      <c r="C196" s="4" t="s">
        <v>11</v>
      </c>
      <c r="D196" s="7">
        <v>23.02</v>
      </c>
      <c r="E196" s="4" t="s">
        <v>18</v>
      </c>
      <c r="F196" s="4" t="s">
        <v>20</v>
      </c>
      <c r="G196" s="4" t="s">
        <v>45</v>
      </c>
      <c r="H196" s="4" t="s">
        <v>56</v>
      </c>
      <c r="I196" s="5">
        <v>45537</v>
      </c>
      <c r="J196" s="4">
        <f t="shared" si="3"/>
        <v>3</v>
      </c>
    </row>
    <row r="197" spans="1:10" x14ac:dyDescent="0.25">
      <c r="A197" s="4">
        <f>_xlfn.XLOOKUP(E197,'Data Validation'!$M$3:$M$10,'Data Validation'!$N$3:$N$10)</f>
        <v>1</v>
      </c>
      <c r="B197" s="4">
        <v>11</v>
      </c>
      <c r="C197" s="4" t="s">
        <v>11</v>
      </c>
      <c r="D197" s="7">
        <v>23.02</v>
      </c>
      <c r="E197" s="4" t="s">
        <v>18</v>
      </c>
      <c r="F197" s="4" t="s">
        <v>13</v>
      </c>
      <c r="G197" s="4" t="s">
        <v>47</v>
      </c>
      <c r="H197" s="4" t="s">
        <v>56</v>
      </c>
      <c r="I197" s="5">
        <v>45539</v>
      </c>
      <c r="J197" s="4">
        <f t="shared" si="3"/>
        <v>3</v>
      </c>
    </row>
    <row r="198" spans="1:10" x14ac:dyDescent="0.25">
      <c r="A198" s="4">
        <f>_xlfn.XLOOKUP(E198,'Data Validation'!$M$3:$M$10,'Data Validation'!$N$3:$N$10)</f>
        <v>1</v>
      </c>
      <c r="B198" s="4">
        <v>11</v>
      </c>
      <c r="C198" s="4" t="s">
        <v>11</v>
      </c>
      <c r="D198" s="7">
        <v>23.02</v>
      </c>
      <c r="E198" s="4" t="s">
        <v>18</v>
      </c>
      <c r="F198" s="4" t="s">
        <v>13</v>
      </c>
      <c r="G198" s="4" t="s">
        <v>48</v>
      </c>
      <c r="H198" s="4" t="s">
        <v>56</v>
      </c>
      <c r="I198" s="5">
        <v>45540</v>
      </c>
      <c r="J198" s="4">
        <f t="shared" si="3"/>
        <v>3</v>
      </c>
    </row>
    <row r="199" spans="1:10" x14ac:dyDescent="0.25">
      <c r="A199" s="4">
        <f>_xlfn.XLOOKUP(E199,'Data Validation'!$M$3:$M$10,'Data Validation'!$N$3:$N$10)</f>
        <v>1</v>
      </c>
      <c r="B199" s="4">
        <v>16</v>
      </c>
      <c r="C199" s="4" t="s">
        <v>11</v>
      </c>
      <c r="D199" s="7">
        <v>23.02</v>
      </c>
      <c r="E199" s="4" t="s">
        <v>18</v>
      </c>
      <c r="F199" s="4" t="s">
        <v>17</v>
      </c>
      <c r="G199" s="4" t="s">
        <v>48</v>
      </c>
      <c r="H199" s="4" t="s">
        <v>56</v>
      </c>
      <c r="I199" s="5">
        <v>45540</v>
      </c>
      <c r="J199" s="4">
        <f t="shared" si="3"/>
        <v>3</v>
      </c>
    </row>
    <row r="200" spans="1:10" x14ac:dyDescent="0.25">
      <c r="A200" s="4">
        <f>_xlfn.XLOOKUP(E200,'Data Validation'!$M$3:$M$10,'Data Validation'!$N$3:$N$10)</f>
        <v>1</v>
      </c>
      <c r="B200" s="4">
        <v>20</v>
      </c>
      <c r="C200" s="4" t="s">
        <v>11</v>
      </c>
      <c r="D200" s="7">
        <v>23.02</v>
      </c>
      <c r="E200" s="4" t="s">
        <v>18</v>
      </c>
      <c r="F200" s="4" t="s">
        <v>20</v>
      </c>
      <c r="G200" s="4" t="s">
        <v>48</v>
      </c>
      <c r="H200" s="4" t="s">
        <v>56</v>
      </c>
      <c r="I200" s="5">
        <v>45540</v>
      </c>
      <c r="J200" s="4">
        <f t="shared" si="3"/>
        <v>3</v>
      </c>
    </row>
    <row r="201" spans="1:10" x14ac:dyDescent="0.25">
      <c r="A201" s="4">
        <f>_xlfn.XLOOKUP(E201,'Data Validation'!$M$3:$M$10,'Data Validation'!$N$3:$N$10)</f>
        <v>1</v>
      </c>
      <c r="B201" s="4">
        <v>8</v>
      </c>
      <c r="C201" s="4" t="s">
        <v>11</v>
      </c>
      <c r="D201" s="7">
        <v>23.02</v>
      </c>
      <c r="E201" s="4" t="s">
        <v>18</v>
      </c>
      <c r="F201" s="4" t="s">
        <v>13</v>
      </c>
      <c r="G201" s="4" t="s">
        <v>49</v>
      </c>
      <c r="H201" s="4" t="s">
        <v>56</v>
      </c>
      <c r="I201" s="5">
        <v>45541</v>
      </c>
      <c r="J201" s="4">
        <f t="shared" si="3"/>
        <v>3</v>
      </c>
    </row>
    <row r="202" spans="1:10" x14ac:dyDescent="0.25">
      <c r="A202" s="4">
        <f>_xlfn.XLOOKUP(E202,'Data Validation'!$M$3:$M$10,'Data Validation'!$N$3:$N$10)</f>
        <v>1</v>
      </c>
      <c r="B202" s="4">
        <v>10</v>
      </c>
      <c r="C202" s="4" t="s">
        <v>11</v>
      </c>
      <c r="D202" s="7">
        <v>23.02</v>
      </c>
      <c r="E202" s="4" t="s">
        <v>18</v>
      </c>
      <c r="F202" s="4" t="s">
        <v>13</v>
      </c>
      <c r="G202" s="4" t="s">
        <v>50</v>
      </c>
      <c r="H202" s="4" t="s">
        <v>56</v>
      </c>
      <c r="I202" s="5">
        <v>45542</v>
      </c>
      <c r="J202" s="4">
        <f t="shared" si="3"/>
        <v>3</v>
      </c>
    </row>
    <row r="203" spans="1:10" x14ac:dyDescent="0.25">
      <c r="A203" s="4">
        <f>_xlfn.XLOOKUP(E203,'Data Validation'!$M$3:$M$10,'Data Validation'!$N$3:$N$10)</f>
        <v>1</v>
      </c>
      <c r="B203" s="4">
        <v>11</v>
      </c>
      <c r="C203" s="4" t="s">
        <v>11</v>
      </c>
      <c r="D203" s="7">
        <v>23.02</v>
      </c>
      <c r="E203" s="4" t="s">
        <v>18</v>
      </c>
      <c r="F203" s="4" t="s">
        <v>13</v>
      </c>
      <c r="G203" s="4" t="s">
        <v>50</v>
      </c>
      <c r="H203" s="4" t="s">
        <v>56</v>
      </c>
      <c r="I203" s="5">
        <v>45542</v>
      </c>
      <c r="J203" s="4">
        <f t="shared" si="3"/>
        <v>3</v>
      </c>
    </row>
    <row r="204" spans="1:10" x14ac:dyDescent="0.25">
      <c r="A204" s="4">
        <f>_xlfn.XLOOKUP(E204,'Data Validation'!$M$3:$M$10,'Data Validation'!$N$3:$N$10)</f>
        <v>1</v>
      </c>
      <c r="B204" s="4">
        <v>16</v>
      </c>
      <c r="C204" s="4" t="s">
        <v>11</v>
      </c>
      <c r="D204" s="7">
        <v>23.02</v>
      </c>
      <c r="E204" s="4" t="s">
        <v>18</v>
      </c>
      <c r="F204" s="4" t="s">
        <v>17</v>
      </c>
      <c r="G204" s="4" t="s">
        <v>50</v>
      </c>
      <c r="H204" s="4" t="s">
        <v>56</v>
      </c>
      <c r="I204" s="5">
        <v>45542</v>
      </c>
      <c r="J204" s="4">
        <f t="shared" si="3"/>
        <v>3</v>
      </c>
    </row>
    <row r="205" spans="1:10" x14ac:dyDescent="0.25">
      <c r="A205" s="4">
        <f>_xlfn.XLOOKUP(E205,'Data Validation'!$M$3:$M$10,'Data Validation'!$N$3:$N$10)</f>
        <v>1</v>
      </c>
      <c r="B205" s="4">
        <v>20</v>
      </c>
      <c r="C205" s="4" t="s">
        <v>11</v>
      </c>
      <c r="D205" s="7">
        <v>23.02</v>
      </c>
      <c r="E205" s="4" t="s">
        <v>18</v>
      </c>
      <c r="F205" s="4" t="s">
        <v>20</v>
      </c>
      <c r="G205" s="4" t="s">
        <v>51</v>
      </c>
      <c r="H205" s="4" t="s">
        <v>56</v>
      </c>
      <c r="I205" s="5">
        <v>45543</v>
      </c>
      <c r="J205" s="4">
        <f t="shared" si="3"/>
        <v>3</v>
      </c>
    </row>
    <row r="206" spans="1:10" x14ac:dyDescent="0.25">
      <c r="A206" s="4">
        <f>_xlfn.XLOOKUP(E206,'Data Validation'!$M$3:$M$10,'Data Validation'!$N$3:$N$10)</f>
        <v>1</v>
      </c>
      <c r="B206" s="4">
        <v>15</v>
      </c>
      <c r="C206" s="4" t="s">
        <v>11</v>
      </c>
      <c r="D206" s="7">
        <v>23.02</v>
      </c>
      <c r="E206" s="4" t="s">
        <v>18</v>
      </c>
      <c r="F206" s="4" t="s">
        <v>17</v>
      </c>
      <c r="G206" s="4" t="s">
        <v>45</v>
      </c>
      <c r="H206" s="4" t="s">
        <v>56</v>
      </c>
      <c r="I206" s="5">
        <v>45544</v>
      </c>
      <c r="J206" s="4">
        <f t="shared" si="3"/>
        <v>3</v>
      </c>
    </row>
    <row r="207" spans="1:10" x14ac:dyDescent="0.25">
      <c r="A207" s="4">
        <f>_xlfn.XLOOKUP(E207,'Data Validation'!$M$3:$M$10,'Data Validation'!$N$3:$N$10)</f>
        <v>1</v>
      </c>
      <c r="B207" s="4">
        <v>21</v>
      </c>
      <c r="C207" s="4" t="s">
        <v>11</v>
      </c>
      <c r="D207" s="7">
        <v>23.02</v>
      </c>
      <c r="E207" s="4" t="s">
        <v>18</v>
      </c>
      <c r="F207" s="4" t="s">
        <v>20</v>
      </c>
      <c r="G207" s="4" t="s">
        <v>46</v>
      </c>
      <c r="H207" s="4" t="s">
        <v>56</v>
      </c>
      <c r="I207" s="5">
        <v>45545</v>
      </c>
      <c r="J207" s="4">
        <f t="shared" si="3"/>
        <v>3</v>
      </c>
    </row>
    <row r="208" spans="1:10" x14ac:dyDescent="0.25">
      <c r="A208" s="4">
        <f>_xlfn.XLOOKUP(E208,'Data Validation'!$M$3:$M$10,'Data Validation'!$N$3:$N$10)</f>
        <v>1</v>
      </c>
      <c r="B208" s="4">
        <v>21</v>
      </c>
      <c r="C208" s="4" t="s">
        <v>11</v>
      </c>
      <c r="D208" s="7">
        <v>23.02</v>
      </c>
      <c r="E208" s="4" t="s">
        <v>18</v>
      </c>
      <c r="F208" s="4" t="s">
        <v>20</v>
      </c>
      <c r="G208" s="4" t="s">
        <v>48</v>
      </c>
      <c r="H208" s="4" t="s">
        <v>56</v>
      </c>
      <c r="I208" s="5">
        <v>45547</v>
      </c>
      <c r="J208" s="4">
        <f t="shared" si="3"/>
        <v>3</v>
      </c>
    </row>
    <row r="209" spans="1:10" x14ac:dyDescent="0.25">
      <c r="A209" s="4">
        <f>_xlfn.XLOOKUP(E209,'Data Validation'!$M$3:$M$10,'Data Validation'!$N$3:$N$10)</f>
        <v>1</v>
      </c>
      <c r="B209" s="4">
        <v>13</v>
      </c>
      <c r="C209" s="4" t="s">
        <v>11</v>
      </c>
      <c r="D209" s="7">
        <v>23.02</v>
      </c>
      <c r="E209" s="4" t="s">
        <v>18</v>
      </c>
      <c r="F209" s="4" t="s">
        <v>17</v>
      </c>
      <c r="G209" s="4" t="s">
        <v>51</v>
      </c>
      <c r="H209" s="4" t="s">
        <v>56</v>
      </c>
      <c r="I209" s="5">
        <v>45550</v>
      </c>
      <c r="J209" s="4">
        <f t="shared" si="3"/>
        <v>3</v>
      </c>
    </row>
    <row r="210" spans="1:10" x14ac:dyDescent="0.25">
      <c r="A210" s="4">
        <f>_xlfn.XLOOKUP(E210,'Data Validation'!$M$3:$M$10,'Data Validation'!$N$3:$N$10)</f>
        <v>1</v>
      </c>
      <c r="B210" s="4">
        <v>12</v>
      </c>
      <c r="C210" s="4" t="s">
        <v>11</v>
      </c>
      <c r="D210" s="7">
        <v>23.02</v>
      </c>
      <c r="E210" s="4" t="s">
        <v>18</v>
      </c>
      <c r="F210" s="4" t="s">
        <v>17</v>
      </c>
      <c r="G210" s="4" t="s">
        <v>48</v>
      </c>
      <c r="H210" s="4" t="s">
        <v>56</v>
      </c>
      <c r="I210" s="5">
        <v>45554</v>
      </c>
      <c r="J210" s="4">
        <f t="shared" si="3"/>
        <v>3</v>
      </c>
    </row>
    <row r="211" spans="1:10" x14ac:dyDescent="0.25">
      <c r="A211" s="4">
        <f>_xlfn.XLOOKUP(E211,'Data Validation'!$M$3:$M$10,'Data Validation'!$N$3:$N$10)</f>
        <v>1</v>
      </c>
      <c r="B211" s="4">
        <v>20</v>
      </c>
      <c r="C211" s="4" t="s">
        <v>11</v>
      </c>
      <c r="D211" s="7">
        <v>23.02</v>
      </c>
      <c r="E211" s="4" t="s">
        <v>18</v>
      </c>
      <c r="F211" s="4" t="s">
        <v>20</v>
      </c>
      <c r="G211" s="4" t="s">
        <v>49</v>
      </c>
      <c r="H211" s="4" t="s">
        <v>56</v>
      </c>
      <c r="I211" s="5">
        <v>45555</v>
      </c>
      <c r="J211" s="4">
        <f t="shared" si="3"/>
        <v>3</v>
      </c>
    </row>
    <row r="212" spans="1:10" x14ac:dyDescent="0.25">
      <c r="A212" s="4">
        <f>_xlfn.XLOOKUP(E212,'Data Validation'!$M$3:$M$10,'Data Validation'!$N$3:$N$10)</f>
        <v>1</v>
      </c>
      <c r="B212" s="4">
        <v>20</v>
      </c>
      <c r="C212" s="4" t="s">
        <v>11</v>
      </c>
      <c r="D212" s="7">
        <v>23.02</v>
      </c>
      <c r="E212" s="4" t="s">
        <v>18</v>
      </c>
      <c r="F212" s="4" t="s">
        <v>20</v>
      </c>
      <c r="G212" s="4" t="s">
        <v>50</v>
      </c>
      <c r="H212" s="4" t="s">
        <v>56</v>
      </c>
      <c r="I212" s="5">
        <v>45556</v>
      </c>
      <c r="J212" s="4">
        <f t="shared" si="3"/>
        <v>3</v>
      </c>
    </row>
    <row r="213" spans="1:10" x14ac:dyDescent="0.25">
      <c r="A213" s="4">
        <f>_xlfn.XLOOKUP(E213,'Data Validation'!$M$3:$M$10,'Data Validation'!$N$3:$N$10)</f>
        <v>1</v>
      </c>
      <c r="B213" s="4">
        <v>20</v>
      </c>
      <c r="C213" s="4" t="s">
        <v>11</v>
      </c>
      <c r="D213" s="7">
        <v>23.02</v>
      </c>
      <c r="E213" s="4" t="s">
        <v>18</v>
      </c>
      <c r="F213" s="4" t="s">
        <v>20</v>
      </c>
      <c r="G213" s="4" t="s">
        <v>50</v>
      </c>
      <c r="H213" s="4" t="s">
        <v>56</v>
      </c>
      <c r="I213" s="5">
        <v>45556</v>
      </c>
      <c r="J213" s="4">
        <f t="shared" si="3"/>
        <v>3</v>
      </c>
    </row>
    <row r="214" spans="1:10" x14ac:dyDescent="0.25">
      <c r="A214" s="4">
        <f>_xlfn.XLOOKUP(E214,'Data Validation'!$M$3:$M$10,'Data Validation'!$N$3:$N$10)</f>
        <v>1</v>
      </c>
      <c r="B214" s="4">
        <v>22</v>
      </c>
      <c r="C214" s="4" t="s">
        <v>11</v>
      </c>
      <c r="D214" s="7">
        <v>23.02</v>
      </c>
      <c r="E214" s="4" t="s">
        <v>18</v>
      </c>
      <c r="F214" s="4" t="s">
        <v>20</v>
      </c>
      <c r="G214" s="4" t="s">
        <v>50</v>
      </c>
      <c r="H214" s="4" t="s">
        <v>56</v>
      </c>
      <c r="I214" s="5">
        <v>45556</v>
      </c>
      <c r="J214" s="4">
        <f t="shared" si="3"/>
        <v>3</v>
      </c>
    </row>
    <row r="215" spans="1:10" x14ac:dyDescent="0.25">
      <c r="A215" s="4">
        <f>_xlfn.XLOOKUP(E215,'Data Validation'!$M$3:$M$10,'Data Validation'!$N$3:$N$10)</f>
        <v>1</v>
      </c>
      <c r="B215" s="4">
        <v>22</v>
      </c>
      <c r="C215" s="4" t="s">
        <v>11</v>
      </c>
      <c r="D215" s="7">
        <v>23.02</v>
      </c>
      <c r="E215" s="4" t="s">
        <v>18</v>
      </c>
      <c r="F215" s="4" t="s">
        <v>20</v>
      </c>
      <c r="G215" s="4" t="s">
        <v>50</v>
      </c>
      <c r="H215" s="4" t="s">
        <v>56</v>
      </c>
      <c r="I215" s="5">
        <v>45556</v>
      </c>
      <c r="J215" s="4">
        <f t="shared" si="3"/>
        <v>3</v>
      </c>
    </row>
    <row r="216" spans="1:10" x14ac:dyDescent="0.25">
      <c r="A216" s="4">
        <f>_xlfn.XLOOKUP(E216,'Data Validation'!$M$3:$M$10,'Data Validation'!$N$3:$N$10)</f>
        <v>1</v>
      </c>
      <c r="B216" s="4">
        <v>8</v>
      </c>
      <c r="C216" s="4" t="s">
        <v>11</v>
      </c>
      <c r="D216" s="7">
        <v>23.02</v>
      </c>
      <c r="E216" s="4" t="s">
        <v>18</v>
      </c>
      <c r="F216" s="4" t="s">
        <v>13</v>
      </c>
      <c r="G216" s="4" t="s">
        <v>51</v>
      </c>
      <c r="H216" s="4" t="s">
        <v>56</v>
      </c>
      <c r="I216" s="5">
        <v>45557</v>
      </c>
      <c r="J216" s="4">
        <f t="shared" si="3"/>
        <v>3</v>
      </c>
    </row>
    <row r="217" spans="1:10" x14ac:dyDescent="0.25">
      <c r="A217" s="4">
        <f>_xlfn.XLOOKUP(E217,'Data Validation'!$M$3:$M$10,'Data Validation'!$N$3:$N$10)</f>
        <v>1</v>
      </c>
      <c r="B217" s="4">
        <v>11</v>
      </c>
      <c r="C217" s="4" t="s">
        <v>11</v>
      </c>
      <c r="D217" s="7">
        <v>23.02</v>
      </c>
      <c r="E217" s="4" t="s">
        <v>18</v>
      </c>
      <c r="F217" s="4" t="s">
        <v>13</v>
      </c>
      <c r="G217" s="4" t="s">
        <v>51</v>
      </c>
      <c r="H217" s="4" t="s">
        <v>56</v>
      </c>
      <c r="I217" s="5">
        <v>45557</v>
      </c>
      <c r="J217" s="4">
        <f t="shared" si="3"/>
        <v>3</v>
      </c>
    </row>
    <row r="218" spans="1:10" x14ac:dyDescent="0.25">
      <c r="A218" s="4">
        <f>_xlfn.XLOOKUP(E218,'Data Validation'!$M$3:$M$10,'Data Validation'!$N$3:$N$10)</f>
        <v>1</v>
      </c>
      <c r="B218" s="4">
        <v>22</v>
      </c>
      <c r="C218" s="4" t="s">
        <v>11</v>
      </c>
      <c r="D218" s="7">
        <v>23.02</v>
      </c>
      <c r="E218" s="4" t="s">
        <v>18</v>
      </c>
      <c r="F218" s="4" t="s">
        <v>20</v>
      </c>
      <c r="G218" s="4" t="s">
        <v>51</v>
      </c>
      <c r="H218" s="4" t="s">
        <v>56</v>
      </c>
      <c r="I218" s="5">
        <v>45557</v>
      </c>
      <c r="J218" s="4">
        <f t="shared" si="3"/>
        <v>3</v>
      </c>
    </row>
    <row r="219" spans="1:10" x14ac:dyDescent="0.25">
      <c r="A219" s="4">
        <f>_xlfn.XLOOKUP(E219,'Data Validation'!$M$3:$M$10,'Data Validation'!$N$3:$N$10)</f>
        <v>1</v>
      </c>
      <c r="B219" s="4">
        <v>12</v>
      </c>
      <c r="C219" s="4" t="s">
        <v>11</v>
      </c>
      <c r="D219" s="7">
        <v>23.02</v>
      </c>
      <c r="E219" s="4" t="s">
        <v>18</v>
      </c>
      <c r="F219" s="4" t="s">
        <v>17</v>
      </c>
      <c r="G219" s="4" t="s">
        <v>45</v>
      </c>
      <c r="H219" s="4" t="s">
        <v>56</v>
      </c>
      <c r="I219" s="5">
        <v>45558</v>
      </c>
      <c r="J219" s="4">
        <f t="shared" si="3"/>
        <v>3</v>
      </c>
    </row>
    <row r="220" spans="1:10" x14ac:dyDescent="0.25">
      <c r="A220" s="4">
        <f>_xlfn.XLOOKUP(E220,'Data Validation'!$M$3:$M$10,'Data Validation'!$N$3:$N$10)</f>
        <v>1</v>
      </c>
      <c r="B220" s="4">
        <v>18</v>
      </c>
      <c r="C220" s="4" t="s">
        <v>11</v>
      </c>
      <c r="D220" s="7">
        <v>23.02</v>
      </c>
      <c r="E220" s="4" t="s">
        <v>18</v>
      </c>
      <c r="F220" s="4" t="s">
        <v>20</v>
      </c>
      <c r="G220" s="4" t="s">
        <v>45</v>
      </c>
      <c r="H220" s="4" t="s">
        <v>56</v>
      </c>
      <c r="I220" s="5">
        <v>45558</v>
      </c>
      <c r="J220" s="4">
        <f t="shared" si="3"/>
        <v>3</v>
      </c>
    </row>
    <row r="221" spans="1:10" x14ac:dyDescent="0.25">
      <c r="A221" s="4">
        <f>_xlfn.XLOOKUP(E221,'Data Validation'!$M$3:$M$10,'Data Validation'!$N$3:$N$10)</f>
        <v>1</v>
      </c>
      <c r="B221" s="4">
        <v>18</v>
      </c>
      <c r="C221" s="4" t="s">
        <v>11</v>
      </c>
      <c r="D221" s="7">
        <v>23.02</v>
      </c>
      <c r="E221" s="4" t="s">
        <v>18</v>
      </c>
      <c r="F221" s="4" t="s">
        <v>20</v>
      </c>
      <c r="G221" s="4" t="s">
        <v>46</v>
      </c>
      <c r="H221" s="4" t="s">
        <v>56</v>
      </c>
      <c r="I221" s="5">
        <v>45559</v>
      </c>
      <c r="J221" s="4">
        <f t="shared" si="3"/>
        <v>3</v>
      </c>
    </row>
    <row r="222" spans="1:10" x14ac:dyDescent="0.25">
      <c r="A222" s="4">
        <f>_xlfn.XLOOKUP(E222,'Data Validation'!$M$3:$M$10,'Data Validation'!$N$3:$N$10)</f>
        <v>1</v>
      </c>
      <c r="B222" s="4">
        <v>18</v>
      </c>
      <c r="C222" s="4" t="s">
        <v>11</v>
      </c>
      <c r="D222" s="7">
        <v>23.02</v>
      </c>
      <c r="E222" s="4" t="s">
        <v>18</v>
      </c>
      <c r="F222" s="4" t="s">
        <v>20</v>
      </c>
      <c r="G222" s="4" t="s">
        <v>46</v>
      </c>
      <c r="H222" s="4" t="s">
        <v>56</v>
      </c>
      <c r="I222" s="5">
        <v>45559</v>
      </c>
      <c r="J222" s="4">
        <f t="shared" si="3"/>
        <v>3</v>
      </c>
    </row>
    <row r="223" spans="1:10" x14ac:dyDescent="0.25">
      <c r="A223" s="4">
        <f>_xlfn.XLOOKUP(E223,'Data Validation'!$M$3:$M$10,'Data Validation'!$N$3:$N$10)</f>
        <v>1</v>
      </c>
      <c r="B223" s="4">
        <v>21</v>
      </c>
      <c r="C223" s="4" t="s">
        <v>11</v>
      </c>
      <c r="D223" s="7">
        <v>23.02</v>
      </c>
      <c r="E223" s="4" t="s">
        <v>18</v>
      </c>
      <c r="F223" s="4" t="s">
        <v>20</v>
      </c>
      <c r="G223" s="4" t="s">
        <v>47</v>
      </c>
      <c r="H223" s="4" t="s">
        <v>56</v>
      </c>
      <c r="I223" s="5">
        <v>45560</v>
      </c>
      <c r="J223" s="4">
        <f t="shared" si="3"/>
        <v>3</v>
      </c>
    </row>
    <row r="224" spans="1:10" x14ac:dyDescent="0.25">
      <c r="A224" s="4">
        <f>_xlfn.XLOOKUP(E224,'Data Validation'!$M$3:$M$10,'Data Validation'!$N$3:$N$10)</f>
        <v>1</v>
      </c>
      <c r="B224" s="4">
        <v>13</v>
      </c>
      <c r="C224" s="4" t="s">
        <v>11</v>
      </c>
      <c r="D224" s="7">
        <v>23.02</v>
      </c>
      <c r="E224" s="4" t="s">
        <v>18</v>
      </c>
      <c r="F224" s="4" t="s">
        <v>17</v>
      </c>
      <c r="G224" s="4" t="s">
        <v>49</v>
      </c>
      <c r="H224" s="4" t="s">
        <v>56</v>
      </c>
      <c r="I224" s="5">
        <v>45562</v>
      </c>
      <c r="J224" s="4">
        <f t="shared" si="3"/>
        <v>3</v>
      </c>
    </row>
    <row r="225" spans="1:10" x14ac:dyDescent="0.25">
      <c r="A225" s="4">
        <f>_xlfn.XLOOKUP(E225,'Data Validation'!$M$3:$M$10,'Data Validation'!$N$3:$N$10)</f>
        <v>1</v>
      </c>
      <c r="B225" s="4">
        <v>10</v>
      </c>
      <c r="C225" s="4" t="s">
        <v>11</v>
      </c>
      <c r="D225" s="7">
        <v>25.96</v>
      </c>
      <c r="E225" s="4" t="s">
        <v>18</v>
      </c>
      <c r="F225" s="4" t="s">
        <v>13</v>
      </c>
      <c r="G225" s="4" t="s">
        <v>51</v>
      </c>
      <c r="H225" s="4" t="s">
        <v>56</v>
      </c>
      <c r="I225" s="5">
        <v>45564</v>
      </c>
      <c r="J225" s="4">
        <f t="shared" si="3"/>
        <v>4</v>
      </c>
    </row>
    <row r="226" spans="1:10" x14ac:dyDescent="0.25">
      <c r="A226" s="4">
        <f>_xlfn.XLOOKUP(E226,'Data Validation'!$M$3:$M$10,'Data Validation'!$N$3:$N$10)</f>
        <v>1</v>
      </c>
      <c r="B226" s="4">
        <v>14</v>
      </c>
      <c r="C226" s="4" t="s">
        <v>11</v>
      </c>
      <c r="D226" s="7">
        <v>25.96</v>
      </c>
      <c r="E226" s="4" t="s">
        <v>18</v>
      </c>
      <c r="F226" s="4" t="s">
        <v>17</v>
      </c>
      <c r="G226" s="4" t="s">
        <v>46</v>
      </c>
      <c r="H226" s="4" t="s">
        <v>57</v>
      </c>
      <c r="I226" s="5">
        <v>45566</v>
      </c>
      <c r="J226" s="4">
        <f t="shared" si="3"/>
        <v>4</v>
      </c>
    </row>
    <row r="227" spans="1:10" x14ac:dyDescent="0.25">
      <c r="A227" s="4">
        <f>_xlfn.XLOOKUP(E227,'Data Validation'!$M$3:$M$10,'Data Validation'!$N$3:$N$10)</f>
        <v>1</v>
      </c>
      <c r="B227" s="4">
        <v>16</v>
      </c>
      <c r="C227" s="4" t="s">
        <v>11</v>
      </c>
      <c r="D227" s="7">
        <v>25.96</v>
      </c>
      <c r="E227" s="4" t="s">
        <v>18</v>
      </c>
      <c r="F227" s="4" t="s">
        <v>17</v>
      </c>
      <c r="G227" s="4" t="s">
        <v>46</v>
      </c>
      <c r="H227" s="4" t="s">
        <v>57</v>
      </c>
      <c r="I227" s="5">
        <v>45566</v>
      </c>
      <c r="J227" s="4">
        <f t="shared" si="3"/>
        <v>4</v>
      </c>
    </row>
    <row r="228" spans="1:10" x14ac:dyDescent="0.25">
      <c r="A228" s="4">
        <f>_xlfn.XLOOKUP(E228,'Data Validation'!$M$3:$M$10,'Data Validation'!$N$3:$N$10)</f>
        <v>1</v>
      </c>
      <c r="B228" s="4">
        <v>8</v>
      </c>
      <c r="C228" s="4" t="s">
        <v>11</v>
      </c>
      <c r="D228" s="7">
        <v>25.96</v>
      </c>
      <c r="E228" s="4" t="s">
        <v>18</v>
      </c>
      <c r="F228" s="4" t="s">
        <v>13</v>
      </c>
      <c r="G228" s="4" t="s">
        <v>49</v>
      </c>
      <c r="H228" s="4" t="s">
        <v>57</v>
      </c>
      <c r="I228" s="5">
        <v>45569</v>
      </c>
      <c r="J228" s="4">
        <f t="shared" si="3"/>
        <v>4</v>
      </c>
    </row>
    <row r="229" spans="1:10" x14ac:dyDescent="0.25">
      <c r="A229" s="4">
        <f>_xlfn.XLOOKUP(E229,'Data Validation'!$M$3:$M$10,'Data Validation'!$N$3:$N$10)</f>
        <v>1</v>
      </c>
      <c r="B229" s="4">
        <v>8</v>
      </c>
      <c r="C229" s="4" t="s">
        <v>11</v>
      </c>
      <c r="D229" s="7">
        <v>25.96</v>
      </c>
      <c r="E229" s="4" t="s">
        <v>18</v>
      </c>
      <c r="F229" s="4" t="s">
        <v>13</v>
      </c>
      <c r="G229" s="4" t="s">
        <v>49</v>
      </c>
      <c r="H229" s="4" t="s">
        <v>57</v>
      </c>
      <c r="I229" s="5">
        <v>45569</v>
      </c>
      <c r="J229" s="4">
        <f t="shared" si="3"/>
        <v>4</v>
      </c>
    </row>
    <row r="230" spans="1:10" x14ac:dyDescent="0.25">
      <c r="A230" s="4">
        <f>_xlfn.XLOOKUP(E230,'Data Validation'!$M$3:$M$10,'Data Validation'!$N$3:$N$10)</f>
        <v>1</v>
      </c>
      <c r="B230" s="4">
        <v>9</v>
      </c>
      <c r="C230" s="4" t="s">
        <v>11</v>
      </c>
      <c r="D230" s="7">
        <v>25.96</v>
      </c>
      <c r="E230" s="4" t="s">
        <v>18</v>
      </c>
      <c r="F230" s="4" t="s">
        <v>13</v>
      </c>
      <c r="G230" s="4" t="s">
        <v>49</v>
      </c>
      <c r="H230" s="4" t="s">
        <v>57</v>
      </c>
      <c r="I230" s="5">
        <v>45569</v>
      </c>
      <c r="J230" s="4">
        <f t="shared" si="3"/>
        <v>4</v>
      </c>
    </row>
    <row r="231" spans="1:10" x14ac:dyDescent="0.25">
      <c r="A231" s="4">
        <f>_xlfn.XLOOKUP(E231,'Data Validation'!$M$3:$M$10,'Data Validation'!$N$3:$N$10)</f>
        <v>1</v>
      </c>
      <c r="B231" s="4">
        <v>20</v>
      </c>
      <c r="C231" s="4" t="s">
        <v>11</v>
      </c>
      <c r="D231" s="7">
        <v>25.96</v>
      </c>
      <c r="E231" s="4" t="s">
        <v>18</v>
      </c>
      <c r="F231" s="4" t="s">
        <v>20</v>
      </c>
      <c r="G231" s="4" t="s">
        <v>50</v>
      </c>
      <c r="H231" s="4" t="s">
        <v>57</v>
      </c>
      <c r="I231" s="5">
        <v>45570</v>
      </c>
      <c r="J231" s="4">
        <f t="shared" si="3"/>
        <v>4</v>
      </c>
    </row>
    <row r="232" spans="1:10" x14ac:dyDescent="0.25">
      <c r="A232" s="4">
        <f>_xlfn.XLOOKUP(E232,'Data Validation'!$M$3:$M$10,'Data Validation'!$N$3:$N$10)</f>
        <v>1</v>
      </c>
      <c r="B232" s="4">
        <v>20</v>
      </c>
      <c r="C232" s="4" t="s">
        <v>11</v>
      </c>
      <c r="D232" s="7">
        <v>25.96</v>
      </c>
      <c r="E232" s="4" t="s">
        <v>18</v>
      </c>
      <c r="F232" s="4" t="s">
        <v>20</v>
      </c>
      <c r="G232" s="4" t="s">
        <v>50</v>
      </c>
      <c r="H232" s="4" t="s">
        <v>57</v>
      </c>
      <c r="I232" s="5">
        <v>45570</v>
      </c>
      <c r="J232" s="4">
        <f t="shared" si="3"/>
        <v>4</v>
      </c>
    </row>
    <row r="233" spans="1:10" x14ac:dyDescent="0.25">
      <c r="A233" s="4">
        <f>_xlfn.XLOOKUP(E233,'Data Validation'!$M$3:$M$10,'Data Validation'!$N$3:$N$10)</f>
        <v>1</v>
      </c>
      <c r="B233" s="4">
        <v>13</v>
      </c>
      <c r="C233" s="4" t="s">
        <v>11</v>
      </c>
      <c r="D233" s="7">
        <v>25.96</v>
      </c>
      <c r="E233" s="4" t="s">
        <v>18</v>
      </c>
      <c r="F233" s="4" t="s">
        <v>17</v>
      </c>
      <c r="G233" s="4" t="s">
        <v>51</v>
      </c>
      <c r="H233" s="4" t="s">
        <v>57</v>
      </c>
      <c r="I233" s="5">
        <v>45571</v>
      </c>
      <c r="J233" s="4">
        <f t="shared" si="3"/>
        <v>4</v>
      </c>
    </row>
    <row r="234" spans="1:10" x14ac:dyDescent="0.25">
      <c r="A234" s="4">
        <f>_xlfn.XLOOKUP(E234,'Data Validation'!$M$3:$M$10,'Data Validation'!$N$3:$N$10)</f>
        <v>1</v>
      </c>
      <c r="B234" s="4">
        <v>14</v>
      </c>
      <c r="C234" s="4" t="s">
        <v>11</v>
      </c>
      <c r="D234" s="7">
        <v>25.96</v>
      </c>
      <c r="E234" s="4" t="s">
        <v>18</v>
      </c>
      <c r="F234" s="4" t="s">
        <v>17</v>
      </c>
      <c r="G234" s="4" t="s">
        <v>45</v>
      </c>
      <c r="H234" s="4" t="s">
        <v>57</v>
      </c>
      <c r="I234" s="5">
        <v>45572</v>
      </c>
      <c r="J234" s="4">
        <f t="shared" si="3"/>
        <v>4</v>
      </c>
    </row>
    <row r="235" spans="1:10" x14ac:dyDescent="0.25">
      <c r="A235" s="4">
        <f>_xlfn.XLOOKUP(E235,'Data Validation'!$M$3:$M$10,'Data Validation'!$N$3:$N$10)</f>
        <v>1</v>
      </c>
      <c r="B235" s="4">
        <v>14</v>
      </c>
      <c r="C235" s="4" t="s">
        <v>11</v>
      </c>
      <c r="D235" s="7">
        <v>25.96</v>
      </c>
      <c r="E235" s="4" t="s">
        <v>18</v>
      </c>
      <c r="F235" s="4" t="s">
        <v>17</v>
      </c>
      <c r="G235" s="4" t="s">
        <v>45</v>
      </c>
      <c r="H235" s="4" t="s">
        <v>57</v>
      </c>
      <c r="I235" s="5">
        <v>45572</v>
      </c>
      <c r="J235" s="4">
        <f t="shared" si="3"/>
        <v>4</v>
      </c>
    </row>
    <row r="236" spans="1:10" x14ac:dyDescent="0.25">
      <c r="A236" s="4">
        <f>_xlfn.XLOOKUP(E236,'Data Validation'!$M$3:$M$10,'Data Validation'!$N$3:$N$10)</f>
        <v>1</v>
      </c>
      <c r="B236" s="4">
        <v>10</v>
      </c>
      <c r="C236" s="4" t="s">
        <v>11</v>
      </c>
      <c r="D236" s="7">
        <v>25.96</v>
      </c>
      <c r="E236" s="4" t="s">
        <v>18</v>
      </c>
      <c r="F236" s="4" t="s">
        <v>13</v>
      </c>
      <c r="G236" s="4" t="s">
        <v>46</v>
      </c>
      <c r="H236" s="4" t="s">
        <v>57</v>
      </c>
      <c r="I236" s="5">
        <v>45573</v>
      </c>
      <c r="J236" s="4">
        <f t="shared" si="3"/>
        <v>4</v>
      </c>
    </row>
    <row r="237" spans="1:10" x14ac:dyDescent="0.25">
      <c r="A237" s="4">
        <f>_xlfn.XLOOKUP(E237,'Data Validation'!$M$3:$M$10,'Data Validation'!$N$3:$N$10)</f>
        <v>1</v>
      </c>
      <c r="B237" s="4">
        <v>12</v>
      </c>
      <c r="C237" s="4" t="s">
        <v>11</v>
      </c>
      <c r="D237" s="7">
        <v>25.96</v>
      </c>
      <c r="E237" s="4" t="s">
        <v>18</v>
      </c>
      <c r="F237" s="4" t="s">
        <v>17</v>
      </c>
      <c r="G237" s="4" t="s">
        <v>46</v>
      </c>
      <c r="H237" s="4" t="s">
        <v>57</v>
      </c>
      <c r="I237" s="5">
        <v>45573</v>
      </c>
      <c r="J237" s="4">
        <f t="shared" si="3"/>
        <v>4</v>
      </c>
    </row>
    <row r="238" spans="1:10" x14ac:dyDescent="0.25">
      <c r="A238" s="4">
        <f>_xlfn.XLOOKUP(E238,'Data Validation'!$M$3:$M$10,'Data Validation'!$N$3:$N$10)</f>
        <v>1</v>
      </c>
      <c r="B238" s="4">
        <v>12</v>
      </c>
      <c r="C238" s="4" t="s">
        <v>11</v>
      </c>
      <c r="D238" s="7">
        <v>25.96</v>
      </c>
      <c r="E238" s="4" t="s">
        <v>18</v>
      </c>
      <c r="F238" s="4" t="s">
        <v>17</v>
      </c>
      <c r="G238" s="4" t="s">
        <v>46</v>
      </c>
      <c r="H238" s="4" t="s">
        <v>57</v>
      </c>
      <c r="I238" s="5">
        <v>45573</v>
      </c>
      <c r="J238" s="4">
        <f t="shared" si="3"/>
        <v>4</v>
      </c>
    </row>
    <row r="239" spans="1:10" x14ac:dyDescent="0.25">
      <c r="A239" s="4">
        <f>_xlfn.XLOOKUP(E239,'Data Validation'!$M$3:$M$10,'Data Validation'!$N$3:$N$10)</f>
        <v>1</v>
      </c>
      <c r="B239" s="4">
        <v>15</v>
      </c>
      <c r="C239" s="4" t="s">
        <v>11</v>
      </c>
      <c r="D239" s="7">
        <v>25.96</v>
      </c>
      <c r="E239" s="4" t="s">
        <v>18</v>
      </c>
      <c r="F239" s="4" t="s">
        <v>17</v>
      </c>
      <c r="G239" s="4" t="s">
        <v>46</v>
      </c>
      <c r="H239" s="4" t="s">
        <v>57</v>
      </c>
      <c r="I239" s="5">
        <v>45573</v>
      </c>
      <c r="J239" s="4">
        <f t="shared" si="3"/>
        <v>4</v>
      </c>
    </row>
    <row r="240" spans="1:10" x14ac:dyDescent="0.25">
      <c r="A240" s="4">
        <f>_xlfn.XLOOKUP(E240,'Data Validation'!$M$3:$M$10,'Data Validation'!$N$3:$N$10)</f>
        <v>1</v>
      </c>
      <c r="B240" s="4">
        <v>11</v>
      </c>
      <c r="C240" s="4" t="s">
        <v>11</v>
      </c>
      <c r="D240" s="7">
        <v>25.96</v>
      </c>
      <c r="E240" s="4" t="s">
        <v>18</v>
      </c>
      <c r="F240" s="4" t="s">
        <v>13</v>
      </c>
      <c r="G240" s="4" t="s">
        <v>47</v>
      </c>
      <c r="H240" s="4" t="s">
        <v>57</v>
      </c>
      <c r="I240" s="5">
        <v>45574</v>
      </c>
      <c r="J240" s="4">
        <f t="shared" si="3"/>
        <v>4</v>
      </c>
    </row>
    <row r="241" spans="1:10" x14ac:dyDescent="0.25">
      <c r="A241" s="4">
        <f>_xlfn.XLOOKUP(E241,'Data Validation'!$M$3:$M$10,'Data Validation'!$N$3:$N$10)</f>
        <v>1</v>
      </c>
      <c r="B241" s="4">
        <v>17</v>
      </c>
      <c r="C241" s="4" t="s">
        <v>11</v>
      </c>
      <c r="D241" s="7">
        <v>25.96</v>
      </c>
      <c r="E241" s="4" t="s">
        <v>18</v>
      </c>
      <c r="F241" s="4" t="s">
        <v>20</v>
      </c>
      <c r="G241" s="4" t="s">
        <v>47</v>
      </c>
      <c r="H241" s="4" t="s">
        <v>57</v>
      </c>
      <c r="I241" s="5">
        <v>45574</v>
      </c>
      <c r="J241" s="4">
        <f t="shared" si="3"/>
        <v>4</v>
      </c>
    </row>
    <row r="242" spans="1:10" x14ac:dyDescent="0.25">
      <c r="A242" s="4">
        <f>_xlfn.XLOOKUP(E242,'Data Validation'!$M$3:$M$10,'Data Validation'!$N$3:$N$10)</f>
        <v>1</v>
      </c>
      <c r="B242" s="4">
        <v>8</v>
      </c>
      <c r="C242" s="4" t="s">
        <v>11</v>
      </c>
      <c r="D242" s="7">
        <v>25.96</v>
      </c>
      <c r="E242" s="4" t="s">
        <v>18</v>
      </c>
      <c r="F242" s="4" t="s">
        <v>13</v>
      </c>
      <c r="G242" s="4" t="s">
        <v>48</v>
      </c>
      <c r="H242" s="4" t="s">
        <v>57</v>
      </c>
      <c r="I242" s="5">
        <v>45575</v>
      </c>
      <c r="J242" s="4">
        <f t="shared" si="3"/>
        <v>4</v>
      </c>
    </row>
    <row r="243" spans="1:10" x14ac:dyDescent="0.25">
      <c r="A243" s="4">
        <f>_xlfn.XLOOKUP(E243,'Data Validation'!$M$3:$M$10,'Data Validation'!$N$3:$N$10)</f>
        <v>1</v>
      </c>
      <c r="B243" s="4">
        <v>18</v>
      </c>
      <c r="C243" s="4" t="s">
        <v>11</v>
      </c>
      <c r="D243" s="7">
        <v>25.96</v>
      </c>
      <c r="E243" s="4" t="s">
        <v>18</v>
      </c>
      <c r="F243" s="4" t="s">
        <v>20</v>
      </c>
      <c r="G243" s="4" t="s">
        <v>48</v>
      </c>
      <c r="H243" s="4" t="s">
        <v>57</v>
      </c>
      <c r="I243" s="5">
        <v>45575</v>
      </c>
      <c r="J243" s="4">
        <f t="shared" si="3"/>
        <v>4</v>
      </c>
    </row>
    <row r="244" spans="1:10" x14ac:dyDescent="0.25">
      <c r="A244" s="4">
        <f>_xlfn.XLOOKUP(E244,'Data Validation'!$M$3:$M$10,'Data Validation'!$N$3:$N$10)</f>
        <v>1</v>
      </c>
      <c r="B244" s="4">
        <v>10</v>
      </c>
      <c r="C244" s="4" t="s">
        <v>11</v>
      </c>
      <c r="D244" s="7">
        <v>25.96</v>
      </c>
      <c r="E244" s="4" t="s">
        <v>18</v>
      </c>
      <c r="F244" s="4" t="s">
        <v>13</v>
      </c>
      <c r="G244" s="4" t="s">
        <v>49</v>
      </c>
      <c r="H244" s="4" t="s">
        <v>57</v>
      </c>
      <c r="I244" s="5">
        <v>45576</v>
      </c>
      <c r="J244" s="4">
        <f t="shared" si="3"/>
        <v>4</v>
      </c>
    </row>
    <row r="245" spans="1:10" x14ac:dyDescent="0.25">
      <c r="A245" s="4">
        <f>_xlfn.XLOOKUP(E245,'Data Validation'!$M$3:$M$10,'Data Validation'!$N$3:$N$10)</f>
        <v>1</v>
      </c>
      <c r="B245" s="4">
        <v>10</v>
      </c>
      <c r="C245" s="4" t="s">
        <v>11</v>
      </c>
      <c r="D245" s="7">
        <v>25.96</v>
      </c>
      <c r="E245" s="4" t="s">
        <v>18</v>
      </c>
      <c r="F245" s="4" t="s">
        <v>13</v>
      </c>
      <c r="G245" s="4" t="s">
        <v>49</v>
      </c>
      <c r="H245" s="4" t="s">
        <v>57</v>
      </c>
      <c r="I245" s="5">
        <v>45576</v>
      </c>
      <c r="J245" s="4">
        <f t="shared" si="3"/>
        <v>4</v>
      </c>
    </row>
    <row r="246" spans="1:10" x14ac:dyDescent="0.25">
      <c r="A246" s="4">
        <f>_xlfn.XLOOKUP(E246,'Data Validation'!$M$3:$M$10,'Data Validation'!$N$3:$N$10)</f>
        <v>1</v>
      </c>
      <c r="B246" s="4">
        <v>13</v>
      </c>
      <c r="C246" s="4" t="s">
        <v>11</v>
      </c>
      <c r="D246" s="7">
        <v>25.96</v>
      </c>
      <c r="E246" s="4" t="s">
        <v>18</v>
      </c>
      <c r="F246" s="4" t="s">
        <v>17</v>
      </c>
      <c r="G246" s="4" t="s">
        <v>49</v>
      </c>
      <c r="H246" s="4" t="s">
        <v>57</v>
      </c>
      <c r="I246" s="5">
        <v>45576</v>
      </c>
      <c r="J246" s="4">
        <f t="shared" si="3"/>
        <v>4</v>
      </c>
    </row>
    <row r="247" spans="1:10" x14ac:dyDescent="0.25">
      <c r="A247" s="4">
        <f>_xlfn.XLOOKUP(E247,'Data Validation'!$M$3:$M$10,'Data Validation'!$N$3:$N$10)</f>
        <v>1</v>
      </c>
      <c r="B247" s="4">
        <v>13</v>
      </c>
      <c r="C247" s="4" t="s">
        <v>11</v>
      </c>
      <c r="D247" s="7">
        <v>25.96</v>
      </c>
      <c r="E247" s="4" t="s">
        <v>18</v>
      </c>
      <c r="F247" s="4" t="s">
        <v>17</v>
      </c>
      <c r="G247" s="4" t="s">
        <v>49</v>
      </c>
      <c r="H247" s="4" t="s">
        <v>57</v>
      </c>
      <c r="I247" s="5">
        <v>45576</v>
      </c>
      <c r="J247" s="4">
        <f t="shared" si="3"/>
        <v>4</v>
      </c>
    </row>
    <row r="248" spans="1:10" x14ac:dyDescent="0.25">
      <c r="A248" s="4">
        <f>_xlfn.XLOOKUP(E248,'Data Validation'!$M$3:$M$10,'Data Validation'!$N$3:$N$10)</f>
        <v>1</v>
      </c>
      <c r="B248" s="4">
        <v>14</v>
      </c>
      <c r="C248" s="4" t="s">
        <v>11</v>
      </c>
      <c r="D248" s="7">
        <v>25.96</v>
      </c>
      <c r="E248" s="4" t="s">
        <v>18</v>
      </c>
      <c r="F248" s="4" t="s">
        <v>17</v>
      </c>
      <c r="G248" s="4" t="s">
        <v>49</v>
      </c>
      <c r="H248" s="4" t="s">
        <v>57</v>
      </c>
      <c r="I248" s="5">
        <v>45576</v>
      </c>
      <c r="J248" s="4">
        <f t="shared" si="3"/>
        <v>4</v>
      </c>
    </row>
    <row r="249" spans="1:10" x14ac:dyDescent="0.25">
      <c r="A249" s="4">
        <f>_xlfn.XLOOKUP(E249,'Data Validation'!$M$3:$M$10,'Data Validation'!$N$3:$N$10)</f>
        <v>1</v>
      </c>
      <c r="B249" s="4">
        <v>11</v>
      </c>
      <c r="C249" s="4" t="s">
        <v>11</v>
      </c>
      <c r="D249" s="7">
        <v>25.96</v>
      </c>
      <c r="E249" s="4" t="s">
        <v>18</v>
      </c>
      <c r="F249" s="4" t="s">
        <v>13</v>
      </c>
      <c r="G249" s="4" t="s">
        <v>45</v>
      </c>
      <c r="H249" s="4" t="s">
        <v>57</v>
      </c>
      <c r="I249" s="5">
        <v>45579</v>
      </c>
      <c r="J249" s="4">
        <f t="shared" si="3"/>
        <v>4</v>
      </c>
    </row>
    <row r="250" spans="1:10" x14ac:dyDescent="0.25">
      <c r="A250" s="4">
        <f>_xlfn.XLOOKUP(E250,'Data Validation'!$M$3:$M$10,'Data Validation'!$N$3:$N$10)</f>
        <v>1</v>
      </c>
      <c r="B250" s="4">
        <v>11</v>
      </c>
      <c r="C250" s="4" t="s">
        <v>11</v>
      </c>
      <c r="D250" s="7">
        <v>25.96</v>
      </c>
      <c r="E250" s="4" t="s">
        <v>18</v>
      </c>
      <c r="F250" s="4" t="s">
        <v>13</v>
      </c>
      <c r="G250" s="4" t="s">
        <v>45</v>
      </c>
      <c r="H250" s="4" t="s">
        <v>57</v>
      </c>
      <c r="I250" s="5">
        <v>45579</v>
      </c>
      <c r="J250" s="4">
        <f t="shared" si="3"/>
        <v>4</v>
      </c>
    </row>
    <row r="251" spans="1:10" x14ac:dyDescent="0.25">
      <c r="A251" s="4">
        <f>_xlfn.XLOOKUP(E251,'Data Validation'!$M$3:$M$10,'Data Validation'!$N$3:$N$10)</f>
        <v>1</v>
      </c>
      <c r="B251" s="4">
        <v>16</v>
      </c>
      <c r="C251" s="4" t="s">
        <v>11</v>
      </c>
      <c r="D251" s="7">
        <v>25.96</v>
      </c>
      <c r="E251" s="4" t="s">
        <v>18</v>
      </c>
      <c r="F251" s="4" t="s">
        <v>17</v>
      </c>
      <c r="G251" s="4" t="s">
        <v>45</v>
      </c>
      <c r="H251" s="4" t="s">
        <v>57</v>
      </c>
      <c r="I251" s="5">
        <v>45579</v>
      </c>
      <c r="J251" s="4">
        <f t="shared" si="3"/>
        <v>4</v>
      </c>
    </row>
    <row r="252" spans="1:10" x14ac:dyDescent="0.25">
      <c r="A252" s="4">
        <f>_xlfn.XLOOKUP(E252,'Data Validation'!$M$3:$M$10,'Data Validation'!$N$3:$N$10)</f>
        <v>1</v>
      </c>
      <c r="B252" s="4">
        <v>15</v>
      </c>
      <c r="C252" s="4" t="s">
        <v>11</v>
      </c>
      <c r="D252" s="7">
        <v>25.96</v>
      </c>
      <c r="E252" s="4" t="s">
        <v>18</v>
      </c>
      <c r="F252" s="4" t="s">
        <v>17</v>
      </c>
      <c r="G252" s="4" t="s">
        <v>46</v>
      </c>
      <c r="H252" s="4" t="s">
        <v>57</v>
      </c>
      <c r="I252" s="5">
        <v>45580</v>
      </c>
      <c r="J252" s="4">
        <f t="shared" si="3"/>
        <v>4</v>
      </c>
    </row>
    <row r="253" spans="1:10" x14ac:dyDescent="0.25">
      <c r="A253" s="4">
        <f>_xlfn.XLOOKUP(E253,'Data Validation'!$M$3:$M$10,'Data Validation'!$N$3:$N$10)</f>
        <v>1</v>
      </c>
      <c r="B253" s="4">
        <v>19</v>
      </c>
      <c r="C253" s="4" t="s">
        <v>11</v>
      </c>
      <c r="D253" s="7">
        <v>25.96</v>
      </c>
      <c r="E253" s="4" t="s">
        <v>18</v>
      </c>
      <c r="F253" s="4" t="s">
        <v>20</v>
      </c>
      <c r="G253" s="4" t="s">
        <v>46</v>
      </c>
      <c r="H253" s="4" t="s">
        <v>57</v>
      </c>
      <c r="I253" s="5">
        <v>45580</v>
      </c>
      <c r="J253" s="4">
        <f t="shared" si="3"/>
        <v>4</v>
      </c>
    </row>
    <row r="254" spans="1:10" x14ac:dyDescent="0.25">
      <c r="A254" s="4">
        <f>_xlfn.XLOOKUP(E254,'Data Validation'!$M$3:$M$10,'Data Validation'!$N$3:$N$10)</f>
        <v>1</v>
      </c>
      <c r="B254" s="4">
        <v>11</v>
      </c>
      <c r="C254" s="4" t="s">
        <v>11</v>
      </c>
      <c r="D254" s="7">
        <v>25.96</v>
      </c>
      <c r="E254" s="4" t="s">
        <v>18</v>
      </c>
      <c r="F254" s="4" t="s">
        <v>13</v>
      </c>
      <c r="G254" s="4" t="s">
        <v>47</v>
      </c>
      <c r="H254" s="4" t="s">
        <v>57</v>
      </c>
      <c r="I254" s="5">
        <v>45581</v>
      </c>
      <c r="J254" s="4">
        <f t="shared" si="3"/>
        <v>4</v>
      </c>
    </row>
    <row r="255" spans="1:10" x14ac:dyDescent="0.25">
      <c r="A255" s="4">
        <f>_xlfn.XLOOKUP(E255,'Data Validation'!$M$3:$M$10,'Data Validation'!$N$3:$N$10)</f>
        <v>1</v>
      </c>
      <c r="B255" s="4">
        <v>13</v>
      </c>
      <c r="C255" s="4" t="s">
        <v>11</v>
      </c>
      <c r="D255" s="7">
        <v>25.96</v>
      </c>
      <c r="E255" s="4" t="s">
        <v>18</v>
      </c>
      <c r="F255" s="4" t="s">
        <v>17</v>
      </c>
      <c r="G255" s="4" t="s">
        <v>47</v>
      </c>
      <c r="H255" s="4" t="s">
        <v>57</v>
      </c>
      <c r="I255" s="5">
        <v>45581</v>
      </c>
      <c r="J255" s="4">
        <f t="shared" si="3"/>
        <v>4</v>
      </c>
    </row>
    <row r="256" spans="1:10" x14ac:dyDescent="0.25">
      <c r="A256" s="4">
        <f>_xlfn.XLOOKUP(E256,'Data Validation'!$M$3:$M$10,'Data Validation'!$N$3:$N$10)</f>
        <v>1</v>
      </c>
      <c r="B256" s="4">
        <v>14</v>
      </c>
      <c r="C256" s="4" t="s">
        <v>11</v>
      </c>
      <c r="D256" s="7">
        <v>25.96</v>
      </c>
      <c r="E256" s="4" t="s">
        <v>18</v>
      </c>
      <c r="F256" s="4" t="s">
        <v>17</v>
      </c>
      <c r="G256" s="4" t="s">
        <v>48</v>
      </c>
      <c r="H256" s="4" t="s">
        <v>57</v>
      </c>
      <c r="I256" s="5">
        <v>45582</v>
      </c>
      <c r="J256" s="4">
        <f t="shared" si="3"/>
        <v>4</v>
      </c>
    </row>
    <row r="257" spans="1:10" x14ac:dyDescent="0.25">
      <c r="A257" s="4">
        <f>_xlfn.XLOOKUP(E257,'Data Validation'!$M$3:$M$10,'Data Validation'!$N$3:$N$10)</f>
        <v>1</v>
      </c>
      <c r="B257" s="4">
        <v>15</v>
      </c>
      <c r="C257" s="4" t="s">
        <v>11</v>
      </c>
      <c r="D257" s="7">
        <v>25.96</v>
      </c>
      <c r="E257" s="4" t="s">
        <v>18</v>
      </c>
      <c r="F257" s="4" t="s">
        <v>17</v>
      </c>
      <c r="G257" s="4" t="s">
        <v>49</v>
      </c>
      <c r="H257" s="4" t="s">
        <v>57</v>
      </c>
      <c r="I257" s="5">
        <v>45583</v>
      </c>
      <c r="J257" s="4">
        <f t="shared" si="3"/>
        <v>4</v>
      </c>
    </row>
    <row r="258" spans="1:10" x14ac:dyDescent="0.25">
      <c r="A258" s="4">
        <f>_xlfn.XLOOKUP(E258,'Data Validation'!$M$3:$M$10,'Data Validation'!$N$3:$N$10)</f>
        <v>1</v>
      </c>
      <c r="B258" s="4">
        <v>10</v>
      </c>
      <c r="C258" s="4" t="s">
        <v>11</v>
      </c>
      <c r="D258" s="7">
        <v>25.96</v>
      </c>
      <c r="E258" s="4" t="s">
        <v>18</v>
      </c>
      <c r="F258" s="4" t="s">
        <v>13</v>
      </c>
      <c r="G258" s="4" t="s">
        <v>45</v>
      </c>
      <c r="H258" s="4" t="s">
        <v>57</v>
      </c>
      <c r="I258" s="5">
        <v>45586</v>
      </c>
      <c r="J258" s="4">
        <f t="shared" si="3"/>
        <v>4</v>
      </c>
    </row>
    <row r="259" spans="1:10" x14ac:dyDescent="0.25">
      <c r="A259" s="4">
        <f>_xlfn.XLOOKUP(E259,'Data Validation'!$M$3:$M$10,'Data Validation'!$N$3:$N$10)</f>
        <v>1</v>
      </c>
      <c r="B259" s="4">
        <v>18</v>
      </c>
      <c r="C259" s="4" t="s">
        <v>11</v>
      </c>
      <c r="D259" s="7">
        <v>25.96</v>
      </c>
      <c r="E259" s="4" t="s">
        <v>18</v>
      </c>
      <c r="F259" s="4" t="s">
        <v>20</v>
      </c>
      <c r="G259" s="4" t="s">
        <v>46</v>
      </c>
      <c r="H259" s="4" t="s">
        <v>57</v>
      </c>
      <c r="I259" s="5">
        <v>45587</v>
      </c>
      <c r="J259" s="4">
        <f t="shared" ref="J259:J322" si="4">IF(OR(E259&lt;&gt;E258,D259&lt;&gt;D258),J258+1,J258)</f>
        <v>4</v>
      </c>
    </row>
    <row r="260" spans="1:10" x14ac:dyDescent="0.25">
      <c r="A260" s="4">
        <f>_xlfn.XLOOKUP(E260,'Data Validation'!$M$3:$M$10,'Data Validation'!$N$3:$N$10)</f>
        <v>1</v>
      </c>
      <c r="B260" s="4">
        <v>12</v>
      </c>
      <c r="C260" s="4" t="s">
        <v>11</v>
      </c>
      <c r="D260" s="7">
        <v>25.96</v>
      </c>
      <c r="E260" s="4" t="s">
        <v>18</v>
      </c>
      <c r="F260" s="4" t="s">
        <v>17</v>
      </c>
      <c r="G260" s="4" t="s">
        <v>48</v>
      </c>
      <c r="H260" s="4" t="s">
        <v>57</v>
      </c>
      <c r="I260" s="5">
        <v>45589</v>
      </c>
      <c r="J260" s="4">
        <f t="shared" si="4"/>
        <v>4</v>
      </c>
    </row>
    <row r="261" spans="1:10" x14ac:dyDescent="0.25">
      <c r="A261" s="4">
        <f>_xlfn.XLOOKUP(E261,'Data Validation'!$M$3:$M$10,'Data Validation'!$N$3:$N$10)</f>
        <v>1</v>
      </c>
      <c r="B261" s="4">
        <v>18</v>
      </c>
      <c r="C261" s="4" t="s">
        <v>11</v>
      </c>
      <c r="D261" s="7">
        <v>25.96</v>
      </c>
      <c r="E261" s="4" t="s">
        <v>18</v>
      </c>
      <c r="F261" s="4" t="s">
        <v>20</v>
      </c>
      <c r="G261" s="4" t="s">
        <v>48</v>
      </c>
      <c r="H261" s="4" t="s">
        <v>57</v>
      </c>
      <c r="I261" s="5">
        <v>45589</v>
      </c>
      <c r="J261" s="4">
        <f t="shared" si="4"/>
        <v>4</v>
      </c>
    </row>
    <row r="262" spans="1:10" x14ac:dyDescent="0.25">
      <c r="A262" s="4">
        <f>_xlfn.XLOOKUP(E262,'Data Validation'!$M$3:$M$10,'Data Validation'!$N$3:$N$10)</f>
        <v>1</v>
      </c>
      <c r="B262" s="4">
        <v>18</v>
      </c>
      <c r="C262" s="4" t="s">
        <v>11</v>
      </c>
      <c r="D262" s="7">
        <v>25.96</v>
      </c>
      <c r="E262" s="4" t="s">
        <v>18</v>
      </c>
      <c r="F262" s="4" t="s">
        <v>20</v>
      </c>
      <c r="G262" s="4" t="s">
        <v>48</v>
      </c>
      <c r="H262" s="4" t="s">
        <v>57</v>
      </c>
      <c r="I262" s="5">
        <v>45589</v>
      </c>
      <c r="J262" s="4">
        <f t="shared" si="4"/>
        <v>4</v>
      </c>
    </row>
    <row r="263" spans="1:10" x14ac:dyDescent="0.25">
      <c r="A263" s="4">
        <f>_xlfn.XLOOKUP(E263,'Data Validation'!$M$3:$M$10,'Data Validation'!$N$3:$N$10)</f>
        <v>1</v>
      </c>
      <c r="B263" s="4">
        <v>20</v>
      </c>
      <c r="C263" s="4" t="s">
        <v>11</v>
      </c>
      <c r="D263" s="7">
        <v>25.96</v>
      </c>
      <c r="E263" s="4" t="s">
        <v>18</v>
      </c>
      <c r="F263" s="4" t="s">
        <v>20</v>
      </c>
      <c r="G263" s="4" t="s">
        <v>48</v>
      </c>
      <c r="H263" s="4" t="s">
        <v>57</v>
      </c>
      <c r="I263" s="5">
        <v>45589</v>
      </c>
      <c r="J263" s="4">
        <f t="shared" si="4"/>
        <v>4</v>
      </c>
    </row>
    <row r="264" spans="1:10" x14ac:dyDescent="0.25">
      <c r="A264" s="4">
        <f>_xlfn.XLOOKUP(E264,'Data Validation'!$M$3:$M$10,'Data Validation'!$N$3:$N$10)</f>
        <v>1</v>
      </c>
      <c r="B264" s="4">
        <v>10</v>
      </c>
      <c r="C264" s="4" t="s">
        <v>11</v>
      </c>
      <c r="D264" s="7">
        <v>25.96</v>
      </c>
      <c r="E264" s="4" t="s">
        <v>18</v>
      </c>
      <c r="F264" s="4" t="s">
        <v>13</v>
      </c>
      <c r="G264" s="4" t="s">
        <v>49</v>
      </c>
      <c r="H264" s="4" t="s">
        <v>57</v>
      </c>
      <c r="I264" s="5">
        <v>45590</v>
      </c>
      <c r="J264" s="4">
        <f t="shared" si="4"/>
        <v>4</v>
      </c>
    </row>
    <row r="265" spans="1:10" x14ac:dyDescent="0.25">
      <c r="A265" s="4">
        <f>_xlfn.XLOOKUP(E265,'Data Validation'!$M$3:$M$10,'Data Validation'!$N$3:$N$10)</f>
        <v>1</v>
      </c>
      <c r="B265" s="4">
        <v>10</v>
      </c>
      <c r="C265" s="4" t="s">
        <v>11</v>
      </c>
      <c r="D265" s="7">
        <v>25.96</v>
      </c>
      <c r="E265" s="4" t="s">
        <v>18</v>
      </c>
      <c r="F265" s="4" t="s">
        <v>13</v>
      </c>
      <c r="G265" s="4" t="s">
        <v>49</v>
      </c>
      <c r="H265" s="4" t="s">
        <v>57</v>
      </c>
      <c r="I265" s="5">
        <v>45590</v>
      </c>
      <c r="J265" s="4">
        <f t="shared" si="4"/>
        <v>4</v>
      </c>
    </row>
    <row r="266" spans="1:10" x14ac:dyDescent="0.25">
      <c r="A266" s="4">
        <f>_xlfn.XLOOKUP(E266,'Data Validation'!$M$3:$M$10,'Data Validation'!$N$3:$N$10)</f>
        <v>1</v>
      </c>
      <c r="B266" s="4">
        <v>10</v>
      </c>
      <c r="C266" s="4" t="s">
        <v>11</v>
      </c>
      <c r="D266" s="7">
        <v>25.96</v>
      </c>
      <c r="E266" s="4" t="s">
        <v>18</v>
      </c>
      <c r="F266" s="4" t="s">
        <v>13</v>
      </c>
      <c r="G266" s="4" t="s">
        <v>50</v>
      </c>
      <c r="H266" s="4" t="s">
        <v>57</v>
      </c>
      <c r="I266" s="5">
        <v>45591</v>
      </c>
      <c r="J266" s="4">
        <f t="shared" si="4"/>
        <v>4</v>
      </c>
    </row>
    <row r="267" spans="1:10" x14ac:dyDescent="0.25">
      <c r="A267" s="4">
        <f>_xlfn.XLOOKUP(E267,'Data Validation'!$M$3:$M$10,'Data Validation'!$N$3:$N$10)</f>
        <v>1</v>
      </c>
      <c r="B267" s="4">
        <v>8</v>
      </c>
      <c r="C267" s="4" t="s">
        <v>11</v>
      </c>
      <c r="D267" s="7">
        <v>25.96</v>
      </c>
      <c r="E267" s="4" t="s">
        <v>18</v>
      </c>
      <c r="F267" s="4" t="s">
        <v>13</v>
      </c>
      <c r="G267" s="4" t="s">
        <v>45</v>
      </c>
      <c r="H267" s="4" t="s">
        <v>57</v>
      </c>
      <c r="I267" s="5">
        <v>45593</v>
      </c>
      <c r="J267" s="4">
        <f t="shared" si="4"/>
        <v>4</v>
      </c>
    </row>
    <row r="268" spans="1:10" x14ac:dyDescent="0.25">
      <c r="A268" s="4">
        <f>_xlfn.XLOOKUP(E268,'Data Validation'!$M$3:$M$10,'Data Validation'!$N$3:$N$10)</f>
        <v>1</v>
      </c>
      <c r="B268" s="4">
        <v>12</v>
      </c>
      <c r="C268" s="4" t="s">
        <v>11</v>
      </c>
      <c r="D268" s="7">
        <v>25.96</v>
      </c>
      <c r="E268" s="4" t="s">
        <v>18</v>
      </c>
      <c r="F268" s="4" t="s">
        <v>17</v>
      </c>
      <c r="G268" s="4" t="s">
        <v>47</v>
      </c>
      <c r="H268" s="4" t="s">
        <v>57</v>
      </c>
      <c r="I268" s="5">
        <v>45595</v>
      </c>
      <c r="J268" s="4">
        <f t="shared" si="4"/>
        <v>4</v>
      </c>
    </row>
    <row r="269" spans="1:10" x14ac:dyDescent="0.25">
      <c r="A269" s="4">
        <f>_xlfn.XLOOKUP(E269,'Data Validation'!$M$3:$M$10,'Data Validation'!$N$3:$N$10)</f>
        <v>1</v>
      </c>
      <c r="B269" s="4">
        <v>12</v>
      </c>
      <c r="C269" s="4" t="s">
        <v>11</v>
      </c>
      <c r="D269" s="7">
        <v>25.96</v>
      </c>
      <c r="E269" s="4" t="s">
        <v>18</v>
      </c>
      <c r="F269" s="4" t="s">
        <v>17</v>
      </c>
      <c r="G269" s="4" t="s">
        <v>47</v>
      </c>
      <c r="H269" s="4" t="s">
        <v>57</v>
      </c>
      <c r="I269" s="5">
        <v>45595</v>
      </c>
      <c r="J269" s="4">
        <f t="shared" si="4"/>
        <v>4</v>
      </c>
    </row>
    <row r="270" spans="1:10" x14ac:dyDescent="0.25">
      <c r="A270" s="4">
        <f>_xlfn.XLOOKUP(E270,'Data Validation'!$M$3:$M$10,'Data Validation'!$N$3:$N$10)</f>
        <v>1</v>
      </c>
      <c r="B270" s="4">
        <v>8</v>
      </c>
      <c r="C270" s="4" t="s">
        <v>11</v>
      </c>
      <c r="D270" s="7">
        <v>25.96</v>
      </c>
      <c r="E270" s="4" t="s">
        <v>18</v>
      </c>
      <c r="F270" s="4" t="s">
        <v>13</v>
      </c>
      <c r="G270" s="4" t="s">
        <v>49</v>
      </c>
      <c r="H270" s="4" t="s">
        <v>58</v>
      </c>
      <c r="I270" s="5">
        <v>45597</v>
      </c>
      <c r="J270" s="4">
        <f t="shared" si="4"/>
        <v>4</v>
      </c>
    </row>
    <row r="271" spans="1:10" x14ac:dyDescent="0.25">
      <c r="A271" s="4">
        <f>_xlfn.XLOOKUP(E271,'Data Validation'!$M$3:$M$10,'Data Validation'!$N$3:$N$10)</f>
        <v>1</v>
      </c>
      <c r="B271" s="4">
        <v>18</v>
      </c>
      <c r="C271" s="4" t="s">
        <v>11</v>
      </c>
      <c r="D271" s="7">
        <v>25.96</v>
      </c>
      <c r="E271" s="4" t="s">
        <v>18</v>
      </c>
      <c r="F271" s="4" t="s">
        <v>20</v>
      </c>
      <c r="G271" s="4" t="s">
        <v>50</v>
      </c>
      <c r="H271" s="4" t="s">
        <v>58</v>
      </c>
      <c r="I271" s="5">
        <v>45598</v>
      </c>
      <c r="J271" s="4">
        <f t="shared" si="4"/>
        <v>4</v>
      </c>
    </row>
    <row r="272" spans="1:10" x14ac:dyDescent="0.25">
      <c r="A272" s="4">
        <f>_xlfn.XLOOKUP(E272,'Data Validation'!$M$3:$M$10,'Data Validation'!$N$3:$N$10)</f>
        <v>1</v>
      </c>
      <c r="B272" s="4">
        <v>13</v>
      </c>
      <c r="C272" s="4" t="s">
        <v>11</v>
      </c>
      <c r="D272" s="7">
        <v>25.96</v>
      </c>
      <c r="E272" s="4" t="s">
        <v>18</v>
      </c>
      <c r="F272" s="4" t="s">
        <v>17</v>
      </c>
      <c r="G272" s="4" t="s">
        <v>51</v>
      </c>
      <c r="H272" s="4" t="s">
        <v>58</v>
      </c>
      <c r="I272" s="5">
        <v>45599</v>
      </c>
      <c r="J272" s="4">
        <f t="shared" si="4"/>
        <v>4</v>
      </c>
    </row>
    <row r="273" spans="1:10" x14ac:dyDescent="0.25">
      <c r="A273" s="4">
        <f>_xlfn.XLOOKUP(E273,'Data Validation'!$M$3:$M$10,'Data Validation'!$N$3:$N$10)</f>
        <v>1</v>
      </c>
      <c r="B273" s="4">
        <v>16</v>
      </c>
      <c r="C273" s="4" t="s">
        <v>11</v>
      </c>
      <c r="D273" s="7">
        <v>25.96</v>
      </c>
      <c r="E273" s="4" t="s">
        <v>18</v>
      </c>
      <c r="F273" s="4" t="s">
        <v>17</v>
      </c>
      <c r="G273" s="4" t="s">
        <v>51</v>
      </c>
      <c r="H273" s="4" t="s">
        <v>58</v>
      </c>
      <c r="I273" s="5">
        <v>45599</v>
      </c>
      <c r="J273" s="4">
        <f t="shared" si="4"/>
        <v>4</v>
      </c>
    </row>
    <row r="274" spans="1:10" x14ac:dyDescent="0.25">
      <c r="A274" s="4">
        <f>_xlfn.XLOOKUP(E274,'Data Validation'!$M$3:$M$10,'Data Validation'!$N$3:$N$10)</f>
        <v>1</v>
      </c>
      <c r="B274" s="4">
        <v>16</v>
      </c>
      <c r="C274" s="4" t="s">
        <v>11</v>
      </c>
      <c r="D274" s="7">
        <v>25.96</v>
      </c>
      <c r="E274" s="4" t="s">
        <v>18</v>
      </c>
      <c r="F274" s="4" t="s">
        <v>17</v>
      </c>
      <c r="G274" s="4" t="s">
        <v>51</v>
      </c>
      <c r="H274" s="4" t="s">
        <v>58</v>
      </c>
      <c r="I274" s="5">
        <v>45599</v>
      </c>
      <c r="J274" s="4">
        <f t="shared" si="4"/>
        <v>4</v>
      </c>
    </row>
    <row r="275" spans="1:10" x14ac:dyDescent="0.25">
      <c r="A275" s="4">
        <f>_xlfn.XLOOKUP(E275,'Data Validation'!$M$3:$M$10,'Data Validation'!$N$3:$N$10)</f>
        <v>1</v>
      </c>
      <c r="B275" s="4">
        <v>12</v>
      </c>
      <c r="C275" s="4" t="s">
        <v>11</v>
      </c>
      <c r="D275" s="7">
        <v>25.96</v>
      </c>
      <c r="E275" s="4" t="s">
        <v>18</v>
      </c>
      <c r="F275" s="4" t="s">
        <v>17</v>
      </c>
      <c r="G275" s="4" t="s">
        <v>45</v>
      </c>
      <c r="H275" s="4" t="s">
        <v>58</v>
      </c>
      <c r="I275" s="5">
        <v>45600</v>
      </c>
      <c r="J275" s="4">
        <f t="shared" si="4"/>
        <v>4</v>
      </c>
    </row>
    <row r="276" spans="1:10" x14ac:dyDescent="0.25">
      <c r="A276" s="4">
        <f>_xlfn.XLOOKUP(E276,'Data Validation'!$M$3:$M$10,'Data Validation'!$N$3:$N$10)</f>
        <v>1</v>
      </c>
      <c r="B276" s="4">
        <v>13</v>
      </c>
      <c r="C276" s="4" t="s">
        <v>11</v>
      </c>
      <c r="D276" s="7">
        <v>25.96</v>
      </c>
      <c r="E276" s="4" t="s">
        <v>18</v>
      </c>
      <c r="F276" s="4" t="s">
        <v>17</v>
      </c>
      <c r="G276" s="4" t="s">
        <v>47</v>
      </c>
      <c r="H276" s="4" t="s">
        <v>58</v>
      </c>
      <c r="I276" s="5">
        <v>45602</v>
      </c>
      <c r="J276" s="4">
        <f t="shared" si="4"/>
        <v>4</v>
      </c>
    </row>
    <row r="277" spans="1:10" x14ac:dyDescent="0.25">
      <c r="A277" s="4">
        <f>_xlfn.XLOOKUP(E277,'Data Validation'!$M$3:$M$10,'Data Validation'!$N$3:$N$10)</f>
        <v>1</v>
      </c>
      <c r="B277" s="4">
        <v>15</v>
      </c>
      <c r="C277" s="4" t="s">
        <v>11</v>
      </c>
      <c r="D277" s="7">
        <v>25.96</v>
      </c>
      <c r="E277" s="4" t="s">
        <v>18</v>
      </c>
      <c r="F277" s="4" t="s">
        <v>17</v>
      </c>
      <c r="G277" s="4" t="s">
        <v>48</v>
      </c>
      <c r="H277" s="4" t="s">
        <v>58</v>
      </c>
      <c r="I277" s="5">
        <v>45603</v>
      </c>
      <c r="J277" s="4">
        <f t="shared" si="4"/>
        <v>4</v>
      </c>
    </row>
    <row r="278" spans="1:10" x14ac:dyDescent="0.25">
      <c r="A278" s="4">
        <f>_xlfn.XLOOKUP(E278,'Data Validation'!$M$3:$M$10,'Data Validation'!$N$3:$N$10)</f>
        <v>1</v>
      </c>
      <c r="B278" s="4">
        <v>16</v>
      </c>
      <c r="C278" s="4" t="s">
        <v>11</v>
      </c>
      <c r="D278" s="7">
        <v>25.96</v>
      </c>
      <c r="E278" s="4" t="s">
        <v>18</v>
      </c>
      <c r="F278" s="4" t="s">
        <v>17</v>
      </c>
      <c r="G278" s="4" t="s">
        <v>48</v>
      </c>
      <c r="H278" s="4" t="s">
        <v>58</v>
      </c>
      <c r="I278" s="5">
        <v>45603</v>
      </c>
      <c r="J278" s="4">
        <f t="shared" si="4"/>
        <v>4</v>
      </c>
    </row>
    <row r="279" spans="1:10" x14ac:dyDescent="0.25">
      <c r="A279" s="4">
        <f>_xlfn.XLOOKUP(E279,'Data Validation'!$M$3:$M$10,'Data Validation'!$N$3:$N$10)</f>
        <v>1</v>
      </c>
      <c r="B279" s="4">
        <v>9</v>
      </c>
      <c r="C279" s="4" t="s">
        <v>11</v>
      </c>
      <c r="D279" s="7">
        <v>25.96</v>
      </c>
      <c r="E279" s="4" t="s">
        <v>18</v>
      </c>
      <c r="F279" s="4" t="s">
        <v>13</v>
      </c>
      <c r="G279" s="4" t="s">
        <v>49</v>
      </c>
      <c r="H279" s="4" t="s">
        <v>58</v>
      </c>
      <c r="I279" s="5">
        <v>45604</v>
      </c>
      <c r="J279" s="4">
        <f t="shared" si="4"/>
        <v>4</v>
      </c>
    </row>
    <row r="280" spans="1:10" x14ac:dyDescent="0.25">
      <c r="A280" s="4">
        <f>_xlfn.XLOOKUP(E280,'Data Validation'!$M$3:$M$10,'Data Validation'!$N$3:$N$10)</f>
        <v>1</v>
      </c>
      <c r="B280" s="4">
        <v>9</v>
      </c>
      <c r="C280" s="4" t="s">
        <v>11</v>
      </c>
      <c r="D280" s="7">
        <v>25.96</v>
      </c>
      <c r="E280" s="4" t="s">
        <v>18</v>
      </c>
      <c r="F280" s="4" t="s">
        <v>13</v>
      </c>
      <c r="G280" s="4" t="s">
        <v>49</v>
      </c>
      <c r="H280" s="4" t="s">
        <v>58</v>
      </c>
      <c r="I280" s="5">
        <v>45604</v>
      </c>
      <c r="J280" s="4">
        <f t="shared" si="4"/>
        <v>4</v>
      </c>
    </row>
    <row r="281" spans="1:10" x14ac:dyDescent="0.25">
      <c r="A281" s="4">
        <f>_xlfn.XLOOKUP(E281,'Data Validation'!$M$3:$M$10,'Data Validation'!$N$3:$N$10)</f>
        <v>1</v>
      </c>
      <c r="B281" s="4">
        <v>14</v>
      </c>
      <c r="C281" s="4" t="s">
        <v>11</v>
      </c>
      <c r="D281" s="7">
        <v>25.96</v>
      </c>
      <c r="E281" s="4" t="s">
        <v>18</v>
      </c>
      <c r="F281" s="4" t="s">
        <v>17</v>
      </c>
      <c r="G281" s="4" t="s">
        <v>50</v>
      </c>
      <c r="H281" s="4" t="s">
        <v>58</v>
      </c>
      <c r="I281" s="5">
        <v>45605</v>
      </c>
      <c r="J281" s="4">
        <f t="shared" si="4"/>
        <v>4</v>
      </c>
    </row>
    <row r="282" spans="1:10" x14ac:dyDescent="0.25">
      <c r="A282" s="4">
        <f>_xlfn.XLOOKUP(E282,'Data Validation'!$M$3:$M$10,'Data Validation'!$N$3:$N$10)</f>
        <v>1</v>
      </c>
      <c r="B282" s="4">
        <v>20</v>
      </c>
      <c r="C282" s="4" t="s">
        <v>11</v>
      </c>
      <c r="D282" s="7">
        <v>25.96</v>
      </c>
      <c r="E282" s="4" t="s">
        <v>18</v>
      </c>
      <c r="F282" s="4" t="s">
        <v>20</v>
      </c>
      <c r="G282" s="4" t="s">
        <v>50</v>
      </c>
      <c r="H282" s="4" t="s">
        <v>58</v>
      </c>
      <c r="I282" s="5">
        <v>45605</v>
      </c>
      <c r="J282" s="4">
        <f t="shared" si="4"/>
        <v>4</v>
      </c>
    </row>
    <row r="283" spans="1:10" x14ac:dyDescent="0.25">
      <c r="A283" s="4">
        <f>_xlfn.XLOOKUP(E283,'Data Validation'!$M$3:$M$10,'Data Validation'!$N$3:$N$10)</f>
        <v>1</v>
      </c>
      <c r="B283" s="4">
        <v>22</v>
      </c>
      <c r="C283" s="4" t="s">
        <v>11</v>
      </c>
      <c r="D283" s="7">
        <v>25.96</v>
      </c>
      <c r="E283" s="4" t="s">
        <v>18</v>
      </c>
      <c r="F283" s="4" t="s">
        <v>20</v>
      </c>
      <c r="G283" s="4" t="s">
        <v>50</v>
      </c>
      <c r="H283" s="4" t="s">
        <v>58</v>
      </c>
      <c r="I283" s="5">
        <v>45605</v>
      </c>
      <c r="J283" s="4">
        <f t="shared" si="4"/>
        <v>4</v>
      </c>
    </row>
    <row r="284" spans="1:10" x14ac:dyDescent="0.25">
      <c r="A284" s="4">
        <f>_xlfn.XLOOKUP(E284,'Data Validation'!$M$3:$M$10,'Data Validation'!$N$3:$N$10)</f>
        <v>1</v>
      </c>
      <c r="B284" s="4">
        <v>22</v>
      </c>
      <c r="C284" s="4" t="s">
        <v>11</v>
      </c>
      <c r="D284" s="7">
        <v>25.96</v>
      </c>
      <c r="E284" s="4" t="s">
        <v>18</v>
      </c>
      <c r="F284" s="4" t="s">
        <v>20</v>
      </c>
      <c r="G284" s="4" t="s">
        <v>50</v>
      </c>
      <c r="H284" s="4" t="s">
        <v>58</v>
      </c>
      <c r="I284" s="5">
        <v>45605</v>
      </c>
      <c r="J284" s="4">
        <f t="shared" si="4"/>
        <v>4</v>
      </c>
    </row>
    <row r="285" spans="1:10" x14ac:dyDescent="0.25">
      <c r="A285" s="4">
        <f>_xlfn.XLOOKUP(E285,'Data Validation'!$M$3:$M$10,'Data Validation'!$N$3:$N$10)</f>
        <v>1</v>
      </c>
      <c r="B285" s="4">
        <v>9</v>
      </c>
      <c r="C285" s="4" t="s">
        <v>11</v>
      </c>
      <c r="D285" s="7">
        <v>25.96</v>
      </c>
      <c r="E285" s="4" t="s">
        <v>18</v>
      </c>
      <c r="F285" s="4" t="s">
        <v>13</v>
      </c>
      <c r="G285" s="4" t="s">
        <v>51</v>
      </c>
      <c r="H285" s="4" t="s">
        <v>58</v>
      </c>
      <c r="I285" s="5">
        <v>45606</v>
      </c>
      <c r="J285" s="4">
        <f t="shared" si="4"/>
        <v>4</v>
      </c>
    </row>
    <row r="286" spans="1:10" x14ac:dyDescent="0.25">
      <c r="A286" s="4">
        <f>_xlfn.XLOOKUP(E286,'Data Validation'!$M$3:$M$10,'Data Validation'!$N$3:$N$10)</f>
        <v>1</v>
      </c>
      <c r="B286" s="4">
        <v>10</v>
      </c>
      <c r="C286" s="4" t="s">
        <v>11</v>
      </c>
      <c r="D286" s="7">
        <v>25.96</v>
      </c>
      <c r="E286" s="4" t="s">
        <v>18</v>
      </c>
      <c r="F286" s="4" t="s">
        <v>13</v>
      </c>
      <c r="G286" s="4" t="s">
        <v>48</v>
      </c>
      <c r="H286" s="4" t="s">
        <v>58</v>
      </c>
      <c r="I286" s="5">
        <v>45610</v>
      </c>
      <c r="J286" s="4">
        <f t="shared" si="4"/>
        <v>4</v>
      </c>
    </row>
    <row r="287" spans="1:10" x14ac:dyDescent="0.25">
      <c r="A287" s="4">
        <f>_xlfn.XLOOKUP(E287,'Data Validation'!$M$3:$M$10,'Data Validation'!$N$3:$N$10)</f>
        <v>1</v>
      </c>
      <c r="B287" s="4">
        <v>15</v>
      </c>
      <c r="C287" s="4" t="s">
        <v>11</v>
      </c>
      <c r="D287" s="7">
        <v>25.96</v>
      </c>
      <c r="E287" s="4" t="s">
        <v>18</v>
      </c>
      <c r="F287" s="4" t="s">
        <v>17</v>
      </c>
      <c r="G287" s="4" t="s">
        <v>49</v>
      </c>
      <c r="H287" s="4" t="s">
        <v>58</v>
      </c>
      <c r="I287" s="5">
        <v>45611</v>
      </c>
      <c r="J287" s="4">
        <f t="shared" si="4"/>
        <v>4</v>
      </c>
    </row>
    <row r="288" spans="1:10" x14ac:dyDescent="0.25">
      <c r="A288" s="4">
        <f>_xlfn.XLOOKUP(E288,'Data Validation'!$M$3:$M$10,'Data Validation'!$N$3:$N$10)</f>
        <v>1</v>
      </c>
      <c r="B288" s="4">
        <v>11</v>
      </c>
      <c r="C288" s="4" t="s">
        <v>11</v>
      </c>
      <c r="D288" s="7">
        <v>25.96</v>
      </c>
      <c r="E288" s="4" t="s">
        <v>18</v>
      </c>
      <c r="F288" s="4" t="s">
        <v>13</v>
      </c>
      <c r="G288" s="4" t="s">
        <v>50</v>
      </c>
      <c r="H288" s="4" t="s">
        <v>58</v>
      </c>
      <c r="I288" s="5">
        <v>45612</v>
      </c>
      <c r="J288" s="4">
        <f t="shared" si="4"/>
        <v>4</v>
      </c>
    </row>
    <row r="289" spans="1:10" x14ac:dyDescent="0.25">
      <c r="A289" s="4">
        <f>_xlfn.XLOOKUP(E289,'Data Validation'!$M$3:$M$10,'Data Validation'!$N$3:$N$10)</f>
        <v>1</v>
      </c>
      <c r="B289" s="4">
        <v>14</v>
      </c>
      <c r="C289" s="4" t="s">
        <v>11</v>
      </c>
      <c r="D289" s="7">
        <v>25.96</v>
      </c>
      <c r="E289" s="4" t="s">
        <v>18</v>
      </c>
      <c r="F289" s="4" t="s">
        <v>17</v>
      </c>
      <c r="G289" s="4" t="s">
        <v>51</v>
      </c>
      <c r="H289" s="4" t="s">
        <v>58</v>
      </c>
      <c r="I289" s="5">
        <v>45613</v>
      </c>
      <c r="J289" s="4">
        <f t="shared" si="4"/>
        <v>4</v>
      </c>
    </row>
    <row r="290" spans="1:10" x14ac:dyDescent="0.25">
      <c r="A290" s="4">
        <f>_xlfn.XLOOKUP(E290,'Data Validation'!$M$3:$M$10,'Data Validation'!$N$3:$N$10)</f>
        <v>1</v>
      </c>
      <c r="B290" s="4">
        <v>11</v>
      </c>
      <c r="C290" s="4" t="s">
        <v>11</v>
      </c>
      <c r="D290" s="7">
        <v>25.96</v>
      </c>
      <c r="E290" s="4" t="s">
        <v>18</v>
      </c>
      <c r="F290" s="4" t="s">
        <v>13</v>
      </c>
      <c r="G290" s="4" t="s">
        <v>50</v>
      </c>
      <c r="H290" s="4" t="s">
        <v>58</v>
      </c>
      <c r="I290" s="5">
        <v>45619</v>
      </c>
      <c r="J290" s="4">
        <f t="shared" si="4"/>
        <v>4</v>
      </c>
    </row>
    <row r="291" spans="1:10" x14ac:dyDescent="0.25">
      <c r="A291" s="4">
        <f>_xlfn.XLOOKUP(E291,'Data Validation'!$M$3:$M$10,'Data Validation'!$N$3:$N$10)</f>
        <v>1</v>
      </c>
      <c r="B291" s="4">
        <v>11</v>
      </c>
      <c r="C291" s="4" t="s">
        <v>11</v>
      </c>
      <c r="D291" s="7">
        <v>25.96</v>
      </c>
      <c r="E291" s="4" t="s">
        <v>18</v>
      </c>
      <c r="F291" s="4" t="s">
        <v>13</v>
      </c>
      <c r="G291" s="4" t="s">
        <v>50</v>
      </c>
      <c r="H291" s="4" t="s">
        <v>58</v>
      </c>
      <c r="I291" s="5">
        <v>45619</v>
      </c>
      <c r="J291" s="4">
        <f t="shared" si="4"/>
        <v>4</v>
      </c>
    </row>
    <row r="292" spans="1:10" x14ac:dyDescent="0.25">
      <c r="A292" s="4">
        <f>_xlfn.XLOOKUP(E292,'Data Validation'!$M$3:$M$10,'Data Validation'!$N$3:$N$10)</f>
        <v>1</v>
      </c>
      <c r="B292" s="4">
        <v>11</v>
      </c>
      <c r="C292" s="4" t="s">
        <v>11</v>
      </c>
      <c r="D292" s="7">
        <v>25.96</v>
      </c>
      <c r="E292" s="4" t="s">
        <v>18</v>
      </c>
      <c r="F292" s="4" t="s">
        <v>13</v>
      </c>
      <c r="G292" s="4" t="s">
        <v>46</v>
      </c>
      <c r="H292" s="4" t="s">
        <v>58</v>
      </c>
      <c r="I292" s="5">
        <v>45622</v>
      </c>
      <c r="J292" s="4">
        <f t="shared" si="4"/>
        <v>4</v>
      </c>
    </row>
    <row r="293" spans="1:10" x14ac:dyDescent="0.25">
      <c r="A293" s="4">
        <f>_xlfn.XLOOKUP(E293,'Data Validation'!$M$3:$M$10,'Data Validation'!$N$3:$N$10)</f>
        <v>1</v>
      </c>
      <c r="B293" s="4">
        <v>17</v>
      </c>
      <c r="C293" s="4" t="s">
        <v>11</v>
      </c>
      <c r="D293" s="7">
        <v>25.96</v>
      </c>
      <c r="E293" s="4" t="s">
        <v>18</v>
      </c>
      <c r="F293" s="4" t="s">
        <v>20</v>
      </c>
      <c r="G293" s="4" t="s">
        <v>46</v>
      </c>
      <c r="H293" s="4" t="s">
        <v>58</v>
      </c>
      <c r="I293" s="5">
        <v>45622</v>
      </c>
      <c r="J293" s="4">
        <f t="shared" si="4"/>
        <v>4</v>
      </c>
    </row>
    <row r="294" spans="1:10" x14ac:dyDescent="0.25">
      <c r="A294" s="4">
        <f>_xlfn.XLOOKUP(E294,'Data Validation'!$M$3:$M$10,'Data Validation'!$N$3:$N$10)</f>
        <v>1</v>
      </c>
      <c r="B294" s="4">
        <v>14</v>
      </c>
      <c r="C294" s="4" t="s">
        <v>11</v>
      </c>
      <c r="D294" s="7">
        <v>25.96</v>
      </c>
      <c r="E294" s="4" t="s">
        <v>18</v>
      </c>
      <c r="F294" s="4" t="s">
        <v>17</v>
      </c>
      <c r="G294" s="4" t="s">
        <v>50</v>
      </c>
      <c r="H294" s="4" t="s">
        <v>58</v>
      </c>
      <c r="I294" s="5">
        <v>45626</v>
      </c>
      <c r="J294" s="4">
        <f t="shared" si="4"/>
        <v>4</v>
      </c>
    </row>
    <row r="295" spans="1:10" x14ac:dyDescent="0.25">
      <c r="A295" s="4">
        <f>_xlfn.XLOOKUP(E295,'Data Validation'!$M$3:$M$10,'Data Validation'!$N$3:$N$10)</f>
        <v>1</v>
      </c>
      <c r="B295" s="4">
        <v>7</v>
      </c>
      <c r="C295" s="4" t="s">
        <v>11</v>
      </c>
      <c r="D295" s="7">
        <v>25.96</v>
      </c>
      <c r="E295" s="4" t="s">
        <v>18</v>
      </c>
      <c r="F295" s="4" t="s">
        <v>13</v>
      </c>
      <c r="G295" s="4" t="s">
        <v>45</v>
      </c>
      <c r="H295" s="4" t="s">
        <v>59</v>
      </c>
      <c r="I295" s="5">
        <v>45628</v>
      </c>
      <c r="J295" s="4">
        <f t="shared" si="4"/>
        <v>4</v>
      </c>
    </row>
    <row r="296" spans="1:10" x14ac:dyDescent="0.25">
      <c r="A296" s="4">
        <f>_xlfn.XLOOKUP(E296,'Data Validation'!$M$3:$M$10,'Data Validation'!$N$3:$N$10)</f>
        <v>1</v>
      </c>
      <c r="B296" s="4">
        <v>17</v>
      </c>
      <c r="C296" s="4" t="s">
        <v>11</v>
      </c>
      <c r="D296" s="7">
        <v>25.96</v>
      </c>
      <c r="E296" s="4" t="s">
        <v>18</v>
      </c>
      <c r="F296" s="4" t="s">
        <v>20</v>
      </c>
      <c r="G296" s="4" t="s">
        <v>45</v>
      </c>
      <c r="H296" s="4" t="s">
        <v>59</v>
      </c>
      <c r="I296" s="5">
        <v>45628</v>
      </c>
      <c r="J296" s="4">
        <f t="shared" si="4"/>
        <v>4</v>
      </c>
    </row>
    <row r="297" spans="1:10" x14ac:dyDescent="0.25">
      <c r="A297" s="4">
        <f>_xlfn.XLOOKUP(E297,'Data Validation'!$M$3:$M$10,'Data Validation'!$N$3:$N$10)</f>
        <v>1</v>
      </c>
      <c r="B297" s="4">
        <v>11</v>
      </c>
      <c r="C297" s="4" t="s">
        <v>11</v>
      </c>
      <c r="D297" s="7">
        <v>25.96</v>
      </c>
      <c r="E297" s="4" t="s">
        <v>18</v>
      </c>
      <c r="F297" s="4" t="s">
        <v>13</v>
      </c>
      <c r="G297" s="4" t="s">
        <v>46</v>
      </c>
      <c r="H297" s="4" t="s">
        <v>59</v>
      </c>
      <c r="I297" s="5">
        <v>45629</v>
      </c>
      <c r="J297" s="4">
        <f t="shared" si="4"/>
        <v>4</v>
      </c>
    </row>
    <row r="298" spans="1:10" x14ac:dyDescent="0.25">
      <c r="A298" s="4">
        <f>_xlfn.XLOOKUP(E298,'Data Validation'!$M$3:$M$10,'Data Validation'!$N$3:$N$10)</f>
        <v>1</v>
      </c>
      <c r="B298" s="4">
        <v>9</v>
      </c>
      <c r="C298" s="4" t="s">
        <v>11</v>
      </c>
      <c r="D298" s="7">
        <v>25.96</v>
      </c>
      <c r="E298" s="4" t="s">
        <v>18</v>
      </c>
      <c r="F298" s="4" t="s">
        <v>13</v>
      </c>
      <c r="G298" s="4" t="s">
        <v>47</v>
      </c>
      <c r="H298" s="4" t="s">
        <v>59</v>
      </c>
      <c r="I298" s="5">
        <v>45630</v>
      </c>
      <c r="J298" s="4">
        <f t="shared" si="4"/>
        <v>4</v>
      </c>
    </row>
    <row r="299" spans="1:10" x14ac:dyDescent="0.25">
      <c r="A299" s="4">
        <f>_xlfn.XLOOKUP(E299,'Data Validation'!$M$3:$M$10,'Data Validation'!$N$3:$N$10)</f>
        <v>1</v>
      </c>
      <c r="B299" s="4">
        <v>8</v>
      </c>
      <c r="C299" s="4" t="s">
        <v>11</v>
      </c>
      <c r="D299" s="7">
        <v>25.96</v>
      </c>
      <c r="E299" s="4" t="s">
        <v>18</v>
      </c>
      <c r="F299" s="4" t="s">
        <v>13</v>
      </c>
      <c r="G299" s="4" t="s">
        <v>48</v>
      </c>
      <c r="H299" s="4" t="s">
        <v>59</v>
      </c>
      <c r="I299" s="5">
        <v>45631</v>
      </c>
      <c r="J299" s="4">
        <f t="shared" si="4"/>
        <v>4</v>
      </c>
    </row>
    <row r="300" spans="1:10" x14ac:dyDescent="0.25">
      <c r="A300" s="4">
        <f>_xlfn.XLOOKUP(E300,'Data Validation'!$M$3:$M$10,'Data Validation'!$N$3:$N$10)</f>
        <v>1</v>
      </c>
      <c r="B300" s="4">
        <v>11</v>
      </c>
      <c r="C300" s="4" t="s">
        <v>11</v>
      </c>
      <c r="D300" s="7">
        <v>25.96</v>
      </c>
      <c r="E300" s="4" t="s">
        <v>18</v>
      </c>
      <c r="F300" s="4" t="s">
        <v>13</v>
      </c>
      <c r="G300" s="4" t="s">
        <v>48</v>
      </c>
      <c r="H300" s="4" t="s">
        <v>59</v>
      </c>
      <c r="I300" s="5">
        <v>45631</v>
      </c>
      <c r="J300" s="4">
        <f t="shared" si="4"/>
        <v>4</v>
      </c>
    </row>
    <row r="301" spans="1:10" x14ac:dyDescent="0.25">
      <c r="A301" s="4">
        <f>_xlfn.XLOOKUP(E301,'Data Validation'!$M$3:$M$10,'Data Validation'!$N$3:$N$10)</f>
        <v>1</v>
      </c>
      <c r="B301" s="4">
        <v>14</v>
      </c>
      <c r="C301" s="4" t="s">
        <v>11</v>
      </c>
      <c r="D301" s="7">
        <v>25.96</v>
      </c>
      <c r="E301" s="4" t="s">
        <v>18</v>
      </c>
      <c r="F301" s="4" t="s">
        <v>17</v>
      </c>
      <c r="G301" s="4" t="s">
        <v>50</v>
      </c>
      <c r="H301" s="4" t="s">
        <v>59</v>
      </c>
      <c r="I301" s="5">
        <v>45633</v>
      </c>
      <c r="J301" s="4">
        <f t="shared" si="4"/>
        <v>4</v>
      </c>
    </row>
    <row r="302" spans="1:10" x14ac:dyDescent="0.25">
      <c r="A302" s="4">
        <f>_xlfn.XLOOKUP(E302,'Data Validation'!$M$3:$M$10,'Data Validation'!$N$3:$N$10)</f>
        <v>1</v>
      </c>
      <c r="B302" s="4">
        <v>22</v>
      </c>
      <c r="C302" s="4" t="s">
        <v>11</v>
      </c>
      <c r="D302" s="7">
        <v>25.96</v>
      </c>
      <c r="E302" s="4" t="s">
        <v>18</v>
      </c>
      <c r="F302" s="4" t="s">
        <v>20</v>
      </c>
      <c r="G302" s="4" t="s">
        <v>50</v>
      </c>
      <c r="H302" s="4" t="s">
        <v>59</v>
      </c>
      <c r="I302" s="5">
        <v>45633</v>
      </c>
      <c r="J302" s="4">
        <f t="shared" si="4"/>
        <v>4</v>
      </c>
    </row>
    <row r="303" spans="1:10" x14ac:dyDescent="0.25">
      <c r="A303" s="4">
        <f>_xlfn.XLOOKUP(E303,'Data Validation'!$M$3:$M$10,'Data Validation'!$N$3:$N$10)</f>
        <v>1</v>
      </c>
      <c r="B303" s="4">
        <v>9</v>
      </c>
      <c r="C303" s="4" t="s">
        <v>11</v>
      </c>
      <c r="D303" s="7">
        <v>25.96</v>
      </c>
      <c r="E303" s="4" t="s">
        <v>18</v>
      </c>
      <c r="F303" s="4" t="s">
        <v>13</v>
      </c>
      <c r="G303" s="4" t="s">
        <v>45</v>
      </c>
      <c r="H303" s="4" t="s">
        <v>59</v>
      </c>
      <c r="I303" s="5">
        <v>45635</v>
      </c>
      <c r="J303" s="4">
        <f t="shared" si="4"/>
        <v>4</v>
      </c>
    </row>
    <row r="304" spans="1:10" x14ac:dyDescent="0.25">
      <c r="A304" s="4">
        <f>_xlfn.XLOOKUP(E304,'Data Validation'!$M$3:$M$10,'Data Validation'!$N$3:$N$10)</f>
        <v>1</v>
      </c>
      <c r="B304" s="4">
        <v>12</v>
      </c>
      <c r="C304" s="4" t="s">
        <v>11</v>
      </c>
      <c r="D304" s="7">
        <v>25.96</v>
      </c>
      <c r="E304" s="4" t="s">
        <v>18</v>
      </c>
      <c r="F304" s="4" t="s">
        <v>17</v>
      </c>
      <c r="G304" s="4" t="s">
        <v>48</v>
      </c>
      <c r="H304" s="4" t="s">
        <v>59</v>
      </c>
      <c r="I304" s="5">
        <v>45638</v>
      </c>
      <c r="J304" s="4">
        <f t="shared" si="4"/>
        <v>4</v>
      </c>
    </row>
    <row r="305" spans="1:10" x14ac:dyDescent="0.25">
      <c r="A305" s="4">
        <f>_xlfn.XLOOKUP(E305,'Data Validation'!$M$3:$M$10,'Data Validation'!$N$3:$N$10)</f>
        <v>1</v>
      </c>
      <c r="B305" s="4">
        <v>16</v>
      </c>
      <c r="C305" s="4" t="s">
        <v>11</v>
      </c>
      <c r="D305" s="7">
        <v>25.96</v>
      </c>
      <c r="E305" s="4" t="s">
        <v>18</v>
      </c>
      <c r="F305" s="4" t="s">
        <v>17</v>
      </c>
      <c r="G305" s="4" t="s">
        <v>48</v>
      </c>
      <c r="H305" s="4" t="s">
        <v>59</v>
      </c>
      <c r="I305" s="5">
        <v>45638</v>
      </c>
      <c r="J305" s="4">
        <f t="shared" si="4"/>
        <v>4</v>
      </c>
    </row>
    <row r="306" spans="1:10" x14ac:dyDescent="0.25">
      <c r="A306" s="4">
        <f>_xlfn.XLOOKUP(E306,'Data Validation'!$M$3:$M$10,'Data Validation'!$N$3:$N$10)</f>
        <v>1</v>
      </c>
      <c r="B306" s="4">
        <v>12</v>
      </c>
      <c r="C306" s="4" t="s">
        <v>11</v>
      </c>
      <c r="D306" s="7">
        <v>25.96</v>
      </c>
      <c r="E306" s="4" t="s">
        <v>18</v>
      </c>
      <c r="F306" s="4" t="s">
        <v>17</v>
      </c>
      <c r="G306" s="4" t="s">
        <v>49</v>
      </c>
      <c r="H306" s="4" t="s">
        <v>59</v>
      </c>
      <c r="I306" s="5">
        <v>45639</v>
      </c>
      <c r="J306" s="4">
        <f t="shared" si="4"/>
        <v>4</v>
      </c>
    </row>
    <row r="307" spans="1:10" x14ac:dyDescent="0.25">
      <c r="A307" s="4">
        <f>_xlfn.XLOOKUP(E307,'Data Validation'!$M$3:$M$10,'Data Validation'!$N$3:$N$10)</f>
        <v>1</v>
      </c>
      <c r="B307" s="4">
        <v>12</v>
      </c>
      <c r="C307" s="4" t="s">
        <v>11</v>
      </c>
      <c r="D307" s="7">
        <v>25.96</v>
      </c>
      <c r="E307" s="4" t="s">
        <v>18</v>
      </c>
      <c r="F307" s="4" t="s">
        <v>17</v>
      </c>
      <c r="G307" s="4" t="s">
        <v>49</v>
      </c>
      <c r="H307" s="4" t="s">
        <v>59</v>
      </c>
      <c r="I307" s="5">
        <v>45639</v>
      </c>
      <c r="J307" s="4">
        <f t="shared" si="4"/>
        <v>4</v>
      </c>
    </row>
    <row r="308" spans="1:10" x14ac:dyDescent="0.25">
      <c r="A308" s="4">
        <f>_xlfn.XLOOKUP(E308,'Data Validation'!$M$3:$M$10,'Data Validation'!$N$3:$N$10)</f>
        <v>1</v>
      </c>
      <c r="B308" s="4">
        <v>13</v>
      </c>
      <c r="C308" s="4" t="s">
        <v>11</v>
      </c>
      <c r="D308" s="7">
        <v>25.96</v>
      </c>
      <c r="E308" s="4" t="s">
        <v>18</v>
      </c>
      <c r="F308" s="4" t="s">
        <v>17</v>
      </c>
      <c r="G308" s="4" t="s">
        <v>50</v>
      </c>
      <c r="H308" s="4" t="s">
        <v>59</v>
      </c>
      <c r="I308" s="5">
        <v>45640</v>
      </c>
      <c r="J308" s="4">
        <f t="shared" si="4"/>
        <v>4</v>
      </c>
    </row>
    <row r="309" spans="1:10" x14ac:dyDescent="0.25">
      <c r="A309" s="4">
        <f>_xlfn.XLOOKUP(E309,'Data Validation'!$M$3:$M$10,'Data Validation'!$N$3:$N$10)</f>
        <v>1</v>
      </c>
      <c r="B309" s="4">
        <v>16</v>
      </c>
      <c r="C309" s="4" t="s">
        <v>11</v>
      </c>
      <c r="D309" s="7">
        <v>25.96</v>
      </c>
      <c r="E309" s="4" t="s">
        <v>18</v>
      </c>
      <c r="F309" s="4" t="s">
        <v>17</v>
      </c>
      <c r="G309" s="4" t="s">
        <v>50</v>
      </c>
      <c r="H309" s="4" t="s">
        <v>59</v>
      </c>
      <c r="I309" s="5">
        <v>45640</v>
      </c>
      <c r="J309" s="4">
        <f t="shared" si="4"/>
        <v>4</v>
      </c>
    </row>
    <row r="310" spans="1:10" x14ac:dyDescent="0.25">
      <c r="A310" s="4">
        <f>_xlfn.XLOOKUP(E310,'Data Validation'!$M$3:$M$10,'Data Validation'!$N$3:$N$10)</f>
        <v>1</v>
      </c>
      <c r="B310" s="4">
        <v>16</v>
      </c>
      <c r="C310" s="4" t="s">
        <v>11</v>
      </c>
      <c r="D310" s="7">
        <v>25.96</v>
      </c>
      <c r="E310" s="4" t="s">
        <v>18</v>
      </c>
      <c r="F310" s="4" t="s">
        <v>17</v>
      </c>
      <c r="G310" s="4" t="s">
        <v>50</v>
      </c>
      <c r="H310" s="4" t="s">
        <v>59</v>
      </c>
      <c r="I310" s="5">
        <v>45640</v>
      </c>
      <c r="J310" s="4">
        <f t="shared" si="4"/>
        <v>4</v>
      </c>
    </row>
    <row r="311" spans="1:10" x14ac:dyDescent="0.25">
      <c r="A311" s="4">
        <f>_xlfn.XLOOKUP(E311,'Data Validation'!$M$3:$M$10,'Data Validation'!$N$3:$N$10)</f>
        <v>1</v>
      </c>
      <c r="B311" s="4">
        <v>17</v>
      </c>
      <c r="C311" s="4" t="s">
        <v>11</v>
      </c>
      <c r="D311" s="7">
        <v>25.96</v>
      </c>
      <c r="E311" s="4" t="s">
        <v>18</v>
      </c>
      <c r="F311" s="4" t="s">
        <v>20</v>
      </c>
      <c r="G311" s="4" t="s">
        <v>50</v>
      </c>
      <c r="H311" s="4" t="s">
        <v>59</v>
      </c>
      <c r="I311" s="5">
        <v>45640</v>
      </c>
      <c r="J311" s="4">
        <f t="shared" si="4"/>
        <v>4</v>
      </c>
    </row>
    <row r="312" spans="1:10" x14ac:dyDescent="0.25">
      <c r="A312" s="4">
        <f>_xlfn.XLOOKUP(E312,'Data Validation'!$M$3:$M$10,'Data Validation'!$N$3:$N$10)</f>
        <v>1</v>
      </c>
      <c r="B312" s="4">
        <v>17</v>
      </c>
      <c r="C312" s="4" t="s">
        <v>11</v>
      </c>
      <c r="D312" s="7">
        <v>25.96</v>
      </c>
      <c r="E312" s="4" t="s">
        <v>18</v>
      </c>
      <c r="F312" s="4" t="s">
        <v>20</v>
      </c>
      <c r="G312" s="4" t="s">
        <v>50</v>
      </c>
      <c r="H312" s="4" t="s">
        <v>59</v>
      </c>
      <c r="I312" s="5">
        <v>45640</v>
      </c>
      <c r="J312" s="4">
        <f t="shared" si="4"/>
        <v>4</v>
      </c>
    </row>
    <row r="313" spans="1:10" x14ac:dyDescent="0.25">
      <c r="A313" s="4">
        <f>_xlfn.XLOOKUP(E313,'Data Validation'!$M$3:$M$10,'Data Validation'!$N$3:$N$10)</f>
        <v>1</v>
      </c>
      <c r="B313" s="4">
        <v>16</v>
      </c>
      <c r="C313" s="4" t="s">
        <v>11</v>
      </c>
      <c r="D313" s="7">
        <v>25.96</v>
      </c>
      <c r="E313" s="4" t="s">
        <v>18</v>
      </c>
      <c r="F313" s="4" t="s">
        <v>17</v>
      </c>
      <c r="G313" s="4" t="s">
        <v>46</v>
      </c>
      <c r="H313" s="4" t="s">
        <v>59</v>
      </c>
      <c r="I313" s="5">
        <v>45643</v>
      </c>
      <c r="J313" s="4">
        <f t="shared" si="4"/>
        <v>4</v>
      </c>
    </row>
    <row r="314" spans="1:10" x14ac:dyDescent="0.25">
      <c r="A314" s="4">
        <f>_xlfn.XLOOKUP(E314,'Data Validation'!$M$3:$M$10,'Data Validation'!$N$3:$N$10)</f>
        <v>1</v>
      </c>
      <c r="B314" s="4">
        <v>10</v>
      </c>
      <c r="C314" s="4" t="s">
        <v>11</v>
      </c>
      <c r="D314" s="7">
        <v>25.96</v>
      </c>
      <c r="E314" s="4" t="s">
        <v>18</v>
      </c>
      <c r="F314" s="4" t="s">
        <v>13</v>
      </c>
      <c r="G314" s="4" t="s">
        <v>50</v>
      </c>
      <c r="H314" s="4" t="s">
        <v>59</v>
      </c>
      <c r="I314" s="5">
        <v>45647</v>
      </c>
      <c r="J314" s="4">
        <f t="shared" si="4"/>
        <v>4</v>
      </c>
    </row>
    <row r="315" spans="1:10" x14ac:dyDescent="0.25">
      <c r="A315" s="4">
        <f>_xlfn.XLOOKUP(E315,'Data Validation'!$M$3:$M$10,'Data Validation'!$N$3:$N$10)</f>
        <v>1</v>
      </c>
      <c r="B315" s="4">
        <v>12</v>
      </c>
      <c r="C315" s="4" t="s">
        <v>11</v>
      </c>
      <c r="D315" s="7">
        <v>25.96</v>
      </c>
      <c r="E315" s="4" t="s">
        <v>18</v>
      </c>
      <c r="F315" s="4" t="s">
        <v>17</v>
      </c>
      <c r="G315" s="4" t="s">
        <v>47</v>
      </c>
      <c r="H315" s="4" t="s">
        <v>59</v>
      </c>
      <c r="I315" s="5">
        <v>45651</v>
      </c>
      <c r="J315" s="4">
        <f t="shared" si="4"/>
        <v>4</v>
      </c>
    </row>
    <row r="316" spans="1:10" x14ac:dyDescent="0.25">
      <c r="A316" s="4">
        <f>_xlfn.XLOOKUP(E316,'Data Validation'!$M$3:$M$10,'Data Validation'!$N$3:$N$10)</f>
        <v>1</v>
      </c>
      <c r="B316" s="4">
        <v>13</v>
      </c>
      <c r="C316" s="4" t="s">
        <v>11</v>
      </c>
      <c r="D316" s="7">
        <v>25.96</v>
      </c>
      <c r="E316" s="4" t="s">
        <v>18</v>
      </c>
      <c r="F316" s="4" t="s">
        <v>17</v>
      </c>
      <c r="G316" s="4" t="s">
        <v>47</v>
      </c>
      <c r="H316" s="4" t="s">
        <v>59</v>
      </c>
      <c r="I316" s="5">
        <v>45651</v>
      </c>
      <c r="J316" s="4">
        <f t="shared" si="4"/>
        <v>4</v>
      </c>
    </row>
    <row r="317" spans="1:10" x14ac:dyDescent="0.25">
      <c r="A317" s="4">
        <f>_xlfn.XLOOKUP(E317,'Data Validation'!$M$3:$M$10,'Data Validation'!$N$3:$N$10)</f>
        <v>1</v>
      </c>
      <c r="B317" s="4">
        <v>7</v>
      </c>
      <c r="C317" s="4" t="s">
        <v>11</v>
      </c>
      <c r="D317" s="7">
        <v>25.96</v>
      </c>
      <c r="E317" s="4" t="s">
        <v>18</v>
      </c>
      <c r="F317" s="4" t="s">
        <v>13</v>
      </c>
      <c r="G317" s="4" t="s">
        <v>49</v>
      </c>
      <c r="H317" s="4" t="s">
        <v>59</v>
      </c>
      <c r="I317" s="5">
        <v>45653</v>
      </c>
      <c r="J317" s="4">
        <f t="shared" si="4"/>
        <v>4</v>
      </c>
    </row>
    <row r="318" spans="1:10" x14ac:dyDescent="0.25">
      <c r="A318" s="4">
        <f>_xlfn.XLOOKUP(E318,'Data Validation'!$M$3:$M$10,'Data Validation'!$N$3:$N$10)</f>
        <v>1</v>
      </c>
      <c r="B318" s="4">
        <v>19</v>
      </c>
      <c r="C318" s="4" t="s">
        <v>11</v>
      </c>
      <c r="D318" s="7">
        <v>25.96</v>
      </c>
      <c r="E318" s="4" t="s">
        <v>18</v>
      </c>
      <c r="F318" s="4" t="s">
        <v>20</v>
      </c>
      <c r="G318" s="4" t="s">
        <v>49</v>
      </c>
      <c r="H318" s="4" t="s">
        <v>59</v>
      </c>
      <c r="I318" s="5">
        <v>45653</v>
      </c>
      <c r="J318" s="4">
        <f t="shared" si="4"/>
        <v>4</v>
      </c>
    </row>
    <row r="319" spans="1:10" x14ac:dyDescent="0.25">
      <c r="A319" s="4">
        <f>_xlfn.XLOOKUP(E319,'Data Validation'!$M$3:$M$10,'Data Validation'!$N$3:$N$10)</f>
        <v>1</v>
      </c>
      <c r="B319" s="4">
        <v>15</v>
      </c>
      <c r="C319" s="4" t="s">
        <v>11</v>
      </c>
      <c r="D319" s="7">
        <v>25.96</v>
      </c>
      <c r="E319" s="4" t="s">
        <v>18</v>
      </c>
      <c r="F319" s="4" t="s">
        <v>17</v>
      </c>
      <c r="G319" s="4" t="s">
        <v>51</v>
      </c>
      <c r="H319" s="4" t="s">
        <v>59</v>
      </c>
      <c r="I319" s="5">
        <v>45655</v>
      </c>
      <c r="J319" s="4">
        <f t="shared" si="4"/>
        <v>4</v>
      </c>
    </row>
    <row r="320" spans="1:10" x14ac:dyDescent="0.25">
      <c r="A320" s="4">
        <f>_xlfn.XLOOKUP(E320,'Data Validation'!$M$3:$M$10,'Data Validation'!$N$3:$N$10)</f>
        <v>1</v>
      </c>
      <c r="B320" s="4">
        <v>16</v>
      </c>
      <c r="C320" s="4" t="s">
        <v>11</v>
      </c>
      <c r="D320" s="7">
        <v>25.96</v>
      </c>
      <c r="E320" s="4" t="s">
        <v>18</v>
      </c>
      <c r="F320" s="4" t="s">
        <v>17</v>
      </c>
      <c r="G320" s="4" t="s">
        <v>45</v>
      </c>
      <c r="H320" s="4" t="s">
        <v>59</v>
      </c>
      <c r="I320" s="5">
        <v>45656</v>
      </c>
      <c r="J320" s="4">
        <f t="shared" si="4"/>
        <v>4</v>
      </c>
    </row>
    <row r="321" spans="1:10" x14ac:dyDescent="0.25">
      <c r="A321" s="4">
        <f>_xlfn.XLOOKUP(E321,'Data Validation'!$M$3:$M$10,'Data Validation'!$N$3:$N$10)</f>
        <v>1</v>
      </c>
      <c r="B321" s="4">
        <v>15</v>
      </c>
      <c r="C321" s="4" t="s">
        <v>11</v>
      </c>
      <c r="D321" s="7">
        <v>25.96</v>
      </c>
      <c r="E321" s="4" t="s">
        <v>18</v>
      </c>
      <c r="F321" s="4" t="s">
        <v>17</v>
      </c>
      <c r="G321" s="4" t="s">
        <v>46</v>
      </c>
      <c r="H321" s="4" t="s">
        <v>59</v>
      </c>
      <c r="I321" s="5">
        <v>45657</v>
      </c>
      <c r="J321" s="4">
        <f t="shared" si="4"/>
        <v>4</v>
      </c>
    </row>
    <row r="322" spans="1:10" x14ac:dyDescent="0.25">
      <c r="A322" s="4">
        <f>_xlfn.XLOOKUP(E322,'Data Validation'!$M$3:$M$10,'Data Validation'!$N$3:$N$10)</f>
        <v>1</v>
      </c>
      <c r="B322" s="4">
        <v>16</v>
      </c>
      <c r="C322" s="4" t="s">
        <v>11</v>
      </c>
      <c r="D322" s="7">
        <v>25.96</v>
      </c>
      <c r="E322" s="4" t="s">
        <v>18</v>
      </c>
      <c r="F322" s="4" t="s">
        <v>17</v>
      </c>
      <c r="G322" s="4" t="s">
        <v>48</v>
      </c>
      <c r="H322" s="4" t="s">
        <v>42</v>
      </c>
      <c r="I322" s="5">
        <v>45659</v>
      </c>
      <c r="J322" s="4">
        <f t="shared" si="4"/>
        <v>4</v>
      </c>
    </row>
    <row r="323" spans="1:10" x14ac:dyDescent="0.25">
      <c r="A323" s="4">
        <f>_xlfn.XLOOKUP(E323,'Data Validation'!$M$3:$M$10,'Data Validation'!$N$3:$N$10)</f>
        <v>1</v>
      </c>
      <c r="B323" s="4">
        <v>22</v>
      </c>
      <c r="C323" s="4" t="s">
        <v>11</v>
      </c>
      <c r="D323" s="7">
        <v>25.96</v>
      </c>
      <c r="E323" s="4" t="s">
        <v>18</v>
      </c>
      <c r="F323" s="4" t="s">
        <v>20</v>
      </c>
      <c r="G323" s="4" t="s">
        <v>49</v>
      </c>
      <c r="H323" s="4" t="s">
        <v>42</v>
      </c>
      <c r="I323" s="5">
        <v>45660</v>
      </c>
      <c r="J323" s="4">
        <f t="shared" ref="J323:J386" si="5">IF(OR(E323&lt;&gt;E322,D323&lt;&gt;D322),J322+1,J322)</f>
        <v>4</v>
      </c>
    </row>
    <row r="324" spans="1:10" x14ac:dyDescent="0.25">
      <c r="A324" s="4">
        <f>_xlfn.XLOOKUP(E324,'Data Validation'!$M$3:$M$10,'Data Validation'!$N$3:$N$10)</f>
        <v>1</v>
      </c>
      <c r="B324" s="4">
        <v>22</v>
      </c>
      <c r="C324" s="4" t="s">
        <v>11</v>
      </c>
      <c r="D324" s="7">
        <v>25.96</v>
      </c>
      <c r="E324" s="4" t="s">
        <v>18</v>
      </c>
      <c r="F324" s="4" t="s">
        <v>20</v>
      </c>
      <c r="G324" s="4" t="s">
        <v>49</v>
      </c>
      <c r="H324" s="4" t="s">
        <v>42</v>
      </c>
      <c r="I324" s="5">
        <v>45660</v>
      </c>
      <c r="J324" s="4">
        <f t="shared" si="5"/>
        <v>4</v>
      </c>
    </row>
    <row r="325" spans="1:10" x14ac:dyDescent="0.25">
      <c r="A325" s="4">
        <f>_xlfn.XLOOKUP(E325,'Data Validation'!$M$3:$M$10,'Data Validation'!$N$3:$N$10)</f>
        <v>1</v>
      </c>
      <c r="B325" s="4">
        <v>9</v>
      </c>
      <c r="C325" s="4" t="s">
        <v>11</v>
      </c>
      <c r="D325" s="7">
        <v>25.96</v>
      </c>
      <c r="E325" s="4" t="s">
        <v>18</v>
      </c>
      <c r="F325" s="4" t="s">
        <v>13</v>
      </c>
      <c r="G325" s="4" t="s">
        <v>50</v>
      </c>
      <c r="H325" s="4" t="s">
        <v>42</v>
      </c>
      <c r="I325" s="5">
        <v>45661</v>
      </c>
      <c r="J325" s="4">
        <f t="shared" si="5"/>
        <v>4</v>
      </c>
    </row>
    <row r="326" spans="1:10" x14ac:dyDescent="0.25">
      <c r="A326" s="4">
        <f>_xlfn.XLOOKUP(E326,'Data Validation'!$M$3:$M$10,'Data Validation'!$N$3:$N$10)</f>
        <v>1</v>
      </c>
      <c r="B326" s="4">
        <v>18</v>
      </c>
      <c r="C326" s="4" t="s">
        <v>11</v>
      </c>
      <c r="D326" s="7">
        <v>25.96</v>
      </c>
      <c r="E326" s="4" t="s">
        <v>18</v>
      </c>
      <c r="F326" s="4" t="s">
        <v>20</v>
      </c>
      <c r="G326" s="4" t="s">
        <v>50</v>
      </c>
      <c r="H326" s="4" t="s">
        <v>42</v>
      </c>
      <c r="I326" s="5">
        <v>45661</v>
      </c>
      <c r="J326" s="4">
        <f t="shared" si="5"/>
        <v>4</v>
      </c>
    </row>
    <row r="327" spans="1:10" x14ac:dyDescent="0.25">
      <c r="A327" s="4">
        <f>_xlfn.XLOOKUP(E327,'Data Validation'!$M$3:$M$10,'Data Validation'!$N$3:$N$10)</f>
        <v>1</v>
      </c>
      <c r="B327" s="4">
        <v>19</v>
      </c>
      <c r="C327" s="4" t="s">
        <v>11</v>
      </c>
      <c r="D327" s="7">
        <v>25.96</v>
      </c>
      <c r="E327" s="4" t="s">
        <v>18</v>
      </c>
      <c r="F327" s="4" t="s">
        <v>20</v>
      </c>
      <c r="G327" s="4" t="s">
        <v>45</v>
      </c>
      <c r="H327" s="4" t="s">
        <v>42</v>
      </c>
      <c r="I327" s="5">
        <v>45663</v>
      </c>
      <c r="J327" s="4">
        <f t="shared" si="5"/>
        <v>4</v>
      </c>
    </row>
    <row r="328" spans="1:10" x14ac:dyDescent="0.25">
      <c r="A328" s="4">
        <f>_xlfn.XLOOKUP(E328,'Data Validation'!$M$3:$M$10,'Data Validation'!$N$3:$N$10)</f>
        <v>1</v>
      </c>
      <c r="B328" s="4">
        <v>8</v>
      </c>
      <c r="C328" s="4" t="s">
        <v>11</v>
      </c>
      <c r="D328" s="7">
        <v>25.96</v>
      </c>
      <c r="E328" s="4" t="s">
        <v>18</v>
      </c>
      <c r="F328" s="4" t="s">
        <v>13</v>
      </c>
      <c r="G328" s="4" t="s">
        <v>48</v>
      </c>
      <c r="H328" s="4" t="s">
        <v>42</v>
      </c>
      <c r="I328" s="5">
        <v>45666</v>
      </c>
      <c r="J328" s="4">
        <f t="shared" si="5"/>
        <v>4</v>
      </c>
    </row>
    <row r="329" spans="1:10" x14ac:dyDescent="0.25">
      <c r="A329" s="4">
        <f>_xlfn.XLOOKUP(E329,'Data Validation'!$M$3:$M$10,'Data Validation'!$N$3:$N$10)</f>
        <v>1</v>
      </c>
      <c r="B329" s="4">
        <v>11</v>
      </c>
      <c r="C329" s="4" t="s">
        <v>11</v>
      </c>
      <c r="D329" s="7">
        <v>25.96</v>
      </c>
      <c r="E329" s="4" t="s">
        <v>18</v>
      </c>
      <c r="F329" s="4" t="s">
        <v>13</v>
      </c>
      <c r="G329" s="4" t="s">
        <v>50</v>
      </c>
      <c r="H329" s="4" t="s">
        <v>42</v>
      </c>
      <c r="I329" s="5">
        <v>45668</v>
      </c>
      <c r="J329" s="4">
        <f t="shared" si="5"/>
        <v>4</v>
      </c>
    </row>
    <row r="330" spans="1:10" x14ac:dyDescent="0.25">
      <c r="A330" s="4">
        <f>_xlfn.XLOOKUP(E330,'Data Validation'!$M$3:$M$10,'Data Validation'!$N$3:$N$10)</f>
        <v>1</v>
      </c>
      <c r="B330" s="4">
        <v>11</v>
      </c>
      <c r="C330" s="4" t="s">
        <v>11</v>
      </c>
      <c r="D330" s="7">
        <v>25.96</v>
      </c>
      <c r="E330" s="4" t="s">
        <v>18</v>
      </c>
      <c r="F330" s="4" t="s">
        <v>13</v>
      </c>
      <c r="G330" s="4" t="s">
        <v>51</v>
      </c>
      <c r="H330" s="4" t="s">
        <v>42</v>
      </c>
      <c r="I330" s="5">
        <v>45669</v>
      </c>
      <c r="J330" s="4">
        <f t="shared" si="5"/>
        <v>4</v>
      </c>
    </row>
    <row r="331" spans="1:10" x14ac:dyDescent="0.25">
      <c r="A331" s="4">
        <f>_xlfn.XLOOKUP(E331,'Data Validation'!$M$3:$M$10,'Data Validation'!$N$3:$N$10)</f>
        <v>1</v>
      </c>
      <c r="B331" s="4">
        <v>11</v>
      </c>
      <c r="C331" s="4" t="s">
        <v>11</v>
      </c>
      <c r="D331" s="7">
        <v>25.96</v>
      </c>
      <c r="E331" s="4" t="s">
        <v>18</v>
      </c>
      <c r="F331" s="4" t="s">
        <v>13</v>
      </c>
      <c r="G331" s="4" t="s">
        <v>47</v>
      </c>
      <c r="H331" s="4" t="s">
        <v>42</v>
      </c>
      <c r="I331" s="5">
        <v>45672</v>
      </c>
      <c r="J331" s="4">
        <f t="shared" si="5"/>
        <v>4</v>
      </c>
    </row>
    <row r="332" spans="1:10" x14ac:dyDescent="0.25">
      <c r="A332" s="4">
        <f>_xlfn.XLOOKUP(E332,'Data Validation'!$M$3:$M$10,'Data Validation'!$N$3:$N$10)</f>
        <v>1</v>
      </c>
      <c r="B332" s="4">
        <v>12</v>
      </c>
      <c r="C332" s="4" t="s">
        <v>11</v>
      </c>
      <c r="D332" s="7">
        <v>25.96</v>
      </c>
      <c r="E332" s="4" t="s">
        <v>18</v>
      </c>
      <c r="F332" s="4" t="s">
        <v>17</v>
      </c>
      <c r="G332" s="4" t="s">
        <v>45</v>
      </c>
      <c r="H332" s="4" t="s">
        <v>42</v>
      </c>
      <c r="I332" s="5">
        <v>45677</v>
      </c>
      <c r="J332" s="4">
        <f t="shared" si="5"/>
        <v>4</v>
      </c>
    </row>
    <row r="333" spans="1:10" x14ac:dyDescent="0.25">
      <c r="A333" s="4">
        <f>_xlfn.XLOOKUP(E333,'Data Validation'!$M$3:$M$10,'Data Validation'!$N$3:$N$10)</f>
        <v>1</v>
      </c>
      <c r="B333" s="4">
        <v>15</v>
      </c>
      <c r="C333" s="4" t="s">
        <v>11</v>
      </c>
      <c r="D333" s="7">
        <v>25.96</v>
      </c>
      <c r="E333" s="4" t="s">
        <v>18</v>
      </c>
      <c r="F333" s="4" t="s">
        <v>17</v>
      </c>
      <c r="G333" s="4" t="s">
        <v>46</v>
      </c>
      <c r="H333" s="4" t="s">
        <v>42</v>
      </c>
      <c r="I333" s="5">
        <v>45678</v>
      </c>
      <c r="J333" s="4">
        <f t="shared" si="5"/>
        <v>4</v>
      </c>
    </row>
    <row r="334" spans="1:10" x14ac:dyDescent="0.25">
      <c r="A334" s="4">
        <f>_xlfn.XLOOKUP(E334,'Data Validation'!$M$3:$M$10,'Data Validation'!$N$3:$N$10)</f>
        <v>1</v>
      </c>
      <c r="B334" s="4">
        <v>19</v>
      </c>
      <c r="C334" s="4" t="s">
        <v>11</v>
      </c>
      <c r="D334" s="7">
        <v>25.96</v>
      </c>
      <c r="E334" s="4" t="s">
        <v>18</v>
      </c>
      <c r="F334" s="4" t="s">
        <v>20</v>
      </c>
      <c r="G334" s="4" t="s">
        <v>46</v>
      </c>
      <c r="H334" s="4" t="s">
        <v>42</v>
      </c>
      <c r="I334" s="5">
        <v>45678</v>
      </c>
      <c r="J334" s="4">
        <f t="shared" si="5"/>
        <v>4</v>
      </c>
    </row>
    <row r="335" spans="1:10" x14ac:dyDescent="0.25">
      <c r="A335" s="4">
        <f>_xlfn.XLOOKUP(E335,'Data Validation'!$M$3:$M$10,'Data Validation'!$N$3:$N$10)</f>
        <v>1</v>
      </c>
      <c r="B335" s="4">
        <v>17</v>
      </c>
      <c r="C335" s="4" t="s">
        <v>11</v>
      </c>
      <c r="D335" s="7">
        <v>25.96</v>
      </c>
      <c r="E335" s="4" t="s">
        <v>18</v>
      </c>
      <c r="F335" s="4" t="s">
        <v>20</v>
      </c>
      <c r="G335" s="4" t="s">
        <v>49</v>
      </c>
      <c r="H335" s="4" t="s">
        <v>42</v>
      </c>
      <c r="I335" s="5">
        <v>45681</v>
      </c>
      <c r="J335" s="4">
        <f t="shared" si="5"/>
        <v>4</v>
      </c>
    </row>
    <row r="336" spans="1:10" x14ac:dyDescent="0.25">
      <c r="A336" s="4">
        <f>_xlfn.XLOOKUP(E336,'Data Validation'!$M$3:$M$10,'Data Validation'!$N$3:$N$10)</f>
        <v>1</v>
      </c>
      <c r="B336" s="4">
        <v>14</v>
      </c>
      <c r="C336" s="4" t="s">
        <v>11</v>
      </c>
      <c r="D336" s="7">
        <v>25.96</v>
      </c>
      <c r="E336" s="4" t="s">
        <v>18</v>
      </c>
      <c r="F336" s="4" t="s">
        <v>17</v>
      </c>
      <c r="G336" s="4" t="s">
        <v>50</v>
      </c>
      <c r="H336" s="4" t="s">
        <v>42</v>
      </c>
      <c r="I336" s="5">
        <v>45682</v>
      </c>
      <c r="J336" s="4">
        <f t="shared" si="5"/>
        <v>4</v>
      </c>
    </row>
    <row r="337" spans="1:10" x14ac:dyDescent="0.25">
      <c r="A337" s="4">
        <f>_xlfn.XLOOKUP(E337,'Data Validation'!$M$3:$M$10,'Data Validation'!$N$3:$N$10)</f>
        <v>1</v>
      </c>
      <c r="B337" s="4">
        <v>12</v>
      </c>
      <c r="C337" s="4" t="s">
        <v>11</v>
      </c>
      <c r="D337" s="7">
        <v>25.96</v>
      </c>
      <c r="E337" s="4" t="s">
        <v>18</v>
      </c>
      <c r="F337" s="4" t="s">
        <v>17</v>
      </c>
      <c r="G337" s="4" t="s">
        <v>51</v>
      </c>
      <c r="H337" s="4" t="s">
        <v>42</v>
      </c>
      <c r="I337" s="5">
        <v>45683</v>
      </c>
      <c r="J337" s="4">
        <f t="shared" si="5"/>
        <v>4</v>
      </c>
    </row>
    <row r="338" spans="1:10" x14ac:dyDescent="0.25">
      <c r="A338" s="4">
        <f>_xlfn.XLOOKUP(E338,'Data Validation'!$M$3:$M$10,'Data Validation'!$N$3:$N$10)</f>
        <v>1</v>
      </c>
      <c r="B338" s="4">
        <v>8</v>
      </c>
      <c r="C338" s="4" t="s">
        <v>11</v>
      </c>
      <c r="D338" s="7">
        <v>25.96</v>
      </c>
      <c r="E338" s="4" t="s">
        <v>18</v>
      </c>
      <c r="F338" s="4" t="s">
        <v>13</v>
      </c>
      <c r="G338" s="4" t="s">
        <v>45</v>
      </c>
      <c r="H338" s="4" t="s">
        <v>42</v>
      </c>
      <c r="I338" s="5">
        <v>45684</v>
      </c>
      <c r="J338" s="4">
        <f t="shared" si="5"/>
        <v>4</v>
      </c>
    </row>
    <row r="339" spans="1:10" x14ac:dyDescent="0.25">
      <c r="A339" s="4">
        <f>_xlfn.XLOOKUP(E339,'Data Validation'!$M$3:$M$10,'Data Validation'!$N$3:$N$10)</f>
        <v>1</v>
      </c>
      <c r="B339" s="4">
        <v>9</v>
      </c>
      <c r="C339" s="4" t="s">
        <v>11</v>
      </c>
      <c r="D339" s="7">
        <v>25.96</v>
      </c>
      <c r="E339" s="4" t="s">
        <v>18</v>
      </c>
      <c r="F339" s="4" t="s">
        <v>13</v>
      </c>
      <c r="G339" s="4" t="s">
        <v>46</v>
      </c>
      <c r="H339" s="4" t="s">
        <v>42</v>
      </c>
      <c r="I339" s="5">
        <v>45685</v>
      </c>
      <c r="J339" s="4">
        <f t="shared" si="5"/>
        <v>4</v>
      </c>
    </row>
    <row r="340" spans="1:10" x14ac:dyDescent="0.25">
      <c r="A340" s="4">
        <f>_xlfn.XLOOKUP(E340,'Data Validation'!$M$3:$M$10,'Data Validation'!$N$3:$N$10)</f>
        <v>1</v>
      </c>
      <c r="B340" s="4">
        <v>12</v>
      </c>
      <c r="C340" s="4" t="s">
        <v>11</v>
      </c>
      <c r="D340" s="7">
        <v>25.96</v>
      </c>
      <c r="E340" s="4" t="s">
        <v>18</v>
      </c>
      <c r="F340" s="4" t="s">
        <v>17</v>
      </c>
      <c r="G340" s="4" t="s">
        <v>46</v>
      </c>
      <c r="H340" s="4" t="s">
        <v>42</v>
      </c>
      <c r="I340" s="5">
        <v>45685</v>
      </c>
      <c r="J340" s="4">
        <f t="shared" si="5"/>
        <v>4</v>
      </c>
    </row>
    <row r="341" spans="1:10" x14ac:dyDescent="0.25">
      <c r="A341" s="4">
        <f>_xlfn.XLOOKUP(E341,'Data Validation'!$M$3:$M$10,'Data Validation'!$N$3:$N$10)</f>
        <v>1</v>
      </c>
      <c r="B341" s="4">
        <v>17</v>
      </c>
      <c r="C341" s="4" t="s">
        <v>11</v>
      </c>
      <c r="D341" s="7">
        <v>25.96</v>
      </c>
      <c r="E341" s="4" t="s">
        <v>18</v>
      </c>
      <c r="F341" s="4" t="s">
        <v>20</v>
      </c>
      <c r="G341" s="4" t="s">
        <v>46</v>
      </c>
      <c r="H341" s="4" t="s">
        <v>42</v>
      </c>
      <c r="I341" s="5">
        <v>45685</v>
      </c>
      <c r="J341" s="4">
        <f t="shared" si="5"/>
        <v>4</v>
      </c>
    </row>
    <row r="342" spans="1:10" x14ac:dyDescent="0.25">
      <c r="A342" s="4">
        <f>_xlfn.XLOOKUP(E342,'Data Validation'!$M$3:$M$10,'Data Validation'!$N$3:$N$10)</f>
        <v>1</v>
      </c>
      <c r="B342" s="4">
        <v>9</v>
      </c>
      <c r="C342" s="4" t="s">
        <v>11</v>
      </c>
      <c r="D342" s="7">
        <v>25.96</v>
      </c>
      <c r="E342" s="4" t="s">
        <v>18</v>
      </c>
      <c r="F342" s="4" t="s">
        <v>13</v>
      </c>
      <c r="G342" s="4" t="s">
        <v>47</v>
      </c>
      <c r="H342" s="4" t="s">
        <v>42</v>
      </c>
      <c r="I342" s="5">
        <v>45686</v>
      </c>
      <c r="J342" s="4">
        <f t="shared" si="5"/>
        <v>4</v>
      </c>
    </row>
    <row r="343" spans="1:10" x14ac:dyDescent="0.25">
      <c r="A343" s="4">
        <f>_xlfn.XLOOKUP(E343,'Data Validation'!$M$3:$M$10,'Data Validation'!$N$3:$N$10)</f>
        <v>1</v>
      </c>
      <c r="B343" s="4">
        <v>16</v>
      </c>
      <c r="C343" s="4" t="s">
        <v>11</v>
      </c>
      <c r="D343" s="7">
        <v>25.96</v>
      </c>
      <c r="E343" s="4" t="s">
        <v>18</v>
      </c>
      <c r="F343" s="4" t="s">
        <v>17</v>
      </c>
      <c r="G343" s="4" t="s">
        <v>47</v>
      </c>
      <c r="H343" s="4" t="s">
        <v>42</v>
      </c>
      <c r="I343" s="5">
        <v>45686</v>
      </c>
      <c r="J343" s="4">
        <f t="shared" si="5"/>
        <v>4</v>
      </c>
    </row>
    <row r="344" spans="1:10" x14ac:dyDescent="0.25">
      <c r="A344" s="4">
        <f>_xlfn.XLOOKUP(E344,'Data Validation'!$M$3:$M$10,'Data Validation'!$N$3:$N$10)</f>
        <v>1</v>
      </c>
      <c r="B344" s="4">
        <v>13</v>
      </c>
      <c r="C344" s="4" t="s">
        <v>11</v>
      </c>
      <c r="D344" s="7">
        <v>25.96</v>
      </c>
      <c r="E344" s="4" t="s">
        <v>18</v>
      </c>
      <c r="F344" s="4" t="s">
        <v>17</v>
      </c>
      <c r="G344" s="4" t="s">
        <v>48</v>
      </c>
      <c r="H344" s="4" t="s">
        <v>42</v>
      </c>
      <c r="I344" s="5">
        <v>45687</v>
      </c>
      <c r="J344" s="4">
        <f t="shared" si="5"/>
        <v>4</v>
      </c>
    </row>
    <row r="345" spans="1:10" x14ac:dyDescent="0.25">
      <c r="A345" s="4">
        <f>_xlfn.XLOOKUP(E345,'Data Validation'!$M$3:$M$10,'Data Validation'!$N$3:$N$10)</f>
        <v>1</v>
      </c>
      <c r="B345" s="4">
        <v>8</v>
      </c>
      <c r="C345" s="4" t="s">
        <v>11</v>
      </c>
      <c r="D345" s="7">
        <v>25.96</v>
      </c>
      <c r="E345" s="4" t="s">
        <v>18</v>
      </c>
      <c r="F345" s="4" t="s">
        <v>13</v>
      </c>
      <c r="G345" s="4" t="s">
        <v>49</v>
      </c>
      <c r="H345" s="4" t="s">
        <v>42</v>
      </c>
      <c r="I345" s="5">
        <v>45688</v>
      </c>
      <c r="J345" s="4">
        <f t="shared" si="5"/>
        <v>4</v>
      </c>
    </row>
    <row r="346" spans="1:10" x14ac:dyDescent="0.25">
      <c r="A346" s="4">
        <f>_xlfn.XLOOKUP(E346,'Data Validation'!$M$3:$M$10,'Data Validation'!$N$3:$N$10)</f>
        <v>1</v>
      </c>
      <c r="B346" s="4">
        <v>22</v>
      </c>
      <c r="C346" s="4" t="s">
        <v>11</v>
      </c>
      <c r="D346" s="7">
        <v>25.96</v>
      </c>
      <c r="E346" s="4" t="s">
        <v>18</v>
      </c>
      <c r="F346" s="4" t="s">
        <v>20</v>
      </c>
      <c r="G346" s="4" t="s">
        <v>49</v>
      </c>
      <c r="H346" s="4" t="s">
        <v>42</v>
      </c>
      <c r="I346" s="5">
        <v>45688</v>
      </c>
      <c r="J346" s="4">
        <f t="shared" si="5"/>
        <v>4</v>
      </c>
    </row>
    <row r="347" spans="1:10" x14ac:dyDescent="0.25">
      <c r="A347" s="4">
        <f>_xlfn.XLOOKUP(E347,'Data Validation'!$M$3:$M$10,'Data Validation'!$N$3:$N$10)</f>
        <v>1</v>
      </c>
      <c r="B347" s="4">
        <v>10</v>
      </c>
      <c r="C347" s="4" t="s">
        <v>11</v>
      </c>
      <c r="D347" s="7">
        <v>25.96</v>
      </c>
      <c r="E347" s="4" t="s">
        <v>18</v>
      </c>
      <c r="F347" s="4" t="s">
        <v>13</v>
      </c>
      <c r="G347" s="4" t="s">
        <v>45</v>
      </c>
      <c r="H347" s="4" t="s">
        <v>43</v>
      </c>
      <c r="I347" s="5">
        <v>45691</v>
      </c>
      <c r="J347" s="4">
        <f t="shared" si="5"/>
        <v>4</v>
      </c>
    </row>
    <row r="348" spans="1:10" x14ac:dyDescent="0.25">
      <c r="A348" s="4">
        <f>_xlfn.XLOOKUP(E348,'Data Validation'!$M$3:$M$10,'Data Validation'!$N$3:$N$10)</f>
        <v>1</v>
      </c>
      <c r="B348" s="4">
        <v>13</v>
      </c>
      <c r="C348" s="4" t="s">
        <v>11</v>
      </c>
      <c r="D348" s="7">
        <v>25.96</v>
      </c>
      <c r="E348" s="4" t="s">
        <v>18</v>
      </c>
      <c r="F348" s="4" t="s">
        <v>17</v>
      </c>
      <c r="G348" s="4" t="s">
        <v>45</v>
      </c>
      <c r="H348" s="4" t="s">
        <v>43</v>
      </c>
      <c r="I348" s="5">
        <v>45691</v>
      </c>
      <c r="J348" s="4">
        <f t="shared" si="5"/>
        <v>4</v>
      </c>
    </row>
    <row r="349" spans="1:10" x14ac:dyDescent="0.25">
      <c r="A349" s="4">
        <f>_xlfn.XLOOKUP(E349,'Data Validation'!$M$3:$M$10,'Data Validation'!$N$3:$N$10)</f>
        <v>1</v>
      </c>
      <c r="B349" s="4">
        <v>14</v>
      </c>
      <c r="C349" s="4" t="s">
        <v>11</v>
      </c>
      <c r="D349" s="7">
        <v>25.96</v>
      </c>
      <c r="E349" s="4" t="s">
        <v>18</v>
      </c>
      <c r="F349" s="4" t="s">
        <v>17</v>
      </c>
      <c r="G349" s="4" t="s">
        <v>45</v>
      </c>
      <c r="H349" s="4" t="s">
        <v>43</v>
      </c>
      <c r="I349" s="5">
        <v>45691</v>
      </c>
      <c r="J349" s="4">
        <f t="shared" si="5"/>
        <v>4</v>
      </c>
    </row>
    <row r="350" spans="1:10" x14ac:dyDescent="0.25">
      <c r="A350" s="4">
        <f>_xlfn.XLOOKUP(E350,'Data Validation'!$M$3:$M$10,'Data Validation'!$N$3:$N$10)</f>
        <v>1</v>
      </c>
      <c r="B350" s="4">
        <v>15</v>
      </c>
      <c r="C350" s="4" t="s">
        <v>11</v>
      </c>
      <c r="D350" s="7">
        <v>25.96</v>
      </c>
      <c r="E350" s="4" t="s">
        <v>18</v>
      </c>
      <c r="F350" s="4" t="s">
        <v>17</v>
      </c>
      <c r="G350" s="4" t="s">
        <v>45</v>
      </c>
      <c r="H350" s="4" t="s">
        <v>43</v>
      </c>
      <c r="I350" s="5">
        <v>45691</v>
      </c>
      <c r="J350" s="4">
        <f t="shared" si="5"/>
        <v>4</v>
      </c>
    </row>
    <row r="351" spans="1:10" x14ac:dyDescent="0.25">
      <c r="A351" s="4">
        <f>_xlfn.XLOOKUP(E351,'Data Validation'!$M$3:$M$10,'Data Validation'!$N$3:$N$10)</f>
        <v>1</v>
      </c>
      <c r="B351" s="4">
        <v>18</v>
      </c>
      <c r="C351" s="4" t="s">
        <v>11</v>
      </c>
      <c r="D351" s="7">
        <v>25.96</v>
      </c>
      <c r="E351" s="4" t="s">
        <v>18</v>
      </c>
      <c r="F351" s="4" t="s">
        <v>20</v>
      </c>
      <c r="G351" s="4" t="s">
        <v>45</v>
      </c>
      <c r="H351" s="4" t="s">
        <v>43</v>
      </c>
      <c r="I351" s="5">
        <v>45691</v>
      </c>
      <c r="J351" s="4">
        <f t="shared" si="5"/>
        <v>4</v>
      </c>
    </row>
    <row r="352" spans="1:10" x14ac:dyDescent="0.25">
      <c r="A352" s="4">
        <f>_xlfn.XLOOKUP(E352,'Data Validation'!$M$3:$M$10,'Data Validation'!$N$3:$N$10)</f>
        <v>1</v>
      </c>
      <c r="B352" s="4">
        <v>10</v>
      </c>
      <c r="C352" s="4" t="s">
        <v>11</v>
      </c>
      <c r="D352" s="7">
        <v>25.96</v>
      </c>
      <c r="E352" s="4" t="s">
        <v>18</v>
      </c>
      <c r="F352" s="4" t="s">
        <v>13</v>
      </c>
      <c r="G352" s="4" t="s">
        <v>46</v>
      </c>
      <c r="H352" s="4" t="s">
        <v>43</v>
      </c>
      <c r="I352" s="5">
        <v>45692</v>
      </c>
      <c r="J352" s="4">
        <f t="shared" si="5"/>
        <v>4</v>
      </c>
    </row>
    <row r="353" spans="1:10" x14ac:dyDescent="0.25">
      <c r="A353" s="4">
        <f>_xlfn.XLOOKUP(E353,'Data Validation'!$M$3:$M$10,'Data Validation'!$N$3:$N$10)</f>
        <v>1</v>
      </c>
      <c r="B353" s="4">
        <v>14</v>
      </c>
      <c r="C353" s="4" t="s">
        <v>11</v>
      </c>
      <c r="D353" s="7">
        <v>25.96</v>
      </c>
      <c r="E353" s="4" t="s">
        <v>18</v>
      </c>
      <c r="F353" s="4" t="s">
        <v>17</v>
      </c>
      <c r="G353" s="4" t="s">
        <v>46</v>
      </c>
      <c r="H353" s="4" t="s">
        <v>43</v>
      </c>
      <c r="I353" s="5">
        <v>45692</v>
      </c>
      <c r="J353" s="4">
        <f t="shared" si="5"/>
        <v>4</v>
      </c>
    </row>
    <row r="354" spans="1:10" x14ac:dyDescent="0.25">
      <c r="A354" s="4">
        <f>_xlfn.XLOOKUP(E354,'Data Validation'!$M$3:$M$10,'Data Validation'!$N$3:$N$10)</f>
        <v>1</v>
      </c>
      <c r="B354" s="4">
        <v>14</v>
      </c>
      <c r="C354" s="4" t="s">
        <v>11</v>
      </c>
      <c r="D354" s="7">
        <v>25.96</v>
      </c>
      <c r="E354" s="4" t="s">
        <v>18</v>
      </c>
      <c r="F354" s="4" t="s">
        <v>17</v>
      </c>
      <c r="G354" s="4" t="s">
        <v>46</v>
      </c>
      <c r="H354" s="4" t="s">
        <v>43</v>
      </c>
      <c r="I354" s="5">
        <v>45692</v>
      </c>
      <c r="J354" s="4">
        <f t="shared" si="5"/>
        <v>4</v>
      </c>
    </row>
    <row r="355" spans="1:10" x14ac:dyDescent="0.25">
      <c r="A355" s="4">
        <f>_xlfn.XLOOKUP(E355,'Data Validation'!$M$3:$M$10,'Data Validation'!$N$3:$N$10)</f>
        <v>1</v>
      </c>
      <c r="B355" s="4">
        <v>11</v>
      </c>
      <c r="C355" s="4" t="s">
        <v>11</v>
      </c>
      <c r="D355" s="7">
        <v>25.96</v>
      </c>
      <c r="E355" s="4" t="s">
        <v>18</v>
      </c>
      <c r="F355" s="4" t="s">
        <v>13</v>
      </c>
      <c r="G355" s="4" t="s">
        <v>47</v>
      </c>
      <c r="H355" s="4" t="s">
        <v>43</v>
      </c>
      <c r="I355" s="5">
        <v>45693</v>
      </c>
      <c r="J355" s="4">
        <f t="shared" si="5"/>
        <v>4</v>
      </c>
    </row>
    <row r="356" spans="1:10" x14ac:dyDescent="0.25">
      <c r="A356" s="4">
        <f>_xlfn.XLOOKUP(E356,'Data Validation'!$M$3:$M$10,'Data Validation'!$N$3:$N$10)</f>
        <v>1</v>
      </c>
      <c r="B356" s="4">
        <v>11</v>
      </c>
      <c r="C356" s="4" t="s">
        <v>11</v>
      </c>
      <c r="D356" s="7">
        <v>25.96</v>
      </c>
      <c r="E356" s="4" t="s">
        <v>18</v>
      </c>
      <c r="F356" s="4" t="s">
        <v>13</v>
      </c>
      <c r="G356" s="4" t="s">
        <v>47</v>
      </c>
      <c r="H356" s="4" t="s">
        <v>43</v>
      </c>
      <c r="I356" s="5">
        <v>45693</v>
      </c>
      <c r="J356" s="4">
        <f t="shared" si="5"/>
        <v>4</v>
      </c>
    </row>
    <row r="357" spans="1:10" x14ac:dyDescent="0.25">
      <c r="A357" s="4">
        <f>_xlfn.XLOOKUP(E357,'Data Validation'!$M$3:$M$10,'Data Validation'!$N$3:$N$10)</f>
        <v>1</v>
      </c>
      <c r="B357" s="4">
        <v>11</v>
      </c>
      <c r="C357" s="4" t="s">
        <v>11</v>
      </c>
      <c r="D357" s="7">
        <v>25.96</v>
      </c>
      <c r="E357" s="4" t="s">
        <v>18</v>
      </c>
      <c r="F357" s="4" t="s">
        <v>13</v>
      </c>
      <c r="G357" s="4" t="s">
        <v>47</v>
      </c>
      <c r="H357" s="4" t="s">
        <v>43</v>
      </c>
      <c r="I357" s="5">
        <v>45693</v>
      </c>
      <c r="J357" s="4">
        <f t="shared" si="5"/>
        <v>4</v>
      </c>
    </row>
    <row r="358" spans="1:10" x14ac:dyDescent="0.25">
      <c r="A358" s="4">
        <f>_xlfn.XLOOKUP(E358,'Data Validation'!$M$3:$M$10,'Data Validation'!$N$3:$N$10)</f>
        <v>1</v>
      </c>
      <c r="B358" s="4">
        <v>12</v>
      </c>
      <c r="C358" s="4" t="s">
        <v>11</v>
      </c>
      <c r="D358" s="7">
        <v>25.96</v>
      </c>
      <c r="E358" s="4" t="s">
        <v>18</v>
      </c>
      <c r="F358" s="4" t="s">
        <v>17</v>
      </c>
      <c r="G358" s="4" t="s">
        <v>47</v>
      </c>
      <c r="H358" s="4" t="s">
        <v>43</v>
      </c>
      <c r="I358" s="5">
        <v>45693</v>
      </c>
      <c r="J358" s="4">
        <f t="shared" si="5"/>
        <v>4</v>
      </c>
    </row>
    <row r="359" spans="1:10" x14ac:dyDescent="0.25">
      <c r="A359" s="4">
        <f>_xlfn.XLOOKUP(E359,'Data Validation'!$M$3:$M$10,'Data Validation'!$N$3:$N$10)</f>
        <v>1</v>
      </c>
      <c r="B359" s="4">
        <v>13</v>
      </c>
      <c r="C359" s="4" t="s">
        <v>11</v>
      </c>
      <c r="D359" s="7">
        <v>25.96</v>
      </c>
      <c r="E359" s="4" t="s">
        <v>18</v>
      </c>
      <c r="F359" s="4" t="s">
        <v>17</v>
      </c>
      <c r="G359" s="4" t="s">
        <v>47</v>
      </c>
      <c r="H359" s="4" t="s">
        <v>43</v>
      </c>
      <c r="I359" s="5">
        <v>45693</v>
      </c>
      <c r="J359" s="4">
        <f t="shared" si="5"/>
        <v>4</v>
      </c>
    </row>
    <row r="360" spans="1:10" x14ac:dyDescent="0.25">
      <c r="A360" s="4">
        <f>_xlfn.XLOOKUP(E360,'Data Validation'!$M$3:$M$10,'Data Validation'!$N$3:$N$10)</f>
        <v>1</v>
      </c>
      <c r="B360" s="4">
        <v>13</v>
      </c>
      <c r="C360" s="4" t="s">
        <v>11</v>
      </c>
      <c r="D360" s="7">
        <v>25.96</v>
      </c>
      <c r="E360" s="4" t="s">
        <v>18</v>
      </c>
      <c r="F360" s="4" t="s">
        <v>17</v>
      </c>
      <c r="G360" s="4" t="s">
        <v>48</v>
      </c>
      <c r="H360" s="4" t="s">
        <v>43</v>
      </c>
      <c r="I360" s="5">
        <v>45694</v>
      </c>
      <c r="J360" s="4">
        <f t="shared" si="5"/>
        <v>4</v>
      </c>
    </row>
    <row r="361" spans="1:10" x14ac:dyDescent="0.25">
      <c r="A361" s="4">
        <f>_xlfn.XLOOKUP(E361,'Data Validation'!$M$3:$M$10,'Data Validation'!$N$3:$N$10)</f>
        <v>1</v>
      </c>
      <c r="B361" s="4">
        <v>10</v>
      </c>
      <c r="C361" s="4" t="s">
        <v>11</v>
      </c>
      <c r="D361" s="7">
        <v>25.96</v>
      </c>
      <c r="E361" s="4" t="s">
        <v>18</v>
      </c>
      <c r="F361" s="4" t="s">
        <v>13</v>
      </c>
      <c r="G361" s="4" t="s">
        <v>49</v>
      </c>
      <c r="H361" s="4" t="s">
        <v>43</v>
      </c>
      <c r="I361" s="5">
        <v>45695</v>
      </c>
      <c r="J361" s="4">
        <f t="shared" si="5"/>
        <v>4</v>
      </c>
    </row>
    <row r="362" spans="1:10" x14ac:dyDescent="0.25">
      <c r="A362" s="4">
        <f>_xlfn.XLOOKUP(E362,'Data Validation'!$M$3:$M$10,'Data Validation'!$N$3:$N$10)</f>
        <v>1</v>
      </c>
      <c r="B362" s="4">
        <v>12</v>
      </c>
      <c r="C362" s="4" t="s">
        <v>11</v>
      </c>
      <c r="D362" s="7">
        <v>25.96</v>
      </c>
      <c r="E362" s="4" t="s">
        <v>18</v>
      </c>
      <c r="F362" s="4" t="s">
        <v>17</v>
      </c>
      <c r="G362" s="4" t="s">
        <v>49</v>
      </c>
      <c r="H362" s="4" t="s">
        <v>43</v>
      </c>
      <c r="I362" s="5">
        <v>45695</v>
      </c>
      <c r="J362" s="4">
        <f t="shared" si="5"/>
        <v>4</v>
      </c>
    </row>
    <row r="363" spans="1:10" x14ac:dyDescent="0.25">
      <c r="A363" s="4">
        <f>_xlfn.XLOOKUP(E363,'Data Validation'!$M$3:$M$10,'Data Validation'!$N$3:$N$10)</f>
        <v>1</v>
      </c>
      <c r="B363" s="4">
        <v>9</v>
      </c>
      <c r="C363" s="4" t="s">
        <v>11</v>
      </c>
      <c r="D363" s="7">
        <v>25.96</v>
      </c>
      <c r="E363" s="4" t="s">
        <v>18</v>
      </c>
      <c r="F363" s="4" t="s">
        <v>13</v>
      </c>
      <c r="G363" s="4" t="s">
        <v>50</v>
      </c>
      <c r="H363" s="4" t="s">
        <v>43</v>
      </c>
      <c r="I363" s="5">
        <v>45696</v>
      </c>
      <c r="J363" s="4">
        <f t="shared" si="5"/>
        <v>4</v>
      </c>
    </row>
    <row r="364" spans="1:10" x14ac:dyDescent="0.25">
      <c r="A364" s="4">
        <f>_xlfn.XLOOKUP(E364,'Data Validation'!$M$3:$M$10,'Data Validation'!$N$3:$N$10)</f>
        <v>1</v>
      </c>
      <c r="B364" s="4">
        <v>11</v>
      </c>
      <c r="C364" s="4" t="s">
        <v>11</v>
      </c>
      <c r="D364" s="7">
        <v>25.96</v>
      </c>
      <c r="E364" s="4" t="s">
        <v>18</v>
      </c>
      <c r="F364" s="4" t="s">
        <v>13</v>
      </c>
      <c r="G364" s="4" t="s">
        <v>50</v>
      </c>
      <c r="H364" s="4" t="s">
        <v>43</v>
      </c>
      <c r="I364" s="5">
        <v>45696</v>
      </c>
      <c r="J364" s="4">
        <f t="shared" si="5"/>
        <v>4</v>
      </c>
    </row>
    <row r="365" spans="1:10" x14ac:dyDescent="0.25">
      <c r="A365" s="4">
        <f>_xlfn.XLOOKUP(E365,'Data Validation'!$M$3:$M$10,'Data Validation'!$N$3:$N$10)</f>
        <v>1</v>
      </c>
      <c r="B365" s="4">
        <v>12</v>
      </c>
      <c r="C365" s="4" t="s">
        <v>11</v>
      </c>
      <c r="D365" s="7">
        <v>25.96</v>
      </c>
      <c r="E365" s="4" t="s">
        <v>18</v>
      </c>
      <c r="F365" s="4" t="s">
        <v>17</v>
      </c>
      <c r="G365" s="4" t="s">
        <v>50</v>
      </c>
      <c r="H365" s="4" t="s">
        <v>43</v>
      </c>
      <c r="I365" s="5">
        <v>45696</v>
      </c>
      <c r="J365" s="4">
        <f t="shared" si="5"/>
        <v>4</v>
      </c>
    </row>
    <row r="366" spans="1:10" x14ac:dyDescent="0.25">
      <c r="A366" s="4">
        <f>_xlfn.XLOOKUP(E366,'Data Validation'!$M$3:$M$10,'Data Validation'!$N$3:$N$10)</f>
        <v>1</v>
      </c>
      <c r="B366" s="4">
        <v>13</v>
      </c>
      <c r="C366" s="4" t="s">
        <v>11</v>
      </c>
      <c r="D366" s="7">
        <v>25.96</v>
      </c>
      <c r="E366" s="4" t="s">
        <v>18</v>
      </c>
      <c r="F366" s="4" t="s">
        <v>17</v>
      </c>
      <c r="G366" s="4" t="s">
        <v>50</v>
      </c>
      <c r="H366" s="4" t="s">
        <v>43</v>
      </c>
      <c r="I366" s="5">
        <v>45696</v>
      </c>
      <c r="J366" s="4">
        <f t="shared" si="5"/>
        <v>4</v>
      </c>
    </row>
    <row r="367" spans="1:10" x14ac:dyDescent="0.25">
      <c r="A367" s="4">
        <f>_xlfn.XLOOKUP(E367,'Data Validation'!$M$3:$M$10,'Data Validation'!$N$3:$N$10)</f>
        <v>1</v>
      </c>
      <c r="B367" s="4">
        <v>15</v>
      </c>
      <c r="C367" s="4" t="s">
        <v>11</v>
      </c>
      <c r="D367" s="7">
        <v>25.96</v>
      </c>
      <c r="E367" s="4" t="s">
        <v>18</v>
      </c>
      <c r="F367" s="4" t="s">
        <v>17</v>
      </c>
      <c r="G367" s="4" t="s">
        <v>50</v>
      </c>
      <c r="H367" s="4" t="s">
        <v>43</v>
      </c>
      <c r="I367" s="5">
        <v>45696</v>
      </c>
      <c r="J367" s="4">
        <f t="shared" si="5"/>
        <v>4</v>
      </c>
    </row>
    <row r="368" spans="1:10" x14ac:dyDescent="0.25">
      <c r="A368" s="4">
        <f>_xlfn.XLOOKUP(E368,'Data Validation'!$M$3:$M$10,'Data Validation'!$N$3:$N$10)</f>
        <v>1</v>
      </c>
      <c r="B368" s="4">
        <v>15</v>
      </c>
      <c r="C368" s="4" t="s">
        <v>11</v>
      </c>
      <c r="D368" s="7">
        <v>25.96</v>
      </c>
      <c r="E368" s="4" t="s">
        <v>18</v>
      </c>
      <c r="F368" s="4" t="s">
        <v>17</v>
      </c>
      <c r="G368" s="4" t="s">
        <v>50</v>
      </c>
      <c r="H368" s="4" t="s">
        <v>43</v>
      </c>
      <c r="I368" s="5">
        <v>45696</v>
      </c>
      <c r="J368" s="4">
        <f t="shared" si="5"/>
        <v>4</v>
      </c>
    </row>
    <row r="369" spans="1:10" x14ac:dyDescent="0.25">
      <c r="A369" s="4">
        <f>_xlfn.XLOOKUP(E369,'Data Validation'!$M$3:$M$10,'Data Validation'!$N$3:$N$10)</f>
        <v>1</v>
      </c>
      <c r="B369" s="4">
        <v>10</v>
      </c>
      <c r="C369" s="4" t="s">
        <v>11</v>
      </c>
      <c r="D369" s="7">
        <v>25.96</v>
      </c>
      <c r="E369" s="4" t="s">
        <v>18</v>
      </c>
      <c r="F369" s="4" t="s">
        <v>13</v>
      </c>
      <c r="G369" s="4" t="s">
        <v>51</v>
      </c>
      <c r="H369" s="4" t="s">
        <v>43</v>
      </c>
      <c r="I369" s="5">
        <v>45697</v>
      </c>
      <c r="J369" s="4">
        <f t="shared" si="5"/>
        <v>4</v>
      </c>
    </row>
    <row r="370" spans="1:10" x14ac:dyDescent="0.25">
      <c r="A370" s="4">
        <f>_xlfn.XLOOKUP(E370,'Data Validation'!$M$3:$M$10,'Data Validation'!$N$3:$N$10)</f>
        <v>1</v>
      </c>
      <c r="B370" s="4">
        <v>7</v>
      </c>
      <c r="C370" s="4" t="s">
        <v>11</v>
      </c>
      <c r="D370" s="7">
        <v>25.96</v>
      </c>
      <c r="E370" s="4" t="s">
        <v>18</v>
      </c>
      <c r="F370" s="4" t="s">
        <v>13</v>
      </c>
      <c r="G370" s="4" t="s">
        <v>45</v>
      </c>
      <c r="H370" s="4" t="s">
        <v>43</v>
      </c>
      <c r="I370" s="5">
        <v>45698</v>
      </c>
      <c r="J370" s="4">
        <f t="shared" si="5"/>
        <v>4</v>
      </c>
    </row>
    <row r="371" spans="1:10" x14ac:dyDescent="0.25">
      <c r="A371" s="4">
        <f>_xlfn.XLOOKUP(E371,'Data Validation'!$M$3:$M$10,'Data Validation'!$N$3:$N$10)</f>
        <v>1</v>
      </c>
      <c r="B371" s="4">
        <v>8</v>
      </c>
      <c r="C371" s="4" t="s">
        <v>11</v>
      </c>
      <c r="D371" s="7">
        <v>25.96</v>
      </c>
      <c r="E371" s="4" t="s">
        <v>18</v>
      </c>
      <c r="F371" s="4" t="s">
        <v>13</v>
      </c>
      <c r="G371" s="4" t="s">
        <v>45</v>
      </c>
      <c r="H371" s="4" t="s">
        <v>43</v>
      </c>
      <c r="I371" s="5">
        <v>45698</v>
      </c>
      <c r="J371" s="4">
        <f t="shared" si="5"/>
        <v>4</v>
      </c>
    </row>
    <row r="372" spans="1:10" x14ac:dyDescent="0.25">
      <c r="A372" s="4">
        <f>_xlfn.XLOOKUP(E372,'Data Validation'!$M$3:$M$10,'Data Validation'!$N$3:$N$10)</f>
        <v>1</v>
      </c>
      <c r="B372" s="4">
        <v>8</v>
      </c>
      <c r="C372" s="4" t="s">
        <v>11</v>
      </c>
      <c r="D372" s="7">
        <v>25.96</v>
      </c>
      <c r="E372" s="4" t="s">
        <v>18</v>
      </c>
      <c r="F372" s="4" t="s">
        <v>13</v>
      </c>
      <c r="G372" s="4" t="s">
        <v>45</v>
      </c>
      <c r="H372" s="4" t="s">
        <v>43</v>
      </c>
      <c r="I372" s="5">
        <v>45698</v>
      </c>
      <c r="J372" s="4">
        <f t="shared" si="5"/>
        <v>4</v>
      </c>
    </row>
    <row r="373" spans="1:10" x14ac:dyDescent="0.25">
      <c r="A373" s="4">
        <f>_xlfn.XLOOKUP(E373,'Data Validation'!$M$3:$M$10,'Data Validation'!$N$3:$N$10)</f>
        <v>1</v>
      </c>
      <c r="B373" s="4">
        <v>13</v>
      </c>
      <c r="C373" s="4" t="s">
        <v>11</v>
      </c>
      <c r="D373" s="7">
        <v>25.96</v>
      </c>
      <c r="E373" s="4" t="s">
        <v>18</v>
      </c>
      <c r="F373" s="4" t="s">
        <v>17</v>
      </c>
      <c r="G373" s="4" t="s">
        <v>45</v>
      </c>
      <c r="H373" s="4" t="s">
        <v>43</v>
      </c>
      <c r="I373" s="5">
        <v>45698</v>
      </c>
      <c r="J373" s="4">
        <f t="shared" si="5"/>
        <v>4</v>
      </c>
    </row>
    <row r="374" spans="1:10" x14ac:dyDescent="0.25">
      <c r="A374" s="4">
        <f>_xlfn.XLOOKUP(E374,'Data Validation'!$M$3:$M$10,'Data Validation'!$N$3:$N$10)</f>
        <v>1</v>
      </c>
      <c r="B374" s="4">
        <v>13</v>
      </c>
      <c r="C374" s="4" t="s">
        <v>11</v>
      </c>
      <c r="D374" s="7">
        <v>25.96</v>
      </c>
      <c r="E374" s="4" t="s">
        <v>18</v>
      </c>
      <c r="F374" s="4" t="s">
        <v>17</v>
      </c>
      <c r="G374" s="4" t="s">
        <v>45</v>
      </c>
      <c r="H374" s="4" t="s">
        <v>43</v>
      </c>
      <c r="I374" s="5">
        <v>45698</v>
      </c>
      <c r="J374" s="4">
        <f t="shared" si="5"/>
        <v>4</v>
      </c>
    </row>
    <row r="375" spans="1:10" x14ac:dyDescent="0.25">
      <c r="A375" s="4">
        <f>_xlfn.XLOOKUP(E375,'Data Validation'!$M$3:$M$10,'Data Validation'!$N$3:$N$10)</f>
        <v>1</v>
      </c>
      <c r="B375" s="4">
        <v>14</v>
      </c>
      <c r="C375" s="4" t="s">
        <v>11</v>
      </c>
      <c r="D375" s="7">
        <v>25.96</v>
      </c>
      <c r="E375" s="4" t="s">
        <v>18</v>
      </c>
      <c r="F375" s="4" t="s">
        <v>17</v>
      </c>
      <c r="G375" s="4" t="s">
        <v>45</v>
      </c>
      <c r="H375" s="4" t="s">
        <v>43</v>
      </c>
      <c r="I375" s="5">
        <v>45698</v>
      </c>
      <c r="J375" s="4">
        <f t="shared" si="5"/>
        <v>4</v>
      </c>
    </row>
    <row r="376" spans="1:10" x14ac:dyDescent="0.25">
      <c r="A376" s="4">
        <f>_xlfn.XLOOKUP(E376,'Data Validation'!$M$3:$M$10,'Data Validation'!$N$3:$N$10)</f>
        <v>1</v>
      </c>
      <c r="B376" s="4">
        <v>17</v>
      </c>
      <c r="C376" s="4" t="s">
        <v>11</v>
      </c>
      <c r="D376" s="7">
        <v>25.96</v>
      </c>
      <c r="E376" s="4" t="s">
        <v>18</v>
      </c>
      <c r="F376" s="4" t="s">
        <v>20</v>
      </c>
      <c r="G376" s="4" t="s">
        <v>45</v>
      </c>
      <c r="H376" s="4" t="s">
        <v>43</v>
      </c>
      <c r="I376" s="5">
        <v>45698</v>
      </c>
      <c r="J376" s="4">
        <f t="shared" si="5"/>
        <v>4</v>
      </c>
    </row>
    <row r="377" spans="1:10" x14ac:dyDescent="0.25">
      <c r="A377" s="4">
        <f>_xlfn.XLOOKUP(E377,'Data Validation'!$M$3:$M$10,'Data Validation'!$N$3:$N$10)</f>
        <v>1</v>
      </c>
      <c r="B377" s="4">
        <v>10</v>
      </c>
      <c r="C377" s="4" t="s">
        <v>11</v>
      </c>
      <c r="D377" s="7">
        <v>25.96</v>
      </c>
      <c r="E377" s="4" t="s">
        <v>18</v>
      </c>
      <c r="F377" s="4" t="s">
        <v>13</v>
      </c>
      <c r="G377" s="4" t="s">
        <v>46</v>
      </c>
      <c r="H377" s="4" t="s">
        <v>43</v>
      </c>
      <c r="I377" s="5">
        <v>45699</v>
      </c>
      <c r="J377" s="4">
        <f t="shared" si="5"/>
        <v>4</v>
      </c>
    </row>
    <row r="378" spans="1:10" x14ac:dyDescent="0.25">
      <c r="A378" s="4">
        <f>_xlfn.XLOOKUP(E378,'Data Validation'!$M$3:$M$10,'Data Validation'!$N$3:$N$10)</f>
        <v>1</v>
      </c>
      <c r="B378" s="4">
        <v>11</v>
      </c>
      <c r="C378" s="4" t="s">
        <v>11</v>
      </c>
      <c r="D378" s="7">
        <v>25.96</v>
      </c>
      <c r="E378" s="4" t="s">
        <v>18</v>
      </c>
      <c r="F378" s="4" t="s">
        <v>13</v>
      </c>
      <c r="G378" s="4" t="s">
        <v>46</v>
      </c>
      <c r="H378" s="4" t="s">
        <v>43</v>
      </c>
      <c r="I378" s="5">
        <v>45699</v>
      </c>
      <c r="J378" s="4">
        <f t="shared" si="5"/>
        <v>4</v>
      </c>
    </row>
    <row r="379" spans="1:10" x14ac:dyDescent="0.25">
      <c r="A379" s="4">
        <f>_xlfn.XLOOKUP(E379,'Data Validation'!$M$3:$M$10,'Data Validation'!$N$3:$N$10)</f>
        <v>1</v>
      </c>
      <c r="B379" s="4">
        <v>17</v>
      </c>
      <c r="C379" s="4" t="s">
        <v>11</v>
      </c>
      <c r="D379" s="7">
        <v>25.96</v>
      </c>
      <c r="E379" s="4" t="s">
        <v>18</v>
      </c>
      <c r="F379" s="4" t="s">
        <v>20</v>
      </c>
      <c r="G379" s="4" t="s">
        <v>46</v>
      </c>
      <c r="H379" s="4" t="s">
        <v>43</v>
      </c>
      <c r="I379" s="5">
        <v>45699</v>
      </c>
      <c r="J379" s="4">
        <f t="shared" si="5"/>
        <v>4</v>
      </c>
    </row>
    <row r="380" spans="1:10" x14ac:dyDescent="0.25">
      <c r="A380" s="4">
        <f>_xlfn.XLOOKUP(E380,'Data Validation'!$M$3:$M$10,'Data Validation'!$N$3:$N$10)</f>
        <v>1</v>
      </c>
      <c r="B380" s="4">
        <v>7</v>
      </c>
      <c r="C380" s="4" t="s">
        <v>11</v>
      </c>
      <c r="D380" s="7">
        <v>25.96</v>
      </c>
      <c r="E380" s="4" t="s">
        <v>18</v>
      </c>
      <c r="F380" s="4" t="s">
        <v>13</v>
      </c>
      <c r="G380" s="4" t="s">
        <v>47</v>
      </c>
      <c r="H380" s="4" t="s">
        <v>43</v>
      </c>
      <c r="I380" s="5">
        <v>45700</v>
      </c>
      <c r="J380" s="4">
        <f t="shared" si="5"/>
        <v>4</v>
      </c>
    </row>
    <row r="381" spans="1:10" x14ac:dyDescent="0.25">
      <c r="A381" s="4">
        <f>_xlfn.XLOOKUP(E381,'Data Validation'!$M$3:$M$10,'Data Validation'!$N$3:$N$10)</f>
        <v>1</v>
      </c>
      <c r="B381" s="4">
        <v>10</v>
      </c>
      <c r="C381" s="4" t="s">
        <v>11</v>
      </c>
      <c r="D381" s="7">
        <v>25.96</v>
      </c>
      <c r="E381" s="4" t="s">
        <v>18</v>
      </c>
      <c r="F381" s="4" t="s">
        <v>13</v>
      </c>
      <c r="G381" s="4" t="s">
        <v>47</v>
      </c>
      <c r="H381" s="4" t="s">
        <v>43</v>
      </c>
      <c r="I381" s="5">
        <v>45700</v>
      </c>
      <c r="J381" s="4">
        <f t="shared" si="5"/>
        <v>4</v>
      </c>
    </row>
    <row r="382" spans="1:10" x14ac:dyDescent="0.25">
      <c r="A382" s="4">
        <f>_xlfn.XLOOKUP(E382,'Data Validation'!$M$3:$M$10,'Data Validation'!$N$3:$N$10)</f>
        <v>1</v>
      </c>
      <c r="B382" s="4">
        <v>12</v>
      </c>
      <c r="C382" s="4" t="s">
        <v>11</v>
      </c>
      <c r="D382" s="7">
        <v>25.96</v>
      </c>
      <c r="E382" s="4" t="s">
        <v>18</v>
      </c>
      <c r="F382" s="4" t="s">
        <v>17</v>
      </c>
      <c r="G382" s="4" t="s">
        <v>47</v>
      </c>
      <c r="H382" s="4" t="s">
        <v>43</v>
      </c>
      <c r="I382" s="5">
        <v>45700</v>
      </c>
      <c r="J382" s="4">
        <f t="shared" si="5"/>
        <v>4</v>
      </c>
    </row>
    <row r="383" spans="1:10" x14ac:dyDescent="0.25">
      <c r="A383" s="4">
        <f>_xlfn.XLOOKUP(E383,'Data Validation'!$M$3:$M$10,'Data Validation'!$N$3:$N$10)</f>
        <v>1</v>
      </c>
      <c r="B383" s="4">
        <v>13</v>
      </c>
      <c r="C383" s="4" t="s">
        <v>11</v>
      </c>
      <c r="D383" s="7">
        <v>25.96</v>
      </c>
      <c r="E383" s="4" t="s">
        <v>18</v>
      </c>
      <c r="F383" s="4" t="s">
        <v>17</v>
      </c>
      <c r="G383" s="4" t="s">
        <v>47</v>
      </c>
      <c r="H383" s="4" t="s">
        <v>43</v>
      </c>
      <c r="I383" s="5">
        <v>45700</v>
      </c>
      <c r="J383" s="4">
        <f t="shared" si="5"/>
        <v>4</v>
      </c>
    </row>
    <row r="384" spans="1:10" x14ac:dyDescent="0.25">
      <c r="A384" s="4">
        <f>_xlfn.XLOOKUP(E384,'Data Validation'!$M$3:$M$10,'Data Validation'!$N$3:$N$10)</f>
        <v>1</v>
      </c>
      <c r="B384" s="4">
        <v>16</v>
      </c>
      <c r="C384" s="4" t="s">
        <v>11</v>
      </c>
      <c r="D384" s="7">
        <v>25.96</v>
      </c>
      <c r="E384" s="4" t="s">
        <v>18</v>
      </c>
      <c r="F384" s="4" t="s">
        <v>17</v>
      </c>
      <c r="G384" s="4" t="s">
        <v>47</v>
      </c>
      <c r="H384" s="4" t="s">
        <v>43</v>
      </c>
      <c r="I384" s="5">
        <v>45700</v>
      </c>
      <c r="J384" s="4">
        <f t="shared" si="5"/>
        <v>4</v>
      </c>
    </row>
    <row r="385" spans="1:10" x14ac:dyDescent="0.25">
      <c r="A385" s="4">
        <f>_xlfn.XLOOKUP(E385,'Data Validation'!$M$3:$M$10,'Data Validation'!$N$3:$N$10)</f>
        <v>1</v>
      </c>
      <c r="B385" s="4">
        <v>16</v>
      </c>
      <c r="C385" s="4" t="s">
        <v>11</v>
      </c>
      <c r="D385" s="7">
        <v>25.96</v>
      </c>
      <c r="E385" s="4" t="s">
        <v>18</v>
      </c>
      <c r="F385" s="4" t="s">
        <v>17</v>
      </c>
      <c r="G385" s="4" t="s">
        <v>47</v>
      </c>
      <c r="H385" s="4" t="s">
        <v>43</v>
      </c>
      <c r="I385" s="5">
        <v>45700</v>
      </c>
      <c r="J385" s="4">
        <f t="shared" si="5"/>
        <v>4</v>
      </c>
    </row>
    <row r="386" spans="1:10" x14ac:dyDescent="0.25">
      <c r="A386" s="4">
        <f>_xlfn.XLOOKUP(E386,'Data Validation'!$M$3:$M$10,'Data Validation'!$N$3:$N$10)</f>
        <v>1</v>
      </c>
      <c r="B386" s="4">
        <v>17</v>
      </c>
      <c r="C386" s="4" t="s">
        <v>11</v>
      </c>
      <c r="D386" s="7">
        <v>25.96</v>
      </c>
      <c r="E386" s="4" t="s">
        <v>18</v>
      </c>
      <c r="F386" s="4" t="s">
        <v>20</v>
      </c>
      <c r="G386" s="4" t="s">
        <v>47</v>
      </c>
      <c r="H386" s="4" t="s">
        <v>43</v>
      </c>
      <c r="I386" s="5">
        <v>45700</v>
      </c>
      <c r="J386" s="4">
        <f t="shared" si="5"/>
        <v>4</v>
      </c>
    </row>
    <row r="387" spans="1:10" x14ac:dyDescent="0.25">
      <c r="A387" s="4">
        <f>_xlfn.XLOOKUP(E387,'Data Validation'!$M$3:$M$10,'Data Validation'!$N$3:$N$10)</f>
        <v>1</v>
      </c>
      <c r="B387" s="4">
        <v>8</v>
      </c>
      <c r="C387" s="4" t="s">
        <v>11</v>
      </c>
      <c r="D387" s="7">
        <v>25.96</v>
      </c>
      <c r="E387" s="4" t="s">
        <v>18</v>
      </c>
      <c r="F387" s="4" t="s">
        <v>13</v>
      </c>
      <c r="G387" s="4" t="s">
        <v>48</v>
      </c>
      <c r="H387" s="4" t="s">
        <v>43</v>
      </c>
      <c r="I387" s="5">
        <v>45701</v>
      </c>
      <c r="J387" s="4">
        <f t="shared" ref="J387:J450" si="6">IF(OR(E387&lt;&gt;E386,D387&lt;&gt;D386),J386+1,J386)</f>
        <v>4</v>
      </c>
    </row>
    <row r="388" spans="1:10" x14ac:dyDescent="0.25">
      <c r="A388" s="4">
        <f>_xlfn.XLOOKUP(E388,'Data Validation'!$M$3:$M$10,'Data Validation'!$N$3:$N$10)</f>
        <v>1</v>
      </c>
      <c r="B388" s="4">
        <v>16</v>
      </c>
      <c r="C388" s="4" t="s">
        <v>11</v>
      </c>
      <c r="D388" s="7">
        <v>25.96</v>
      </c>
      <c r="E388" s="4" t="s">
        <v>18</v>
      </c>
      <c r="F388" s="4" t="s">
        <v>17</v>
      </c>
      <c r="G388" s="4" t="s">
        <v>48</v>
      </c>
      <c r="H388" s="4" t="s">
        <v>43</v>
      </c>
      <c r="I388" s="5">
        <v>45701</v>
      </c>
      <c r="J388" s="4">
        <f t="shared" si="6"/>
        <v>4</v>
      </c>
    </row>
    <row r="389" spans="1:10" x14ac:dyDescent="0.25">
      <c r="A389" s="4">
        <f>_xlfn.XLOOKUP(E389,'Data Validation'!$M$3:$M$10,'Data Validation'!$N$3:$N$10)</f>
        <v>1</v>
      </c>
      <c r="B389" s="4">
        <v>16</v>
      </c>
      <c r="C389" s="4" t="s">
        <v>11</v>
      </c>
      <c r="D389" s="7">
        <v>25.96</v>
      </c>
      <c r="E389" s="4" t="s">
        <v>18</v>
      </c>
      <c r="F389" s="4" t="s">
        <v>17</v>
      </c>
      <c r="G389" s="4" t="s">
        <v>48</v>
      </c>
      <c r="H389" s="4" t="s">
        <v>43</v>
      </c>
      <c r="I389" s="5">
        <v>45701</v>
      </c>
      <c r="J389" s="4">
        <f t="shared" si="6"/>
        <v>4</v>
      </c>
    </row>
    <row r="390" spans="1:10" x14ac:dyDescent="0.25">
      <c r="A390" s="4">
        <f>_xlfn.XLOOKUP(E390,'Data Validation'!$M$3:$M$10,'Data Validation'!$N$3:$N$10)</f>
        <v>1</v>
      </c>
      <c r="B390" s="4">
        <v>11</v>
      </c>
      <c r="C390" s="4" t="s">
        <v>11</v>
      </c>
      <c r="D390" s="7">
        <v>25.96</v>
      </c>
      <c r="E390" s="4" t="s">
        <v>18</v>
      </c>
      <c r="F390" s="4" t="s">
        <v>13</v>
      </c>
      <c r="G390" s="4" t="s">
        <v>49</v>
      </c>
      <c r="H390" s="4" t="s">
        <v>43</v>
      </c>
      <c r="I390" s="5">
        <v>45702</v>
      </c>
      <c r="J390" s="4">
        <f t="shared" si="6"/>
        <v>4</v>
      </c>
    </row>
    <row r="391" spans="1:10" x14ac:dyDescent="0.25">
      <c r="A391" s="4">
        <f>_xlfn.XLOOKUP(E391,'Data Validation'!$M$3:$M$10,'Data Validation'!$N$3:$N$10)</f>
        <v>1</v>
      </c>
      <c r="B391" s="4">
        <v>14</v>
      </c>
      <c r="C391" s="4" t="s">
        <v>11</v>
      </c>
      <c r="D391" s="7">
        <v>25.96</v>
      </c>
      <c r="E391" s="4" t="s">
        <v>18</v>
      </c>
      <c r="F391" s="4" t="s">
        <v>17</v>
      </c>
      <c r="G391" s="4" t="s">
        <v>49</v>
      </c>
      <c r="H391" s="4" t="s">
        <v>43</v>
      </c>
      <c r="I391" s="5">
        <v>45702</v>
      </c>
      <c r="J391" s="4">
        <f t="shared" si="6"/>
        <v>4</v>
      </c>
    </row>
    <row r="392" spans="1:10" x14ac:dyDescent="0.25">
      <c r="A392" s="4">
        <f>_xlfn.XLOOKUP(E392,'Data Validation'!$M$3:$M$10,'Data Validation'!$N$3:$N$10)</f>
        <v>1</v>
      </c>
      <c r="B392" s="4">
        <v>17</v>
      </c>
      <c r="C392" s="4" t="s">
        <v>11</v>
      </c>
      <c r="D392" s="7">
        <v>25.96</v>
      </c>
      <c r="E392" s="4" t="s">
        <v>18</v>
      </c>
      <c r="F392" s="4" t="s">
        <v>20</v>
      </c>
      <c r="G392" s="4" t="s">
        <v>49</v>
      </c>
      <c r="H392" s="4" t="s">
        <v>43</v>
      </c>
      <c r="I392" s="5">
        <v>45702</v>
      </c>
      <c r="J392" s="4">
        <f t="shared" si="6"/>
        <v>4</v>
      </c>
    </row>
    <row r="393" spans="1:10" x14ac:dyDescent="0.25">
      <c r="A393" s="4">
        <f>_xlfn.XLOOKUP(E393,'Data Validation'!$M$3:$M$10,'Data Validation'!$N$3:$N$10)</f>
        <v>1</v>
      </c>
      <c r="B393" s="4">
        <v>21</v>
      </c>
      <c r="C393" s="4" t="s">
        <v>11</v>
      </c>
      <c r="D393" s="7">
        <v>25.96</v>
      </c>
      <c r="E393" s="4" t="s">
        <v>18</v>
      </c>
      <c r="F393" s="4" t="s">
        <v>20</v>
      </c>
      <c r="G393" s="4" t="s">
        <v>49</v>
      </c>
      <c r="H393" s="4" t="s">
        <v>43</v>
      </c>
      <c r="I393" s="5">
        <v>45702</v>
      </c>
      <c r="J393" s="4">
        <f t="shared" si="6"/>
        <v>4</v>
      </c>
    </row>
    <row r="394" spans="1:10" x14ac:dyDescent="0.25">
      <c r="A394" s="4">
        <f>_xlfn.XLOOKUP(E394,'Data Validation'!$M$3:$M$10,'Data Validation'!$N$3:$N$10)</f>
        <v>1</v>
      </c>
      <c r="B394" s="4">
        <v>12</v>
      </c>
      <c r="C394" s="4" t="s">
        <v>11</v>
      </c>
      <c r="D394" s="7">
        <v>25.96</v>
      </c>
      <c r="E394" s="4" t="s">
        <v>18</v>
      </c>
      <c r="F394" s="4" t="s">
        <v>17</v>
      </c>
      <c r="G394" s="4" t="s">
        <v>50</v>
      </c>
      <c r="H394" s="4" t="s">
        <v>43</v>
      </c>
      <c r="I394" s="5">
        <v>45703</v>
      </c>
      <c r="J394" s="4">
        <f t="shared" si="6"/>
        <v>4</v>
      </c>
    </row>
    <row r="395" spans="1:10" x14ac:dyDescent="0.25">
      <c r="A395" s="4">
        <f>_xlfn.XLOOKUP(E395,'Data Validation'!$M$3:$M$10,'Data Validation'!$N$3:$N$10)</f>
        <v>1</v>
      </c>
      <c r="B395" s="4">
        <v>14</v>
      </c>
      <c r="C395" s="4" t="s">
        <v>11</v>
      </c>
      <c r="D395" s="7">
        <v>25.96</v>
      </c>
      <c r="E395" s="4" t="s">
        <v>18</v>
      </c>
      <c r="F395" s="4" t="s">
        <v>17</v>
      </c>
      <c r="G395" s="4" t="s">
        <v>50</v>
      </c>
      <c r="H395" s="4" t="s">
        <v>43</v>
      </c>
      <c r="I395" s="5">
        <v>45703</v>
      </c>
      <c r="J395" s="4">
        <f t="shared" si="6"/>
        <v>4</v>
      </c>
    </row>
    <row r="396" spans="1:10" x14ac:dyDescent="0.25">
      <c r="A396" s="4">
        <f>_xlfn.XLOOKUP(E396,'Data Validation'!$M$3:$M$10,'Data Validation'!$N$3:$N$10)</f>
        <v>1</v>
      </c>
      <c r="B396" s="4">
        <v>10</v>
      </c>
      <c r="C396" s="4" t="s">
        <v>11</v>
      </c>
      <c r="D396" s="7">
        <v>25.96</v>
      </c>
      <c r="E396" s="4" t="s">
        <v>18</v>
      </c>
      <c r="F396" s="4" t="s">
        <v>13</v>
      </c>
      <c r="G396" s="4" t="s">
        <v>51</v>
      </c>
      <c r="H396" s="4" t="s">
        <v>43</v>
      </c>
      <c r="I396" s="5">
        <v>45704</v>
      </c>
      <c r="J396" s="4">
        <f t="shared" si="6"/>
        <v>4</v>
      </c>
    </row>
    <row r="397" spans="1:10" x14ac:dyDescent="0.25">
      <c r="A397" s="4">
        <f>_xlfn.XLOOKUP(E397,'Data Validation'!$M$3:$M$10,'Data Validation'!$N$3:$N$10)</f>
        <v>1</v>
      </c>
      <c r="B397" s="4">
        <v>10</v>
      </c>
      <c r="C397" s="4" t="s">
        <v>11</v>
      </c>
      <c r="D397" s="7">
        <v>25.96</v>
      </c>
      <c r="E397" s="4" t="s">
        <v>18</v>
      </c>
      <c r="F397" s="4" t="s">
        <v>13</v>
      </c>
      <c r="G397" s="4" t="s">
        <v>51</v>
      </c>
      <c r="H397" s="4" t="s">
        <v>43</v>
      </c>
      <c r="I397" s="5">
        <v>45704</v>
      </c>
      <c r="J397" s="4">
        <f t="shared" si="6"/>
        <v>4</v>
      </c>
    </row>
    <row r="398" spans="1:10" x14ac:dyDescent="0.25">
      <c r="A398" s="4">
        <f>_xlfn.XLOOKUP(E398,'Data Validation'!$M$3:$M$10,'Data Validation'!$N$3:$N$10)</f>
        <v>1</v>
      </c>
      <c r="B398" s="4">
        <v>11</v>
      </c>
      <c r="C398" s="4" t="s">
        <v>11</v>
      </c>
      <c r="D398" s="7">
        <v>25.96</v>
      </c>
      <c r="E398" s="4" t="s">
        <v>18</v>
      </c>
      <c r="F398" s="4" t="s">
        <v>13</v>
      </c>
      <c r="G398" s="4" t="s">
        <v>51</v>
      </c>
      <c r="H398" s="4" t="s">
        <v>43</v>
      </c>
      <c r="I398" s="5">
        <v>45704</v>
      </c>
      <c r="J398" s="4">
        <f t="shared" si="6"/>
        <v>4</v>
      </c>
    </row>
    <row r="399" spans="1:10" x14ac:dyDescent="0.25">
      <c r="A399" s="4">
        <f>_xlfn.XLOOKUP(E399,'Data Validation'!$M$3:$M$10,'Data Validation'!$N$3:$N$10)</f>
        <v>1</v>
      </c>
      <c r="B399" s="4">
        <v>8</v>
      </c>
      <c r="C399" s="4" t="s">
        <v>11</v>
      </c>
      <c r="D399" s="7">
        <v>25.96</v>
      </c>
      <c r="E399" s="4" t="s">
        <v>18</v>
      </c>
      <c r="F399" s="4" t="s">
        <v>13</v>
      </c>
      <c r="G399" s="4" t="s">
        <v>45</v>
      </c>
      <c r="H399" s="4" t="s">
        <v>43</v>
      </c>
      <c r="I399" s="5">
        <v>45705</v>
      </c>
      <c r="J399" s="4">
        <f t="shared" si="6"/>
        <v>4</v>
      </c>
    </row>
    <row r="400" spans="1:10" x14ac:dyDescent="0.25">
      <c r="A400" s="4">
        <f>_xlfn.XLOOKUP(E400,'Data Validation'!$M$3:$M$10,'Data Validation'!$N$3:$N$10)</f>
        <v>1</v>
      </c>
      <c r="B400" s="4">
        <v>9</v>
      </c>
      <c r="C400" s="4" t="s">
        <v>11</v>
      </c>
      <c r="D400" s="7">
        <v>25.96</v>
      </c>
      <c r="E400" s="4" t="s">
        <v>18</v>
      </c>
      <c r="F400" s="4" t="s">
        <v>13</v>
      </c>
      <c r="G400" s="4" t="s">
        <v>45</v>
      </c>
      <c r="H400" s="4" t="s">
        <v>43</v>
      </c>
      <c r="I400" s="5">
        <v>45705</v>
      </c>
      <c r="J400" s="4">
        <f t="shared" si="6"/>
        <v>4</v>
      </c>
    </row>
    <row r="401" spans="1:10" x14ac:dyDescent="0.25">
      <c r="A401" s="4">
        <f>_xlfn.XLOOKUP(E401,'Data Validation'!$M$3:$M$10,'Data Validation'!$N$3:$N$10)</f>
        <v>1</v>
      </c>
      <c r="B401" s="4">
        <v>10</v>
      </c>
      <c r="C401" s="4" t="s">
        <v>11</v>
      </c>
      <c r="D401" s="7">
        <v>25.96</v>
      </c>
      <c r="E401" s="4" t="s">
        <v>18</v>
      </c>
      <c r="F401" s="4" t="s">
        <v>13</v>
      </c>
      <c r="G401" s="4" t="s">
        <v>45</v>
      </c>
      <c r="H401" s="4" t="s">
        <v>43</v>
      </c>
      <c r="I401" s="5">
        <v>45705</v>
      </c>
      <c r="J401" s="4">
        <f t="shared" si="6"/>
        <v>4</v>
      </c>
    </row>
    <row r="402" spans="1:10" x14ac:dyDescent="0.25">
      <c r="A402" s="4">
        <f>_xlfn.XLOOKUP(E402,'Data Validation'!$M$3:$M$10,'Data Validation'!$N$3:$N$10)</f>
        <v>1</v>
      </c>
      <c r="B402" s="4">
        <v>16</v>
      </c>
      <c r="C402" s="4" t="s">
        <v>11</v>
      </c>
      <c r="D402" s="7">
        <v>25.96</v>
      </c>
      <c r="E402" s="4" t="s">
        <v>18</v>
      </c>
      <c r="F402" s="4" t="s">
        <v>17</v>
      </c>
      <c r="G402" s="4" t="s">
        <v>45</v>
      </c>
      <c r="H402" s="4" t="s">
        <v>43</v>
      </c>
      <c r="I402" s="5">
        <v>45705</v>
      </c>
      <c r="J402" s="4">
        <f t="shared" si="6"/>
        <v>4</v>
      </c>
    </row>
    <row r="403" spans="1:10" x14ac:dyDescent="0.25">
      <c r="A403" s="4">
        <f>_xlfn.XLOOKUP(E403,'Data Validation'!$M$3:$M$10,'Data Validation'!$N$3:$N$10)</f>
        <v>1</v>
      </c>
      <c r="B403" s="4">
        <v>18</v>
      </c>
      <c r="C403" s="4" t="s">
        <v>11</v>
      </c>
      <c r="D403" s="7">
        <v>25.96</v>
      </c>
      <c r="E403" s="4" t="s">
        <v>18</v>
      </c>
      <c r="F403" s="4" t="s">
        <v>20</v>
      </c>
      <c r="G403" s="4" t="s">
        <v>45</v>
      </c>
      <c r="H403" s="4" t="s">
        <v>43</v>
      </c>
      <c r="I403" s="5">
        <v>45705</v>
      </c>
      <c r="J403" s="4">
        <f t="shared" si="6"/>
        <v>4</v>
      </c>
    </row>
    <row r="404" spans="1:10" x14ac:dyDescent="0.25">
      <c r="A404" s="4">
        <f>_xlfn.XLOOKUP(E404,'Data Validation'!$M$3:$M$10,'Data Validation'!$N$3:$N$10)</f>
        <v>1</v>
      </c>
      <c r="B404" s="4">
        <v>19</v>
      </c>
      <c r="C404" s="4" t="s">
        <v>11</v>
      </c>
      <c r="D404" s="7">
        <v>25.96</v>
      </c>
      <c r="E404" s="4" t="s">
        <v>18</v>
      </c>
      <c r="F404" s="4" t="s">
        <v>20</v>
      </c>
      <c r="G404" s="4" t="s">
        <v>45</v>
      </c>
      <c r="H404" s="4" t="s">
        <v>43</v>
      </c>
      <c r="I404" s="5">
        <v>45705</v>
      </c>
      <c r="J404" s="4">
        <f t="shared" si="6"/>
        <v>4</v>
      </c>
    </row>
    <row r="405" spans="1:10" x14ac:dyDescent="0.25">
      <c r="A405" s="4">
        <f>_xlfn.XLOOKUP(E405,'Data Validation'!$M$3:$M$10,'Data Validation'!$N$3:$N$10)</f>
        <v>1</v>
      </c>
      <c r="B405" s="4">
        <v>19</v>
      </c>
      <c r="C405" s="4" t="s">
        <v>11</v>
      </c>
      <c r="D405" s="7">
        <v>25.96</v>
      </c>
      <c r="E405" s="4" t="s">
        <v>18</v>
      </c>
      <c r="F405" s="4" t="s">
        <v>20</v>
      </c>
      <c r="G405" s="4" t="s">
        <v>45</v>
      </c>
      <c r="H405" s="4" t="s">
        <v>43</v>
      </c>
      <c r="I405" s="5">
        <v>45705</v>
      </c>
      <c r="J405" s="4">
        <f t="shared" si="6"/>
        <v>4</v>
      </c>
    </row>
    <row r="406" spans="1:10" x14ac:dyDescent="0.25">
      <c r="A406" s="4">
        <f>_xlfn.XLOOKUP(E406,'Data Validation'!$M$3:$M$10,'Data Validation'!$N$3:$N$10)</f>
        <v>1</v>
      </c>
      <c r="B406" s="4">
        <v>8</v>
      </c>
      <c r="C406" s="4" t="s">
        <v>11</v>
      </c>
      <c r="D406" s="7">
        <v>25.96</v>
      </c>
      <c r="E406" s="4" t="s">
        <v>18</v>
      </c>
      <c r="F406" s="4" t="s">
        <v>13</v>
      </c>
      <c r="G406" s="4" t="s">
        <v>46</v>
      </c>
      <c r="H406" s="4" t="s">
        <v>43</v>
      </c>
      <c r="I406" s="5">
        <v>45706</v>
      </c>
      <c r="J406" s="4">
        <f t="shared" si="6"/>
        <v>4</v>
      </c>
    </row>
    <row r="407" spans="1:10" x14ac:dyDescent="0.25">
      <c r="A407" s="4">
        <f>_xlfn.XLOOKUP(E407,'Data Validation'!$M$3:$M$10,'Data Validation'!$N$3:$N$10)</f>
        <v>1</v>
      </c>
      <c r="B407" s="4">
        <v>8</v>
      </c>
      <c r="C407" s="4" t="s">
        <v>11</v>
      </c>
      <c r="D407" s="7">
        <v>25.96</v>
      </c>
      <c r="E407" s="4" t="s">
        <v>18</v>
      </c>
      <c r="F407" s="4" t="s">
        <v>13</v>
      </c>
      <c r="G407" s="4" t="s">
        <v>46</v>
      </c>
      <c r="H407" s="4" t="s">
        <v>43</v>
      </c>
      <c r="I407" s="5">
        <v>45706</v>
      </c>
      <c r="J407" s="4">
        <f t="shared" si="6"/>
        <v>4</v>
      </c>
    </row>
    <row r="408" spans="1:10" x14ac:dyDescent="0.25">
      <c r="A408" s="4">
        <f>_xlfn.XLOOKUP(E408,'Data Validation'!$M$3:$M$10,'Data Validation'!$N$3:$N$10)</f>
        <v>1</v>
      </c>
      <c r="B408" s="4">
        <v>11</v>
      </c>
      <c r="C408" s="4" t="s">
        <v>11</v>
      </c>
      <c r="D408" s="7">
        <v>25.96</v>
      </c>
      <c r="E408" s="4" t="s">
        <v>18</v>
      </c>
      <c r="F408" s="4" t="s">
        <v>13</v>
      </c>
      <c r="G408" s="4" t="s">
        <v>46</v>
      </c>
      <c r="H408" s="4" t="s">
        <v>43</v>
      </c>
      <c r="I408" s="5">
        <v>45706</v>
      </c>
      <c r="J408" s="4">
        <f t="shared" si="6"/>
        <v>4</v>
      </c>
    </row>
    <row r="409" spans="1:10" x14ac:dyDescent="0.25">
      <c r="A409" s="4">
        <f>_xlfn.XLOOKUP(E409,'Data Validation'!$M$3:$M$10,'Data Validation'!$N$3:$N$10)</f>
        <v>1</v>
      </c>
      <c r="B409" s="4">
        <v>11</v>
      </c>
      <c r="C409" s="4" t="s">
        <v>11</v>
      </c>
      <c r="D409" s="7">
        <v>25.96</v>
      </c>
      <c r="E409" s="4" t="s">
        <v>18</v>
      </c>
      <c r="F409" s="4" t="s">
        <v>13</v>
      </c>
      <c r="G409" s="4" t="s">
        <v>46</v>
      </c>
      <c r="H409" s="4" t="s">
        <v>43</v>
      </c>
      <c r="I409" s="5">
        <v>45706</v>
      </c>
      <c r="J409" s="4">
        <f t="shared" si="6"/>
        <v>4</v>
      </c>
    </row>
    <row r="410" spans="1:10" x14ac:dyDescent="0.25">
      <c r="A410" s="4">
        <f>_xlfn.XLOOKUP(E410,'Data Validation'!$M$3:$M$10,'Data Validation'!$N$3:$N$10)</f>
        <v>1</v>
      </c>
      <c r="B410" s="4">
        <v>13</v>
      </c>
      <c r="C410" s="4" t="s">
        <v>11</v>
      </c>
      <c r="D410" s="7">
        <v>25.96</v>
      </c>
      <c r="E410" s="4" t="s">
        <v>18</v>
      </c>
      <c r="F410" s="4" t="s">
        <v>17</v>
      </c>
      <c r="G410" s="4" t="s">
        <v>46</v>
      </c>
      <c r="H410" s="4" t="s">
        <v>43</v>
      </c>
      <c r="I410" s="5">
        <v>45706</v>
      </c>
      <c r="J410" s="4">
        <f t="shared" si="6"/>
        <v>4</v>
      </c>
    </row>
    <row r="411" spans="1:10" x14ac:dyDescent="0.25">
      <c r="A411" s="4">
        <f>_xlfn.XLOOKUP(E411,'Data Validation'!$M$3:$M$10,'Data Validation'!$N$3:$N$10)</f>
        <v>1</v>
      </c>
      <c r="B411" s="4">
        <v>8</v>
      </c>
      <c r="C411" s="4" t="s">
        <v>11</v>
      </c>
      <c r="D411" s="7">
        <v>25.96</v>
      </c>
      <c r="E411" s="4" t="s">
        <v>18</v>
      </c>
      <c r="F411" s="4" t="s">
        <v>13</v>
      </c>
      <c r="G411" s="4" t="s">
        <v>47</v>
      </c>
      <c r="H411" s="4" t="s">
        <v>43</v>
      </c>
      <c r="I411" s="5">
        <v>45707</v>
      </c>
      <c r="J411" s="4">
        <f t="shared" si="6"/>
        <v>4</v>
      </c>
    </row>
    <row r="412" spans="1:10" x14ac:dyDescent="0.25">
      <c r="A412" s="4">
        <f>_xlfn.XLOOKUP(E412,'Data Validation'!$M$3:$M$10,'Data Validation'!$N$3:$N$10)</f>
        <v>1</v>
      </c>
      <c r="B412" s="4">
        <v>8</v>
      </c>
      <c r="C412" s="4" t="s">
        <v>11</v>
      </c>
      <c r="D412" s="7">
        <v>25.96</v>
      </c>
      <c r="E412" s="4" t="s">
        <v>18</v>
      </c>
      <c r="F412" s="4" t="s">
        <v>13</v>
      </c>
      <c r="G412" s="4" t="s">
        <v>47</v>
      </c>
      <c r="H412" s="4" t="s">
        <v>43</v>
      </c>
      <c r="I412" s="5">
        <v>45707</v>
      </c>
      <c r="J412" s="4">
        <f t="shared" si="6"/>
        <v>4</v>
      </c>
    </row>
    <row r="413" spans="1:10" x14ac:dyDescent="0.25">
      <c r="A413" s="4">
        <f>_xlfn.XLOOKUP(E413,'Data Validation'!$M$3:$M$10,'Data Validation'!$N$3:$N$10)</f>
        <v>1</v>
      </c>
      <c r="B413" s="4">
        <v>10</v>
      </c>
      <c r="C413" s="4" t="s">
        <v>11</v>
      </c>
      <c r="D413" s="7">
        <v>25.96</v>
      </c>
      <c r="E413" s="4" t="s">
        <v>18</v>
      </c>
      <c r="F413" s="4" t="s">
        <v>13</v>
      </c>
      <c r="G413" s="4" t="s">
        <v>47</v>
      </c>
      <c r="H413" s="4" t="s">
        <v>43</v>
      </c>
      <c r="I413" s="5">
        <v>45707</v>
      </c>
      <c r="J413" s="4">
        <f t="shared" si="6"/>
        <v>4</v>
      </c>
    </row>
    <row r="414" spans="1:10" x14ac:dyDescent="0.25">
      <c r="A414" s="4">
        <f>_xlfn.XLOOKUP(E414,'Data Validation'!$M$3:$M$10,'Data Validation'!$N$3:$N$10)</f>
        <v>1</v>
      </c>
      <c r="B414" s="4">
        <v>12</v>
      </c>
      <c r="C414" s="4" t="s">
        <v>11</v>
      </c>
      <c r="D414" s="7">
        <v>25.96</v>
      </c>
      <c r="E414" s="4" t="s">
        <v>18</v>
      </c>
      <c r="F414" s="4" t="s">
        <v>17</v>
      </c>
      <c r="G414" s="4" t="s">
        <v>47</v>
      </c>
      <c r="H414" s="4" t="s">
        <v>43</v>
      </c>
      <c r="I414" s="5">
        <v>45707</v>
      </c>
      <c r="J414" s="4">
        <f t="shared" si="6"/>
        <v>4</v>
      </c>
    </row>
    <row r="415" spans="1:10" x14ac:dyDescent="0.25">
      <c r="A415" s="4">
        <f>_xlfn.XLOOKUP(E415,'Data Validation'!$M$3:$M$10,'Data Validation'!$N$3:$N$10)</f>
        <v>1</v>
      </c>
      <c r="B415" s="4">
        <v>13</v>
      </c>
      <c r="C415" s="4" t="s">
        <v>11</v>
      </c>
      <c r="D415" s="7">
        <v>25.96</v>
      </c>
      <c r="E415" s="4" t="s">
        <v>18</v>
      </c>
      <c r="F415" s="4" t="s">
        <v>17</v>
      </c>
      <c r="G415" s="4" t="s">
        <v>47</v>
      </c>
      <c r="H415" s="4" t="s">
        <v>43</v>
      </c>
      <c r="I415" s="5">
        <v>45707</v>
      </c>
      <c r="J415" s="4">
        <f t="shared" si="6"/>
        <v>4</v>
      </c>
    </row>
    <row r="416" spans="1:10" x14ac:dyDescent="0.25">
      <c r="A416" s="4">
        <f>_xlfn.XLOOKUP(E416,'Data Validation'!$M$3:$M$10,'Data Validation'!$N$3:$N$10)</f>
        <v>1</v>
      </c>
      <c r="B416" s="4">
        <v>17</v>
      </c>
      <c r="C416" s="4" t="s">
        <v>11</v>
      </c>
      <c r="D416" s="7">
        <v>25.96</v>
      </c>
      <c r="E416" s="4" t="s">
        <v>18</v>
      </c>
      <c r="F416" s="4" t="s">
        <v>20</v>
      </c>
      <c r="G416" s="4" t="s">
        <v>47</v>
      </c>
      <c r="H416" s="4" t="s">
        <v>43</v>
      </c>
      <c r="I416" s="5">
        <v>45707</v>
      </c>
      <c r="J416" s="4">
        <f t="shared" si="6"/>
        <v>4</v>
      </c>
    </row>
    <row r="417" spans="1:10" x14ac:dyDescent="0.25">
      <c r="A417" s="4">
        <f>_xlfn.XLOOKUP(E417,'Data Validation'!$M$3:$M$10,'Data Validation'!$N$3:$N$10)</f>
        <v>1</v>
      </c>
      <c r="B417" s="4">
        <v>9</v>
      </c>
      <c r="C417" s="4" t="s">
        <v>11</v>
      </c>
      <c r="D417" s="7">
        <v>25.96</v>
      </c>
      <c r="E417" s="4" t="s">
        <v>18</v>
      </c>
      <c r="F417" s="4" t="s">
        <v>13</v>
      </c>
      <c r="G417" s="4" t="s">
        <v>48</v>
      </c>
      <c r="H417" s="4" t="s">
        <v>43</v>
      </c>
      <c r="I417" s="5">
        <v>45708</v>
      </c>
      <c r="J417" s="4">
        <f t="shared" si="6"/>
        <v>4</v>
      </c>
    </row>
    <row r="418" spans="1:10" x14ac:dyDescent="0.25">
      <c r="A418" s="4">
        <f>_xlfn.XLOOKUP(E418,'Data Validation'!$M$3:$M$10,'Data Validation'!$N$3:$N$10)</f>
        <v>1</v>
      </c>
      <c r="B418" s="4">
        <v>10</v>
      </c>
      <c r="C418" s="4" t="s">
        <v>11</v>
      </c>
      <c r="D418" s="7">
        <v>25.96</v>
      </c>
      <c r="E418" s="4" t="s">
        <v>18</v>
      </c>
      <c r="F418" s="4" t="s">
        <v>13</v>
      </c>
      <c r="G418" s="4" t="s">
        <v>48</v>
      </c>
      <c r="H418" s="4" t="s">
        <v>43</v>
      </c>
      <c r="I418" s="5">
        <v>45708</v>
      </c>
      <c r="J418" s="4">
        <f t="shared" si="6"/>
        <v>4</v>
      </c>
    </row>
    <row r="419" spans="1:10" x14ac:dyDescent="0.25">
      <c r="A419" s="4">
        <f>_xlfn.XLOOKUP(E419,'Data Validation'!$M$3:$M$10,'Data Validation'!$N$3:$N$10)</f>
        <v>1</v>
      </c>
      <c r="B419" s="4">
        <v>10</v>
      </c>
      <c r="C419" s="4" t="s">
        <v>11</v>
      </c>
      <c r="D419" s="7">
        <v>25.96</v>
      </c>
      <c r="E419" s="4" t="s">
        <v>18</v>
      </c>
      <c r="F419" s="4" t="s">
        <v>13</v>
      </c>
      <c r="G419" s="4" t="s">
        <v>48</v>
      </c>
      <c r="H419" s="4" t="s">
        <v>43</v>
      </c>
      <c r="I419" s="5">
        <v>45708</v>
      </c>
      <c r="J419" s="4">
        <f t="shared" si="6"/>
        <v>4</v>
      </c>
    </row>
    <row r="420" spans="1:10" x14ac:dyDescent="0.25">
      <c r="A420" s="4">
        <f>_xlfn.XLOOKUP(E420,'Data Validation'!$M$3:$M$10,'Data Validation'!$N$3:$N$10)</f>
        <v>1</v>
      </c>
      <c r="B420" s="4">
        <v>10</v>
      </c>
      <c r="C420" s="4" t="s">
        <v>11</v>
      </c>
      <c r="D420" s="7">
        <v>25.96</v>
      </c>
      <c r="E420" s="4" t="s">
        <v>18</v>
      </c>
      <c r="F420" s="4" t="s">
        <v>13</v>
      </c>
      <c r="G420" s="4" t="s">
        <v>48</v>
      </c>
      <c r="H420" s="4" t="s">
        <v>43</v>
      </c>
      <c r="I420" s="5">
        <v>45708</v>
      </c>
      <c r="J420" s="4">
        <f t="shared" si="6"/>
        <v>4</v>
      </c>
    </row>
    <row r="421" spans="1:10" x14ac:dyDescent="0.25">
      <c r="A421" s="4">
        <f>_xlfn.XLOOKUP(E421,'Data Validation'!$M$3:$M$10,'Data Validation'!$N$3:$N$10)</f>
        <v>1</v>
      </c>
      <c r="B421" s="4">
        <v>14</v>
      </c>
      <c r="C421" s="4" t="s">
        <v>11</v>
      </c>
      <c r="D421" s="7">
        <v>25.96</v>
      </c>
      <c r="E421" s="4" t="s">
        <v>18</v>
      </c>
      <c r="F421" s="4" t="s">
        <v>17</v>
      </c>
      <c r="G421" s="4" t="s">
        <v>48</v>
      </c>
      <c r="H421" s="4" t="s">
        <v>43</v>
      </c>
      <c r="I421" s="5">
        <v>45708</v>
      </c>
      <c r="J421" s="4">
        <f t="shared" si="6"/>
        <v>4</v>
      </c>
    </row>
    <row r="422" spans="1:10" x14ac:dyDescent="0.25">
      <c r="A422" s="4">
        <f>_xlfn.XLOOKUP(E422,'Data Validation'!$M$3:$M$10,'Data Validation'!$N$3:$N$10)</f>
        <v>1</v>
      </c>
      <c r="B422" s="4">
        <v>14</v>
      </c>
      <c r="C422" s="4" t="s">
        <v>11</v>
      </c>
      <c r="D422" s="7">
        <v>25.96</v>
      </c>
      <c r="E422" s="4" t="s">
        <v>18</v>
      </c>
      <c r="F422" s="4" t="s">
        <v>17</v>
      </c>
      <c r="G422" s="4" t="s">
        <v>48</v>
      </c>
      <c r="H422" s="4" t="s">
        <v>43</v>
      </c>
      <c r="I422" s="5">
        <v>45708</v>
      </c>
      <c r="J422" s="4">
        <f t="shared" si="6"/>
        <v>4</v>
      </c>
    </row>
    <row r="423" spans="1:10" x14ac:dyDescent="0.25">
      <c r="A423" s="4">
        <f>_xlfn.XLOOKUP(E423,'Data Validation'!$M$3:$M$10,'Data Validation'!$N$3:$N$10)</f>
        <v>1</v>
      </c>
      <c r="B423" s="4">
        <v>17</v>
      </c>
      <c r="C423" s="4" t="s">
        <v>11</v>
      </c>
      <c r="D423" s="7">
        <v>25.96</v>
      </c>
      <c r="E423" s="4" t="s">
        <v>18</v>
      </c>
      <c r="F423" s="4" t="s">
        <v>20</v>
      </c>
      <c r="G423" s="4" t="s">
        <v>48</v>
      </c>
      <c r="H423" s="4" t="s">
        <v>43</v>
      </c>
      <c r="I423" s="5">
        <v>45708</v>
      </c>
      <c r="J423" s="4">
        <f t="shared" si="6"/>
        <v>4</v>
      </c>
    </row>
    <row r="424" spans="1:10" x14ac:dyDescent="0.25">
      <c r="A424" s="4">
        <f>_xlfn.XLOOKUP(E424,'Data Validation'!$M$3:$M$10,'Data Validation'!$N$3:$N$10)</f>
        <v>1</v>
      </c>
      <c r="B424" s="4">
        <v>18</v>
      </c>
      <c r="C424" s="4" t="s">
        <v>11</v>
      </c>
      <c r="D424" s="7">
        <v>25.96</v>
      </c>
      <c r="E424" s="4" t="s">
        <v>18</v>
      </c>
      <c r="F424" s="4" t="s">
        <v>20</v>
      </c>
      <c r="G424" s="4" t="s">
        <v>48</v>
      </c>
      <c r="H424" s="4" t="s">
        <v>43</v>
      </c>
      <c r="I424" s="5">
        <v>45708</v>
      </c>
      <c r="J424" s="4">
        <f t="shared" si="6"/>
        <v>4</v>
      </c>
    </row>
    <row r="425" spans="1:10" x14ac:dyDescent="0.25">
      <c r="A425" s="4">
        <f>_xlfn.XLOOKUP(E425,'Data Validation'!$M$3:$M$10,'Data Validation'!$N$3:$N$10)</f>
        <v>1</v>
      </c>
      <c r="B425" s="4">
        <v>6</v>
      </c>
      <c r="C425" s="4" t="s">
        <v>11</v>
      </c>
      <c r="D425" s="7">
        <v>25.96</v>
      </c>
      <c r="E425" s="4" t="s">
        <v>18</v>
      </c>
      <c r="F425" s="4" t="s">
        <v>13</v>
      </c>
      <c r="G425" s="4" t="s">
        <v>49</v>
      </c>
      <c r="H425" s="4" t="s">
        <v>43</v>
      </c>
      <c r="I425" s="5">
        <v>45709</v>
      </c>
      <c r="J425" s="4">
        <f t="shared" si="6"/>
        <v>4</v>
      </c>
    </row>
    <row r="426" spans="1:10" x14ac:dyDescent="0.25">
      <c r="A426" s="4">
        <f>_xlfn.XLOOKUP(E426,'Data Validation'!$M$3:$M$10,'Data Validation'!$N$3:$N$10)</f>
        <v>1</v>
      </c>
      <c r="B426" s="4">
        <v>10</v>
      </c>
      <c r="C426" s="4" t="s">
        <v>11</v>
      </c>
      <c r="D426" s="7">
        <v>25.96</v>
      </c>
      <c r="E426" s="4" t="s">
        <v>18</v>
      </c>
      <c r="F426" s="4" t="s">
        <v>13</v>
      </c>
      <c r="G426" s="4" t="s">
        <v>49</v>
      </c>
      <c r="H426" s="4" t="s">
        <v>43</v>
      </c>
      <c r="I426" s="5">
        <v>45709</v>
      </c>
      <c r="J426" s="4">
        <f t="shared" si="6"/>
        <v>4</v>
      </c>
    </row>
    <row r="427" spans="1:10" x14ac:dyDescent="0.25">
      <c r="A427" s="4">
        <f>_xlfn.XLOOKUP(E427,'Data Validation'!$M$3:$M$10,'Data Validation'!$N$3:$N$10)</f>
        <v>1</v>
      </c>
      <c r="B427" s="4">
        <v>12</v>
      </c>
      <c r="C427" s="4" t="s">
        <v>11</v>
      </c>
      <c r="D427" s="7">
        <v>25.96</v>
      </c>
      <c r="E427" s="4" t="s">
        <v>18</v>
      </c>
      <c r="F427" s="4" t="s">
        <v>17</v>
      </c>
      <c r="G427" s="4" t="s">
        <v>49</v>
      </c>
      <c r="H427" s="4" t="s">
        <v>43</v>
      </c>
      <c r="I427" s="5">
        <v>45709</v>
      </c>
      <c r="J427" s="4">
        <f t="shared" si="6"/>
        <v>4</v>
      </c>
    </row>
    <row r="428" spans="1:10" x14ac:dyDescent="0.25">
      <c r="A428" s="4">
        <f>_xlfn.XLOOKUP(E428,'Data Validation'!$M$3:$M$10,'Data Validation'!$N$3:$N$10)</f>
        <v>1</v>
      </c>
      <c r="B428" s="4">
        <v>12</v>
      </c>
      <c r="C428" s="4" t="s">
        <v>11</v>
      </c>
      <c r="D428" s="7">
        <v>25.96</v>
      </c>
      <c r="E428" s="4" t="s">
        <v>18</v>
      </c>
      <c r="F428" s="4" t="s">
        <v>17</v>
      </c>
      <c r="G428" s="4" t="s">
        <v>49</v>
      </c>
      <c r="H428" s="4" t="s">
        <v>43</v>
      </c>
      <c r="I428" s="5">
        <v>45709</v>
      </c>
      <c r="J428" s="4">
        <f t="shared" si="6"/>
        <v>4</v>
      </c>
    </row>
    <row r="429" spans="1:10" x14ac:dyDescent="0.25">
      <c r="A429" s="4">
        <f>_xlfn.XLOOKUP(E429,'Data Validation'!$M$3:$M$10,'Data Validation'!$N$3:$N$10)</f>
        <v>1</v>
      </c>
      <c r="B429" s="4">
        <v>12</v>
      </c>
      <c r="C429" s="4" t="s">
        <v>11</v>
      </c>
      <c r="D429" s="7">
        <v>25.96</v>
      </c>
      <c r="E429" s="4" t="s">
        <v>18</v>
      </c>
      <c r="F429" s="4" t="s">
        <v>17</v>
      </c>
      <c r="G429" s="4" t="s">
        <v>49</v>
      </c>
      <c r="H429" s="4" t="s">
        <v>43</v>
      </c>
      <c r="I429" s="5">
        <v>45709</v>
      </c>
      <c r="J429" s="4">
        <f t="shared" si="6"/>
        <v>4</v>
      </c>
    </row>
    <row r="430" spans="1:10" x14ac:dyDescent="0.25">
      <c r="A430" s="4">
        <f>_xlfn.XLOOKUP(E430,'Data Validation'!$M$3:$M$10,'Data Validation'!$N$3:$N$10)</f>
        <v>1</v>
      </c>
      <c r="B430" s="4">
        <v>12</v>
      </c>
      <c r="C430" s="4" t="s">
        <v>11</v>
      </c>
      <c r="D430" s="7">
        <v>25.96</v>
      </c>
      <c r="E430" s="4" t="s">
        <v>18</v>
      </c>
      <c r="F430" s="4" t="s">
        <v>17</v>
      </c>
      <c r="G430" s="4" t="s">
        <v>49</v>
      </c>
      <c r="H430" s="4" t="s">
        <v>43</v>
      </c>
      <c r="I430" s="5">
        <v>45709</v>
      </c>
      <c r="J430" s="4">
        <f t="shared" si="6"/>
        <v>4</v>
      </c>
    </row>
    <row r="431" spans="1:10" x14ac:dyDescent="0.25">
      <c r="A431" s="4">
        <f>_xlfn.XLOOKUP(E431,'Data Validation'!$M$3:$M$10,'Data Validation'!$N$3:$N$10)</f>
        <v>1</v>
      </c>
      <c r="B431" s="4">
        <v>13</v>
      </c>
      <c r="C431" s="4" t="s">
        <v>11</v>
      </c>
      <c r="D431" s="7">
        <v>25.96</v>
      </c>
      <c r="E431" s="4" t="s">
        <v>18</v>
      </c>
      <c r="F431" s="4" t="s">
        <v>17</v>
      </c>
      <c r="G431" s="4" t="s">
        <v>49</v>
      </c>
      <c r="H431" s="4" t="s">
        <v>43</v>
      </c>
      <c r="I431" s="5">
        <v>45709</v>
      </c>
      <c r="J431" s="4">
        <f t="shared" si="6"/>
        <v>4</v>
      </c>
    </row>
    <row r="432" spans="1:10" x14ac:dyDescent="0.25">
      <c r="A432" s="4">
        <f>_xlfn.XLOOKUP(E432,'Data Validation'!$M$3:$M$10,'Data Validation'!$N$3:$N$10)</f>
        <v>1</v>
      </c>
      <c r="B432" s="4">
        <v>14</v>
      </c>
      <c r="C432" s="4" t="s">
        <v>11</v>
      </c>
      <c r="D432" s="7">
        <v>25.96</v>
      </c>
      <c r="E432" s="4" t="s">
        <v>18</v>
      </c>
      <c r="F432" s="4" t="s">
        <v>17</v>
      </c>
      <c r="G432" s="4" t="s">
        <v>49</v>
      </c>
      <c r="H432" s="4" t="s">
        <v>43</v>
      </c>
      <c r="I432" s="5">
        <v>45709</v>
      </c>
      <c r="J432" s="4">
        <f t="shared" si="6"/>
        <v>4</v>
      </c>
    </row>
    <row r="433" spans="1:10" x14ac:dyDescent="0.25">
      <c r="A433" s="4">
        <f>_xlfn.XLOOKUP(E433,'Data Validation'!$M$3:$M$10,'Data Validation'!$N$3:$N$10)</f>
        <v>1</v>
      </c>
      <c r="B433" s="4">
        <v>15</v>
      </c>
      <c r="C433" s="4" t="s">
        <v>11</v>
      </c>
      <c r="D433" s="7">
        <v>25.96</v>
      </c>
      <c r="E433" s="4" t="s">
        <v>18</v>
      </c>
      <c r="F433" s="4" t="s">
        <v>17</v>
      </c>
      <c r="G433" s="4" t="s">
        <v>49</v>
      </c>
      <c r="H433" s="4" t="s">
        <v>43</v>
      </c>
      <c r="I433" s="5">
        <v>45709</v>
      </c>
      <c r="J433" s="4">
        <f t="shared" si="6"/>
        <v>4</v>
      </c>
    </row>
    <row r="434" spans="1:10" x14ac:dyDescent="0.25">
      <c r="A434" s="4">
        <f>_xlfn.XLOOKUP(E434,'Data Validation'!$M$3:$M$10,'Data Validation'!$N$3:$N$10)</f>
        <v>1</v>
      </c>
      <c r="B434" s="4">
        <v>15</v>
      </c>
      <c r="C434" s="4" t="s">
        <v>11</v>
      </c>
      <c r="D434" s="7">
        <v>25.96</v>
      </c>
      <c r="E434" s="4" t="s">
        <v>18</v>
      </c>
      <c r="F434" s="4" t="s">
        <v>17</v>
      </c>
      <c r="G434" s="4" t="s">
        <v>49</v>
      </c>
      <c r="H434" s="4" t="s">
        <v>43</v>
      </c>
      <c r="I434" s="5">
        <v>45709</v>
      </c>
      <c r="J434" s="4">
        <f t="shared" si="6"/>
        <v>4</v>
      </c>
    </row>
    <row r="435" spans="1:10" x14ac:dyDescent="0.25">
      <c r="A435" s="4">
        <f>_xlfn.XLOOKUP(E435,'Data Validation'!$M$3:$M$10,'Data Validation'!$N$3:$N$10)</f>
        <v>1</v>
      </c>
      <c r="B435" s="4">
        <v>15</v>
      </c>
      <c r="C435" s="4" t="s">
        <v>11</v>
      </c>
      <c r="D435" s="7">
        <v>25.96</v>
      </c>
      <c r="E435" s="4" t="s">
        <v>18</v>
      </c>
      <c r="F435" s="4" t="s">
        <v>17</v>
      </c>
      <c r="G435" s="4" t="s">
        <v>49</v>
      </c>
      <c r="H435" s="4" t="s">
        <v>43</v>
      </c>
      <c r="I435" s="5">
        <v>45709</v>
      </c>
      <c r="J435" s="4">
        <f t="shared" si="6"/>
        <v>4</v>
      </c>
    </row>
    <row r="436" spans="1:10" x14ac:dyDescent="0.25">
      <c r="A436" s="4">
        <f>_xlfn.XLOOKUP(E436,'Data Validation'!$M$3:$M$10,'Data Validation'!$N$3:$N$10)</f>
        <v>1</v>
      </c>
      <c r="B436" s="4">
        <v>11</v>
      </c>
      <c r="C436" s="4" t="s">
        <v>11</v>
      </c>
      <c r="D436" s="7">
        <v>25.96</v>
      </c>
      <c r="E436" s="4" t="s">
        <v>18</v>
      </c>
      <c r="F436" s="4" t="s">
        <v>13</v>
      </c>
      <c r="G436" s="4" t="s">
        <v>50</v>
      </c>
      <c r="H436" s="4" t="s">
        <v>43</v>
      </c>
      <c r="I436" s="5">
        <v>45710</v>
      </c>
      <c r="J436" s="4">
        <f t="shared" si="6"/>
        <v>4</v>
      </c>
    </row>
    <row r="437" spans="1:10" x14ac:dyDescent="0.25">
      <c r="A437" s="4">
        <f>_xlfn.XLOOKUP(E437,'Data Validation'!$M$3:$M$10,'Data Validation'!$N$3:$N$10)</f>
        <v>1</v>
      </c>
      <c r="B437" s="4">
        <v>11</v>
      </c>
      <c r="C437" s="4" t="s">
        <v>11</v>
      </c>
      <c r="D437" s="7">
        <v>25.96</v>
      </c>
      <c r="E437" s="4" t="s">
        <v>18</v>
      </c>
      <c r="F437" s="4" t="s">
        <v>13</v>
      </c>
      <c r="G437" s="4" t="s">
        <v>50</v>
      </c>
      <c r="H437" s="4" t="s">
        <v>43</v>
      </c>
      <c r="I437" s="5">
        <v>45710</v>
      </c>
      <c r="J437" s="4">
        <f t="shared" si="6"/>
        <v>4</v>
      </c>
    </row>
    <row r="438" spans="1:10" x14ac:dyDescent="0.25">
      <c r="A438" s="4">
        <f>_xlfn.XLOOKUP(E438,'Data Validation'!$M$3:$M$10,'Data Validation'!$N$3:$N$10)</f>
        <v>1</v>
      </c>
      <c r="B438" s="4">
        <v>17</v>
      </c>
      <c r="C438" s="4" t="s">
        <v>11</v>
      </c>
      <c r="D438" s="7">
        <v>25.96</v>
      </c>
      <c r="E438" s="4" t="s">
        <v>18</v>
      </c>
      <c r="F438" s="4" t="s">
        <v>20</v>
      </c>
      <c r="G438" s="4" t="s">
        <v>51</v>
      </c>
      <c r="H438" s="4" t="s">
        <v>43</v>
      </c>
      <c r="I438" s="5">
        <v>45711</v>
      </c>
      <c r="J438" s="4">
        <f t="shared" si="6"/>
        <v>4</v>
      </c>
    </row>
    <row r="439" spans="1:10" x14ac:dyDescent="0.25">
      <c r="A439" s="4">
        <f>_xlfn.XLOOKUP(E439,'Data Validation'!$M$3:$M$10,'Data Validation'!$N$3:$N$10)</f>
        <v>1</v>
      </c>
      <c r="B439" s="4">
        <v>10</v>
      </c>
      <c r="C439" s="4" t="s">
        <v>11</v>
      </c>
      <c r="D439" s="7">
        <v>25.96</v>
      </c>
      <c r="E439" s="4" t="s">
        <v>18</v>
      </c>
      <c r="F439" s="4" t="s">
        <v>13</v>
      </c>
      <c r="G439" s="4" t="s">
        <v>45</v>
      </c>
      <c r="H439" s="4" t="s">
        <v>43</v>
      </c>
      <c r="I439" s="5">
        <v>45712</v>
      </c>
      <c r="J439" s="4">
        <f t="shared" si="6"/>
        <v>4</v>
      </c>
    </row>
    <row r="440" spans="1:10" x14ac:dyDescent="0.25">
      <c r="A440" s="4">
        <f>_xlfn.XLOOKUP(E440,'Data Validation'!$M$3:$M$10,'Data Validation'!$N$3:$N$10)</f>
        <v>1</v>
      </c>
      <c r="B440" s="4">
        <v>16</v>
      </c>
      <c r="C440" s="4" t="s">
        <v>11</v>
      </c>
      <c r="D440" s="7">
        <v>25.96</v>
      </c>
      <c r="E440" s="4" t="s">
        <v>18</v>
      </c>
      <c r="F440" s="4" t="s">
        <v>17</v>
      </c>
      <c r="G440" s="4" t="s">
        <v>45</v>
      </c>
      <c r="H440" s="4" t="s">
        <v>43</v>
      </c>
      <c r="I440" s="5">
        <v>45712</v>
      </c>
      <c r="J440" s="4">
        <f t="shared" si="6"/>
        <v>4</v>
      </c>
    </row>
    <row r="441" spans="1:10" x14ac:dyDescent="0.25">
      <c r="A441" s="4">
        <f>_xlfn.XLOOKUP(E441,'Data Validation'!$M$3:$M$10,'Data Validation'!$N$3:$N$10)</f>
        <v>1</v>
      </c>
      <c r="B441" s="4">
        <v>17</v>
      </c>
      <c r="C441" s="4" t="s">
        <v>11</v>
      </c>
      <c r="D441" s="7">
        <v>25.96</v>
      </c>
      <c r="E441" s="4" t="s">
        <v>18</v>
      </c>
      <c r="F441" s="4" t="s">
        <v>20</v>
      </c>
      <c r="G441" s="4" t="s">
        <v>45</v>
      </c>
      <c r="H441" s="4" t="s">
        <v>43</v>
      </c>
      <c r="I441" s="5">
        <v>45712</v>
      </c>
      <c r="J441" s="4">
        <f t="shared" si="6"/>
        <v>4</v>
      </c>
    </row>
    <row r="442" spans="1:10" x14ac:dyDescent="0.25">
      <c r="A442" s="4">
        <f>_xlfn.XLOOKUP(E442,'Data Validation'!$M$3:$M$10,'Data Validation'!$N$3:$N$10)</f>
        <v>1</v>
      </c>
      <c r="B442" s="4">
        <v>8</v>
      </c>
      <c r="C442" s="4" t="s">
        <v>11</v>
      </c>
      <c r="D442" s="7">
        <v>25.96</v>
      </c>
      <c r="E442" s="4" t="s">
        <v>18</v>
      </c>
      <c r="F442" s="4" t="s">
        <v>13</v>
      </c>
      <c r="G442" s="4" t="s">
        <v>46</v>
      </c>
      <c r="H442" s="4" t="s">
        <v>43</v>
      </c>
      <c r="I442" s="5">
        <v>45713</v>
      </c>
      <c r="J442" s="4">
        <f t="shared" si="6"/>
        <v>4</v>
      </c>
    </row>
    <row r="443" spans="1:10" x14ac:dyDescent="0.25">
      <c r="A443" s="4">
        <f>_xlfn.XLOOKUP(E443,'Data Validation'!$M$3:$M$10,'Data Validation'!$N$3:$N$10)</f>
        <v>1</v>
      </c>
      <c r="B443" s="4">
        <v>11</v>
      </c>
      <c r="C443" s="4" t="s">
        <v>11</v>
      </c>
      <c r="D443" s="7">
        <v>25.96</v>
      </c>
      <c r="E443" s="4" t="s">
        <v>18</v>
      </c>
      <c r="F443" s="4" t="s">
        <v>13</v>
      </c>
      <c r="G443" s="4" t="s">
        <v>46</v>
      </c>
      <c r="H443" s="4" t="s">
        <v>43</v>
      </c>
      <c r="I443" s="5">
        <v>45713</v>
      </c>
      <c r="J443" s="4">
        <f t="shared" si="6"/>
        <v>4</v>
      </c>
    </row>
    <row r="444" spans="1:10" x14ac:dyDescent="0.25">
      <c r="A444" s="4">
        <f>_xlfn.XLOOKUP(E444,'Data Validation'!$M$3:$M$10,'Data Validation'!$N$3:$N$10)</f>
        <v>1</v>
      </c>
      <c r="B444" s="4">
        <v>11</v>
      </c>
      <c r="C444" s="4" t="s">
        <v>11</v>
      </c>
      <c r="D444" s="7">
        <v>25.96</v>
      </c>
      <c r="E444" s="4" t="s">
        <v>18</v>
      </c>
      <c r="F444" s="4" t="s">
        <v>13</v>
      </c>
      <c r="G444" s="4" t="s">
        <v>46</v>
      </c>
      <c r="H444" s="4" t="s">
        <v>43</v>
      </c>
      <c r="I444" s="5">
        <v>45713</v>
      </c>
      <c r="J444" s="4">
        <f t="shared" si="6"/>
        <v>4</v>
      </c>
    </row>
    <row r="445" spans="1:10" x14ac:dyDescent="0.25">
      <c r="A445" s="4">
        <f>_xlfn.XLOOKUP(E445,'Data Validation'!$M$3:$M$10,'Data Validation'!$N$3:$N$10)</f>
        <v>1</v>
      </c>
      <c r="B445" s="4">
        <v>16</v>
      </c>
      <c r="C445" s="4" t="s">
        <v>11</v>
      </c>
      <c r="D445" s="7">
        <v>25.96</v>
      </c>
      <c r="E445" s="4" t="s">
        <v>18</v>
      </c>
      <c r="F445" s="4" t="s">
        <v>17</v>
      </c>
      <c r="G445" s="4" t="s">
        <v>46</v>
      </c>
      <c r="H445" s="4" t="s">
        <v>43</v>
      </c>
      <c r="I445" s="5">
        <v>45713</v>
      </c>
      <c r="J445" s="4">
        <f t="shared" si="6"/>
        <v>4</v>
      </c>
    </row>
    <row r="446" spans="1:10" x14ac:dyDescent="0.25">
      <c r="A446" s="4">
        <f>_xlfn.XLOOKUP(E446,'Data Validation'!$M$3:$M$10,'Data Validation'!$N$3:$N$10)</f>
        <v>1</v>
      </c>
      <c r="B446" s="4">
        <v>16</v>
      </c>
      <c r="C446" s="4" t="s">
        <v>11</v>
      </c>
      <c r="D446" s="7">
        <v>25.96</v>
      </c>
      <c r="E446" s="4" t="s">
        <v>18</v>
      </c>
      <c r="F446" s="4" t="s">
        <v>17</v>
      </c>
      <c r="G446" s="4" t="s">
        <v>46</v>
      </c>
      <c r="H446" s="4" t="s">
        <v>43</v>
      </c>
      <c r="I446" s="5">
        <v>45713</v>
      </c>
      <c r="J446" s="4">
        <f t="shared" si="6"/>
        <v>4</v>
      </c>
    </row>
    <row r="447" spans="1:10" x14ac:dyDescent="0.25">
      <c r="A447" s="4">
        <f>_xlfn.XLOOKUP(E447,'Data Validation'!$M$3:$M$10,'Data Validation'!$N$3:$N$10)</f>
        <v>1</v>
      </c>
      <c r="B447" s="4">
        <v>8</v>
      </c>
      <c r="C447" s="4" t="s">
        <v>11</v>
      </c>
      <c r="D447" s="7">
        <v>25.96</v>
      </c>
      <c r="E447" s="4" t="s">
        <v>18</v>
      </c>
      <c r="F447" s="4" t="s">
        <v>13</v>
      </c>
      <c r="G447" s="4" t="s">
        <v>47</v>
      </c>
      <c r="H447" s="4" t="s">
        <v>43</v>
      </c>
      <c r="I447" s="5">
        <v>45714</v>
      </c>
      <c r="J447" s="4">
        <f t="shared" si="6"/>
        <v>4</v>
      </c>
    </row>
    <row r="448" spans="1:10" x14ac:dyDescent="0.25">
      <c r="A448" s="4">
        <f>_xlfn.XLOOKUP(E448,'Data Validation'!$M$3:$M$10,'Data Validation'!$N$3:$N$10)</f>
        <v>1</v>
      </c>
      <c r="B448" s="4">
        <v>15</v>
      </c>
      <c r="C448" s="4" t="s">
        <v>11</v>
      </c>
      <c r="D448" s="7">
        <v>25.96</v>
      </c>
      <c r="E448" s="4" t="s">
        <v>18</v>
      </c>
      <c r="F448" s="4" t="s">
        <v>17</v>
      </c>
      <c r="G448" s="4" t="s">
        <v>47</v>
      </c>
      <c r="H448" s="4" t="s">
        <v>43</v>
      </c>
      <c r="I448" s="5">
        <v>45714</v>
      </c>
      <c r="J448" s="4">
        <f t="shared" si="6"/>
        <v>4</v>
      </c>
    </row>
    <row r="449" spans="1:10" x14ac:dyDescent="0.25">
      <c r="A449" s="4">
        <f>_xlfn.XLOOKUP(E449,'Data Validation'!$M$3:$M$10,'Data Validation'!$N$3:$N$10)</f>
        <v>1</v>
      </c>
      <c r="B449" s="4">
        <v>15</v>
      </c>
      <c r="C449" s="4" t="s">
        <v>11</v>
      </c>
      <c r="D449" s="7">
        <v>25.96</v>
      </c>
      <c r="E449" s="4" t="s">
        <v>18</v>
      </c>
      <c r="F449" s="4" t="s">
        <v>17</v>
      </c>
      <c r="G449" s="4" t="s">
        <v>47</v>
      </c>
      <c r="H449" s="4" t="s">
        <v>43</v>
      </c>
      <c r="I449" s="5">
        <v>45714</v>
      </c>
      <c r="J449" s="4">
        <f t="shared" si="6"/>
        <v>4</v>
      </c>
    </row>
    <row r="450" spans="1:10" x14ac:dyDescent="0.25">
      <c r="A450" s="4">
        <f>_xlfn.XLOOKUP(E450,'Data Validation'!$M$3:$M$10,'Data Validation'!$N$3:$N$10)</f>
        <v>1</v>
      </c>
      <c r="B450" s="4">
        <v>15</v>
      </c>
      <c r="C450" s="4" t="s">
        <v>11</v>
      </c>
      <c r="D450" s="7">
        <v>25.96</v>
      </c>
      <c r="E450" s="4" t="s">
        <v>18</v>
      </c>
      <c r="F450" s="4" t="s">
        <v>17</v>
      </c>
      <c r="G450" s="4" t="s">
        <v>47</v>
      </c>
      <c r="H450" s="4" t="s">
        <v>43</v>
      </c>
      <c r="I450" s="5">
        <v>45714</v>
      </c>
      <c r="J450" s="4">
        <f t="shared" si="6"/>
        <v>4</v>
      </c>
    </row>
    <row r="451" spans="1:10" x14ac:dyDescent="0.25">
      <c r="A451" s="4">
        <f>_xlfn.XLOOKUP(E451,'Data Validation'!$M$3:$M$10,'Data Validation'!$N$3:$N$10)</f>
        <v>1</v>
      </c>
      <c r="B451" s="4">
        <v>15</v>
      </c>
      <c r="C451" s="4" t="s">
        <v>11</v>
      </c>
      <c r="D451" s="7">
        <v>25.96</v>
      </c>
      <c r="E451" s="4" t="s">
        <v>18</v>
      </c>
      <c r="F451" s="4" t="s">
        <v>17</v>
      </c>
      <c r="G451" s="4" t="s">
        <v>47</v>
      </c>
      <c r="H451" s="4" t="s">
        <v>43</v>
      </c>
      <c r="I451" s="5">
        <v>45714</v>
      </c>
      <c r="J451" s="4">
        <f t="shared" ref="J451:J514" si="7">IF(OR(E451&lt;&gt;E450,D451&lt;&gt;D450),J450+1,J450)</f>
        <v>4</v>
      </c>
    </row>
    <row r="452" spans="1:10" x14ac:dyDescent="0.25">
      <c r="A452" s="4">
        <f>_xlfn.XLOOKUP(E452,'Data Validation'!$M$3:$M$10,'Data Validation'!$N$3:$N$10)</f>
        <v>1</v>
      </c>
      <c r="B452" s="4">
        <v>14</v>
      </c>
      <c r="C452" s="4" t="s">
        <v>11</v>
      </c>
      <c r="D452" s="7">
        <v>25.96</v>
      </c>
      <c r="E452" s="4" t="s">
        <v>18</v>
      </c>
      <c r="F452" s="4" t="s">
        <v>17</v>
      </c>
      <c r="G452" s="4" t="s">
        <v>48</v>
      </c>
      <c r="H452" s="4" t="s">
        <v>43</v>
      </c>
      <c r="I452" s="5">
        <v>45715</v>
      </c>
      <c r="J452" s="4">
        <f t="shared" si="7"/>
        <v>4</v>
      </c>
    </row>
    <row r="453" spans="1:10" x14ac:dyDescent="0.25">
      <c r="A453" s="4">
        <f>_xlfn.XLOOKUP(E453,'Data Validation'!$M$3:$M$10,'Data Validation'!$N$3:$N$10)</f>
        <v>1</v>
      </c>
      <c r="B453" s="4">
        <v>15</v>
      </c>
      <c r="C453" s="4" t="s">
        <v>11</v>
      </c>
      <c r="D453" s="7">
        <v>25.96</v>
      </c>
      <c r="E453" s="4" t="s">
        <v>18</v>
      </c>
      <c r="F453" s="4" t="s">
        <v>17</v>
      </c>
      <c r="G453" s="4" t="s">
        <v>48</v>
      </c>
      <c r="H453" s="4" t="s">
        <v>43</v>
      </c>
      <c r="I453" s="5">
        <v>45715</v>
      </c>
      <c r="J453" s="4">
        <f t="shared" si="7"/>
        <v>4</v>
      </c>
    </row>
    <row r="454" spans="1:10" x14ac:dyDescent="0.25">
      <c r="A454" s="4">
        <f>_xlfn.XLOOKUP(E454,'Data Validation'!$M$3:$M$10,'Data Validation'!$N$3:$N$10)</f>
        <v>1</v>
      </c>
      <c r="B454" s="4">
        <v>16</v>
      </c>
      <c r="C454" s="4" t="s">
        <v>11</v>
      </c>
      <c r="D454" s="7">
        <v>25.96</v>
      </c>
      <c r="E454" s="4" t="s">
        <v>18</v>
      </c>
      <c r="F454" s="4" t="s">
        <v>17</v>
      </c>
      <c r="G454" s="4" t="s">
        <v>48</v>
      </c>
      <c r="H454" s="4" t="s">
        <v>43</v>
      </c>
      <c r="I454" s="5">
        <v>45715</v>
      </c>
      <c r="J454" s="4">
        <f t="shared" si="7"/>
        <v>4</v>
      </c>
    </row>
    <row r="455" spans="1:10" x14ac:dyDescent="0.25">
      <c r="A455" s="4">
        <f>_xlfn.XLOOKUP(E455,'Data Validation'!$M$3:$M$10,'Data Validation'!$N$3:$N$10)</f>
        <v>1</v>
      </c>
      <c r="B455" s="4">
        <v>17</v>
      </c>
      <c r="C455" s="4" t="s">
        <v>11</v>
      </c>
      <c r="D455" s="7">
        <v>25.96</v>
      </c>
      <c r="E455" s="4" t="s">
        <v>18</v>
      </c>
      <c r="F455" s="4" t="s">
        <v>20</v>
      </c>
      <c r="G455" s="4" t="s">
        <v>48</v>
      </c>
      <c r="H455" s="4" t="s">
        <v>43</v>
      </c>
      <c r="I455" s="5">
        <v>45715</v>
      </c>
      <c r="J455" s="4">
        <f t="shared" si="7"/>
        <v>4</v>
      </c>
    </row>
    <row r="456" spans="1:10" x14ac:dyDescent="0.25">
      <c r="A456" s="4">
        <f>_xlfn.XLOOKUP(E456,'Data Validation'!$M$3:$M$10,'Data Validation'!$N$3:$N$10)</f>
        <v>1</v>
      </c>
      <c r="B456" s="4">
        <v>17</v>
      </c>
      <c r="C456" s="4" t="s">
        <v>11</v>
      </c>
      <c r="D456" s="7">
        <v>25.96</v>
      </c>
      <c r="E456" s="4" t="s">
        <v>18</v>
      </c>
      <c r="F456" s="4" t="s">
        <v>20</v>
      </c>
      <c r="G456" s="4" t="s">
        <v>48</v>
      </c>
      <c r="H456" s="4" t="s">
        <v>43</v>
      </c>
      <c r="I456" s="5">
        <v>45715</v>
      </c>
      <c r="J456" s="4">
        <f t="shared" si="7"/>
        <v>4</v>
      </c>
    </row>
    <row r="457" spans="1:10" x14ac:dyDescent="0.25">
      <c r="A457" s="4">
        <f>_xlfn.XLOOKUP(E457,'Data Validation'!$M$3:$M$10,'Data Validation'!$N$3:$N$10)</f>
        <v>1</v>
      </c>
      <c r="B457" s="4">
        <v>14</v>
      </c>
      <c r="C457" s="4" t="s">
        <v>11</v>
      </c>
      <c r="D457" s="7">
        <v>25.96</v>
      </c>
      <c r="E457" s="4" t="s">
        <v>18</v>
      </c>
      <c r="F457" s="4" t="s">
        <v>17</v>
      </c>
      <c r="G457" s="4" t="s">
        <v>49</v>
      </c>
      <c r="H457" s="4" t="s">
        <v>43</v>
      </c>
      <c r="I457" s="5">
        <v>45716</v>
      </c>
      <c r="J457" s="4">
        <f t="shared" si="7"/>
        <v>4</v>
      </c>
    </row>
    <row r="458" spans="1:10" x14ac:dyDescent="0.25">
      <c r="A458" s="4">
        <f>_xlfn.XLOOKUP(E458,'Data Validation'!$M$3:$M$10,'Data Validation'!$N$3:$N$10)</f>
        <v>1</v>
      </c>
      <c r="B458" s="4">
        <v>14</v>
      </c>
      <c r="C458" s="4" t="s">
        <v>11</v>
      </c>
      <c r="D458" s="7">
        <v>25.96</v>
      </c>
      <c r="E458" s="4" t="s">
        <v>18</v>
      </c>
      <c r="F458" s="4" t="s">
        <v>17</v>
      </c>
      <c r="G458" s="4" t="s">
        <v>49</v>
      </c>
      <c r="H458" s="4" t="s">
        <v>43</v>
      </c>
      <c r="I458" s="5">
        <v>45716</v>
      </c>
      <c r="J458" s="4">
        <f t="shared" si="7"/>
        <v>4</v>
      </c>
    </row>
    <row r="459" spans="1:10" x14ac:dyDescent="0.25">
      <c r="A459" s="4">
        <f>_xlfn.XLOOKUP(E459,'Data Validation'!$M$3:$M$10,'Data Validation'!$N$3:$N$10)</f>
        <v>1</v>
      </c>
      <c r="B459" s="4">
        <v>14</v>
      </c>
      <c r="C459" s="4" t="s">
        <v>11</v>
      </c>
      <c r="D459" s="7">
        <v>25.96</v>
      </c>
      <c r="E459" s="4" t="s">
        <v>18</v>
      </c>
      <c r="F459" s="4" t="s">
        <v>17</v>
      </c>
      <c r="G459" s="4" t="s">
        <v>49</v>
      </c>
      <c r="H459" s="4" t="s">
        <v>43</v>
      </c>
      <c r="I459" s="5">
        <v>45716</v>
      </c>
      <c r="J459" s="4">
        <f t="shared" si="7"/>
        <v>4</v>
      </c>
    </row>
    <row r="460" spans="1:10" x14ac:dyDescent="0.25">
      <c r="A460" s="4">
        <f>_xlfn.XLOOKUP(E460,'Data Validation'!$M$3:$M$10,'Data Validation'!$N$3:$N$10)</f>
        <v>1</v>
      </c>
      <c r="B460" s="4">
        <v>15</v>
      </c>
      <c r="C460" s="4" t="s">
        <v>11</v>
      </c>
      <c r="D460" s="7">
        <v>25.96</v>
      </c>
      <c r="E460" s="4" t="s">
        <v>18</v>
      </c>
      <c r="F460" s="4" t="s">
        <v>17</v>
      </c>
      <c r="G460" s="4" t="s">
        <v>49</v>
      </c>
      <c r="H460" s="4" t="s">
        <v>43</v>
      </c>
      <c r="I460" s="5">
        <v>45716</v>
      </c>
      <c r="J460" s="4">
        <f t="shared" si="7"/>
        <v>4</v>
      </c>
    </row>
    <row r="461" spans="1:10" x14ac:dyDescent="0.25">
      <c r="A461" s="4">
        <f>_xlfn.XLOOKUP(E461,'Data Validation'!$M$3:$M$10,'Data Validation'!$N$3:$N$10)</f>
        <v>1</v>
      </c>
      <c r="B461" s="4">
        <v>16</v>
      </c>
      <c r="C461" s="4" t="s">
        <v>11</v>
      </c>
      <c r="D461" s="7">
        <v>25.96</v>
      </c>
      <c r="E461" s="4" t="s">
        <v>18</v>
      </c>
      <c r="F461" s="4" t="s">
        <v>17</v>
      </c>
      <c r="G461" s="4" t="s">
        <v>49</v>
      </c>
      <c r="H461" s="4" t="s">
        <v>43</v>
      </c>
      <c r="I461" s="5">
        <v>45716</v>
      </c>
      <c r="J461" s="4">
        <f t="shared" si="7"/>
        <v>4</v>
      </c>
    </row>
    <row r="462" spans="1:10" x14ac:dyDescent="0.25">
      <c r="A462" s="4">
        <f>_xlfn.XLOOKUP(E462,'Data Validation'!$M$3:$M$10,'Data Validation'!$N$3:$N$10)</f>
        <v>1</v>
      </c>
      <c r="B462" s="4">
        <v>17</v>
      </c>
      <c r="C462" s="4" t="s">
        <v>11</v>
      </c>
      <c r="D462" s="7">
        <v>25.96</v>
      </c>
      <c r="E462" s="4" t="s">
        <v>18</v>
      </c>
      <c r="F462" s="4" t="s">
        <v>20</v>
      </c>
      <c r="G462" s="4" t="s">
        <v>49</v>
      </c>
      <c r="H462" s="4" t="s">
        <v>43</v>
      </c>
      <c r="I462" s="5">
        <v>45716</v>
      </c>
      <c r="J462" s="4">
        <f t="shared" si="7"/>
        <v>4</v>
      </c>
    </row>
    <row r="463" spans="1:10" x14ac:dyDescent="0.25">
      <c r="A463" s="4">
        <f>_xlfn.XLOOKUP(E463,'Data Validation'!$M$3:$M$10,'Data Validation'!$N$3:$N$10)</f>
        <v>1</v>
      </c>
      <c r="B463" s="4">
        <v>17</v>
      </c>
      <c r="C463" s="4" t="s">
        <v>11</v>
      </c>
      <c r="D463" s="7">
        <v>25.96</v>
      </c>
      <c r="E463" s="4" t="s">
        <v>18</v>
      </c>
      <c r="F463" s="4" t="s">
        <v>20</v>
      </c>
      <c r="G463" s="4" t="s">
        <v>49</v>
      </c>
      <c r="H463" s="4" t="s">
        <v>43</v>
      </c>
      <c r="I463" s="5">
        <v>45716</v>
      </c>
      <c r="J463" s="4">
        <f t="shared" si="7"/>
        <v>4</v>
      </c>
    </row>
    <row r="464" spans="1:10" x14ac:dyDescent="0.25">
      <c r="A464" s="4">
        <f>_xlfn.XLOOKUP(E464,'Data Validation'!$M$3:$M$10,'Data Validation'!$N$3:$N$10)</f>
        <v>1</v>
      </c>
      <c r="B464" s="4">
        <v>11</v>
      </c>
      <c r="C464" s="4" t="s">
        <v>11</v>
      </c>
      <c r="D464" s="7">
        <v>25.96</v>
      </c>
      <c r="E464" s="4" t="s">
        <v>18</v>
      </c>
      <c r="F464" s="4" t="s">
        <v>13</v>
      </c>
      <c r="G464" s="4" t="s">
        <v>50</v>
      </c>
      <c r="H464" s="4" t="s">
        <v>44</v>
      </c>
      <c r="I464" s="5">
        <v>45717</v>
      </c>
      <c r="J464" s="4">
        <f t="shared" si="7"/>
        <v>4</v>
      </c>
    </row>
    <row r="465" spans="1:10" x14ac:dyDescent="0.25">
      <c r="A465" s="4">
        <f>_xlfn.XLOOKUP(E465,'Data Validation'!$M$3:$M$10,'Data Validation'!$N$3:$N$10)</f>
        <v>1</v>
      </c>
      <c r="B465" s="4">
        <v>11</v>
      </c>
      <c r="C465" s="4" t="s">
        <v>11</v>
      </c>
      <c r="D465" s="7">
        <v>25.96</v>
      </c>
      <c r="E465" s="4" t="s">
        <v>18</v>
      </c>
      <c r="F465" s="4" t="s">
        <v>13</v>
      </c>
      <c r="G465" s="4" t="s">
        <v>50</v>
      </c>
      <c r="H465" s="4" t="s">
        <v>44</v>
      </c>
      <c r="I465" s="5">
        <v>45717</v>
      </c>
      <c r="J465" s="4">
        <f t="shared" si="7"/>
        <v>4</v>
      </c>
    </row>
    <row r="466" spans="1:10" x14ac:dyDescent="0.25">
      <c r="A466" s="4">
        <f>_xlfn.XLOOKUP(E466,'Data Validation'!$M$3:$M$10,'Data Validation'!$N$3:$N$10)</f>
        <v>1</v>
      </c>
      <c r="B466" s="4">
        <v>15</v>
      </c>
      <c r="C466" s="4" t="s">
        <v>11</v>
      </c>
      <c r="D466" s="7">
        <v>25.96</v>
      </c>
      <c r="E466" s="4" t="s">
        <v>18</v>
      </c>
      <c r="F466" s="4" t="s">
        <v>17</v>
      </c>
      <c r="G466" s="4" t="s">
        <v>50</v>
      </c>
      <c r="H466" s="4" t="s">
        <v>44</v>
      </c>
      <c r="I466" s="5">
        <v>45717</v>
      </c>
      <c r="J466" s="4">
        <f t="shared" si="7"/>
        <v>4</v>
      </c>
    </row>
    <row r="467" spans="1:10" x14ac:dyDescent="0.25">
      <c r="A467" s="4">
        <f>_xlfn.XLOOKUP(E467,'Data Validation'!$M$3:$M$10,'Data Validation'!$N$3:$N$10)</f>
        <v>1</v>
      </c>
      <c r="B467" s="4">
        <v>17</v>
      </c>
      <c r="C467" s="4" t="s">
        <v>11</v>
      </c>
      <c r="D467" s="7">
        <v>25.96</v>
      </c>
      <c r="E467" s="4" t="s">
        <v>18</v>
      </c>
      <c r="F467" s="4" t="s">
        <v>20</v>
      </c>
      <c r="G467" s="4" t="s">
        <v>50</v>
      </c>
      <c r="H467" s="4" t="s">
        <v>44</v>
      </c>
      <c r="I467" s="5">
        <v>45717</v>
      </c>
      <c r="J467" s="4">
        <f t="shared" si="7"/>
        <v>4</v>
      </c>
    </row>
    <row r="468" spans="1:10" x14ac:dyDescent="0.25">
      <c r="A468" s="4">
        <f>_xlfn.XLOOKUP(E468,'Data Validation'!$M$3:$M$10,'Data Validation'!$N$3:$N$10)</f>
        <v>1</v>
      </c>
      <c r="B468" s="4">
        <v>15</v>
      </c>
      <c r="C468" s="4" t="s">
        <v>11</v>
      </c>
      <c r="D468" s="7">
        <v>25.96</v>
      </c>
      <c r="E468" s="4" t="s">
        <v>18</v>
      </c>
      <c r="F468" s="4" t="s">
        <v>17</v>
      </c>
      <c r="G468" s="4" t="s">
        <v>51</v>
      </c>
      <c r="H468" s="4" t="s">
        <v>44</v>
      </c>
      <c r="I468" s="5">
        <v>45718</v>
      </c>
      <c r="J468" s="4">
        <f t="shared" si="7"/>
        <v>4</v>
      </c>
    </row>
    <row r="469" spans="1:10" x14ac:dyDescent="0.25">
      <c r="A469" s="4">
        <f>_xlfn.XLOOKUP(E469,'Data Validation'!$M$3:$M$10,'Data Validation'!$N$3:$N$10)</f>
        <v>1</v>
      </c>
      <c r="B469" s="4">
        <v>15</v>
      </c>
      <c r="C469" s="4" t="s">
        <v>11</v>
      </c>
      <c r="D469" s="7">
        <v>25.96</v>
      </c>
      <c r="E469" s="4" t="s">
        <v>18</v>
      </c>
      <c r="F469" s="4" t="s">
        <v>17</v>
      </c>
      <c r="G469" s="4" t="s">
        <v>51</v>
      </c>
      <c r="H469" s="4" t="s">
        <v>44</v>
      </c>
      <c r="I469" s="5">
        <v>45718</v>
      </c>
      <c r="J469" s="4">
        <f t="shared" si="7"/>
        <v>4</v>
      </c>
    </row>
    <row r="470" spans="1:10" x14ac:dyDescent="0.25">
      <c r="A470" s="4">
        <f>_xlfn.XLOOKUP(E470,'Data Validation'!$M$3:$M$10,'Data Validation'!$N$3:$N$10)</f>
        <v>1</v>
      </c>
      <c r="B470" s="4">
        <v>15</v>
      </c>
      <c r="C470" s="4" t="s">
        <v>11</v>
      </c>
      <c r="D470" s="7">
        <v>25.96</v>
      </c>
      <c r="E470" s="4" t="s">
        <v>18</v>
      </c>
      <c r="F470" s="4" t="s">
        <v>17</v>
      </c>
      <c r="G470" s="4" t="s">
        <v>45</v>
      </c>
      <c r="H470" s="4" t="s">
        <v>44</v>
      </c>
      <c r="I470" s="5">
        <v>45719</v>
      </c>
      <c r="J470" s="4">
        <f t="shared" si="7"/>
        <v>4</v>
      </c>
    </row>
    <row r="471" spans="1:10" x14ac:dyDescent="0.25">
      <c r="A471" s="4">
        <f>_xlfn.XLOOKUP(E471,'Data Validation'!$M$3:$M$10,'Data Validation'!$N$3:$N$10)</f>
        <v>1</v>
      </c>
      <c r="B471" s="4">
        <v>16</v>
      </c>
      <c r="C471" s="4" t="s">
        <v>11</v>
      </c>
      <c r="D471" s="7">
        <v>25.96</v>
      </c>
      <c r="E471" s="4" t="s">
        <v>18</v>
      </c>
      <c r="F471" s="4" t="s">
        <v>17</v>
      </c>
      <c r="G471" s="4" t="s">
        <v>45</v>
      </c>
      <c r="H471" s="4" t="s">
        <v>44</v>
      </c>
      <c r="I471" s="5">
        <v>45719</v>
      </c>
      <c r="J471" s="4">
        <f t="shared" si="7"/>
        <v>4</v>
      </c>
    </row>
    <row r="472" spans="1:10" x14ac:dyDescent="0.25">
      <c r="A472" s="4">
        <f>_xlfn.XLOOKUP(E472,'Data Validation'!$M$3:$M$10,'Data Validation'!$N$3:$N$10)</f>
        <v>1</v>
      </c>
      <c r="B472" s="4">
        <v>17</v>
      </c>
      <c r="C472" s="4" t="s">
        <v>11</v>
      </c>
      <c r="D472" s="7">
        <v>25.96</v>
      </c>
      <c r="E472" s="4" t="s">
        <v>18</v>
      </c>
      <c r="F472" s="4" t="s">
        <v>20</v>
      </c>
      <c r="G472" s="4" t="s">
        <v>45</v>
      </c>
      <c r="H472" s="4" t="s">
        <v>44</v>
      </c>
      <c r="I472" s="5">
        <v>45719</v>
      </c>
      <c r="J472" s="4">
        <f t="shared" si="7"/>
        <v>4</v>
      </c>
    </row>
    <row r="473" spans="1:10" x14ac:dyDescent="0.25">
      <c r="A473" s="4">
        <f>_xlfn.XLOOKUP(E473,'Data Validation'!$M$3:$M$10,'Data Validation'!$N$3:$N$10)</f>
        <v>1</v>
      </c>
      <c r="B473" s="4">
        <v>17</v>
      </c>
      <c r="C473" s="4" t="s">
        <v>11</v>
      </c>
      <c r="D473" s="7">
        <v>25.96</v>
      </c>
      <c r="E473" s="4" t="s">
        <v>18</v>
      </c>
      <c r="F473" s="4" t="s">
        <v>20</v>
      </c>
      <c r="G473" s="4" t="s">
        <v>45</v>
      </c>
      <c r="H473" s="4" t="s">
        <v>44</v>
      </c>
      <c r="I473" s="5">
        <v>45719</v>
      </c>
      <c r="J473" s="4">
        <f t="shared" si="7"/>
        <v>4</v>
      </c>
    </row>
    <row r="474" spans="1:10" x14ac:dyDescent="0.25">
      <c r="A474" s="4">
        <f>_xlfn.XLOOKUP(E474,'Data Validation'!$M$3:$M$10,'Data Validation'!$N$3:$N$10)</f>
        <v>1</v>
      </c>
      <c r="B474" s="4">
        <v>7</v>
      </c>
      <c r="C474" s="4" t="s">
        <v>11</v>
      </c>
      <c r="D474" s="7">
        <v>25.96</v>
      </c>
      <c r="E474" s="4" t="s">
        <v>18</v>
      </c>
      <c r="F474" s="4" t="s">
        <v>13</v>
      </c>
      <c r="G474" s="4" t="s">
        <v>46</v>
      </c>
      <c r="H474" s="4" t="s">
        <v>44</v>
      </c>
      <c r="I474" s="5">
        <v>45720</v>
      </c>
      <c r="J474" s="4">
        <f t="shared" si="7"/>
        <v>4</v>
      </c>
    </row>
    <row r="475" spans="1:10" x14ac:dyDescent="0.25">
      <c r="A475" s="4">
        <f>_xlfn.XLOOKUP(E475,'Data Validation'!$M$3:$M$10,'Data Validation'!$N$3:$N$10)</f>
        <v>1</v>
      </c>
      <c r="B475" s="4">
        <v>9</v>
      </c>
      <c r="C475" s="4" t="s">
        <v>11</v>
      </c>
      <c r="D475" s="7">
        <v>25.96</v>
      </c>
      <c r="E475" s="4" t="s">
        <v>18</v>
      </c>
      <c r="F475" s="4" t="s">
        <v>13</v>
      </c>
      <c r="G475" s="4" t="s">
        <v>46</v>
      </c>
      <c r="H475" s="4" t="s">
        <v>44</v>
      </c>
      <c r="I475" s="5">
        <v>45720</v>
      </c>
      <c r="J475" s="4">
        <f t="shared" si="7"/>
        <v>4</v>
      </c>
    </row>
    <row r="476" spans="1:10" x14ac:dyDescent="0.25">
      <c r="A476" s="4">
        <f>_xlfn.XLOOKUP(E476,'Data Validation'!$M$3:$M$10,'Data Validation'!$N$3:$N$10)</f>
        <v>1</v>
      </c>
      <c r="B476" s="4">
        <v>9</v>
      </c>
      <c r="C476" s="4" t="s">
        <v>11</v>
      </c>
      <c r="D476" s="7">
        <v>25.96</v>
      </c>
      <c r="E476" s="4" t="s">
        <v>18</v>
      </c>
      <c r="F476" s="4" t="s">
        <v>13</v>
      </c>
      <c r="G476" s="4" t="s">
        <v>46</v>
      </c>
      <c r="H476" s="4" t="s">
        <v>44</v>
      </c>
      <c r="I476" s="5">
        <v>45720</v>
      </c>
      <c r="J476" s="4">
        <f t="shared" si="7"/>
        <v>4</v>
      </c>
    </row>
    <row r="477" spans="1:10" x14ac:dyDescent="0.25">
      <c r="A477" s="4">
        <f>_xlfn.XLOOKUP(E477,'Data Validation'!$M$3:$M$10,'Data Validation'!$N$3:$N$10)</f>
        <v>1</v>
      </c>
      <c r="B477" s="4">
        <v>9</v>
      </c>
      <c r="C477" s="4" t="s">
        <v>11</v>
      </c>
      <c r="D477" s="7">
        <v>25.96</v>
      </c>
      <c r="E477" s="4" t="s">
        <v>18</v>
      </c>
      <c r="F477" s="4" t="s">
        <v>13</v>
      </c>
      <c r="G477" s="4" t="s">
        <v>46</v>
      </c>
      <c r="H477" s="4" t="s">
        <v>44</v>
      </c>
      <c r="I477" s="5">
        <v>45720</v>
      </c>
      <c r="J477" s="4">
        <f t="shared" si="7"/>
        <v>4</v>
      </c>
    </row>
    <row r="478" spans="1:10" x14ac:dyDescent="0.25">
      <c r="A478" s="4">
        <f>_xlfn.XLOOKUP(E478,'Data Validation'!$M$3:$M$10,'Data Validation'!$N$3:$N$10)</f>
        <v>1</v>
      </c>
      <c r="B478" s="4">
        <v>11</v>
      </c>
      <c r="C478" s="4" t="s">
        <v>11</v>
      </c>
      <c r="D478" s="7">
        <v>25.96</v>
      </c>
      <c r="E478" s="4" t="s">
        <v>18</v>
      </c>
      <c r="F478" s="4" t="s">
        <v>13</v>
      </c>
      <c r="G478" s="4" t="s">
        <v>46</v>
      </c>
      <c r="H478" s="4" t="s">
        <v>44</v>
      </c>
      <c r="I478" s="5">
        <v>45720</v>
      </c>
      <c r="J478" s="4">
        <f t="shared" si="7"/>
        <v>4</v>
      </c>
    </row>
    <row r="479" spans="1:10" x14ac:dyDescent="0.25">
      <c r="A479" s="4">
        <f>_xlfn.XLOOKUP(E479,'Data Validation'!$M$3:$M$10,'Data Validation'!$N$3:$N$10)</f>
        <v>1</v>
      </c>
      <c r="B479" s="4">
        <v>11</v>
      </c>
      <c r="C479" s="4" t="s">
        <v>11</v>
      </c>
      <c r="D479" s="7">
        <v>25.96</v>
      </c>
      <c r="E479" s="4" t="s">
        <v>18</v>
      </c>
      <c r="F479" s="4" t="s">
        <v>13</v>
      </c>
      <c r="G479" s="4" t="s">
        <v>46</v>
      </c>
      <c r="H479" s="4" t="s">
        <v>44</v>
      </c>
      <c r="I479" s="5">
        <v>45720</v>
      </c>
      <c r="J479" s="4">
        <f t="shared" si="7"/>
        <v>4</v>
      </c>
    </row>
    <row r="480" spans="1:10" x14ac:dyDescent="0.25">
      <c r="A480" s="4">
        <f>_xlfn.XLOOKUP(E480,'Data Validation'!$M$3:$M$10,'Data Validation'!$N$3:$N$10)</f>
        <v>1</v>
      </c>
      <c r="B480" s="4">
        <v>11</v>
      </c>
      <c r="C480" s="4" t="s">
        <v>11</v>
      </c>
      <c r="D480" s="7">
        <v>25.96</v>
      </c>
      <c r="E480" s="4" t="s">
        <v>18</v>
      </c>
      <c r="F480" s="4" t="s">
        <v>13</v>
      </c>
      <c r="G480" s="4" t="s">
        <v>46</v>
      </c>
      <c r="H480" s="4" t="s">
        <v>44</v>
      </c>
      <c r="I480" s="5">
        <v>45720</v>
      </c>
      <c r="J480" s="4">
        <f t="shared" si="7"/>
        <v>4</v>
      </c>
    </row>
    <row r="481" spans="1:10" x14ac:dyDescent="0.25">
      <c r="A481" s="4">
        <f>_xlfn.XLOOKUP(E481,'Data Validation'!$M$3:$M$10,'Data Validation'!$N$3:$N$10)</f>
        <v>1</v>
      </c>
      <c r="B481" s="4">
        <v>11</v>
      </c>
      <c r="C481" s="4" t="s">
        <v>11</v>
      </c>
      <c r="D481" s="7">
        <v>25.96</v>
      </c>
      <c r="E481" s="4" t="s">
        <v>18</v>
      </c>
      <c r="F481" s="4" t="s">
        <v>13</v>
      </c>
      <c r="G481" s="4" t="s">
        <v>46</v>
      </c>
      <c r="H481" s="4" t="s">
        <v>44</v>
      </c>
      <c r="I481" s="5">
        <v>45720</v>
      </c>
      <c r="J481" s="4">
        <f t="shared" si="7"/>
        <v>4</v>
      </c>
    </row>
    <row r="482" spans="1:10" x14ac:dyDescent="0.25">
      <c r="A482" s="4">
        <f>_xlfn.XLOOKUP(E482,'Data Validation'!$M$3:$M$10,'Data Validation'!$N$3:$N$10)</f>
        <v>1</v>
      </c>
      <c r="B482" s="4">
        <v>16</v>
      </c>
      <c r="C482" s="4" t="s">
        <v>11</v>
      </c>
      <c r="D482" s="7">
        <v>25.96</v>
      </c>
      <c r="E482" s="4" t="s">
        <v>18</v>
      </c>
      <c r="F482" s="4" t="s">
        <v>17</v>
      </c>
      <c r="G482" s="4" t="s">
        <v>46</v>
      </c>
      <c r="H482" s="4" t="s">
        <v>44</v>
      </c>
      <c r="I482" s="5">
        <v>45720</v>
      </c>
      <c r="J482" s="4">
        <f t="shared" si="7"/>
        <v>4</v>
      </c>
    </row>
    <row r="483" spans="1:10" x14ac:dyDescent="0.25">
      <c r="A483" s="4">
        <f>_xlfn.XLOOKUP(E483,'Data Validation'!$M$3:$M$10,'Data Validation'!$N$3:$N$10)</f>
        <v>1</v>
      </c>
      <c r="B483" s="4">
        <v>9</v>
      </c>
      <c r="C483" s="4" t="s">
        <v>11</v>
      </c>
      <c r="D483" s="7">
        <v>25.96</v>
      </c>
      <c r="E483" s="4" t="s">
        <v>18</v>
      </c>
      <c r="F483" s="4" t="s">
        <v>13</v>
      </c>
      <c r="G483" s="4" t="s">
        <v>47</v>
      </c>
      <c r="H483" s="4" t="s">
        <v>44</v>
      </c>
      <c r="I483" s="5">
        <v>45721</v>
      </c>
      <c r="J483" s="4">
        <f t="shared" si="7"/>
        <v>4</v>
      </c>
    </row>
    <row r="484" spans="1:10" x14ac:dyDescent="0.25">
      <c r="A484" s="4">
        <f>_xlfn.XLOOKUP(E484,'Data Validation'!$M$3:$M$10,'Data Validation'!$N$3:$N$10)</f>
        <v>1</v>
      </c>
      <c r="B484" s="4">
        <v>10</v>
      </c>
      <c r="C484" s="4" t="s">
        <v>11</v>
      </c>
      <c r="D484" s="7">
        <v>25.96</v>
      </c>
      <c r="E484" s="4" t="s">
        <v>18</v>
      </c>
      <c r="F484" s="4" t="s">
        <v>13</v>
      </c>
      <c r="G484" s="4" t="s">
        <v>47</v>
      </c>
      <c r="H484" s="4" t="s">
        <v>44</v>
      </c>
      <c r="I484" s="5">
        <v>45721</v>
      </c>
      <c r="J484" s="4">
        <f t="shared" si="7"/>
        <v>4</v>
      </c>
    </row>
    <row r="485" spans="1:10" x14ac:dyDescent="0.25">
      <c r="A485" s="4">
        <f>_xlfn.XLOOKUP(E485,'Data Validation'!$M$3:$M$10,'Data Validation'!$N$3:$N$10)</f>
        <v>1</v>
      </c>
      <c r="B485" s="4">
        <v>10</v>
      </c>
      <c r="C485" s="4" t="s">
        <v>11</v>
      </c>
      <c r="D485" s="7">
        <v>25.96</v>
      </c>
      <c r="E485" s="4" t="s">
        <v>18</v>
      </c>
      <c r="F485" s="4" t="s">
        <v>13</v>
      </c>
      <c r="G485" s="4" t="s">
        <v>47</v>
      </c>
      <c r="H485" s="4" t="s">
        <v>44</v>
      </c>
      <c r="I485" s="5">
        <v>45721</v>
      </c>
      <c r="J485" s="4">
        <f t="shared" si="7"/>
        <v>4</v>
      </c>
    </row>
    <row r="486" spans="1:10" x14ac:dyDescent="0.25">
      <c r="A486" s="4">
        <f>_xlfn.XLOOKUP(E486,'Data Validation'!$M$3:$M$10,'Data Validation'!$N$3:$N$10)</f>
        <v>1</v>
      </c>
      <c r="B486" s="4">
        <v>11</v>
      </c>
      <c r="C486" s="4" t="s">
        <v>11</v>
      </c>
      <c r="D486" s="7">
        <v>25.96</v>
      </c>
      <c r="E486" s="4" t="s">
        <v>18</v>
      </c>
      <c r="F486" s="4" t="s">
        <v>13</v>
      </c>
      <c r="G486" s="4" t="s">
        <v>47</v>
      </c>
      <c r="H486" s="4" t="s">
        <v>44</v>
      </c>
      <c r="I486" s="5">
        <v>45721</v>
      </c>
      <c r="J486" s="4">
        <f t="shared" si="7"/>
        <v>4</v>
      </c>
    </row>
    <row r="487" spans="1:10" x14ac:dyDescent="0.25">
      <c r="A487" s="4">
        <f>_xlfn.XLOOKUP(E487,'Data Validation'!$M$3:$M$10,'Data Validation'!$N$3:$N$10)</f>
        <v>1</v>
      </c>
      <c r="B487" s="4">
        <v>11</v>
      </c>
      <c r="C487" s="4" t="s">
        <v>11</v>
      </c>
      <c r="D487" s="7">
        <v>25.96</v>
      </c>
      <c r="E487" s="4" t="s">
        <v>18</v>
      </c>
      <c r="F487" s="4" t="s">
        <v>13</v>
      </c>
      <c r="G487" s="4" t="s">
        <v>47</v>
      </c>
      <c r="H487" s="4" t="s">
        <v>44</v>
      </c>
      <c r="I487" s="5">
        <v>45721</v>
      </c>
      <c r="J487" s="4">
        <f t="shared" si="7"/>
        <v>4</v>
      </c>
    </row>
    <row r="488" spans="1:10" x14ac:dyDescent="0.25">
      <c r="A488" s="4">
        <f>_xlfn.XLOOKUP(E488,'Data Validation'!$M$3:$M$10,'Data Validation'!$N$3:$N$10)</f>
        <v>1</v>
      </c>
      <c r="B488" s="4">
        <v>12</v>
      </c>
      <c r="C488" s="4" t="s">
        <v>11</v>
      </c>
      <c r="D488" s="7">
        <v>25.96</v>
      </c>
      <c r="E488" s="4" t="s">
        <v>18</v>
      </c>
      <c r="F488" s="4" t="s">
        <v>17</v>
      </c>
      <c r="G488" s="4" t="s">
        <v>47</v>
      </c>
      <c r="H488" s="4" t="s">
        <v>44</v>
      </c>
      <c r="I488" s="5">
        <v>45721</v>
      </c>
      <c r="J488" s="4">
        <f t="shared" si="7"/>
        <v>4</v>
      </c>
    </row>
    <row r="489" spans="1:10" x14ac:dyDescent="0.25">
      <c r="A489" s="4">
        <f>_xlfn.XLOOKUP(E489,'Data Validation'!$M$3:$M$10,'Data Validation'!$N$3:$N$10)</f>
        <v>1</v>
      </c>
      <c r="B489" s="4">
        <v>10</v>
      </c>
      <c r="C489" s="4" t="s">
        <v>11</v>
      </c>
      <c r="D489" s="7">
        <v>25.96</v>
      </c>
      <c r="E489" s="4" t="s">
        <v>18</v>
      </c>
      <c r="F489" s="4" t="s">
        <v>13</v>
      </c>
      <c r="G489" s="4" t="s">
        <v>48</v>
      </c>
      <c r="H489" s="4" t="s">
        <v>44</v>
      </c>
      <c r="I489" s="5">
        <v>45722</v>
      </c>
      <c r="J489" s="4">
        <f t="shared" si="7"/>
        <v>4</v>
      </c>
    </row>
    <row r="490" spans="1:10" x14ac:dyDescent="0.25">
      <c r="A490" s="4">
        <f>_xlfn.XLOOKUP(E490,'Data Validation'!$M$3:$M$10,'Data Validation'!$N$3:$N$10)</f>
        <v>1</v>
      </c>
      <c r="B490" s="4">
        <v>10</v>
      </c>
      <c r="C490" s="4" t="s">
        <v>11</v>
      </c>
      <c r="D490" s="7">
        <v>25.96</v>
      </c>
      <c r="E490" s="4" t="s">
        <v>18</v>
      </c>
      <c r="F490" s="4" t="s">
        <v>13</v>
      </c>
      <c r="G490" s="4" t="s">
        <v>48</v>
      </c>
      <c r="H490" s="4" t="s">
        <v>44</v>
      </c>
      <c r="I490" s="5">
        <v>45722</v>
      </c>
      <c r="J490" s="4">
        <f t="shared" si="7"/>
        <v>4</v>
      </c>
    </row>
    <row r="491" spans="1:10" x14ac:dyDescent="0.25">
      <c r="A491" s="4">
        <f>_xlfn.XLOOKUP(E491,'Data Validation'!$M$3:$M$10,'Data Validation'!$N$3:$N$10)</f>
        <v>1</v>
      </c>
      <c r="B491" s="4">
        <v>11</v>
      </c>
      <c r="C491" s="4" t="s">
        <v>11</v>
      </c>
      <c r="D491" s="7">
        <v>25.96</v>
      </c>
      <c r="E491" s="4" t="s">
        <v>18</v>
      </c>
      <c r="F491" s="4" t="s">
        <v>13</v>
      </c>
      <c r="G491" s="4" t="s">
        <v>48</v>
      </c>
      <c r="H491" s="4" t="s">
        <v>44</v>
      </c>
      <c r="I491" s="5">
        <v>45722</v>
      </c>
      <c r="J491" s="4">
        <f t="shared" si="7"/>
        <v>4</v>
      </c>
    </row>
    <row r="492" spans="1:10" x14ac:dyDescent="0.25">
      <c r="A492" s="4">
        <f>_xlfn.XLOOKUP(E492,'Data Validation'!$M$3:$M$10,'Data Validation'!$N$3:$N$10)</f>
        <v>1</v>
      </c>
      <c r="B492" s="4">
        <v>8</v>
      </c>
      <c r="C492" s="4" t="s">
        <v>11</v>
      </c>
      <c r="D492" s="7">
        <v>25.96</v>
      </c>
      <c r="E492" s="4" t="s">
        <v>18</v>
      </c>
      <c r="F492" s="4" t="s">
        <v>13</v>
      </c>
      <c r="G492" s="4" t="s">
        <v>49</v>
      </c>
      <c r="H492" s="4" t="s">
        <v>44</v>
      </c>
      <c r="I492" s="5">
        <v>45723</v>
      </c>
      <c r="J492" s="4">
        <f t="shared" si="7"/>
        <v>4</v>
      </c>
    </row>
    <row r="493" spans="1:10" x14ac:dyDescent="0.25">
      <c r="A493" s="4">
        <f>_xlfn.XLOOKUP(E493,'Data Validation'!$M$3:$M$10,'Data Validation'!$N$3:$N$10)</f>
        <v>1</v>
      </c>
      <c r="B493" s="4">
        <v>8</v>
      </c>
      <c r="C493" s="4" t="s">
        <v>11</v>
      </c>
      <c r="D493" s="7">
        <v>25.96</v>
      </c>
      <c r="E493" s="4" t="s">
        <v>18</v>
      </c>
      <c r="F493" s="4" t="s">
        <v>13</v>
      </c>
      <c r="G493" s="4" t="s">
        <v>49</v>
      </c>
      <c r="H493" s="4" t="s">
        <v>44</v>
      </c>
      <c r="I493" s="5">
        <v>45723</v>
      </c>
      <c r="J493" s="4">
        <f t="shared" si="7"/>
        <v>4</v>
      </c>
    </row>
    <row r="494" spans="1:10" x14ac:dyDescent="0.25">
      <c r="A494" s="4">
        <f>_xlfn.XLOOKUP(E494,'Data Validation'!$M$3:$M$10,'Data Validation'!$N$3:$N$10)</f>
        <v>1</v>
      </c>
      <c r="B494" s="4">
        <v>9</v>
      </c>
      <c r="C494" s="4" t="s">
        <v>11</v>
      </c>
      <c r="D494" s="7">
        <v>25.96</v>
      </c>
      <c r="E494" s="4" t="s">
        <v>18</v>
      </c>
      <c r="F494" s="4" t="s">
        <v>13</v>
      </c>
      <c r="G494" s="4" t="s">
        <v>49</v>
      </c>
      <c r="H494" s="4" t="s">
        <v>44</v>
      </c>
      <c r="I494" s="5">
        <v>45723</v>
      </c>
      <c r="J494" s="4">
        <f t="shared" si="7"/>
        <v>4</v>
      </c>
    </row>
    <row r="495" spans="1:10" x14ac:dyDescent="0.25">
      <c r="A495" s="4">
        <f>_xlfn.XLOOKUP(E495,'Data Validation'!$M$3:$M$10,'Data Validation'!$N$3:$N$10)</f>
        <v>1</v>
      </c>
      <c r="B495" s="4">
        <v>13</v>
      </c>
      <c r="C495" s="4" t="s">
        <v>11</v>
      </c>
      <c r="D495" s="7">
        <v>25.96</v>
      </c>
      <c r="E495" s="4" t="s">
        <v>18</v>
      </c>
      <c r="F495" s="4" t="s">
        <v>17</v>
      </c>
      <c r="G495" s="4" t="s">
        <v>49</v>
      </c>
      <c r="H495" s="4" t="s">
        <v>44</v>
      </c>
      <c r="I495" s="5">
        <v>45723</v>
      </c>
      <c r="J495" s="4">
        <f t="shared" si="7"/>
        <v>4</v>
      </c>
    </row>
    <row r="496" spans="1:10" x14ac:dyDescent="0.25">
      <c r="A496" s="4">
        <f>_xlfn.XLOOKUP(E496,'Data Validation'!$M$3:$M$10,'Data Validation'!$N$3:$N$10)</f>
        <v>1</v>
      </c>
      <c r="B496" s="4">
        <v>10</v>
      </c>
      <c r="C496" s="4" t="s">
        <v>11</v>
      </c>
      <c r="D496" s="7">
        <v>25.96</v>
      </c>
      <c r="E496" s="4" t="s">
        <v>18</v>
      </c>
      <c r="F496" s="4" t="s">
        <v>13</v>
      </c>
      <c r="G496" s="4" t="s">
        <v>50</v>
      </c>
      <c r="H496" s="4" t="s">
        <v>44</v>
      </c>
      <c r="I496" s="5">
        <v>45724</v>
      </c>
      <c r="J496" s="4">
        <f t="shared" si="7"/>
        <v>4</v>
      </c>
    </row>
    <row r="497" spans="1:10" x14ac:dyDescent="0.25">
      <c r="A497" s="4">
        <f>_xlfn.XLOOKUP(E497,'Data Validation'!$M$3:$M$10,'Data Validation'!$N$3:$N$10)</f>
        <v>1</v>
      </c>
      <c r="B497" s="4">
        <v>11</v>
      </c>
      <c r="C497" s="4" t="s">
        <v>11</v>
      </c>
      <c r="D497" s="7">
        <v>25.96</v>
      </c>
      <c r="E497" s="4" t="s">
        <v>18</v>
      </c>
      <c r="F497" s="4" t="s">
        <v>13</v>
      </c>
      <c r="G497" s="4" t="s">
        <v>50</v>
      </c>
      <c r="H497" s="4" t="s">
        <v>44</v>
      </c>
      <c r="I497" s="5">
        <v>45724</v>
      </c>
      <c r="J497" s="4">
        <f t="shared" si="7"/>
        <v>4</v>
      </c>
    </row>
    <row r="498" spans="1:10" x14ac:dyDescent="0.25">
      <c r="A498" s="4">
        <f>_xlfn.XLOOKUP(E498,'Data Validation'!$M$3:$M$10,'Data Validation'!$N$3:$N$10)</f>
        <v>1</v>
      </c>
      <c r="B498" s="4">
        <v>11</v>
      </c>
      <c r="C498" s="4" t="s">
        <v>11</v>
      </c>
      <c r="D498" s="7">
        <v>25.96</v>
      </c>
      <c r="E498" s="4" t="s">
        <v>18</v>
      </c>
      <c r="F498" s="4" t="s">
        <v>13</v>
      </c>
      <c r="G498" s="4" t="s">
        <v>50</v>
      </c>
      <c r="H498" s="4" t="s">
        <v>44</v>
      </c>
      <c r="I498" s="5">
        <v>45724</v>
      </c>
      <c r="J498" s="4">
        <f t="shared" si="7"/>
        <v>4</v>
      </c>
    </row>
    <row r="499" spans="1:10" x14ac:dyDescent="0.25">
      <c r="A499" s="4">
        <f>_xlfn.XLOOKUP(E499,'Data Validation'!$M$3:$M$10,'Data Validation'!$N$3:$N$10)</f>
        <v>1</v>
      </c>
      <c r="B499" s="4">
        <v>12</v>
      </c>
      <c r="C499" s="4" t="s">
        <v>11</v>
      </c>
      <c r="D499" s="7">
        <v>25.96</v>
      </c>
      <c r="E499" s="4" t="s">
        <v>18</v>
      </c>
      <c r="F499" s="4" t="s">
        <v>17</v>
      </c>
      <c r="G499" s="4" t="s">
        <v>50</v>
      </c>
      <c r="H499" s="4" t="s">
        <v>44</v>
      </c>
      <c r="I499" s="5">
        <v>45724</v>
      </c>
      <c r="J499" s="4">
        <f t="shared" si="7"/>
        <v>4</v>
      </c>
    </row>
    <row r="500" spans="1:10" x14ac:dyDescent="0.25">
      <c r="A500" s="4">
        <f>_xlfn.XLOOKUP(E500,'Data Validation'!$M$3:$M$10,'Data Validation'!$N$3:$N$10)</f>
        <v>1</v>
      </c>
      <c r="B500" s="4">
        <v>14</v>
      </c>
      <c r="C500" s="4" t="s">
        <v>11</v>
      </c>
      <c r="D500" s="7">
        <v>25.96</v>
      </c>
      <c r="E500" s="4" t="s">
        <v>18</v>
      </c>
      <c r="F500" s="4" t="s">
        <v>17</v>
      </c>
      <c r="G500" s="4" t="s">
        <v>51</v>
      </c>
      <c r="H500" s="4" t="s">
        <v>44</v>
      </c>
      <c r="I500" s="5">
        <v>45725</v>
      </c>
      <c r="J500" s="4">
        <f t="shared" si="7"/>
        <v>4</v>
      </c>
    </row>
    <row r="501" spans="1:10" x14ac:dyDescent="0.25">
      <c r="A501" s="4">
        <f>_xlfn.XLOOKUP(E501,'Data Validation'!$M$3:$M$10,'Data Validation'!$N$3:$N$10)</f>
        <v>1</v>
      </c>
      <c r="B501" s="4">
        <v>15</v>
      </c>
      <c r="C501" s="4" t="s">
        <v>11</v>
      </c>
      <c r="D501" s="7">
        <v>25.96</v>
      </c>
      <c r="E501" s="4" t="s">
        <v>18</v>
      </c>
      <c r="F501" s="4" t="s">
        <v>17</v>
      </c>
      <c r="G501" s="4" t="s">
        <v>51</v>
      </c>
      <c r="H501" s="4" t="s">
        <v>44</v>
      </c>
      <c r="I501" s="5">
        <v>45725</v>
      </c>
      <c r="J501" s="4">
        <f t="shared" si="7"/>
        <v>4</v>
      </c>
    </row>
    <row r="502" spans="1:10" x14ac:dyDescent="0.25">
      <c r="A502" s="4">
        <f>_xlfn.XLOOKUP(E502,'Data Validation'!$M$3:$M$10,'Data Validation'!$N$3:$N$10)</f>
        <v>1</v>
      </c>
      <c r="B502" s="4">
        <v>8</v>
      </c>
      <c r="C502" s="4" t="s">
        <v>11</v>
      </c>
      <c r="D502" s="7">
        <v>25.96</v>
      </c>
      <c r="E502" s="4" t="s">
        <v>18</v>
      </c>
      <c r="F502" s="4" t="s">
        <v>13</v>
      </c>
      <c r="G502" s="4" t="s">
        <v>45</v>
      </c>
      <c r="H502" s="4" t="s">
        <v>44</v>
      </c>
      <c r="I502" s="5">
        <v>45726</v>
      </c>
      <c r="J502" s="4">
        <f t="shared" si="7"/>
        <v>4</v>
      </c>
    </row>
    <row r="503" spans="1:10" x14ac:dyDescent="0.25">
      <c r="A503" s="4">
        <f>_xlfn.XLOOKUP(E503,'Data Validation'!$M$3:$M$10,'Data Validation'!$N$3:$N$10)</f>
        <v>1</v>
      </c>
      <c r="B503" s="4">
        <v>12</v>
      </c>
      <c r="C503" s="4" t="s">
        <v>11</v>
      </c>
      <c r="D503" s="7">
        <v>25.96</v>
      </c>
      <c r="E503" s="4" t="s">
        <v>18</v>
      </c>
      <c r="F503" s="4" t="s">
        <v>17</v>
      </c>
      <c r="G503" s="4" t="s">
        <v>45</v>
      </c>
      <c r="H503" s="4" t="s">
        <v>44</v>
      </c>
      <c r="I503" s="5">
        <v>45726</v>
      </c>
      <c r="J503" s="4">
        <f t="shared" si="7"/>
        <v>4</v>
      </c>
    </row>
    <row r="504" spans="1:10" x14ac:dyDescent="0.25">
      <c r="A504" s="4">
        <f>_xlfn.XLOOKUP(E504,'Data Validation'!$M$3:$M$10,'Data Validation'!$N$3:$N$10)</f>
        <v>1</v>
      </c>
      <c r="B504" s="4">
        <v>15</v>
      </c>
      <c r="C504" s="4" t="s">
        <v>11</v>
      </c>
      <c r="D504" s="7">
        <v>25.96</v>
      </c>
      <c r="E504" s="4" t="s">
        <v>18</v>
      </c>
      <c r="F504" s="4" t="s">
        <v>17</v>
      </c>
      <c r="G504" s="4" t="s">
        <v>45</v>
      </c>
      <c r="H504" s="4" t="s">
        <v>44</v>
      </c>
      <c r="I504" s="5">
        <v>45726</v>
      </c>
      <c r="J504" s="4">
        <f t="shared" si="7"/>
        <v>4</v>
      </c>
    </row>
    <row r="505" spans="1:10" x14ac:dyDescent="0.25">
      <c r="A505" s="4">
        <f>_xlfn.XLOOKUP(E505,'Data Validation'!$M$3:$M$10,'Data Validation'!$N$3:$N$10)</f>
        <v>1</v>
      </c>
      <c r="B505" s="4">
        <v>18</v>
      </c>
      <c r="C505" s="4" t="s">
        <v>11</v>
      </c>
      <c r="D505" s="7">
        <v>25.96</v>
      </c>
      <c r="E505" s="4" t="s">
        <v>18</v>
      </c>
      <c r="F505" s="4" t="s">
        <v>20</v>
      </c>
      <c r="G505" s="4" t="s">
        <v>45</v>
      </c>
      <c r="H505" s="4" t="s">
        <v>44</v>
      </c>
      <c r="I505" s="5">
        <v>45726</v>
      </c>
      <c r="J505" s="4">
        <f t="shared" si="7"/>
        <v>4</v>
      </c>
    </row>
    <row r="506" spans="1:10" x14ac:dyDescent="0.25">
      <c r="A506" s="4">
        <f>_xlfn.XLOOKUP(E506,'Data Validation'!$M$3:$M$10,'Data Validation'!$N$3:$N$10)</f>
        <v>1</v>
      </c>
      <c r="B506" s="4">
        <v>8</v>
      </c>
      <c r="C506" s="4" t="s">
        <v>11</v>
      </c>
      <c r="D506" s="7">
        <v>25.96</v>
      </c>
      <c r="E506" s="4" t="s">
        <v>18</v>
      </c>
      <c r="F506" s="4" t="s">
        <v>13</v>
      </c>
      <c r="G506" s="4" t="s">
        <v>46</v>
      </c>
      <c r="H506" s="4" t="s">
        <v>44</v>
      </c>
      <c r="I506" s="5">
        <v>45727</v>
      </c>
      <c r="J506" s="4">
        <f t="shared" si="7"/>
        <v>4</v>
      </c>
    </row>
    <row r="507" spans="1:10" x14ac:dyDescent="0.25">
      <c r="A507" s="4">
        <f>_xlfn.XLOOKUP(E507,'Data Validation'!$M$3:$M$10,'Data Validation'!$N$3:$N$10)</f>
        <v>1</v>
      </c>
      <c r="B507" s="4">
        <v>10</v>
      </c>
      <c r="C507" s="4" t="s">
        <v>11</v>
      </c>
      <c r="D507" s="7">
        <v>25.96</v>
      </c>
      <c r="E507" s="4" t="s">
        <v>18</v>
      </c>
      <c r="F507" s="4" t="s">
        <v>13</v>
      </c>
      <c r="G507" s="4" t="s">
        <v>46</v>
      </c>
      <c r="H507" s="4" t="s">
        <v>44</v>
      </c>
      <c r="I507" s="5">
        <v>45727</v>
      </c>
      <c r="J507" s="4">
        <f t="shared" si="7"/>
        <v>4</v>
      </c>
    </row>
    <row r="508" spans="1:10" x14ac:dyDescent="0.25">
      <c r="A508" s="4">
        <f>_xlfn.XLOOKUP(E508,'Data Validation'!$M$3:$M$10,'Data Validation'!$N$3:$N$10)</f>
        <v>1</v>
      </c>
      <c r="B508" s="4">
        <v>12</v>
      </c>
      <c r="C508" s="4" t="s">
        <v>11</v>
      </c>
      <c r="D508" s="7">
        <v>25.96</v>
      </c>
      <c r="E508" s="4" t="s">
        <v>18</v>
      </c>
      <c r="F508" s="4" t="s">
        <v>17</v>
      </c>
      <c r="G508" s="4" t="s">
        <v>46</v>
      </c>
      <c r="H508" s="4" t="s">
        <v>44</v>
      </c>
      <c r="I508" s="5">
        <v>45727</v>
      </c>
      <c r="J508" s="4">
        <f t="shared" si="7"/>
        <v>4</v>
      </c>
    </row>
    <row r="509" spans="1:10" x14ac:dyDescent="0.25">
      <c r="A509" s="4">
        <f>_xlfn.XLOOKUP(E509,'Data Validation'!$M$3:$M$10,'Data Validation'!$N$3:$N$10)</f>
        <v>1</v>
      </c>
      <c r="B509" s="4">
        <v>13</v>
      </c>
      <c r="C509" s="4" t="s">
        <v>11</v>
      </c>
      <c r="D509" s="7">
        <v>25.96</v>
      </c>
      <c r="E509" s="4" t="s">
        <v>18</v>
      </c>
      <c r="F509" s="4" t="s">
        <v>17</v>
      </c>
      <c r="G509" s="4" t="s">
        <v>46</v>
      </c>
      <c r="H509" s="4" t="s">
        <v>44</v>
      </c>
      <c r="I509" s="5">
        <v>45727</v>
      </c>
      <c r="J509" s="4">
        <f t="shared" si="7"/>
        <v>4</v>
      </c>
    </row>
    <row r="510" spans="1:10" x14ac:dyDescent="0.25">
      <c r="A510" s="4">
        <f>_xlfn.XLOOKUP(E510,'Data Validation'!$M$3:$M$10,'Data Validation'!$N$3:$N$10)</f>
        <v>1</v>
      </c>
      <c r="B510" s="4">
        <v>11</v>
      </c>
      <c r="C510" s="4" t="s">
        <v>11</v>
      </c>
      <c r="D510" s="7">
        <v>25.96</v>
      </c>
      <c r="E510" s="4" t="s">
        <v>18</v>
      </c>
      <c r="F510" s="4" t="s">
        <v>13</v>
      </c>
      <c r="G510" s="4" t="s">
        <v>47</v>
      </c>
      <c r="H510" s="4" t="s">
        <v>44</v>
      </c>
      <c r="I510" s="5">
        <v>45728</v>
      </c>
      <c r="J510" s="4">
        <f t="shared" si="7"/>
        <v>4</v>
      </c>
    </row>
    <row r="511" spans="1:10" x14ac:dyDescent="0.25">
      <c r="A511" s="4">
        <f>_xlfn.XLOOKUP(E511,'Data Validation'!$M$3:$M$10,'Data Validation'!$N$3:$N$10)</f>
        <v>1</v>
      </c>
      <c r="B511" s="4">
        <v>11</v>
      </c>
      <c r="C511" s="4" t="s">
        <v>11</v>
      </c>
      <c r="D511" s="7">
        <v>25.96</v>
      </c>
      <c r="E511" s="4" t="s">
        <v>18</v>
      </c>
      <c r="F511" s="4" t="s">
        <v>13</v>
      </c>
      <c r="G511" s="4" t="s">
        <v>47</v>
      </c>
      <c r="H511" s="4" t="s">
        <v>44</v>
      </c>
      <c r="I511" s="5">
        <v>45728</v>
      </c>
      <c r="J511" s="4">
        <f t="shared" si="7"/>
        <v>4</v>
      </c>
    </row>
    <row r="512" spans="1:10" x14ac:dyDescent="0.25">
      <c r="A512" s="4">
        <f>_xlfn.XLOOKUP(E512,'Data Validation'!$M$3:$M$10,'Data Validation'!$N$3:$N$10)</f>
        <v>1</v>
      </c>
      <c r="B512" s="4">
        <v>12</v>
      </c>
      <c r="C512" s="4" t="s">
        <v>11</v>
      </c>
      <c r="D512" s="7">
        <v>25.96</v>
      </c>
      <c r="E512" s="4" t="s">
        <v>18</v>
      </c>
      <c r="F512" s="4" t="s">
        <v>17</v>
      </c>
      <c r="G512" s="4" t="s">
        <v>47</v>
      </c>
      <c r="H512" s="4" t="s">
        <v>44</v>
      </c>
      <c r="I512" s="5">
        <v>45728</v>
      </c>
      <c r="J512" s="4">
        <f t="shared" si="7"/>
        <v>4</v>
      </c>
    </row>
    <row r="513" spans="1:10" x14ac:dyDescent="0.25">
      <c r="A513" s="4">
        <f>_xlfn.XLOOKUP(E513,'Data Validation'!$M$3:$M$10,'Data Validation'!$N$3:$N$10)</f>
        <v>1</v>
      </c>
      <c r="B513" s="4">
        <v>18</v>
      </c>
      <c r="C513" s="4" t="s">
        <v>11</v>
      </c>
      <c r="D513" s="7">
        <v>25.96</v>
      </c>
      <c r="E513" s="4" t="s">
        <v>18</v>
      </c>
      <c r="F513" s="4" t="s">
        <v>20</v>
      </c>
      <c r="G513" s="4" t="s">
        <v>47</v>
      </c>
      <c r="H513" s="4" t="s">
        <v>44</v>
      </c>
      <c r="I513" s="5">
        <v>45728</v>
      </c>
      <c r="J513" s="4">
        <f t="shared" si="7"/>
        <v>4</v>
      </c>
    </row>
    <row r="514" spans="1:10" x14ac:dyDescent="0.25">
      <c r="A514" s="4">
        <f>_xlfn.XLOOKUP(E514,'Data Validation'!$M$3:$M$10,'Data Validation'!$N$3:$N$10)</f>
        <v>1</v>
      </c>
      <c r="B514" s="4">
        <v>18</v>
      </c>
      <c r="C514" s="4" t="s">
        <v>11</v>
      </c>
      <c r="D514" s="7">
        <v>25.96</v>
      </c>
      <c r="E514" s="4" t="s">
        <v>18</v>
      </c>
      <c r="F514" s="4" t="s">
        <v>20</v>
      </c>
      <c r="G514" s="4" t="s">
        <v>47</v>
      </c>
      <c r="H514" s="4" t="s">
        <v>44</v>
      </c>
      <c r="I514" s="5">
        <v>45728</v>
      </c>
      <c r="J514" s="4">
        <f t="shared" si="7"/>
        <v>4</v>
      </c>
    </row>
    <row r="515" spans="1:10" x14ac:dyDescent="0.25">
      <c r="A515" s="4">
        <f>_xlfn.XLOOKUP(E515,'Data Validation'!$M$3:$M$10,'Data Validation'!$N$3:$N$10)</f>
        <v>1</v>
      </c>
      <c r="B515" s="4">
        <v>18</v>
      </c>
      <c r="C515" s="4" t="s">
        <v>11</v>
      </c>
      <c r="D515" s="7">
        <v>25.96</v>
      </c>
      <c r="E515" s="4" t="s">
        <v>18</v>
      </c>
      <c r="F515" s="4" t="s">
        <v>20</v>
      </c>
      <c r="G515" s="4" t="s">
        <v>47</v>
      </c>
      <c r="H515" s="4" t="s">
        <v>44</v>
      </c>
      <c r="I515" s="5">
        <v>45728</v>
      </c>
      <c r="J515" s="4">
        <f t="shared" ref="J515:J578" si="8">IF(OR(E515&lt;&gt;E514,D515&lt;&gt;D514),J514+1,J514)</f>
        <v>4</v>
      </c>
    </row>
    <row r="516" spans="1:10" x14ac:dyDescent="0.25">
      <c r="A516" s="4">
        <f>_xlfn.XLOOKUP(E516,'Data Validation'!$M$3:$M$10,'Data Validation'!$N$3:$N$10)</f>
        <v>1</v>
      </c>
      <c r="B516" s="4">
        <v>9</v>
      </c>
      <c r="C516" s="4" t="s">
        <v>11</v>
      </c>
      <c r="D516" s="7">
        <v>25.96</v>
      </c>
      <c r="E516" s="4" t="s">
        <v>18</v>
      </c>
      <c r="F516" s="4" t="s">
        <v>13</v>
      </c>
      <c r="G516" s="4" t="s">
        <v>48</v>
      </c>
      <c r="H516" s="4" t="s">
        <v>44</v>
      </c>
      <c r="I516" s="5">
        <v>45729</v>
      </c>
      <c r="J516" s="4">
        <f t="shared" si="8"/>
        <v>4</v>
      </c>
    </row>
    <row r="517" spans="1:10" x14ac:dyDescent="0.25">
      <c r="A517" s="4">
        <f>_xlfn.XLOOKUP(E517,'Data Validation'!$M$3:$M$10,'Data Validation'!$N$3:$N$10)</f>
        <v>1</v>
      </c>
      <c r="B517" s="4">
        <v>11</v>
      </c>
      <c r="C517" s="4" t="s">
        <v>11</v>
      </c>
      <c r="D517" s="7">
        <v>25.96</v>
      </c>
      <c r="E517" s="4" t="s">
        <v>18</v>
      </c>
      <c r="F517" s="4" t="s">
        <v>13</v>
      </c>
      <c r="G517" s="4" t="s">
        <v>48</v>
      </c>
      <c r="H517" s="4" t="s">
        <v>44</v>
      </c>
      <c r="I517" s="5">
        <v>45729</v>
      </c>
      <c r="J517" s="4">
        <f t="shared" si="8"/>
        <v>4</v>
      </c>
    </row>
    <row r="518" spans="1:10" x14ac:dyDescent="0.25">
      <c r="A518" s="4">
        <f>_xlfn.XLOOKUP(E518,'Data Validation'!$M$3:$M$10,'Data Validation'!$N$3:$N$10)</f>
        <v>1</v>
      </c>
      <c r="B518" s="4">
        <v>14</v>
      </c>
      <c r="C518" s="4" t="s">
        <v>11</v>
      </c>
      <c r="D518" s="7">
        <v>25.96</v>
      </c>
      <c r="E518" s="4" t="s">
        <v>18</v>
      </c>
      <c r="F518" s="4" t="s">
        <v>17</v>
      </c>
      <c r="G518" s="4" t="s">
        <v>48</v>
      </c>
      <c r="H518" s="4" t="s">
        <v>44</v>
      </c>
      <c r="I518" s="5">
        <v>45729</v>
      </c>
      <c r="J518" s="4">
        <f t="shared" si="8"/>
        <v>4</v>
      </c>
    </row>
    <row r="519" spans="1:10" x14ac:dyDescent="0.25">
      <c r="A519" s="4">
        <f>_xlfn.XLOOKUP(E519,'Data Validation'!$M$3:$M$10,'Data Validation'!$N$3:$N$10)</f>
        <v>1</v>
      </c>
      <c r="B519" s="4">
        <v>7</v>
      </c>
      <c r="C519" s="4" t="s">
        <v>11</v>
      </c>
      <c r="D519" s="7">
        <v>25.96</v>
      </c>
      <c r="E519" s="4" t="s">
        <v>18</v>
      </c>
      <c r="F519" s="4" t="s">
        <v>13</v>
      </c>
      <c r="G519" s="4" t="s">
        <v>49</v>
      </c>
      <c r="H519" s="4" t="s">
        <v>44</v>
      </c>
      <c r="I519" s="5">
        <v>45730</v>
      </c>
      <c r="J519" s="4">
        <f t="shared" si="8"/>
        <v>4</v>
      </c>
    </row>
    <row r="520" spans="1:10" x14ac:dyDescent="0.25">
      <c r="A520" s="4">
        <f>_xlfn.XLOOKUP(E520,'Data Validation'!$M$3:$M$10,'Data Validation'!$N$3:$N$10)</f>
        <v>1</v>
      </c>
      <c r="B520" s="4">
        <v>8</v>
      </c>
      <c r="C520" s="4" t="s">
        <v>11</v>
      </c>
      <c r="D520" s="7">
        <v>25.96</v>
      </c>
      <c r="E520" s="4" t="s">
        <v>18</v>
      </c>
      <c r="F520" s="4" t="s">
        <v>13</v>
      </c>
      <c r="G520" s="4" t="s">
        <v>49</v>
      </c>
      <c r="H520" s="4" t="s">
        <v>44</v>
      </c>
      <c r="I520" s="5">
        <v>45730</v>
      </c>
      <c r="J520" s="4">
        <f t="shared" si="8"/>
        <v>4</v>
      </c>
    </row>
    <row r="521" spans="1:10" x14ac:dyDescent="0.25">
      <c r="A521" s="4">
        <f>_xlfn.XLOOKUP(E521,'Data Validation'!$M$3:$M$10,'Data Validation'!$N$3:$N$10)</f>
        <v>1</v>
      </c>
      <c r="B521" s="4">
        <v>9</v>
      </c>
      <c r="C521" s="4" t="s">
        <v>11</v>
      </c>
      <c r="D521" s="7">
        <v>25.96</v>
      </c>
      <c r="E521" s="4" t="s">
        <v>18</v>
      </c>
      <c r="F521" s="4" t="s">
        <v>13</v>
      </c>
      <c r="G521" s="4" t="s">
        <v>49</v>
      </c>
      <c r="H521" s="4" t="s">
        <v>44</v>
      </c>
      <c r="I521" s="5">
        <v>45730</v>
      </c>
      <c r="J521" s="4">
        <f t="shared" si="8"/>
        <v>4</v>
      </c>
    </row>
    <row r="522" spans="1:10" x14ac:dyDescent="0.25">
      <c r="A522" s="4">
        <f>_xlfn.XLOOKUP(E522,'Data Validation'!$M$3:$M$10,'Data Validation'!$N$3:$N$10)</f>
        <v>1</v>
      </c>
      <c r="B522" s="4">
        <v>10</v>
      </c>
      <c r="C522" s="4" t="s">
        <v>11</v>
      </c>
      <c r="D522" s="7">
        <v>25.96</v>
      </c>
      <c r="E522" s="4" t="s">
        <v>18</v>
      </c>
      <c r="F522" s="4" t="s">
        <v>13</v>
      </c>
      <c r="G522" s="4" t="s">
        <v>49</v>
      </c>
      <c r="H522" s="4" t="s">
        <v>44</v>
      </c>
      <c r="I522" s="5">
        <v>45730</v>
      </c>
      <c r="J522" s="4">
        <f t="shared" si="8"/>
        <v>4</v>
      </c>
    </row>
    <row r="523" spans="1:10" x14ac:dyDescent="0.25">
      <c r="A523" s="4">
        <f>_xlfn.XLOOKUP(E523,'Data Validation'!$M$3:$M$10,'Data Validation'!$N$3:$N$10)</f>
        <v>1</v>
      </c>
      <c r="B523" s="4">
        <v>14</v>
      </c>
      <c r="C523" s="4" t="s">
        <v>11</v>
      </c>
      <c r="D523" s="7">
        <v>25.96</v>
      </c>
      <c r="E523" s="4" t="s">
        <v>18</v>
      </c>
      <c r="F523" s="4" t="s">
        <v>17</v>
      </c>
      <c r="G523" s="4" t="s">
        <v>49</v>
      </c>
      <c r="H523" s="4" t="s">
        <v>44</v>
      </c>
      <c r="I523" s="5">
        <v>45730</v>
      </c>
      <c r="J523" s="4">
        <f t="shared" si="8"/>
        <v>4</v>
      </c>
    </row>
    <row r="524" spans="1:10" x14ac:dyDescent="0.25">
      <c r="A524" s="4">
        <f>_xlfn.XLOOKUP(E524,'Data Validation'!$M$3:$M$10,'Data Validation'!$N$3:$N$10)</f>
        <v>1</v>
      </c>
      <c r="B524" s="4">
        <v>16</v>
      </c>
      <c r="C524" s="4" t="s">
        <v>11</v>
      </c>
      <c r="D524" s="7">
        <v>25.96</v>
      </c>
      <c r="E524" s="4" t="s">
        <v>18</v>
      </c>
      <c r="F524" s="4" t="s">
        <v>17</v>
      </c>
      <c r="G524" s="4" t="s">
        <v>49</v>
      </c>
      <c r="H524" s="4" t="s">
        <v>44</v>
      </c>
      <c r="I524" s="5">
        <v>45730</v>
      </c>
      <c r="J524" s="4">
        <f t="shared" si="8"/>
        <v>4</v>
      </c>
    </row>
    <row r="525" spans="1:10" x14ac:dyDescent="0.25">
      <c r="A525" s="4">
        <f>_xlfn.XLOOKUP(E525,'Data Validation'!$M$3:$M$10,'Data Validation'!$N$3:$N$10)</f>
        <v>1</v>
      </c>
      <c r="B525" s="4">
        <v>17</v>
      </c>
      <c r="C525" s="4" t="s">
        <v>11</v>
      </c>
      <c r="D525" s="7">
        <v>25.96</v>
      </c>
      <c r="E525" s="4" t="s">
        <v>18</v>
      </c>
      <c r="F525" s="4" t="s">
        <v>20</v>
      </c>
      <c r="G525" s="4" t="s">
        <v>49</v>
      </c>
      <c r="H525" s="4" t="s">
        <v>44</v>
      </c>
      <c r="I525" s="5">
        <v>45730</v>
      </c>
      <c r="J525" s="4">
        <f t="shared" si="8"/>
        <v>4</v>
      </c>
    </row>
    <row r="526" spans="1:10" x14ac:dyDescent="0.25">
      <c r="A526" s="4">
        <f>_xlfn.XLOOKUP(E526,'Data Validation'!$M$3:$M$10,'Data Validation'!$N$3:$N$10)</f>
        <v>1</v>
      </c>
      <c r="B526" s="4">
        <v>17</v>
      </c>
      <c r="C526" s="4" t="s">
        <v>11</v>
      </c>
      <c r="D526" s="7">
        <v>25.96</v>
      </c>
      <c r="E526" s="4" t="s">
        <v>18</v>
      </c>
      <c r="F526" s="4" t="s">
        <v>20</v>
      </c>
      <c r="G526" s="4" t="s">
        <v>49</v>
      </c>
      <c r="H526" s="4" t="s">
        <v>44</v>
      </c>
      <c r="I526" s="5">
        <v>45730</v>
      </c>
      <c r="J526" s="4">
        <f t="shared" si="8"/>
        <v>4</v>
      </c>
    </row>
    <row r="527" spans="1:10" x14ac:dyDescent="0.25">
      <c r="A527" s="4">
        <f>_xlfn.XLOOKUP(E527,'Data Validation'!$M$3:$M$10,'Data Validation'!$N$3:$N$10)</f>
        <v>1</v>
      </c>
      <c r="B527" s="4">
        <v>20</v>
      </c>
      <c r="C527" s="4" t="s">
        <v>11</v>
      </c>
      <c r="D527" s="7">
        <v>25.96</v>
      </c>
      <c r="E527" s="4" t="s">
        <v>18</v>
      </c>
      <c r="F527" s="4" t="s">
        <v>20</v>
      </c>
      <c r="G527" s="4" t="s">
        <v>49</v>
      </c>
      <c r="H527" s="4" t="s">
        <v>44</v>
      </c>
      <c r="I527" s="5">
        <v>45730</v>
      </c>
      <c r="J527" s="4">
        <f t="shared" si="8"/>
        <v>4</v>
      </c>
    </row>
    <row r="528" spans="1:10" x14ac:dyDescent="0.25">
      <c r="A528" s="4">
        <f>_xlfn.XLOOKUP(E528,'Data Validation'!$M$3:$M$10,'Data Validation'!$N$3:$N$10)</f>
        <v>1</v>
      </c>
      <c r="B528" s="4">
        <v>21</v>
      </c>
      <c r="C528" s="4" t="s">
        <v>11</v>
      </c>
      <c r="D528" s="7">
        <v>25.96</v>
      </c>
      <c r="E528" s="4" t="s">
        <v>18</v>
      </c>
      <c r="F528" s="4" t="s">
        <v>20</v>
      </c>
      <c r="G528" s="4" t="s">
        <v>49</v>
      </c>
      <c r="H528" s="4" t="s">
        <v>44</v>
      </c>
      <c r="I528" s="5">
        <v>45730</v>
      </c>
      <c r="J528" s="4">
        <f t="shared" si="8"/>
        <v>4</v>
      </c>
    </row>
    <row r="529" spans="1:10" x14ac:dyDescent="0.25">
      <c r="A529" s="4">
        <f>_xlfn.XLOOKUP(E529,'Data Validation'!$M$3:$M$10,'Data Validation'!$N$3:$N$10)</f>
        <v>1</v>
      </c>
      <c r="B529" s="4">
        <v>13</v>
      </c>
      <c r="C529" s="4" t="s">
        <v>11</v>
      </c>
      <c r="D529" s="7">
        <v>25.96</v>
      </c>
      <c r="E529" s="4" t="s">
        <v>18</v>
      </c>
      <c r="F529" s="4" t="s">
        <v>17</v>
      </c>
      <c r="G529" s="4" t="s">
        <v>50</v>
      </c>
      <c r="H529" s="4" t="s">
        <v>44</v>
      </c>
      <c r="I529" s="5">
        <v>45731</v>
      </c>
      <c r="J529" s="4">
        <f t="shared" si="8"/>
        <v>4</v>
      </c>
    </row>
    <row r="530" spans="1:10" x14ac:dyDescent="0.25">
      <c r="A530" s="4">
        <f>_xlfn.XLOOKUP(E530,'Data Validation'!$M$3:$M$10,'Data Validation'!$N$3:$N$10)</f>
        <v>1</v>
      </c>
      <c r="B530" s="4">
        <v>14</v>
      </c>
      <c r="C530" s="4" t="s">
        <v>11</v>
      </c>
      <c r="D530" s="7">
        <v>25.96</v>
      </c>
      <c r="E530" s="4" t="s">
        <v>18</v>
      </c>
      <c r="F530" s="4" t="s">
        <v>17</v>
      </c>
      <c r="G530" s="4" t="s">
        <v>51</v>
      </c>
      <c r="H530" s="4" t="s">
        <v>44</v>
      </c>
      <c r="I530" s="5">
        <v>45732</v>
      </c>
      <c r="J530" s="4">
        <f t="shared" si="8"/>
        <v>4</v>
      </c>
    </row>
    <row r="531" spans="1:10" x14ac:dyDescent="0.25">
      <c r="A531" s="4">
        <f>_xlfn.XLOOKUP(E531,'Data Validation'!$M$3:$M$10,'Data Validation'!$N$3:$N$10)</f>
        <v>1</v>
      </c>
      <c r="B531" s="4">
        <v>6</v>
      </c>
      <c r="C531" s="4" t="s">
        <v>11</v>
      </c>
      <c r="D531" s="7">
        <v>25.96</v>
      </c>
      <c r="E531" s="4" t="s">
        <v>18</v>
      </c>
      <c r="F531" s="4" t="s">
        <v>13</v>
      </c>
      <c r="G531" s="4" t="s">
        <v>45</v>
      </c>
      <c r="H531" s="4" t="s">
        <v>44</v>
      </c>
      <c r="I531" s="5">
        <v>45733</v>
      </c>
      <c r="J531" s="4">
        <f t="shared" si="8"/>
        <v>4</v>
      </c>
    </row>
    <row r="532" spans="1:10" x14ac:dyDescent="0.25">
      <c r="A532" s="4">
        <f>_xlfn.XLOOKUP(E532,'Data Validation'!$M$3:$M$10,'Data Validation'!$N$3:$N$10)</f>
        <v>1</v>
      </c>
      <c r="B532" s="4">
        <v>8</v>
      </c>
      <c r="C532" s="4" t="s">
        <v>11</v>
      </c>
      <c r="D532" s="7">
        <v>25.96</v>
      </c>
      <c r="E532" s="4" t="s">
        <v>18</v>
      </c>
      <c r="F532" s="4" t="s">
        <v>13</v>
      </c>
      <c r="G532" s="4" t="s">
        <v>45</v>
      </c>
      <c r="H532" s="4" t="s">
        <v>44</v>
      </c>
      <c r="I532" s="5">
        <v>45733</v>
      </c>
      <c r="J532" s="4">
        <f t="shared" si="8"/>
        <v>4</v>
      </c>
    </row>
    <row r="533" spans="1:10" x14ac:dyDescent="0.25">
      <c r="A533" s="4">
        <f>_xlfn.XLOOKUP(E533,'Data Validation'!$M$3:$M$10,'Data Validation'!$N$3:$N$10)</f>
        <v>1</v>
      </c>
      <c r="B533" s="4">
        <v>8</v>
      </c>
      <c r="C533" s="4" t="s">
        <v>11</v>
      </c>
      <c r="D533" s="7">
        <v>25.96</v>
      </c>
      <c r="E533" s="4" t="s">
        <v>18</v>
      </c>
      <c r="F533" s="4" t="s">
        <v>13</v>
      </c>
      <c r="G533" s="4" t="s">
        <v>45</v>
      </c>
      <c r="H533" s="4" t="s">
        <v>44</v>
      </c>
      <c r="I533" s="5">
        <v>45733</v>
      </c>
      <c r="J533" s="4">
        <f t="shared" si="8"/>
        <v>4</v>
      </c>
    </row>
    <row r="534" spans="1:10" x14ac:dyDescent="0.25">
      <c r="A534" s="4">
        <f>_xlfn.XLOOKUP(E534,'Data Validation'!$M$3:$M$10,'Data Validation'!$N$3:$N$10)</f>
        <v>1</v>
      </c>
      <c r="B534" s="4">
        <v>10</v>
      </c>
      <c r="C534" s="4" t="s">
        <v>11</v>
      </c>
      <c r="D534" s="7">
        <v>25.96</v>
      </c>
      <c r="E534" s="4" t="s">
        <v>18</v>
      </c>
      <c r="F534" s="4" t="s">
        <v>13</v>
      </c>
      <c r="G534" s="4" t="s">
        <v>45</v>
      </c>
      <c r="H534" s="4" t="s">
        <v>44</v>
      </c>
      <c r="I534" s="5">
        <v>45733</v>
      </c>
      <c r="J534" s="4">
        <f t="shared" si="8"/>
        <v>4</v>
      </c>
    </row>
    <row r="535" spans="1:10" x14ac:dyDescent="0.25">
      <c r="A535" s="4">
        <f>_xlfn.XLOOKUP(E535,'Data Validation'!$M$3:$M$10,'Data Validation'!$N$3:$N$10)</f>
        <v>1</v>
      </c>
      <c r="B535" s="4">
        <v>13</v>
      </c>
      <c r="C535" s="4" t="s">
        <v>11</v>
      </c>
      <c r="D535" s="7">
        <v>25.96</v>
      </c>
      <c r="E535" s="4" t="s">
        <v>18</v>
      </c>
      <c r="F535" s="4" t="s">
        <v>17</v>
      </c>
      <c r="G535" s="4" t="s">
        <v>45</v>
      </c>
      <c r="H535" s="4" t="s">
        <v>44</v>
      </c>
      <c r="I535" s="5">
        <v>45733</v>
      </c>
      <c r="J535" s="4">
        <f t="shared" si="8"/>
        <v>4</v>
      </c>
    </row>
    <row r="536" spans="1:10" x14ac:dyDescent="0.25">
      <c r="A536" s="4">
        <f>_xlfn.XLOOKUP(E536,'Data Validation'!$M$3:$M$10,'Data Validation'!$N$3:$N$10)</f>
        <v>1</v>
      </c>
      <c r="B536" s="4">
        <v>16</v>
      </c>
      <c r="C536" s="4" t="s">
        <v>11</v>
      </c>
      <c r="D536" s="7">
        <v>25.96</v>
      </c>
      <c r="E536" s="4" t="s">
        <v>18</v>
      </c>
      <c r="F536" s="4" t="s">
        <v>17</v>
      </c>
      <c r="G536" s="4" t="s">
        <v>45</v>
      </c>
      <c r="H536" s="4" t="s">
        <v>44</v>
      </c>
      <c r="I536" s="5">
        <v>45733</v>
      </c>
      <c r="J536" s="4">
        <f t="shared" si="8"/>
        <v>4</v>
      </c>
    </row>
    <row r="537" spans="1:10" x14ac:dyDescent="0.25">
      <c r="A537" s="4">
        <f>_xlfn.XLOOKUP(E537,'Data Validation'!$M$3:$M$10,'Data Validation'!$N$3:$N$10)</f>
        <v>1</v>
      </c>
      <c r="B537" s="4">
        <v>10</v>
      </c>
      <c r="C537" s="4" t="s">
        <v>11</v>
      </c>
      <c r="D537" s="7">
        <v>25.96</v>
      </c>
      <c r="E537" s="4" t="s">
        <v>18</v>
      </c>
      <c r="F537" s="4" t="s">
        <v>13</v>
      </c>
      <c r="G537" s="4" t="s">
        <v>46</v>
      </c>
      <c r="H537" s="4" t="s">
        <v>44</v>
      </c>
      <c r="I537" s="5">
        <v>45734</v>
      </c>
      <c r="J537" s="4">
        <f t="shared" si="8"/>
        <v>4</v>
      </c>
    </row>
    <row r="538" spans="1:10" x14ac:dyDescent="0.25">
      <c r="A538" s="4">
        <f>_xlfn.XLOOKUP(E538,'Data Validation'!$M$3:$M$10,'Data Validation'!$N$3:$N$10)</f>
        <v>1</v>
      </c>
      <c r="B538" s="4">
        <v>15</v>
      </c>
      <c r="C538" s="4" t="s">
        <v>11</v>
      </c>
      <c r="D538" s="7">
        <v>25.96</v>
      </c>
      <c r="E538" s="4" t="s">
        <v>18</v>
      </c>
      <c r="F538" s="4" t="s">
        <v>17</v>
      </c>
      <c r="G538" s="4" t="s">
        <v>46</v>
      </c>
      <c r="H538" s="4" t="s">
        <v>44</v>
      </c>
      <c r="I538" s="5">
        <v>45734</v>
      </c>
      <c r="J538" s="4">
        <f t="shared" si="8"/>
        <v>4</v>
      </c>
    </row>
    <row r="539" spans="1:10" x14ac:dyDescent="0.25">
      <c r="A539" s="4">
        <f>_xlfn.XLOOKUP(E539,'Data Validation'!$M$3:$M$10,'Data Validation'!$N$3:$N$10)</f>
        <v>1</v>
      </c>
      <c r="B539" s="4">
        <v>16</v>
      </c>
      <c r="C539" s="4" t="s">
        <v>11</v>
      </c>
      <c r="D539" s="7">
        <v>25.96</v>
      </c>
      <c r="E539" s="4" t="s">
        <v>18</v>
      </c>
      <c r="F539" s="4" t="s">
        <v>17</v>
      </c>
      <c r="G539" s="4" t="s">
        <v>46</v>
      </c>
      <c r="H539" s="4" t="s">
        <v>44</v>
      </c>
      <c r="I539" s="5">
        <v>45734</v>
      </c>
      <c r="J539" s="4">
        <f t="shared" si="8"/>
        <v>4</v>
      </c>
    </row>
    <row r="540" spans="1:10" x14ac:dyDescent="0.25">
      <c r="A540" s="4">
        <f>_xlfn.XLOOKUP(E540,'Data Validation'!$M$3:$M$10,'Data Validation'!$N$3:$N$10)</f>
        <v>1</v>
      </c>
      <c r="B540" s="4">
        <v>7</v>
      </c>
      <c r="C540" s="4" t="s">
        <v>11</v>
      </c>
      <c r="D540" s="7">
        <v>25.96</v>
      </c>
      <c r="E540" s="4" t="s">
        <v>18</v>
      </c>
      <c r="F540" s="4" t="s">
        <v>13</v>
      </c>
      <c r="G540" s="4" t="s">
        <v>47</v>
      </c>
      <c r="H540" s="4" t="s">
        <v>44</v>
      </c>
      <c r="I540" s="5">
        <v>45735</v>
      </c>
      <c r="J540" s="4">
        <f t="shared" si="8"/>
        <v>4</v>
      </c>
    </row>
    <row r="541" spans="1:10" x14ac:dyDescent="0.25">
      <c r="A541" s="4">
        <f>_xlfn.XLOOKUP(E541,'Data Validation'!$M$3:$M$10,'Data Validation'!$N$3:$N$10)</f>
        <v>1</v>
      </c>
      <c r="B541" s="4">
        <v>7</v>
      </c>
      <c r="C541" s="4" t="s">
        <v>11</v>
      </c>
      <c r="D541" s="7">
        <v>25.96</v>
      </c>
      <c r="E541" s="4" t="s">
        <v>18</v>
      </c>
      <c r="F541" s="4" t="s">
        <v>13</v>
      </c>
      <c r="G541" s="4" t="s">
        <v>47</v>
      </c>
      <c r="H541" s="4" t="s">
        <v>44</v>
      </c>
      <c r="I541" s="5">
        <v>45735</v>
      </c>
      <c r="J541" s="4">
        <f t="shared" si="8"/>
        <v>4</v>
      </c>
    </row>
    <row r="542" spans="1:10" x14ac:dyDescent="0.25">
      <c r="A542" s="4">
        <f>_xlfn.XLOOKUP(E542,'Data Validation'!$M$3:$M$10,'Data Validation'!$N$3:$N$10)</f>
        <v>1</v>
      </c>
      <c r="B542" s="4">
        <v>8</v>
      </c>
      <c r="C542" s="4" t="s">
        <v>11</v>
      </c>
      <c r="D542" s="7">
        <v>25.96</v>
      </c>
      <c r="E542" s="4" t="s">
        <v>18</v>
      </c>
      <c r="F542" s="4" t="s">
        <v>13</v>
      </c>
      <c r="G542" s="4" t="s">
        <v>47</v>
      </c>
      <c r="H542" s="4" t="s">
        <v>44</v>
      </c>
      <c r="I542" s="5">
        <v>45735</v>
      </c>
      <c r="J542" s="4">
        <f t="shared" si="8"/>
        <v>4</v>
      </c>
    </row>
    <row r="543" spans="1:10" x14ac:dyDescent="0.25">
      <c r="A543" s="4">
        <f>_xlfn.XLOOKUP(E543,'Data Validation'!$M$3:$M$10,'Data Validation'!$N$3:$N$10)</f>
        <v>1</v>
      </c>
      <c r="B543" s="4">
        <v>11</v>
      </c>
      <c r="C543" s="4" t="s">
        <v>11</v>
      </c>
      <c r="D543" s="7">
        <v>25.96</v>
      </c>
      <c r="E543" s="4" t="s">
        <v>18</v>
      </c>
      <c r="F543" s="4" t="s">
        <v>13</v>
      </c>
      <c r="G543" s="4" t="s">
        <v>47</v>
      </c>
      <c r="H543" s="4" t="s">
        <v>44</v>
      </c>
      <c r="I543" s="5">
        <v>45735</v>
      </c>
      <c r="J543" s="4">
        <f t="shared" si="8"/>
        <v>4</v>
      </c>
    </row>
    <row r="544" spans="1:10" x14ac:dyDescent="0.25">
      <c r="A544" s="4">
        <f>_xlfn.XLOOKUP(E544,'Data Validation'!$M$3:$M$10,'Data Validation'!$N$3:$N$10)</f>
        <v>1</v>
      </c>
      <c r="B544" s="4">
        <v>12</v>
      </c>
      <c r="C544" s="4" t="s">
        <v>11</v>
      </c>
      <c r="D544" s="7">
        <v>25.96</v>
      </c>
      <c r="E544" s="4" t="s">
        <v>18</v>
      </c>
      <c r="F544" s="4" t="s">
        <v>17</v>
      </c>
      <c r="G544" s="4" t="s">
        <v>47</v>
      </c>
      <c r="H544" s="4" t="s">
        <v>44</v>
      </c>
      <c r="I544" s="5">
        <v>45735</v>
      </c>
      <c r="J544" s="4">
        <f t="shared" si="8"/>
        <v>4</v>
      </c>
    </row>
    <row r="545" spans="1:10" x14ac:dyDescent="0.25">
      <c r="A545" s="4">
        <f>_xlfn.XLOOKUP(E545,'Data Validation'!$M$3:$M$10,'Data Validation'!$N$3:$N$10)</f>
        <v>1</v>
      </c>
      <c r="B545" s="4">
        <v>16</v>
      </c>
      <c r="C545" s="4" t="s">
        <v>11</v>
      </c>
      <c r="D545" s="7">
        <v>25.96</v>
      </c>
      <c r="E545" s="4" t="s">
        <v>18</v>
      </c>
      <c r="F545" s="4" t="s">
        <v>17</v>
      </c>
      <c r="G545" s="4" t="s">
        <v>47</v>
      </c>
      <c r="H545" s="4" t="s">
        <v>44</v>
      </c>
      <c r="I545" s="5">
        <v>45735</v>
      </c>
      <c r="J545" s="4">
        <f t="shared" si="8"/>
        <v>4</v>
      </c>
    </row>
    <row r="546" spans="1:10" x14ac:dyDescent="0.25">
      <c r="A546" s="4">
        <f>_xlfn.XLOOKUP(E546,'Data Validation'!$M$3:$M$10,'Data Validation'!$N$3:$N$10)</f>
        <v>1</v>
      </c>
      <c r="B546" s="4">
        <v>16</v>
      </c>
      <c r="C546" s="4" t="s">
        <v>11</v>
      </c>
      <c r="D546" s="7">
        <v>25.96</v>
      </c>
      <c r="E546" s="4" t="s">
        <v>18</v>
      </c>
      <c r="F546" s="4" t="s">
        <v>17</v>
      </c>
      <c r="G546" s="4" t="s">
        <v>47</v>
      </c>
      <c r="H546" s="4" t="s">
        <v>44</v>
      </c>
      <c r="I546" s="5">
        <v>45735</v>
      </c>
      <c r="J546" s="4">
        <f t="shared" si="8"/>
        <v>4</v>
      </c>
    </row>
    <row r="547" spans="1:10" x14ac:dyDescent="0.25">
      <c r="A547" s="4">
        <f>_xlfn.XLOOKUP(E547,'Data Validation'!$M$3:$M$10,'Data Validation'!$N$3:$N$10)</f>
        <v>1</v>
      </c>
      <c r="B547" s="4">
        <v>16</v>
      </c>
      <c r="C547" s="4" t="s">
        <v>11</v>
      </c>
      <c r="D547" s="7">
        <v>25.96</v>
      </c>
      <c r="E547" s="4" t="s">
        <v>18</v>
      </c>
      <c r="F547" s="4" t="s">
        <v>17</v>
      </c>
      <c r="G547" s="4" t="s">
        <v>47</v>
      </c>
      <c r="H547" s="4" t="s">
        <v>44</v>
      </c>
      <c r="I547" s="5">
        <v>45735</v>
      </c>
      <c r="J547" s="4">
        <f t="shared" si="8"/>
        <v>4</v>
      </c>
    </row>
    <row r="548" spans="1:10" x14ac:dyDescent="0.25">
      <c r="A548" s="4">
        <f>_xlfn.XLOOKUP(E548,'Data Validation'!$M$3:$M$10,'Data Validation'!$N$3:$N$10)</f>
        <v>1</v>
      </c>
      <c r="B548" s="4">
        <v>10</v>
      </c>
      <c r="C548" s="4" t="s">
        <v>11</v>
      </c>
      <c r="D548" s="7">
        <v>25.96</v>
      </c>
      <c r="E548" s="4" t="s">
        <v>18</v>
      </c>
      <c r="F548" s="4" t="s">
        <v>13</v>
      </c>
      <c r="G548" s="4" t="s">
        <v>48</v>
      </c>
      <c r="H548" s="4" t="s">
        <v>44</v>
      </c>
      <c r="I548" s="5">
        <v>45736</v>
      </c>
      <c r="J548" s="4">
        <f t="shared" si="8"/>
        <v>4</v>
      </c>
    </row>
    <row r="549" spans="1:10" x14ac:dyDescent="0.25">
      <c r="A549" s="4">
        <f>_xlfn.XLOOKUP(E549,'Data Validation'!$M$3:$M$10,'Data Validation'!$N$3:$N$10)</f>
        <v>1</v>
      </c>
      <c r="B549" s="4">
        <v>10</v>
      </c>
      <c r="C549" s="4" t="s">
        <v>11</v>
      </c>
      <c r="D549" s="7">
        <v>25.96</v>
      </c>
      <c r="E549" s="4" t="s">
        <v>18</v>
      </c>
      <c r="F549" s="4" t="s">
        <v>13</v>
      </c>
      <c r="G549" s="4" t="s">
        <v>48</v>
      </c>
      <c r="H549" s="4" t="s">
        <v>44</v>
      </c>
      <c r="I549" s="5">
        <v>45736</v>
      </c>
      <c r="J549" s="4">
        <f t="shared" si="8"/>
        <v>4</v>
      </c>
    </row>
    <row r="550" spans="1:10" x14ac:dyDescent="0.25">
      <c r="A550" s="4">
        <f>_xlfn.XLOOKUP(E550,'Data Validation'!$M$3:$M$10,'Data Validation'!$N$3:$N$10)</f>
        <v>1</v>
      </c>
      <c r="B550" s="4">
        <v>12</v>
      </c>
      <c r="C550" s="4" t="s">
        <v>11</v>
      </c>
      <c r="D550" s="7">
        <v>25.96</v>
      </c>
      <c r="E550" s="4" t="s">
        <v>18</v>
      </c>
      <c r="F550" s="4" t="s">
        <v>17</v>
      </c>
      <c r="G550" s="4" t="s">
        <v>48</v>
      </c>
      <c r="H550" s="4" t="s">
        <v>44</v>
      </c>
      <c r="I550" s="5">
        <v>45736</v>
      </c>
      <c r="J550" s="4">
        <f t="shared" si="8"/>
        <v>4</v>
      </c>
    </row>
    <row r="551" spans="1:10" x14ac:dyDescent="0.25">
      <c r="A551" s="4">
        <f>_xlfn.XLOOKUP(E551,'Data Validation'!$M$3:$M$10,'Data Validation'!$N$3:$N$10)</f>
        <v>1</v>
      </c>
      <c r="B551" s="4">
        <v>14</v>
      </c>
      <c r="C551" s="4" t="s">
        <v>11</v>
      </c>
      <c r="D551" s="7">
        <v>25.96</v>
      </c>
      <c r="E551" s="4" t="s">
        <v>18</v>
      </c>
      <c r="F551" s="4" t="s">
        <v>17</v>
      </c>
      <c r="G551" s="4" t="s">
        <v>48</v>
      </c>
      <c r="H551" s="4" t="s">
        <v>44</v>
      </c>
      <c r="I551" s="5">
        <v>45736</v>
      </c>
      <c r="J551" s="4">
        <f t="shared" si="8"/>
        <v>4</v>
      </c>
    </row>
    <row r="552" spans="1:10" x14ac:dyDescent="0.25">
      <c r="A552" s="4">
        <f>_xlfn.XLOOKUP(E552,'Data Validation'!$M$3:$M$10,'Data Validation'!$N$3:$N$10)</f>
        <v>1</v>
      </c>
      <c r="B552" s="4">
        <v>14</v>
      </c>
      <c r="C552" s="4" t="s">
        <v>11</v>
      </c>
      <c r="D552" s="7">
        <v>25.96</v>
      </c>
      <c r="E552" s="4" t="s">
        <v>18</v>
      </c>
      <c r="F552" s="4" t="s">
        <v>17</v>
      </c>
      <c r="G552" s="4" t="s">
        <v>48</v>
      </c>
      <c r="H552" s="4" t="s">
        <v>44</v>
      </c>
      <c r="I552" s="5">
        <v>45736</v>
      </c>
      <c r="J552" s="4">
        <f t="shared" si="8"/>
        <v>4</v>
      </c>
    </row>
    <row r="553" spans="1:10" x14ac:dyDescent="0.25">
      <c r="A553" s="4">
        <f>_xlfn.XLOOKUP(E553,'Data Validation'!$M$3:$M$10,'Data Validation'!$N$3:$N$10)</f>
        <v>1</v>
      </c>
      <c r="B553" s="4">
        <v>15</v>
      </c>
      <c r="C553" s="4" t="s">
        <v>11</v>
      </c>
      <c r="D553" s="7">
        <v>25.96</v>
      </c>
      <c r="E553" s="4" t="s">
        <v>18</v>
      </c>
      <c r="F553" s="4" t="s">
        <v>17</v>
      </c>
      <c r="G553" s="4" t="s">
        <v>48</v>
      </c>
      <c r="H553" s="4" t="s">
        <v>44</v>
      </c>
      <c r="I553" s="5">
        <v>45736</v>
      </c>
      <c r="J553" s="4">
        <f t="shared" si="8"/>
        <v>4</v>
      </c>
    </row>
    <row r="554" spans="1:10" x14ac:dyDescent="0.25">
      <c r="A554" s="4">
        <f>_xlfn.XLOOKUP(E554,'Data Validation'!$M$3:$M$10,'Data Validation'!$N$3:$N$10)</f>
        <v>1</v>
      </c>
      <c r="B554" s="4">
        <v>15</v>
      </c>
      <c r="C554" s="4" t="s">
        <v>11</v>
      </c>
      <c r="D554" s="7">
        <v>25.96</v>
      </c>
      <c r="E554" s="4" t="s">
        <v>18</v>
      </c>
      <c r="F554" s="4" t="s">
        <v>17</v>
      </c>
      <c r="G554" s="4" t="s">
        <v>48</v>
      </c>
      <c r="H554" s="4" t="s">
        <v>44</v>
      </c>
      <c r="I554" s="5">
        <v>45736</v>
      </c>
      <c r="J554" s="4">
        <f t="shared" si="8"/>
        <v>4</v>
      </c>
    </row>
    <row r="555" spans="1:10" x14ac:dyDescent="0.25">
      <c r="A555" s="4">
        <f>_xlfn.XLOOKUP(E555,'Data Validation'!$M$3:$M$10,'Data Validation'!$N$3:$N$10)</f>
        <v>1</v>
      </c>
      <c r="B555" s="4">
        <v>17</v>
      </c>
      <c r="C555" s="4" t="s">
        <v>11</v>
      </c>
      <c r="D555" s="7">
        <v>25.96</v>
      </c>
      <c r="E555" s="4" t="s">
        <v>18</v>
      </c>
      <c r="F555" s="4" t="s">
        <v>20</v>
      </c>
      <c r="G555" s="4" t="s">
        <v>48</v>
      </c>
      <c r="H555" s="4" t="s">
        <v>44</v>
      </c>
      <c r="I555" s="5">
        <v>45736</v>
      </c>
      <c r="J555" s="4">
        <f t="shared" si="8"/>
        <v>4</v>
      </c>
    </row>
    <row r="556" spans="1:10" x14ac:dyDescent="0.25">
      <c r="A556" s="4">
        <f>_xlfn.XLOOKUP(E556,'Data Validation'!$M$3:$M$10,'Data Validation'!$N$3:$N$10)</f>
        <v>1</v>
      </c>
      <c r="B556" s="4">
        <v>8</v>
      </c>
      <c r="C556" s="4" t="s">
        <v>11</v>
      </c>
      <c r="D556" s="7">
        <v>25.96</v>
      </c>
      <c r="E556" s="4" t="s">
        <v>18</v>
      </c>
      <c r="F556" s="4" t="s">
        <v>13</v>
      </c>
      <c r="G556" s="4" t="s">
        <v>49</v>
      </c>
      <c r="H556" s="4" t="s">
        <v>44</v>
      </c>
      <c r="I556" s="5">
        <v>45737</v>
      </c>
      <c r="J556" s="4">
        <f t="shared" si="8"/>
        <v>4</v>
      </c>
    </row>
    <row r="557" spans="1:10" x14ac:dyDescent="0.25">
      <c r="A557" s="4">
        <f>_xlfn.XLOOKUP(E557,'Data Validation'!$M$3:$M$10,'Data Validation'!$N$3:$N$10)</f>
        <v>1</v>
      </c>
      <c r="B557" s="4">
        <v>8</v>
      </c>
      <c r="C557" s="4" t="s">
        <v>11</v>
      </c>
      <c r="D557" s="7">
        <v>25.96</v>
      </c>
      <c r="E557" s="4" t="s">
        <v>18</v>
      </c>
      <c r="F557" s="4" t="s">
        <v>13</v>
      </c>
      <c r="G557" s="4" t="s">
        <v>49</v>
      </c>
      <c r="H557" s="4" t="s">
        <v>44</v>
      </c>
      <c r="I557" s="5">
        <v>45737</v>
      </c>
      <c r="J557" s="4">
        <f t="shared" si="8"/>
        <v>4</v>
      </c>
    </row>
    <row r="558" spans="1:10" x14ac:dyDescent="0.25">
      <c r="A558" s="4">
        <f>_xlfn.XLOOKUP(E558,'Data Validation'!$M$3:$M$10,'Data Validation'!$N$3:$N$10)</f>
        <v>1</v>
      </c>
      <c r="B558" s="4">
        <v>8</v>
      </c>
      <c r="C558" s="4" t="s">
        <v>11</v>
      </c>
      <c r="D558" s="7">
        <v>25.96</v>
      </c>
      <c r="E558" s="4" t="s">
        <v>18</v>
      </c>
      <c r="F558" s="4" t="s">
        <v>13</v>
      </c>
      <c r="G558" s="4" t="s">
        <v>49</v>
      </c>
      <c r="H558" s="4" t="s">
        <v>44</v>
      </c>
      <c r="I558" s="5">
        <v>45737</v>
      </c>
      <c r="J558" s="4">
        <f t="shared" si="8"/>
        <v>4</v>
      </c>
    </row>
    <row r="559" spans="1:10" x14ac:dyDescent="0.25">
      <c r="A559" s="4">
        <f>_xlfn.XLOOKUP(E559,'Data Validation'!$M$3:$M$10,'Data Validation'!$N$3:$N$10)</f>
        <v>1</v>
      </c>
      <c r="B559" s="4">
        <v>11</v>
      </c>
      <c r="C559" s="4" t="s">
        <v>11</v>
      </c>
      <c r="D559" s="7">
        <v>25.96</v>
      </c>
      <c r="E559" s="4" t="s">
        <v>18</v>
      </c>
      <c r="F559" s="4" t="s">
        <v>13</v>
      </c>
      <c r="G559" s="4" t="s">
        <v>49</v>
      </c>
      <c r="H559" s="4" t="s">
        <v>44</v>
      </c>
      <c r="I559" s="5">
        <v>45737</v>
      </c>
      <c r="J559" s="4">
        <f t="shared" si="8"/>
        <v>4</v>
      </c>
    </row>
    <row r="560" spans="1:10" x14ac:dyDescent="0.25">
      <c r="A560" s="4">
        <f>_xlfn.XLOOKUP(E560,'Data Validation'!$M$3:$M$10,'Data Validation'!$N$3:$N$10)</f>
        <v>1</v>
      </c>
      <c r="B560" s="4">
        <v>13</v>
      </c>
      <c r="C560" s="4" t="s">
        <v>11</v>
      </c>
      <c r="D560" s="7">
        <v>25.96</v>
      </c>
      <c r="E560" s="4" t="s">
        <v>18</v>
      </c>
      <c r="F560" s="4" t="s">
        <v>17</v>
      </c>
      <c r="G560" s="4" t="s">
        <v>49</v>
      </c>
      <c r="H560" s="4" t="s">
        <v>44</v>
      </c>
      <c r="I560" s="5">
        <v>45737</v>
      </c>
      <c r="J560" s="4">
        <f t="shared" si="8"/>
        <v>4</v>
      </c>
    </row>
    <row r="561" spans="1:10" x14ac:dyDescent="0.25">
      <c r="A561" s="4">
        <f>_xlfn.XLOOKUP(E561,'Data Validation'!$M$3:$M$10,'Data Validation'!$N$3:$N$10)</f>
        <v>1</v>
      </c>
      <c r="B561" s="4">
        <v>15</v>
      </c>
      <c r="C561" s="4" t="s">
        <v>11</v>
      </c>
      <c r="D561" s="7">
        <v>25.96</v>
      </c>
      <c r="E561" s="4" t="s">
        <v>18</v>
      </c>
      <c r="F561" s="4" t="s">
        <v>17</v>
      </c>
      <c r="G561" s="4" t="s">
        <v>49</v>
      </c>
      <c r="H561" s="4" t="s">
        <v>44</v>
      </c>
      <c r="I561" s="5">
        <v>45737</v>
      </c>
      <c r="J561" s="4">
        <f t="shared" si="8"/>
        <v>4</v>
      </c>
    </row>
    <row r="562" spans="1:10" x14ac:dyDescent="0.25">
      <c r="A562" s="4">
        <f>_xlfn.XLOOKUP(E562,'Data Validation'!$M$3:$M$10,'Data Validation'!$N$3:$N$10)</f>
        <v>1</v>
      </c>
      <c r="B562" s="4">
        <v>18</v>
      </c>
      <c r="C562" s="4" t="s">
        <v>11</v>
      </c>
      <c r="D562" s="7">
        <v>25.96</v>
      </c>
      <c r="E562" s="4" t="s">
        <v>18</v>
      </c>
      <c r="F562" s="4" t="s">
        <v>20</v>
      </c>
      <c r="G562" s="4" t="s">
        <v>49</v>
      </c>
      <c r="H562" s="4" t="s">
        <v>44</v>
      </c>
      <c r="I562" s="5">
        <v>45737</v>
      </c>
      <c r="J562" s="4">
        <f t="shared" si="8"/>
        <v>4</v>
      </c>
    </row>
    <row r="563" spans="1:10" x14ac:dyDescent="0.25">
      <c r="A563" s="4">
        <f>_xlfn.XLOOKUP(E563,'Data Validation'!$M$3:$M$10,'Data Validation'!$N$3:$N$10)</f>
        <v>1</v>
      </c>
      <c r="B563" s="4">
        <v>12</v>
      </c>
      <c r="C563" s="4" t="s">
        <v>11</v>
      </c>
      <c r="D563" s="7">
        <v>25.96</v>
      </c>
      <c r="E563" s="4" t="s">
        <v>18</v>
      </c>
      <c r="F563" s="4" t="s">
        <v>17</v>
      </c>
      <c r="G563" s="4" t="s">
        <v>50</v>
      </c>
      <c r="H563" s="4" t="s">
        <v>44</v>
      </c>
      <c r="I563" s="5">
        <v>45738</v>
      </c>
      <c r="J563" s="4">
        <f t="shared" si="8"/>
        <v>4</v>
      </c>
    </row>
    <row r="564" spans="1:10" x14ac:dyDescent="0.25">
      <c r="A564" s="4">
        <f>_xlfn.XLOOKUP(E564,'Data Validation'!$M$3:$M$10,'Data Validation'!$N$3:$N$10)</f>
        <v>1</v>
      </c>
      <c r="B564" s="4">
        <v>13</v>
      </c>
      <c r="C564" s="4" t="s">
        <v>11</v>
      </c>
      <c r="D564" s="7">
        <v>25.96</v>
      </c>
      <c r="E564" s="4" t="s">
        <v>18</v>
      </c>
      <c r="F564" s="4" t="s">
        <v>17</v>
      </c>
      <c r="G564" s="4" t="s">
        <v>50</v>
      </c>
      <c r="H564" s="4" t="s">
        <v>44</v>
      </c>
      <c r="I564" s="5">
        <v>45738</v>
      </c>
      <c r="J564" s="4">
        <f t="shared" si="8"/>
        <v>4</v>
      </c>
    </row>
    <row r="565" spans="1:10" x14ac:dyDescent="0.25">
      <c r="A565" s="4">
        <f>_xlfn.XLOOKUP(E565,'Data Validation'!$M$3:$M$10,'Data Validation'!$N$3:$N$10)</f>
        <v>1</v>
      </c>
      <c r="B565" s="4">
        <v>15</v>
      </c>
      <c r="C565" s="4" t="s">
        <v>11</v>
      </c>
      <c r="D565" s="7">
        <v>25.96</v>
      </c>
      <c r="E565" s="4" t="s">
        <v>18</v>
      </c>
      <c r="F565" s="4" t="s">
        <v>17</v>
      </c>
      <c r="G565" s="4" t="s">
        <v>51</v>
      </c>
      <c r="H565" s="4" t="s">
        <v>44</v>
      </c>
      <c r="I565" s="5">
        <v>45739</v>
      </c>
      <c r="J565" s="4">
        <f t="shared" si="8"/>
        <v>4</v>
      </c>
    </row>
    <row r="566" spans="1:10" x14ac:dyDescent="0.25">
      <c r="A566" s="4">
        <f>_xlfn.XLOOKUP(E566,'Data Validation'!$M$3:$M$10,'Data Validation'!$N$3:$N$10)</f>
        <v>2</v>
      </c>
      <c r="B566" s="4">
        <v>15</v>
      </c>
      <c r="C566" s="4" t="s">
        <v>11</v>
      </c>
      <c r="D566" s="7">
        <v>33.799999999999997</v>
      </c>
      <c r="E566" s="4" t="s">
        <v>19</v>
      </c>
      <c r="F566" s="4" t="s">
        <v>17</v>
      </c>
      <c r="G566" s="4" t="s">
        <v>49</v>
      </c>
      <c r="H566" s="4" t="s">
        <v>44</v>
      </c>
      <c r="I566" s="5">
        <v>45352</v>
      </c>
      <c r="J566" s="4">
        <f t="shared" si="8"/>
        <v>5</v>
      </c>
    </row>
    <row r="567" spans="1:10" x14ac:dyDescent="0.25">
      <c r="A567" s="4">
        <f>_xlfn.XLOOKUP(E567,'Data Validation'!$M$3:$M$10,'Data Validation'!$N$3:$N$10)</f>
        <v>2</v>
      </c>
      <c r="B567" s="4">
        <v>18</v>
      </c>
      <c r="C567" s="4" t="s">
        <v>11</v>
      </c>
      <c r="D567" s="7">
        <v>33.799999999999997</v>
      </c>
      <c r="E567" s="4" t="s">
        <v>19</v>
      </c>
      <c r="F567" s="4" t="s">
        <v>20</v>
      </c>
      <c r="G567" s="4" t="s">
        <v>49</v>
      </c>
      <c r="H567" s="4" t="s">
        <v>44</v>
      </c>
      <c r="I567" s="5">
        <v>45352</v>
      </c>
      <c r="J567" s="4">
        <f t="shared" si="8"/>
        <v>5</v>
      </c>
    </row>
    <row r="568" spans="1:10" x14ac:dyDescent="0.25">
      <c r="A568" s="4">
        <f>_xlfn.XLOOKUP(E568,'Data Validation'!$M$3:$M$10,'Data Validation'!$N$3:$N$10)</f>
        <v>2</v>
      </c>
      <c r="B568" s="4">
        <v>19</v>
      </c>
      <c r="C568" s="4" t="s">
        <v>11</v>
      </c>
      <c r="D568" s="7">
        <v>33.799999999999997</v>
      </c>
      <c r="E568" s="4" t="s">
        <v>19</v>
      </c>
      <c r="F568" s="4" t="s">
        <v>20</v>
      </c>
      <c r="G568" s="4" t="s">
        <v>49</v>
      </c>
      <c r="H568" s="4" t="s">
        <v>44</v>
      </c>
      <c r="I568" s="5">
        <v>45352</v>
      </c>
      <c r="J568" s="4">
        <f t="shared" si="8"/>
        <v>5</v>
      </c>
    </row>
    <row r="569" spans="1:10" x14ac:dyDescent="0.25">
      <c r="A569" s="4">
        <f>_xlfn.XLOOKUP(E569,'Data Validation'!$M$3:$M$10,'Data Validation'!$N$3:$N$10)</f>
        <v>2</v>
      </c>
      <c r="B569" s="4">
        <v>19</v>
      </c>
      <c r="C569" s="4" t="s">
        <v>11</v>
      </c>
      <c r="D569" s="7">
        <v>33.799999999999997</v>
      </c>
      <c r="E569" s="4" t="s">
        <v>19</v>
      </c>
      <c r="F569" s="4" t="s">
        <v>20</v>
      </c>
      <c r="G569" s="4" t="s">
        <v>49</v>
      </c>
      <c r="H569" s="4" t="s">
        <v>44</v>
      </c>
      <c r="I569" s="5">
        <v>45352</v>
      </c>
      <c r="J569" s="4">
        <f t="shared" si="8"/>
        <v>5</v>
      </c>
    </row>
    <row r="570" spans="1:10" x14ac:dyDescent="0.25">
      <c r="A570" s="4">
        <f>_xlfn.XLOOKUP(E570,'Data Validation'!$M$3:$M$10,'Data Validation'!$N$3:$N$10)</f>
        <v>2</v>
      </c>
      <c r="B570" s="4">
        <v>10</v>
      </c>
      <c r="C570" s="4" t="s">
        <v>11</v>
      </c>
      <c r="D570" s="7">
        <v>33.799999999999997</v>
      </c>
      <c r="E570" s="4" t="s">
        <v>19</v>
      </c>
      <c r="F570" s="4" t="s">
        <v>13</v>
      </c>
      <c r="G570" s="4" t="s">
        <v>50</v>
      </c>
      <c r="H570" s="4" t="s">
        <v>44</v>
      </c>
      <c r="I570" s="5">
        <v>45353</v>
      </c>
      <c r="J570" s="4">
        <f t="shared" si="8"/>
        <v>5</v>
      </c>
    </row>
    <row r="571" spans="1:10" x14ac:dyDescent="0.25">
      <c r="A571" s="4">
        <f>_xlfn.XLOOKUP(E571,'Data Validation'!$M$3:$M$10,'Data Validation'!$N$3:$N$10)</f>
        <v>2</v>
      </c>
      <c r="B571" s="4">
        <v>11</v>
      </c>
      <c r="C571" s="4" t="s">
        <v>11</v>
      </c>
      <c r="D571" s="7">
        <v>33.799999999999997</v>
      </c>
      <c r="E571" s="4" t="s">
        <v>19</v>
      </c>
      <c r="F571" s="4" t="s">
        <v>13</v>
      </c>
      <c r="G571" s="4" t="s">
        <v>50</v>
      </c>
      <c r="H571" s="4" t="s">
        <v>44</v>
      </c>
      <c r="I571" s="5">
        <v>45353</v>
      </c>
      <c r="J571" s="4">
        <f t="shared" si="8"/>
        <v>5</v>
      </c>
    </row>
    <row r="572" spans="1:10" x14ac:dyDescent="0.25">
      <c r="A572" s="4">
        <f>_xlfn.XLOOKUP(E572,'Data Validation'!$M$3:$M$10,'Data Validation'!$N$3:$N$10)</f>
        <v>2</v>
      </c>
      <c r="B572" s="4">
        <v>16</v>
      </c>
      <c r="C572" s="4" t="s">
        <v>11</v>
      </c>
      <c r="D572" s="7">
        <v>33.799999999999997</v>
      </c>
      <c r="E572" s="4" t="s">
        <v>19</v>
      </c>
      <c r="F572" s="4" t="s">
        <v>17</v>
      </c>
      <c r="G572" s="4" t="s">
        <v>50</v>
      </c>
      <c r="H572" s="4" t="s">
        <v>44</v>
      </c>
      <c r="I572" s="5">
        <v>45353</v>
      </c>
      <c r="J572" s="4">
        <f t="shared" si="8"/>
        <v>5</v>
      </c>
    </row>
    <row r="573" spans="1:10" x14ac:dyDescent="0.25">
      <c r="A573" s="4">
        <f>_xlfn.XLOOKUP(E573,'Data Validation'!$M$3:$M$10,'Data Validation'!$N$3:$N$10)</f>
        <v>2</v>
      </c>
      <c r="B573" s="4">
        <v>18</v>
      </c>
      <c r="C573" s="4" t="s">
        <v>11</v>
      </c>
      <c r="D573" s="7">
        <v>33.799999999999997</v>
      </c>
      <c r="E573" s="4" t="s">
        <v>19</v>
      </c>
      <c r="F573" s="4" t="s">
        <v>20</v>
      </c>
      <c r="G573" s="4" t="s">
        <v>51</v>
      </c>
      <c r="H573" s="4" t="s">
        <v>44</v>
      </c>
      <c r="I573" s="5">
        <v>45354</v>
      </c>
      <c r="J573" s="4">
        <f t="shared" si="8"/>
        <v>5</v>
      </c>
    </row>
    <row r="574" spans="1:10" x14ac:dyDescent="0.25">
      <c r="A574" s="4">
        <f>_xlfn.XLOOKUP(E574,'Data Validation'!$M$3:$M$10,'Data Validation'!$N$3:$N$10)</f>
        <v>2</v>
      </c>
      <c r="B574" s="4">
        <v>18</v>
      </c>
      <c r="C574" s="4" t="s">
        <v>11</v>
      </c>
      <c r="D574" s="7">
        <v>33.799999999999997</v>
      </c>
      <c r="E574" s="4" t="s">
        <v>19</v>
      </c>
      <c r="F574" s="4" t="s">
        <v>20</v>
      </c>
      <c r="G574" s="4" t="s">
        <v>51</v>
      </c>
      <c r="H574" s="4" t="s">
        <v>44</v>
      </c>
      <c r="I574" s="5">
        <v>45354</v>
      </c>
      <c r="J574" s="4">
        <f t="shared" si="8"/>
        <v>5</v>
      </c>
    </row>
    <row r="575" spans="1:10" x14ac:dyDescent="0.25">
      <c r="A575" s="4">
        <f>_xlfn.XLOOKUP(E575,'Data Validation'!$M$3:$M$10,'Data Validation'!$N$3:$N$10)</f>
        <v>2</v>
      </c>
      <c r="B575" s="4">
        <v>11</v>
      </c>
      <c r="C575" s="4" t="s">
        <v>11</v>
      </c>
      <c r="D575" s="7">
        <v>33.799999999999997</v>
      </c>
      <c r="E575" s="4" t="s">
        <v>19</v>
      </c>
      <c r="F575" s="4" t="s">
        <v>13</v>
      </c>
      <c r="G575" s="4" t="s">
        <v>45</v>
      </c>
      <c r="H575" s="4" t="s">
        <v>44</v>
      </c>
      <c r="I575" s="5">
        <v>45355</v>
      </c>
      <c r="J575" s="4">
        <f t="shared" si="8"/>
        <v>5</v>
      </c>
    </row>
    <row r="576" spans="1:10" x14ac:dyDescent="0.25">
      <c r="A576" s="4">
        <f>_xlfn.XLOOKUP(E576,'Data Validation'!$M$3:$M$10,'Data Validation'!$N$3:$N$10)</f>
        <v>2</v>
      </c>
      <c r="B576" s="4">
        <v>15</v>
      </c>
      <c r="C576" s="4" t="s">
        <v>11</v>
      </c>
      <c r="D576" s="7">
        <v>33.799999999999997</v>
      </c>
      <c r="E576" s="4" t="s">
        <v>19</v>
      </c>
      <c r="F576" s="4" t="s">
        <v>17</v>
      </c>
      <c r="G576" s="4" t="s">
        <v>48</v>
      </c>
      <c r="H576" s="4" t="s">
        <v>44</v>
      </c>
      <c r="I576" s="5">
        <v>45358</v>
      </c>
      <c r="J576" s="4">
        <f t="shared" si="8"/>
        <v>5</v>
      </c>
    </row>
    <row r="577" spans="1:10" x14ac:dyDescent="0.25">
      <c r="A577" s="4">
        <f>_xlfn.XLOOKUP(E577,'Data Validation'!$M$3:$M$10,'Data Validation'!$N$3:$N$10)</f>
        <v>2</v>
      </c>
      <c r="B577" s="4">
        <v>14</v>
      </c>
      <c r="C577" s="4" t="s">
        <v>11</v>
      </c>
      <c r="D577" s="7">
        <v>33.799999999999997</v>
      </c>
      <c r="E577" s="4" t="s">
        <v>19</v>
      </c>
      <c r="F577" s="4" t="s">
        <v>17</v>
      </c>
      <c r="G577" s="4" t="s">
        <v>49</v>
      </c>
      <c r="H577" s="4" t="s">
        <v>44</v>
      </c>
      <c r="I577" s="5">
        <v>45359</v>
      </c>
      <c r="J577" s="4">
        <f t="shared" si="8"/>
        <v>5</v>
      </c>
    </row>
    <row r="578" spans="1:10" x14ac:dyDescent="0.25">
      <c r="A578" s="4">
        <f>_xlfn.XLOOKUP(E578,'Data Validation'!$M$3:$M$10,'Data Validation'!$N$3:$N$10)</f>
        <v>2</v>
      </c>
      <c r="B578" s="4">
        <v>13</v>
      </c>
      <c r="C578" s="4" t="s">
        <v>11</v>
      </c>
      <c r="D578" s="7">
        <v>33.799999999999997</v>
      </c>
      <c r="E578" s="4" t="s">
        <v>19</v>
      </c>
      <c r="F578" s="4" t="s">
        <v>17</v>
      </c>
      <c r="G578" s="4" t="s">
        <v>50</v>
      </c>
      <c r="H578" s="4" t="s">
        <v>44</v>
      </c>
      <c r="I578" s="5">
        <v>45360</v>
      </c>
      <c r="J578" s="4">
        <f t="shared" si="8"/>
        <v>5</v>
      </c>
    </row>
    <row r="579" spans="1:10" x14ac:dyDescent="0.25">
      <c r="A579" s="4">
        <f>_xlfn.XLOOKUP(E579,'Data Validation'!$M$3:$M$10,'Data Validation'!$N$3:$N$10)</f>
        <v>2</v>
      </c>
      <c r="B579" s="4">
        <v>14</v>
      </c>
      <c r="C579" s="4" t="s">
        <v>11</v>
      </c>
      <c r="D579" s="7">
        <v>33.799999999999997</v>
      </c>
      <c r="E579" s="4" t="s">
        <v>19</v>
      </c>
      <c r="F579" s="4" t="s">
        <v>17</v>
      </c>
      <c r="G579" s="4" t="s">
        <v>50</v>
      </c>
      <c r="H579" s="4" t="s">
        <v>44</v>
      </c>
      <c r="I579" s="5">
        <v>45360</v>
      </c>
      <c r="J579" s="4">
        <f t="shared" ref="J579:J642" si="9">IF(OR(E579&lt;&gt;E578,D579&lt;&gt;D578),J578+1,J578)</f>
        <v>5</v>
      </c>
    </row>
    <row r="580" spans="1:10" x14ac:dyDescent="0.25">
      <c r="A580" s="4">
        <f>_xlfn.XLOOKUP(E580,'Data Validation'!$M$3:$M$10,'Data Validation'!$N$3:$N$10)</f>
        <v>2</v>
      </c>
      <c r="B580" s="4">
        <v>12</v>
      </c>
      <c r="C580" s="4" t="s">
        <v>11</v>
      </c>
      <c r="D580" s="7">
        <v>33.799999999999997</v>
      </c>
      <c r="E580" s="4" t="s">
        <v>19</v>
      </c>
      <c r="F580" s="4" t="s">
        <v>17</v>
      </c>
      <c r="G580" s="4" t="s">
        <v>46</v>
      </c>
      <c r="H580" s="4" t="s">
        <v>44</v>
      </c>
      <c r="I580" s="5">
        <v>45363</v>
      </c>
      <c r="J580" s="4">
        <f t="shared" si="9"/>
        <v>5</v>
      </c>
    </row>
    <row r="581" spans="1:10" x14ac:dyDescent="0.25">
      <c r="A581" s="4">
        <f>_xlfn.XLOOKUP(E581,'Data Validation'!$M$3:$M$10,'Data Validation'!$N$3:$N$10)</f>
        <v>2</v>
      </c>
      <c r="B581" s="4">
        <v>14</v>
      </c>
      <c r="C581" s="4" t="s">
        <v>11</v>
      </c>
      <c r="D581" s="7">
        <v>33.799999999999997</v>
      </c>
      <c r="E581" s="4" t="s">
        <v>19</v>
      </c>
      <c r="F581" s="4" t="s">
        <v>17</v>
      </c>
      <c r="G581" s="4" t="s">
        <v>47</v>
      </c>
      <c r="H581" s="4" t="s">
        <v>44</v>
      </c>
      <c r="I581" s="5">
        <v>45364</v>
      </c>
      <c r="J581" s="4">
        <f t="shared" si="9"/>
        <v>5</v>
      </c>
    </row>
    <row r="582" spans="1:10" x14ac:dyDescent="0.25">
      <c r="A582" s="4">
        <f>_xlfn.XLOOKUP(E582,'Data Validation'!$M$3:$M$10,'Data Validation'!$N$3:$N$10)</f>
        <v>2</v>
      </c>
      <c r="B582" s="4">
        <v>13</v>
      </c>
      <c r="C582" s="4" t="s">
        <v>11</v>
      </c>
      <c r="D582" s="7">
        <v>33.799999999999997</v>
      </c>
      <c r="E582" s="4" t="s">
        <v>19</v>
      </c>
      <c r="F582" s="4" t="s">
        <v>17</v>
      </c>
      <c r="G582" s="4" t="s">
        <v>48</v>
      </c>
      <c r="H582" s="4" t="s">
        <v>44</v>
      </c>
      <c r="I582" s="5">
        <v>45365</v>
      </c>
      <c r="J582" s="4">
        <f t="shared" si="9"/>
        <v>5</v>
      </c>
    </row>
    <row r="583" spans="1:10" x14ac:dyDescent="0.25">
      <c r="A583" s="4">
        <f>_xlfn.XLOOKUP(E583,'Data Validation'!$M$3:$M$10,'Data Validation'!$N$3:$N$10)</f>
        <v>2</v>
      </c>
      <c r="B583" s="4">
        <v>16</v>
      </c>
      <c r="C583" s="4" t="s">
        <v>11</v>
      </c>
      <c r="D583" s="7">
        <v>33.799999999999997</v>
      </c>
      <c r="E583" s="4" t="s">
        <v>19</v>
      </c>
      <c r="F583" s="4" t="s">
        <v>17</v>
      </c>
      <c r="G583" s="4" t="s">
        <v>48</v>
      </c>
      <c r="H583" s="4" t="s">
        <v>44</v>
      </c>
      <c r="I583" s="5">
        <v>45365</v>
      </c>
      <c r="J583" s="4">
        <f t="shared" si="9"/>
        <v>5</v>
      </c>
    </row>
    <row r="584" spans="1:10" x14ac:dyDescent="0.25">
      <c r="A584" s="4">
        <f>_xlfn.XLOOKUP(E584,'Data Validation'!$M$3:$M$10,'Data Validation'!$N$3:$N$10)</f>
        <v>2</v>
      </c>
      <c r="B584" s="4">
        <v>12</v>
      </c>
      <c r="C584" s="4" t="s">
        <v>11</v>
      </c>
      <c r="D584" s="7">
        <v>33.799999999999997</v>
      </c>
      <c r="E584" s="4" t="s">
        <v>19</v>
      </c>
      <c r="F584" s="4" t="s">
        <v>17</v>
      </c>
      <c r="G584" s="4" t="s">
        <v>50</v>
      </c>
      <c r="H584" s="4" t="s">
        <v>44</v>
      </c>
      <c r="I584" s="5">
        <v>45367</v>
      </c>
      <c r="J584" s="4">
        <f t="shared" si="9"/>
        <v>5</v>
      </c>
    </row>
    <row r="585" spans="1:10" x14ac:dyDescent="0.25">
      <c r="A585" s="4">
        <f>_xlfn.XLOOKUP(E585,'Data Validation'!$M$3:$M$10,'Data Validation'!$N$3:$N$10)</f>
        <v>2</v>
      </c>
      <c r="B585" s="4">
        <v>17</v>
      </c>
      <c r="C585" s="4" t="s">
        <v>11</v>
      </c>
      <c r="D585" s="7">
        <v>33.799999999999997</v>
      </c>
      <c r="E585" s="4" t="s">
        <v>19</v>
      </c>
      <c r="F585" s="4" t="s">
        <v>20</v>
      </c>
      <c r="G585" s="4" t="s">
        <v>50</v>
      </c>
      <c r="H585" s="4" t="s">
        <v>44</v>
      </c>
      <c r="I585" s="5">
        <v>45367</v>
      </c>
      <c r="J585" s="4">
        <f t="shared" si="9"/>
        <v>5</v>
      </c>
    </row>
    <row r="586" spans="1:10" x14ac:dyDescent="0.25">
      <c r="A586" s="4">
        <f>_xlfn.XLOOKUP(E586,'Data Validation'!$M$3:$M$10,'Data Validation'!$N$3:$N$10)</f>
        <v>2</v>
      </c>
      <c r="B586" s="4">
        <v>16</v>
      </c>
      <c r="C586" s="4" t="s">
        <v>11</v>
      </c>
      <c r="D586" s="7">
        <v>33.799999999999997</v>
      </c>
      <c r="E586" s="4" t="s">
        <v>19</v>
      </c>
      <c r="F586" s="4" t="s">
        <v>17</v>
      </c>
      <c r="G586" s="4" t="s">
        <v>46</v>
      </c>
      <c r="H586" s="4" t="s">
        <v>44</v>
      </c>
      <c r="I586" s="5">
        <v>45370</v>
      </c>
      <c r="J586" s="4">
        <f t="shared" si="9"/>
        <v>5</v>
      </c>
    </row>
    <row r="587" spans="1:10" x14ac:dyDescent="0.25">
      <c r="A587" s="4">
        <f>_xlfn.XLOOKUP(E587,'Data Validation'!$M$3:$M$10,'Data Validation'!$N$3:$N$10)</f>
        <v>2</v>
      </c>
      <c r="B587" s="4">
        <v>10</v>
      </c>
      <c r="C587" s="4" t="s">
        <v>11</v>
      </c>
      <c r="D587" s="7">
        <v>33.799999999999997</v>
      </c>
      <c r="E587" s="4" t="s">
        <v>19</v>
      </c>
      <c r="F587" s="4" t="s">
        <v>13</v>
      </c>
      <c r="G587" s="4" t="s">
        <v>49</v>
      </c>
      <c r="H587" s="4" t="s">
        <v>44</v>
      </c>
      <c r="I587" s="5">
        <v>45373</v>
      </c>
      <c r="J587" s="4">
        <f t="shared" si="9"/>
        <v>5</v>
      </c>
    </row>
    <row r="588" spans="1:10" x14ac:dyDescent="0.25">
      <c r="A588" s="4">
        <f>_xlfn.XLOOKUP(E588,'Data Validation'!$M$3:$M$10,'Data Validation'!$N$3:$N$10)</f>
        <v>2</v>
      </c>
      <c r="B588" s="4">
        <v>13</v>
      </c>
      <c r="C588" s="4" t="s">
        <v>11</v>
      </c>
      <c r="D588" s="7">
        <v>33.799999999999997</v>
      </c>
      <c r="E588" s="4" t="s">
        <v>19</v>
      </c>
      <c r="F588" s="4" t="s">
        <v>17</v>
      </c>
      <c r="G588" s="4" t="s">
        <v>49</v>
      </c>
      <c r="H588" s="4" t="s">
        <v>44</v>
      </c>
      <c r="I588" s="5">
        <v>45373</v>
      </c>
      <c r="J588" s="4">
        <f t="shared" si="9"/>
        <v>5</v>
      </c>
    </row>
    <row r="589" spans="1:10" x14ac:dyDescent="0.25">
      <c r="A589" s="4">
        <f>_xlfn.XLOOKUP(E589,'Data Validation'!$M$3:$M$10,'Data Validation'!$N$3:$N$10)</f>
        <v>2</v>
      </c>
      <c r="B589" s="4">
        <v>10</v>
      </c>
      <c r="C589" s="4" t="s">
        <v>11</v>
      </c>
      <c r="D589" s="7">
        <v>33.799999999999997</v>
      </c>
      <c r="E589" s="4" t="s">
        <v>19</v>
      </c>
      <c r="F589" s="4" t="s">
        <v>13</v>
      </c>
      <c r="G589" s="4" t="s">
        <v>50</v>
      </c>
      <c r="H589" s="4" t="s">
        <v>44</v>
      </c>
      <c r="I589" s="5">
        <v>45374</v>
      </c>
      <c r="J589" s="4">
        <f t="shared" si="9"/>
        <v>5</v>
      </c>
    </row>
    <row r="590" spans="1:10" x14ac:dyDescent="0.25">
      <c r="A590" s="4">
        <f>_xlfn.XLOOKUP(E590,'Data Validation'!$M$3:$M$10,'Data Validation'!$N$3:$N$10)</f>
        <v>2</v>
      </c>
      <c r="B590" s="4">
        <v>14</v>
      </c>
      <c r="C590" s="4" t="s">
        <v>11</v>
      </c>
      <c r="D590" s="7">
        <v>33.799999999999997</v>
      </c>
      <c r="E590" s="4" t="s">
        <v>19</v>
      </c>
      <c r="F590" s="4" t="s">
        <v>17</v>
      </c>
      <c r="G590" s="4" t="s">
        <v>50</v>
      </c>
      <c r="H590" s="4" t="s">
        <v>44</v>
      </c>
      <c r="I590" s="5">
        <v>45374</v>
      </c>
      <c r="J590" s="4">
        <f t="shared" si="9"/>
        <v>5</v>
      </c>
    </row>
    <row r="591" spans="1:10" x14ac:dyDescent="0.25">
      <c r="A591" s="4">
        <f>_xlfn.XLOOKUP(E591,'Data Validation'!$M$3:$M$10,'Data Validation'!$N$3:$N$10)</f>
        <v>2</v>
      </c>
      <c r="B591" s="4">
        <v>15</v>
      </c>
      <c r="C591" s="4" t="s">
        <v>11</v>
      </c>
      <c r="D591" s="7">
        <v>33.799999999999997</v>
      </c>
      <c r="E591" s="4" t="s">
        <v>19</v>
      </c>
      <c r="F591" s="4" t="s">
        <v>17</v>
      </c>
      <c r="G591" s="4" t="s">
        <v>50</v>
      </c>
      <c r="H591" s="4" t="s">
        <v>44</v>
      </c>
      <c r="I591" s="5">
        <v>45374</v>
      </c>
      <c r="J591" s="4">
        <f t="shared" si="9"/>
        <v>5</v>
      </c>
    </row>
    <row r="592" spans="1:10" x14ac:dyDescent="0.25">
      <c r="A592" s="4">
        <f>_xlfn.XLOOKUP(E592,'Data Validation'!$M$3:$M$10,'Data Validation'!$N$3:$N$10)</f>
        <v>2</v>
      </c>
      <c r="B592" s="4">
        <v>18</v>
      </c>
      <c r="C592" s="4" t="s">
        <v>11</v>
      </c>
      <c r="D592" s="7">
        <v>33.799999999999997</v>
      </c>
      <c r="E592" s="4" t="s">
        <v>19</v>
      </c>
      <c r="F592" s="4" t="s">
        <v>20</v>
      </c>
      <c r="G592" s="4" t="s">
        <v>45</v>
      </c>
      <c r="H592" s="4" t="s">
        <v>44</v>
      </c>
      <c r="I592" s="5">
        <v>45376</v>
      </c>
      <c r="J592" s="4">
        <f t="shared" si="9"/>
        <v>5</v>
      </c>
    </row>
    <row r="593" spans="1:10" x14ac:dyDescent="0.25">
      <c r="A593" s="4">
        <f>_xlfn.XLOOKUP(E593,'Data Validation'!$M$3:$M$10,'Data Validation'!$N$3:$N$10)</f>
        <v>2</v>
      </c>
      <c r="B593" s="4">
        <v>11</v>
      </c>
      <c r="C593" s="4" t="s">
        <v>11</v>
      </c>
      <c r="D593" s="7">
        <v>33.799999999999997</v>
      </c>
      <c r="E593" s="4" t="s">
        <v>19</v>
      </c>
      <c r="F593" s="4" t="s">
        <v>13</v>
      </c>
      <c r="G593" s="4" t="s">
        <v>47</v>
      </c>
      <c r="H593" s="4" t="s">
        <v>44</v>
      </c>
      <c r="I593" s="5">
        <v>45378</v>
      </c>
      <c r="J593" s="4">
        <f t="shared" si="9"/>
        <v>5</v>
      </c>
    </row>
    <row r="594" spans="1:10" x14ac:dyDescent="0.25">
      <c r="A594" s="4">
        <f>_xlfn.XLOOKUP(E594,'Data Validation'!$M$3:$M$10,'Data Validation'!$N$3:$N$10)</f>
        <v>2</v>
      </c>
      <c r="B594" s="4">
        <v>12</v>
      </c>
      <c r="C594" s="4" t="s">
        <v>11</v>
      </c>
      <c r="D594" s="7">
        <v>33.799999999999997</v>
      </c>
      <c r="E594" s="4" t="s">
        <v>19</v>
      </c>
      <c r="F594" s="4" t="s">
        <v>17</v>
      </c>
      <c r="G594" s="4" t="s">
        <v>47</v>
      </c>
      <c r="H594" s="4" t="s">
        <v>44</v>
      </c>
      <c r="I594" s="5">
        <v>45378</v>
      </c>
      <c r="J594" s="4">
        <f t="shared" si="9"/>
        <v>5</v>
      </c>
    </row>
    <row r="595" spans="1:10" x14ac:dyDescent="0.25">
      <c r="A595" s="4">
        <f>_xlfn.XLOOKUP(E595,'Data Validation'!$M$3:$M$10,'Data Validation'!$N$3:$N$10)</f>
        <v>2</v>
      </c>
      <c r="B595" s="4">
        <v>16</v>
      </c>
      <c r="C595" s="4" t="s">
        <v>11</v>
      </c>
      <c r="D595" s="7">
        <v>33.799999999999997</v>
      </c>
      <c r="E595" s="4" t="s">
        <v>19</v>
      </c>
      <c r="F595" s="4" t="s">
        <v>17</v>
      </c>
      <c r="G595" s="4" t="s">
        <v>50</v>
      </c>
      <c r="H595" s="4" t="s">
        <v>44</v>
      </c>
      <c r="I595" s="5">
        <v>45381</v>
      </c>
      <c r="J595" s="4">
        <f t="shared" si="9"/>
        <v>5</v>
      </c>
    </row>
    <row r="596" spans="1:10" x14ac:dyDescent="0.25">
      <c r="A596" s="4">
        <f>_xlfn.XLOOKUP(E596,'Data Validation'!$M$3:$M$10,'Data Validation'!$N$3:$N$10)</f>
        <v>2</v>
      </c>
      <c r="B596" s="4">
        <v>10</v>
      </c>
      <c r="C596" s="4" t="s">
        <v>11</v>
      </c>
      <c r="D596" s="7">
        <v>33.799999999999997</v>
      </c>
      <c r="E596" s="4" t="s">
        <v>19</v>
      </c>
      <c r="F596" s="4" t="s">
        <v>13</v>
      </c>
      <c r="G596" s="4" t="s">
        <v>45</v>
      </c>
      <c r="H596" s="4" t="s">
        <v>52</v>
      </c>
      <c r="I596" s="5">
        <v>45383</v>
      </c>
      <c r="J596" s="4">
        <f t="shared" si="9"/>
        <v>5</v>
      </c>
    </row>
    <row r="597" spans="1:10" x14ac:dyDescent="0.25">
      <c r="A597" s="4">
        <f>_xlfn.XLOOKUP(E597,'Data Validation'!$M$3:$M$10,'Data Validation'!$N$3:$N$10)</f>
        <v>2</v>
      </c>
      <c r="B597" s="4">
        <v>10</v>
      </c>
      <c r="C597" s="4" t="s">
        <v>11</v>
      </c>
      <c r="D597" s="7">
        <v>33.799999999999997</v>
      </c>
      <c r="E597" s="4" t="s">
        <v>19</v>
      </c>
      <c r="F597" s="4" t="s">
        <v>13</v>
      </c>
      <c r="G597" s="4" t="s">
        <v>45</v>
      </c>
      <c r="H597" s="4" t="s">
        <v>52</v>
      </c>
      <c r="I597" s="5">
        <v>45383</v>
      </c>
      <c r="J597" s="4">
        <f t="shared" si="9"/>
        <v>5</v>
      </c>
    </row>
    <row r="598" spans="1:10" x14ac:dyDescent="0.25">
      <c r="A598" s="4">
        <f>_xlfn.XLOOKUP(E598,'Data Validation'!$M$3:$M$10,'Data Validation'!$N$3:$N$10)</f>
        <v>2</v>
      </c>
      <c r="B598" s="4">
        <v>11</v>
      </c>
      <c r="C598" s="4" t="s">
        <v>11</v>
      </c>
      <c r="D598" s="7">
        <v>33.799999999999997</v>
      </c>
      <c r="E598" s="4" t="s">
        <v>19</v>
      </c>
      <c r="F598" s="4" t="s">
        <v>13</v>
      </c>
      <c r="G598" s="4" t="s">
        <v>45</v>
      </c>
      <c r="H598" s="4" t="s">
        <v>52</v>
      </c>
      <c r="I598" s="5">
        <v>45383</v>
      </c>
      <c r="J598" s="4">
        <f t="shared" si="9"/>
        <v>5</v>
      </c>
    </row>
    <row r="599" spans="1:10" x14ac:dyDescent="0.25">
      <c r="A599" s="4">
        <f>_xlfn.XLOOKUP(E599,'Data Validation'!$M$3:$M$10,'Data Validation'!$N$3:$N$10)</f>
        <v>2</v>
      </c>
      <c r="B599" s="4">
        <v>18</v>
      </c>
      <c r="C599" s="4" t="s">
        <v>11</v>
      </c>
      <c r="D599" s="7">
        <v>33.799999999999997</v>
      </c>
      <c r="E599" s="4" t="s">
        <v>19</v>
      </c>
      <c r="F599" s="4" t="s">
        <v>20</v>
      </c>
      <c r="G599" s="4" t="s">
        <v>45</v>
      </c>
      <c r="H599" s="4" t="s">
        <v>52</v>
      </c>
      <c r="I599" s="5">
        <v>45383</v>
      </c>
      <c r="J599" s="4">
        <f t="shared" si="9"/>
        <v>5</v>
      </c>
    </row>
    <row r="600" spans="1:10" x14ac:dyDescent="0.25">
      <c r="A600" s="4">
        <f>_xlfn.XLOOKUP(E600,'Data Validation'!$M$3:$M$10,'Data Validation'!$N$3:$N$10)</f>
        <v>2</v>
      </c>
      <c r="B600" s="4">
        <v>12</v>
      </c>
      <c r="C600" s="4" t="s">
        <v>11</v>
      </c>
      <c r="D600" s="7">
        <v>33.799999999999997</v>
      </c>
      <c r="E600" s="4" t="s">
        <v>19</v>
      </c>
      <c r="F600" s="4" t="s">
        <v>17</v>
      </c>
      <c r="G600" s="4" t="s">
        <v>49</v>
      </c>
      <c r="H600" s="4" t="s">
        <v>52</v>
      </c>
      <c r="I600" s="5">
        <v>45387</v>
      </c>
      <c r="J600" s="4">
        <f t="shared" si="9"/>
        <v>5</v>
      </c>
    </row>
    <row r="601" spans="1:10" x14ac:dyDescent="0.25">
      <c r="A601" s="4">
        <f>_xlfn.XLOOKUP(E601,'Data Validation'!$M$3:$M$10,'Data Validation'!$N$3:$N$10)</f>
        <v>2</v>
      </c>
      <c r="B601" s="4">
        <v>12</v>
      </c>
      <c r="C601" s="4" t="s">
        <v>11</v>
      </c>
      <c r="D601" s="7">
        <v>33.799999999999997</v>
      </c>
      <c r="E601" s="4" t="s">
        <v>19</v>
      </c>
      <c r="F601" s="4" t="s">
        <v>17</v>
      </c>
      <c r="G601" s="4" t="s">
        <v>50</v>
      </c>
      <c r="H601" s="4" t="s">
        <v>52</v>
      </c>
      <c r="I601" s="5">
        <v>45388</v>
      </c>
      <c r="J601" s="4">
        <f t="shared" si="9"/>
        <v>5</v>
      </c>
    </row>
    <row r="602" spans="1:10" x14ac:dyDescent="0.25">
      <c r="A602" s="4">
        <f>_xlfn.XLOOKUP(E602,'Data Validation'!$M$3:$M$10,'Data Validation'!$N$3:$N$10)</f>
        <v>2</v>
      </c>
      <c r="B602" s="4">
        <v>18</v>
      </c>
      <c r="C602" s="4" t="s">
        <v>11</v>
      </c>
      <c r="D602" s="7">
        <v>33.799999999999997</v>
      </c>
      <c r="E602" s="4" t="s">
        <v>19</v>
      </c>
      <c r="F602" s="4" t="s">
        <v>20</v>
      </c>
      <c r="G602" s="4" t="s">
        <v>51</v>
      </c>
      <c r="H602" s="4" t="s">
        <v>52</v>
      </c>
      <c r="I602" s="5">
        <v>45389</v>
      </c>
      <c r="J602" s="4">
        <f t="shared" si="9"/>
        <v>5</v>
      </c>
    </row>
    <row r="603" spans="1:10" x14ac:dyDescent="0.25">
      <c r="A603" s="4">
        <f>_xlfn.XLOOKUP(E603,'Data Validation'!$M$3:$M$10,'Data Validation'!$N$3:$N$10)</f>
        <v>2</v>
      </c>
      <c r="B603" s="4">
        <v>10</v>
      </c>
      <c r="C603" s="4" t="s">
        <v>11</v>
      </c>
      <c r="D603" s="7">
        <v>33.799999999999997</v>
      </c>
      <c r="E603" s="4" t="s">
        <v>19</v>
      </c>
      <c r="F603" s="4" t="s">
        <v>13</v>
      </c>
      <c r="G603" s="4" t="s">
        <v>45</v>
      </c>
      <c r="H603" s="4" t="s">
        <v>52</v>
      </c>
      <c r="I603" s="5">
        <v>45390</v>
      </c>
      <c r="J603" s="4">
        <f t="shared" si="9"/>
        <v>5</v>
      </c>
    </row>
    <row r="604" spans="1:10" x14ac:dyDescent="0.25">
      <c r="A604" s="4">
        <f>_xlfn.XLOOKUP(E604,'Data Validation'!$M$3:$M$10,'Data Validation'!$N$3:$N$10)</f>
        <v>2</v>
      </c>
      <c r="B604" s="4">
        <v>19</v>
      </c>
      <c r="C604" s="4" t="s">
        <v>11</v>
      </c>
      <c r="D604" s="7">
        <v>33.799999999999997</v>
      </c>
      <c r="E604" s="4" t="s">
        <v>19</v>
      </c>
      <c r="F604" s="4" t="s">
        <v>20</v>
      </c>
      <c r="G604" s="4" t="s">
        <v>45</v>
      </c>
      <c r="H604" s="4" t="s">
        <v>52</v>
      </c>
      <c r="I604" s="5">
        <v>45390</v>
      </c>
      <c r="J604" s="4">
        <f t="shared" si="9"/>
        <v>5</v>
      </c>
    </row>
    <row r="605" spans="1:10" x14ac:dyDescent="0.25">
      <c r="A605" s="4">
        <f>_xlfn.XLOOKUP(E605,'Data Validation'!$M$3:$M$10,'Data Validation'!$N$3:$N$10)</f>
        <v>2</v>
      </c>
      <c r="B605" s="4">
        <v>19</v>
      </c>
      <c r="C605" s="4" t="s">
        <v>11</v>
      </c>
      <c r="D605" s="7">
        <v>33.799999999999997</v>
      </c>
      <c r="E605" s="4" t="s">
        <v>19</v>
      </c>
      <c r="F605" s="4" t="s">
        <v>20</v>
      </c>
      <c r="G605" s="4" t="s">
        <v>48</v>
      </c>
      <c r="H605" s="4" t="s">
        <v>52</v>
      </c>
      <c r="I605" s="5">
        <v>45393</v>
      </c>
      <c r="J605" s="4">
        <f t="shared" si="9"/>
        <v>5</v>
      </c>
    </row>
    <row r="606" spans="1:10" x14ac:dyDescent="0.25">
      <c r="A606" s="4">
        <f>_xlfn.XLOOKUP(E606,'Data Validation'!$M$3:$M$10,'Data Validation'!$N$3:$N$10)</f>
        <v>2</v>
      </c>
      <c r="B606" s="4">
        <v>17</v>
      </c>
      <c r="C606" s="4" t="s">
        <v>11</v>
      </c>
      <c r="D606" s="7">
        <v>33.799999999999997</v>
      </c>
      <c r="E606" s="4" t="s">
        <v>19</v>
      </c>
      <c r="F606" s="4" t="s">
        <v>20</v>
      </c>
      <c r="G606" s="4" t="s">
        <v>45</v>
      </c>
      <c r="H606" s="4" t="s">
        <v>52</v>
      </c>
      <c r="I606" s="5">
        <v>45397</v>
      </c>
      <c r="J606" s="4">
        <f t="shared" si="9"/>
        <v>5</v>
      </c>
    </row>
    <row r="607" spans="1:10" x14ac:dyDescent="0.25">
      <c r="A607" s="4">
        <f>_xlfn.XLOOKUP(E607,'Data Validation'!$M$3:$M$10,'Data Validation'!$N$3:$N$10)</f>
        <v>2</v>
      </c>
      <c r="B607" s="4">
        <v>19</v>
      </c>
      <c r="C607" s="4" t="s">
        <v>11</v>
      </c>
      <c r="D607" s="7">
        <v>33.799999999999997</v>
      </c>
      <c r="E607" s="4" t="s">
        <v>19</v>
      </c>
      <c r="F607" s="4" t="s">
        <v>20</v>
      </c>
      <c r="G607" s="4" t="s">
        <v>45</v>
      </c>
      <c r="H607" s="4" t="s">
        <v>52</v>
      </c>
      <c r="I607" s="5">
        <v>45397</v>
      </c>
      <c r="J607" s="4">
        <f t="shared" si="9"/>
        <v>5</v>
      </c>
    </row>
    <row r="608" spans="1:10" x14ac:dyDescent="0.25">
      <c r="A608" s="4">
        <f>_xlfn.XLOOKUP(E608,'Data Validation'!$M$3:$M$10,'Data Validation'!$N$3:$N$10)</f>
        <v>2</v>
      </c>
      <c r="B608" s="4">
        <v>10</v>
      </c>
      <c r="C608" s="4" t="s">
        <v>11</v>
      </c>
      <c r="D608" s="7">
        <v>33.799999999999997</v>
      </c>
      <c r="E608" s="4" t="s">
        <v>19</v>
      </c>
      <c r="F608" s="4" t="s">
        <v>13</v>
      </c>
      <c r="G608" s="4" t="s">
        <v>46</v>
      </c>
      <c r="H608" s="4" t="s">
        <v>52</v>
      </c>
      <c r="I608" s="5">
        <v>45398</v>
      </c>
      <c r="J608" s="4">
        <f t="shared" si="9"/>
        <v>5</v>
      </c>
    </row>
    <row r="609" spans="1:10" x14ac:dyDescent="0.25">
      <c r="A609" s="4">
        <f>_xlfn.XLOOKUP(E609,'Data Validation'!$M$3:$M$10,'Data Validation'!$N$3:$N$10)</f>
        <v>2</v>
      </c>
      <c r="B609" s="4">
        <v>17</v>
      </c>
      <c r="C609" s="4" t="s">
        <v>11</v>
      </c>
      <c r="D609" s="7">
        <v>33.799999999999997</v>
      </c>
      <c r="E609" s="4" t="s">
        <v>19</v>
      </c>
      <c r="F609" s="4" t="s">
        <v>20</v>
      </c>
      <c r="G609" s="4" t="s">
        <v>46</v>
      </c>
      <c r="H609" s="4" t="s">
        <v>52</v>
      </c>
      <c r="I609" s="5">
        <v>45398</v>
      </c>
      <c r="J609" s="4">
        <f t="shared" si="9"/>
        <v>5</v>
      </c>
    </row>
    <row r="610" spans="1:10" x14ac:dyDescent="0.25">
      <c r="A610" s="4">
        <f>_xlfn.XLOOKUP(E610,'Data Validation'!$M$3:$M$10,'Data Validation'!$N$3:$N$10)</f>
        <v>2</v>
      </c>
      <c r="B610" s="4">
        <v>13</v>
      </c>
      <c r="C610" s="4" t="s">
        <v>11</v>
      </c>
      <c r="D610" s="7">
        <v>33.799999999999997</v>
      </c>
      <c r="E610" s="4" t="s">
        <v>19</v>
      </c>
      <c r="F610" s="4" t="s">
        <v>17</v>
      </c>
      <c r="G610" s="4" t="s">
        <v>48</v>
      </c>
      <c r="H610" s="4" t="s">
        <v>52</v>
      </c>
      <c r="I610" s="5">
        <v>45400</v>
      </c>
      <c r="J610" s="4">
        <f t="shared" si="9"/>
        <v>5</v>
      </c>
    </row>
    <row r="611" spans="1:10" x14ac:dyDescent="0.25">
      <c r="A611" s="4">
        <f>_xlfn.XLOOKUP(E611,'Data Validation'!$M$3:$M$10,'Data Validation'!$N$3:$N$10)</f>
        <v>2</v>
      </c>
      <c r="B611" s="4">
        <v>13</v>
      </c>
      <c r="C611" s="4" t="s">
        <v>11</v>
      </c>
      <c r="D611" s="7">
        <v>33.799999999999997</v>
      </c>
      <c r="E611" s="4" t="s">
        <v>19</v>
      </c>
      <c r="F611" s="4" t="s">
        <v>17</v>
      </c>
      <c r="G611" s="4" t="s">
        <v>49</v>
      </c>
      <c r="H611" s="4" t="s">
        <v>52</v>
      </c>
      <c r="I611" s="5">
        <v>45401</v>
      </c>
      <c r="J611" s="4">
        <f t="shared" si="9"/>
        <v>5</v>
      </c>
    </row>
    <row r="612" spans="1:10" x14ac:dyDescent="0.25">
      <c r="A612" s="4">
        <f>_xlfn.XLOOKUP(E612,'Data Validation'!$M$3:$M$10,'Data Validation'!$N$3:$N$10)</f>
        <v>2</v>
      </c>
      <c r="B612" s="4">
        <v>18</v>
      </c>
      <c r="C612" s="4" t="s">
        <v>11</v>
      </c>
      <c r="D612" s="7">
        <v>33.799999999999997</v>
      </c>
      <c r="E612" s="4" t="s">
        <v>19</v>
      </c>
      <c r="F612" s="4" t="s">
        <v>20</v>
      </c>
      <c r="G612" s="4" t="s">
        <v>49</v>
      </c>
      <c r="H612" s="4" t="s">
        <v>52</v>
      </c>
      <c r="I612" s="5">
        <v>45401</v>
      </c>
      <c r="J612" s="4">
        <f t="shared" si="9"/>
        <v>5</v>
      </c>
    </row>
    <row r="613" spans="1:10" x14ac:dyDescent="0.25">
      <c r="A613" s="4">
        <f>_xlfn.XLOOKUP(E613,'Data Validation'!$M$3:$M$10,'Data Validation'!$N$3:$N$10)</f>
        <v>2</v>
      </c>
      <c r="B613" s="4">
        <v>12</v>
      </c>
      <c r="C613" s="4" t="s">
        <v>11</v>
      </c>
      <c r="D613" s="7">
        <v>33.799999999999997</v>
      </c>
      <c r="E613" s="4" t="s">
        <v>19</v>
      </c>
      <c r="F613" s="4" t="s">
        <v>17</v>
      </c>
      <c r="G613" s="4" t="s">
        <v>50</v>
      </c>
      <c r="H613" s="4" t="s">
        <v>52</v>
      </c>
      <c r="I613" s="5">
        <v>45402</v>
      </c>
      <c r="J613" s="4">
        <f t="shared" si="9"/>
        <v>5</v>
      </c>
    </row>
    <row r="614" spans="1:10" x14ac:dyDescent="0.25">
      <c r="A614" s="4">
        <f>_xlfn.XLOOKUP(E614,'Data Validation'!$M$3:$M$10,'Data Validation'!$N$3:$N$10)</f>
        <v>2</v>
      </c>
      <c r="B614" s="4">
        <v>12</v>
      </c>
      <c r="C614" s="4" t="s">
        <v>11</v>
      </c>
      <c r="D614" s="7">
        <v>33.799999999999997</v>
      </c>
      <c r="E614" s="4" t="s">
        <v>19</v>
      </c>
      <c r="F614" s="4" t="s">
        <v>17</v>
      </c>
      <c r="G614" s="4" t="s">
        <v>50</v>
      </c>
      <c r="H614" s="4" t="s">
        <v>52</v>
      </c>
      <c r="I614" s="5">
        <v>45402</v>
      </c>
      <c r="J614" s="4">
        <f t="shared" si="9"/>
        <v>5</v>
      </c>
    </row>
    <row r="615" spans="1:10" x14ac:dyDescent="0.25">
      <c r="A615" s="4">
        <f>_xlfn.XLOOKUP(E615,'Data Validation'!$M$3:$M$10,'Data Validation'!$N$3:$N$10)</f>
        <v>2</v>
      </c>
      <c r="B615" s="4">
        <v>13</v>
      </c>
      <c r="C615" s="4" t="s">
        <v>11</v>
      </c>
      <c r="D615" s="7">
        <v>33.799999999999997</v>
      </c>
      <c r="E615" s="4" t="s">
        <v>19</v>
      </c>
      <c r="F615" s="4" t="s">
        <v>17</v>
      </c>
      <c r="G615" s="4" t="s">
        <v>50</v>
      </c>
      <c r="H615" s="4" t="s">
        <v>52</v>
      </c>
      <c r="I615" s="5">
        <v>45402</v>
      </c>
      <c r="J615" s="4">
        <f t="shared" si="9"/>
        <v>5</v>
      </c>
    </row>
    <row r="616" spans="1:10" x14ac:dyDescent="0.25">
      <c r="A616" s="4">
        <f>_xlfn.XLOOKUP(E616,'Data Validation'!$M$3:$M$10,'Data Validation'!$N$3:$N$10)</f>
        <v>2</v>
      </c>
      <c r="B616" s="4">
        <v>15</v>
      </c>
      <c r="C616" s="4" t="s">
        <v>11</v>
      </c>
      <c r="D616" s="7">
        <v>33.799999999999997</v>
      </c>
      <c r="E616" s="4" t="s">
        <v>19</v>
      </c>
      <c r="F616" s="4" t="s">
        <v>17</v>
      </c>
      <c r="G616" s="4" t="s">
        <v>50</v>
      </c>
      <c r="H616" s="4" t="s">
        <v>52</v>
      </c>
      <c r="I616" s="5">
        <v>45402</v>
      </c>
      <c r="J616" s="4">
        <f t="shared" si="9"/>
        <v>5</v>
      </c>
    </row>
    <row r="617" spans="1:10" x14ac:dyDescent="0.25">
      <c r="A617" s="4">
        <f>_xlfn.XLOOKUP(E617,'Data Validation'!$M$3:$M$10,'Data Validation'!$N$3:$N$10)</f>
        <v>2</v>
      </c>
      <c r="B617" s="4">
        <v>15</v>
      </c>
      <c r="C617" s="4" t="s">
        <v>11</v>
      </c>
      <c r="D617" s="7">
        <v>32.82</v>
      </c>
      <c r="E617" s="4" t="s">
        <v>19</v>
      </c>
      <c r="F617" s="4" t="s">
        <v>17</v>
      </c>
      <c r="G617" s="4" t="s">
        <v>50</v>
      </c>
      <c r="H617" s="4" t="s">
        <v>52</v>
      </c>
      <c r="I617" s="5">
        <v>45402</v>
      </c>
      <c r="J617" s="4">
        <f t="shared" si="9"/>
        <v>6</v>
      </c>
    </row>
    <row r="618" spans="1:10" x14ac:dyDescent="0.25">
      <c r="A618" s="4">
        <f>_xlfn.XLOOKUP(E618,'Data Validation'!$M$3:$M$10,'Data Validation'!$N$3:$N$10)</f>
        <v>2</v>
      </c>
      <c r="B618" s="4">
        <v>15</v>
      </c>
      <c r="C618" s="4" t="s">
        <v>11</v>
      </c>
      <c r="D618" s="7">
        <v>32.82</v>
      </c>
      <c r="E618" s="4" t="s">
        <v>19</v>
      </c>
      <c r="F618" s="4" t="s">
        <v>17</v>
      </c>
      <c r="G618" s="4" t="s">
        <v>50</v>
      </c>
      <c r="H618" s="4" t="s">
        <v>52</v>
      </c>
      <c r="I618" s="5">
        <v>45402</v>
      </c>
      <c r="J618" s="4">
        <f t="shared" si="9"/>
        <v>6</v>
      </c>
    </row>
    <row r="619" spans="1:10" x14ac:dyDescent="0.25">
      <c r="A619" s="4">
        <f>_xlfn.XLOOKUP(E619,'Data Validation'!$M$3:$M$10,'Data Validation'!$N$3:$N$10)</f>
        <v>2</v>
      </c>
      <c r="B619" s="4">
        <v>11</v>
      </c>
      <c r="C619" s="4" t="s">
        <v>11</v>
      </c>
      <c r="D619" s="7">
        <v>32.82</v>
      </c>
      <c r="E619" s="4" t="s">
        <v>19</v>
      </c>
      <c r="F619" s="4" t="s">
        <v>13</v>
      </c>
      <c r="G619" s="4" t="s">
        <v>45</v>
      </c>
      <c r="H619" s="4" t="s">
        <v>52</v>
      </c>
      <c r="I619" s="5">
        <v>45404</v>
      </c>
      <c r="J619" s="4">
        <f t="shared" si="9"/>
        <v>6</v>
      </c>
    </row>
    <row r="620" spans="1:10" x14ac:dyDescent="0.25">
      <c r="A620" s="4">
        <f>_xlfn.XLOOKUP(E620,'Data Validation'!$M$3:$M$10,'Data Validation'!$N$3:$N$10)</f>
        <v>2</v>
      </c>
      <c r="B620" s="4">
        <v>14</v>
      </c>
      <c r="C620" s="4" t="s">
        <v>11</v>
      </c>
      <c r="D620" s="7">
        <v>32.82</v>
      </c>
      <c r="E620" s="4" t="s">
        <v>19</v>
      </c>
      <c r="F620" s="4" t="s">
        <v>17</v>
      </c>
      <c r="G620" s="4" t="s">
        <v>46</v>
      </c>
      <c r="H620" s="4" t="s">
        <v>52</v>
      </c>
      <c r="I620" s="5">
        <v>45405</v>
      </c>
      <c r="J620" s="4">
        <f t="shared" si="9"/>
        <v>6</v>
      </c>
    </row>
    <row r="621" spans="1:10" x14ac:dyDescent="0.25">
      <c r="A621" s="4">
        <f>_xlfn.XLOOKUP(E621,'Data Validation'!$M$3:$M$10,'Data Validation'!$N$3:$N$10)</f>
        <v>2</v>
      </c>
      <c r="B621" s="4">
        <v>19</v>
      </c>
      <c r="C621" s="4" t="s">
        <v>11</v>
      </c>
      <c r="D621" s="7">
        <v>32.82</v>
      </c>
      <c r="E621" s="4" t="s">
        <v>19</v>
      </c>
      <c r="F621" s="4" t="s">
        <v>20</v>
      </c>
      <c r="G621" s="4" t="s">
        <v>46</v>
      </c>
      <c r="H621" s="4" t="s">
        <v>52</v>
      </c>
      <c r="I621" s="5">
        <v>45405</v>
      </c>
      <c r="J621" s="4">
        <f t="shared" si="9"/>
        <v>6</v>
      </c>
    </row>
    <row r="622" spans="1:10" x14ac:dyDescent="0.25">
      <c r="A622" s="4">
        <f>_xlfn.XLOOKUP(E622,'Data Validation'!$M$3:$M$10,'Data Validation'!$N$3:$N$10)</f>
        <v>2</v>
      </c>
      <c r="B622" s="4">
        <v>19</v>
      </c>
      <c r="C622" s="4" t="s">
        <v>11</v>
      </c>
      <c r="D622" s="7">
        <v>32.82</v>
      </c>
      <c r="E622" s="4" t="s">
        <v>19</v>
      </c>
      <c r="F622" s="4" t="s">
        <v>20</v>
      </c>
      <c r="G622" s="4" t="s">
        <v>46</v>
      </c>
      <c r="H622" s="4" t="s">
        <v>52</v>
      </c>
      <c r="I622" s="5">
        <v>45405</v>
      </c>
      <c r="J622" s="4">
        <f t="shared" si="9"/>
        <v>6</v>
      </c>
    </row>
    <row r="623" spans="1:10" x14ac:dyDescent="0.25">
      <c r="A623" s="4">
        <f>_xlfn.XLOOKUP(E623,'Data Validation'!$M$3:$M$10,'Data Validation'!$N$3:$N$10)</f>
        <v>2</v>
      </c>
      <c r="B623" s="4">
        <v>10</v>
      </c>
      <c r="C623" s="4" t="s">
        <v>11</v>
      </c>
      <c r="D623" s="7">
        <v>32.82</v>
      </c>
      <c r="E623" s="4" t="s">
        <v>19</v>
      </c>
      <c r="F623" s="4" t="s">
        <v>13</v>
      </c>
      <c r="G623" s="4" t="s">
        <v>47</v>
      </c>
      <c r="H623" s="4" t="s">
        <v>52</v>
      </c>
      <c r="I623" s="5">
        <v>45406</v>
      </c>
      <c r="J623" s="4">
        <f t="shared" si="9"/>
        <v>6</v>
      </c>
    </row>
    <row r="624" spans="1:10" x14ac:dyDescent="0.25">
      <c r="A624" s="4">
        <f>_xlfn.XLOOKUP(E624,'Data Validation'!$M$3:$M$10,'Data Validation'!$N$3:$N$10)</f>
        <v>2</v>
      </c>
      <c r="B624" s="4">
        <v>11</v>
      </c>
      <c r="C624" s="4" t="s">
        <v>11</v>
      </c>
      <c r="D624" s="7">
        <v>32.82</v>
      </c>
      <c r="E624" s="4" t="s">
        <v>19</v>
      </c>
      <c r="F624" s="4" t="s">
        <v>13</v>
      </c>
      <c r="G624" s="4" t="s">
        <v>47</v>
      </c>
      <c r="H624" s="4" t="s">
        <v>52</v>
      </c>
      <c r="I624" s="5">
        <v>45406</v>
      </c>
      <c r="J624" s="4">
        <f t="shared" si="9"/>
        <v>6</v>
      </c>
    </row>
    <row r="625" spans="1:10" x14ac:dyDescent="0.25">
      <c r="A625" s="4">
        <f>_xlfn.XLOOKUP(E625,'Data Validation'!$M$3:$M$10,'Data Validation'!$N$3:$N$10)</f>
        <v>2</v>
      </c>
      <c r="B625" s="4">
        <v>11</v>
      </c>
      <c r="C625" s="4" t="s">
        <v>11</v>
      </c>
      <c r="D625" s="7">
        <v>32.82</v>
      </c>
      <c r="E625" s="4" t="s">
        <v>19</v>
      </c>
      <c r="F625" s="4" t="s">
        <v>13</v>
      </c>
      <c r="G625" s="4" t="s">
        <v>47</v>
      </c>
      <c r="H625" s="4" t="s">
        <v>52</v>
      </c>
      <c r="I625" s="5">
        <v>45406</v>
      </c>
      <c r="J625" s="4">
        <f t="shared" si="9"/>
        <v>6</v>
      </c>
    </row>
    <row r="626" spans="1:10" x14ac:dyDescent="0.25">
      <c r="A626" s="4">
        <f>_xlfn.XLOOKUP(E626,'Data Validation'!$M$3:$M$10,'Data Validation'!$N$3:$N$10)</f>
        <v>2</v>
      </c>
      <c r="B626" s="4">
        <v>12</v>
      </c>
      <c r="C626" s="4" t="s">
        <v>11</v>
      </c>
      <c r="D626" s="7">
        <v>32.82</v>
      </c>
      <c r="E626" s="4" t="s">
        <v>19</v>
      </c>
      <c r="F626" s="4" t="s">
        <v>17</v>
      </c>
      <c r="G626" s="4" t="s">
        <v>47</v>
      </c>
      <c r="H626" s="4" t="s">
        <v>52</v>
      </c>
      <c r="I626" s="5">
        <v>45406</v>
      </c>
      <c r="J626" s="4">
        <f t="shared" si="9"/>
        <v>6</v>
      </c>
    </row>
    <row r="627" spans="1:10" x14ac:dyDescent="0.25">
      <c r="A627" s="4">
        <f>_xlfn.XLOOKUP(E627,'Data Validation'!$M$3:$M$10,'Data Validation'!$N$3:$N$10)</f>
        <v>2</v>
      </c>
      <c r="B627" s="4">
        <v>16</v>
      </c>
      <c r="C627" s="4" t="s">
        <v>11</v>
      </c>
      <c r="D627" s="7">
        <v>32.82</v>
      </c>
      <c r="E627" s="4" t="s">
        <v>19</v>
      </c>
      <c r="F627" s="4" t="s">
        <v>17</v>
      </c>
      <c r="G627" s="4" t="s">
        <v>47</v>
      </c>
      <c r="H627" s="4" t="s">
        <v>52</v>
      </c>
      <c r="I627" s="5">
        <v>45406</v>
      </c>
      <c r="J627" s="4">
        <f t="shared" si="9"/>
        <v>6</v>
      </c>
    </row>
    <row r="628" spans="1:10" x14ac:dyDescent="0.25">
      <c r="A628" s="4">
        <f>_xlfn.XLOOKUP(E628,'Data Validation'!$M$3:$M$10,'Data Validation'!$N$3:$N$10)</f>
        <v>2</v>
      </c>
      <c r="B628" s="4">
        <v>19</v>
      </c>
      <c r="C628" s="4" t="s">
        <v>11</v>
      </c>
      <c r="D628" s="7">
        <v>32.82</v>
      </c>
      <c r="E628" s="4" t="s">
        <v>19</v>
      </c>
      <c r="F628" s="4" t="s">
        <v>20</v>
      </c>
      <c r="G628" s="4" t="s">
        <v>47</v>
      </c>
      <c r="H628" s="4" t="s">
        <v>52</v>
      </c>
      <c r="I628" s="5">
        <v>45406</v>
      </c>
      <c r="J628" s="4">
        <f t="shared" si="9"/>
        <v>6</v>
      </c>
    </row>
    <row r="629" spans="1:10" x14ac:dyDescent="0.25">
      <c r="A629" s="4">
        <f>_xlfn.XLOOKUP(E629,'Data Validation'!$M$3:$M$10,'Data Validation'!$N$3:$N$10)</f>
        <v>2</v>
      </c>
      <c r="B629" s="4">
        <v>13</v>
      </c>
      <c r="C629" s="4" t="s">
        <v>11</v>
      </c>
      <c r="D629" s="7">
        <v>32.82</v>
      </c>
      <c r="E629" s="4" t="s">
        <v>19</v>
      </c>
      <c r="F629" s="4" t="s">
        <v>17</v>
      </c>
      <c r="G629" s="4" t="s">
        <v>45</v>
      </c>
      <c r="H629" s="4" t="s">
        <v>52</v>
      </c>
      <c r="I629" s="5">
        <v>45411</v>
      </c>
      <c r="J629" s="4">
        <f t="shared" si="9"/>
        <v>6</v>
      </c>
    </row>
    <row r="630" spans="1:10" x14ac:dyDescent="0.25">
      <c r="A630" s="4">
        <f>_xlfn.XLOOKUP(E630,'Data Validation'!$M$3:$M$10,'Data Validation'!$N$3:$N$10)</f>
        <v>2</v>
      </c>
      <c r="B630" s="4">
        <v>10</v>
      </c>
      <c r="C630" s="4" t="s">
        <v>11</v>
      </c>
      <c r="D630" s="7">
        <v>32.82</v>
      </c>
      <c r="E630" s="4" t="s">
        <v>19</v>
      </c>
      <c r="F630" s="4" t="s">
        <v>13</v>
      </c>
      <c r="G630" s="4" t="s">
        <v>46</v>
      </c>
      <c r="H630" s="4" t="s">
        <v>52</v>
      </c>
      <c r="I630" s="5">
        <v>45412</v>
      </c>
      <c r="J630" s="4">
        <f t="shared" si="9"/>
        <v>6</v>
      </c>
    </row>
    <row r="631" spans="1:10" x14ac:dyDescent="0.25">
      <c r="A631" s="4">
        <f>_xlfn.XLOOKUP(E631,'Data Validation'!$M$3:$M$10,'Data Validation'!$N$3:$N$10)</f>
        <v>2</v>
      </c>
      <c r="B631" s="4">
        <v>10</v>
      </c>
      <c r="C631" s="4" t="s">
        <v>11</v>
      </c>
      <c r="D631" s="7">
        <v>32.82</v>
      </c>
      <c r="E631" s="4" t="s">
        <v>19</v>
      </c>
      <c r="F631" s="4" t="s">
        <v>13</v>
      </c>
      <c r="G631" s="4" t="s">
        <v>46</v>
      </c>
      <c r="H631" s="4" t="s">
        <v>52</v>
      </c>
      <c r="I631" s="5">
        <v>45412</v>
      </c>
      <c r="J631" s="4">
        <f t="shared" si="9"/>
        <v>6</v>
      </c>
    </row>
    <row r="632" spans="1:10" x14ac:dyDescent="0.25">
      <c r="A632" s="4">
        <f>_xlfn.XLOOKUP(E632,'Data Validation'!$M$3:$M$10,'Data Validation'!$N$3:$N$10)</f>
        <v>2</v>
      </c>
      <c r="B632" s="4">
        <v>13</v>
      </c>
      <c r="C632" s="4" t="s">
        <v>11</v>
      </c>
      <c r="D632" s="7">
        <v>32.82</v>
      </c>
      <c r="E632" s="4" t="s">
        <v>19</v>
      </c>
      <c r="F632" s="4" t="s">
        <v>17</v>
      </c>
      <c r="G632" s="4" t="s">
        <v>46</v>
      </c>
      <c r="H632" s="4" t="s">
        <v>52</v>
      </c>
      <c r="I632" s="5">
        <v>45412</v>
      </c>
      <c r="J632" s="4">
        <f t="shared" si="9"/>
        <v>6</v>
      </c>
    </row>
    <row r="633" spans="1:10" x14ac:dyDescent="0.25">
      <c r="A633" s="4">
        <f>_xlfn.XLOOKUP(E633,'Data Validation'!$M$3:$M$10,'Data Validation'!$N$3:$N$10)</f>
        <v>2</v>
      </c>
      <c r="B633" s="4">
        <v>19</v>
      </c>
      <c r="C633" s="4" t="s">
        <v>11</v>
      </c>
      <c r="D633" s="7">
        <v>32.82</v>
      </c>
      <c r="E633" s="4" t="s">
        <v>19</v>
      </c>
      <c r="F633" s="4" t="s">
        <v>20</v>
      </c>
      <c r="G633" s="4" t="s">
        <v>46</v>
      </c>
      <c r="H633" s="4" t="s">
        <v>52</v>
      </c>
      <c r="I633" s="5">
        <v>45412</v>
      </c>
      <c r="J633" s="4">
        <f t="shared" si="9"/>
        <v>6</v>
      </c>
    </row>
    <row r="634" spans="1:10" x14ac:dyDescent="0.25">
      <c r="A634" s="4">
        <f>_xlfn.XLOOKUP(E634,'Data Validation'!$M$3:$M$10,'Data Validation'!$N$3:$N$10)</f>
        <v>2</v>
      </c>
      <c r="B634" s="4">
        <v>13</v>
      </c>
      <c r="C634" s="4" t="s">
        <v>11</v>
      </c>
      <c r="D634" s="7">
        <v>32.82</v>
      </c>
      <c r="E634" s="4" t="s">
        <v>19</v>
      </c>
      <c r="F634" s="4" t="s">
        <v>17</v>
      </c>
      <c r="G634" s="4" t="s">
        <v>48</v>
      </c>
      <c r="H634" s="4" t="s">
        <v>32</v>
      </c>
      <c r="I634" s="5">
        <v>45414</v>
      </c>
      <c r="J634" s="4">
        <f t="shared" si="9"/>
        <v>6</v>
      </c>
    </row>
    <row r="635" spans="1:10" x14ac:dyDescent="0.25">
      <c r="A635" s="4">
        <f>_xlfn.XLOOKUP(E635,'Data Validation'!$M$3:$M$10,'Data Validation'!$N$3:$N$10)</f>
        <v>2</v>
      </c>
      <c r="B635" s="4">
        <v>18</v>
      </c>
      <c r="C635" s="4" t="s">
        <v>11</v>
      </c>
      <c r="D635" s="7">
        <v>32.82</v>
      </c>
      <c r="E635" s="4" t="s">
        <v>19</v>
      </c>
      <c r="F635" s="4" t="s">
        <v>20</v>
      </c>
      <c r="G635" s="4" t="s">
        <v>48</v>
      </c>
      <c r="H635" s="4" t="s">
        <v>32</v>
      </c>
      <c r="I635" s="5">
        <v>45414</v>
      </c>
      <c r="J635" s="4">
        <f t="shared" si="9"/>
        <v>6</v>
      </c>
    </row>
    <row r="636" spans="1:10" x14ac:dyDescent="0.25">
      <c r="A636" s="4">
        <f>_xlfn.XLOOKUP(E636,'Data Validation'!$M$3:$M$10,'Data Validation'!$N$3:$N$10)</f>
        <v>2</v>
      </c>
      <c r="B636" s="4">
        <v>10</v>
      </c>
      <c r="C636" s="4" t="s">
        <v>11</v>
      </c>
      <c r="D636" s="7">
        <v>32.82</v>
      </c>
      <c r="E636" s="4" t="s">
        <v>19</v>
      </c>
      <c r="F636" s="4" t="s">
        <v>13</v>
      </c>
      <c r="G636" s="4" t="s">
        <v>45</v>
      </c>
      <c r="H636" s="4" t="s">
        <v>32</v>
      </c>
      <c r="I636" s="5">
        <v>45418</v>
      </c>
      <c r="J636" s="4">
        <f t="shared" si="9"/>
        <v>6</v>
      </c>
    </row>
    <row r="637" spans="1:10" x14ac:dyDescent="0.25">
      <c r="A637" s="4">
        <f>_xlfn.XLOOKUP(E637,'Data Validation'!$M$3:$M$10,'Data Validation'!$N$3:$N$10)</f>
        <v>2</v>
      </c>
      <c r="B637" s="4">
        <v>18</v>
      </c>
      <c r="C637" s="4" t="s">
        <v>11</v>
      </c>
      <c r="D637" s="7">
        <v>32.82</v>
      </c>
      <c r="E637" s="4" t="s">
        <v>19</v>
      </c>
      <c r="F637" s="4" t="s">
        <v>20</v>
      </c>
      <c r="G637" s="4" t="s">
        <v>48</v>
      </c>
      <c r="H637" s="4" t="s">
        <v>32</v>
      </c>
      <c r="I637" s="5">
        <v>45421</v>
      </c>
      <c r="J637" s="4">
        <f t="shared" si="9"/>
        <v>6</v>
      </c>
    </row>
    <row r="638" spans="1:10" x14ac:dyDescent="0.25">
      <c r="A638" s="4">
        <f>_xlfn.XLOOKUP(E638,'Data Validation'!$M$3:$M$10,'Data Validation'!$N$3:$N$10)</f>
        <v>2</v>
      </c>
      <c r="B638" s="4">
        <v>17</v>
      </c>
      <c r="C638" s="4" t="s">
        <v>11</v>
      </c>
      <c r="D638" s="7">
        <v>32.82</v>
      </c>
      <c r="E638" s="4" t="s">
        <v>19</v>
      </c>
      <c r="F638" s="4" t="s">
        <v>20</v>
      </c>
      <c r="G638" s="4" t="s">
        <v>50</v>
      </c>
      <c r="H638" s="4" t="s">
        <v>32</v>
      </c>
      <c r="I638" s="5">
        <v>45423</v>
      </c>
      <c r="J638" s="4">
        <f t="shared" si="9"/>
        <v>6</v>
      </c>
    </row>
    <row r="639" spans="1:10" x14ac:dyDescent="0.25">
      <c r="A639" s="4">
        <f>_xlfn.XLOOKUP(E639,'Data Validation'!$M$3:$M$10,'Data Validation'!$N$3:$N$10)</f>
        <v>2</v>
      </c>
      <c r="B639" s="4">
        <v>17</v>
      </c>
      <c r="C639" s="4" t="s">
        <v>11</v>
      </c>
      <c r="D639" s="7">
        <v>32.82</v>
      </c>
      <c r="E639" s="4" t="s">
        <v>19</v>
      </c>
      <c r="F639" s="4" t="s">
        <v>20</v>
      </c>
      <c r="G639" s="4" t="s">
        <v>50</v>
      </c>
      <c r="H639" s="4" t="s">
        <v>32</v>
      </c>
      <c r="I639" s="5">
        <v>45423</v>
      </c>
      <c r="J639" s="4">
        <f t="shared" si="9"/>
        <v>6</v>
      </c>
    </row>
    <row r="640" spans="1:10" x14ac:dyDescent="0.25">
      <c r="A640" s="4">
        <f>_xlfn.XLOOKUP(E640,'Data Validation'!$M$3:$M$10,'Data Validation'!$N$3:$N$10)</f>
        <v>2</v>
      </c>
      <c r="B640" s="4">
        <v>15</v>
      </c>
      <c r="C640" s="4" t="s">
        <v>11</v>
      </c>
      <c r="D640" s="7">
        <v>32.82</v>
      </c>
      <c r="E640" s="4" t="s">
        <v>19</v>
      </c>
      <c r="F640" s="4" t="s">
        <v>17</v>
      </c>
      <c r="G640" s="4" t="s">
        <v>51</v>
      </c>
      <c r="H640" s="4" t="s">
        <v>32</v>
      </c>
      <c r="I640" s="5">
        <v>45424</v>
      </c>
      <c r="J640" s="4">
        <f t="shared" si="9"/>
        <v>6</v>
      </c>
    </row>
    <row r="641" spans="1:10" x14ac:dyDescent="0.25">
      <c r="A641" s="4">
        <f>_xlfn.XLOOKUP(E641,'Data Validation'!$M$3:$M$10,'Data Validation'!$N$3:$N$10)</f>
        <v>2</v>
      </c>
      <c r="B641" s="4">
        <v>15</v>
      </c>
      <c r="C641" s="4" t="s">
        <v>11</v>
      </c>
      <c r="D641" s="7">
        <v>32.82</v>
      </c>
      <c r="E641" s="4" t="s">
        <v>19</v>
      </c>
      <c r="F641" s="4" t="s">
        <v>17</v>
      </c>
      <c r="G641" s="4" t="s">
        <v>51</v>
      </c>
      <c r="H641" s="4" t="s">
        <v>32</v>
      </c>
      <c r="I641" s="5">
        <v>45424</v>
      </c>
      <c r="J641" s="4">
        <f t="shared" si="9"/>
        <v>6</v>
      </c>
    </row>
    <row r="642" spans="1:10" x14ac:dyDescent="0.25">
      <c r="A642" s="4">
        <f>_xlfn.XLOOKUP(E642,'Data Validation'!$M$3:$M$10,'Data Validation'!$N$3:$N$10)</f>
        <v>2</v>
      </c>
      <c r="B642" s="4">
        <v>16</v>
      </c>
      <c r="C642" s="4" t="s">
        <v>11</v>
      </c>
      <c r="D642" s="7">
        <v>32.82</v>
      </c>
      <c r="E642" s="4" t="s">
        <v>19</v>
      </c>
      <c r="F642" s="4" t="s">
        <v>17</v>
      </c>
      <c r="G642" s="4" t="s">
        <v>51</v>
      </c>
      <c r="H642" s="4" t="s">
        <v>32</v>
      </c>
      <c r="I642" s="5">
        <v>45424</v>
      </c>
      <c r="J642" s="4">
        <f t="shared" si="9"/>
        <v>6</v>
      </c>
    </row>
    <row r="643" spans="1:10" x14ac:dyDescent="0.25">
      <c r="A643" s="4">
        <f>_xlfn.XLOOKUP(E643,'Data Validation'!$M$3:$M$10,'Data Validation'!$N$3:$N$10)</f>
        <v>2</v>
      </c>
      <c r="B643" s="4">
        <v>19</v>
      </c>
      <c r="C643" s="4" t="s">
        <v>11</v>
      </c>
      <c r="D643" s="7">
        <v>32.82</v>
      </c>
      <c r="E643" s="4" t="s">
        <v>19</v>
      </c>
      <c r="F643" s="4" t="s">
        <v>20</v>
      </c>
      <c r="G643" s="4" t="s">
        <v>51</v>
      </c>
      <c r="H643" s="4" t="s">
        <v>32</v>
      </c>
      <c r="I643" s="5">
        <v>45424</v>
      </c>
      <c r="J643" s="4">
        <f t="shared" ref="J643:J706" si="10">IF(OR(E643&lt;&gt;E642,D643&lt;&gt;D642),J642+1,J642)</f>
        <v>6</v>
      </c>
    </row>
    <row r="644" spans="1:10" x14ac:dyDescent="0.25">
      <c r="A644" s="4">
        <f>_xlfn.XLOOKUP(E644,'Data Validation'!$M$3:$M$10,'Data Validation'!$N$3:$N$10)</f>
        <v>2</v>
      </c>
      <c r="B644" s="4">
        <v>11</v>
      </c>
      <c r="C644" s="4" t="s">
        <v>11</v>
      </c>
      <c r="D644" s="7">
        <v>32.82</v>
      </c>
      <c r="E644" s="4" t="s">
        <v>19</v>
      </c>
      <c r="F644" s="4" t="s">
        <v>13</v>
      </c>
      <c r="G644" s="4" t="s">
        <v>45</v>
      </c>
      <c r="H644" s="4" t="s">
        <v>32</v>
      </c>
      <c r="I644" s="5">
        <v>45425</v>
      </c>
      <c r="J644" s="4">
        <f t="shared" si="10"/>
        <v>6</v>
      </c>
    </row>
    <row r="645" spans="1:10" x14ac:dyDescent="0.25">
      <c r="A645" s="4">
        <f>_xlfn.XLOOKUP(E645,'Data Validation'!$M$3:$M$10,'Data Validation'!$N$3:$N$10)</f>
        <v>2</v>
      </c>
      <c r="B645" s="4">
        <v>14</v>
      </c>
      <c r="C645" s="4" t="s">
        <v>11</v>
      </c>
      <c r="D645" s="7">
        <v>32.82</v>
      </c>
      <c r="E645" s="4" t="s">
        <v>19</v>
      </c>
      <c r="F645" s="4" t="s">
        <v>17</v>
      </c>
      <c r="G645" s="4" t="s">
        <v>46</v>
      </c>
      <c r="H645" s="4" t="s">
        <v>32</v>
      </c>
      <c r="I645" s="5">
        <v>45426</v>
      </c>
      <c r="J645" s="4">
        <f t="shared" si="10"/>
        <v>6</v>
      </c>
    </row>
    <row r="646" spans="1:10" x14ac:dyDescent="0.25">
      <c r="A646" s="4">
        <f>_xlfn.XLOOKUP(E646,'Data Validation'!$M$3:$M$10,'Data Validation'!$N$3:$N$10)</f>
        <v>2</v>
      </c>
      <c r="B646" s="4">
        <v>16</v>
      </c>
      <c r="C646" s="4" t="s">
        <v>11</v>
      </c>
      <c r="D646" s="7">
        <v>32.82</v>
      </c>
      <c r="E646" s="4" t="s">
        <v>19</v>
      </c>
      <c r="F646" s="4" t="s">
        <v>17</v>
      </c>
      <c r="G646" s="4" t="s">
        <v>46</v>
      </c>
      <c r="H646" s="4" t="s">
        <v>32</v>
      </c>
      <c r="I646" s="5">
        <v>45426</v>
      </c>
      <c r="J646" s="4">
        <f t="shared" si="10"/>
        <v>6</v>
      </c>
    </row>
    <row r="647" spans="1:10" x14ac:dyDescent="0.25">
      <c r="A647" s="4">
        <f>_xlfn.XLOOKUP(E647,'Data Validation'!$M$3:$M$10,'Data Validation'!$N$3:$N$10)</f>
        <v>2</v>
      </c>
      <c r="B647" s="4">
        <v>13</v>
      </c>
      <c r="C647" s="4" t="s">
        <v>11</v>
      </c>
      <c r="D647" s="7">
        <v>32.82</v>
      </c>
      <c r="E647" s="4" t="s">
        <v>19</v>
      </c>
      <c r="F647" s="4" t="s">
        <v>17</v>
      </c>
      <c r="G647" s="4" t="s">
        <v>47</v>
      </c>
      <c r="H647" s="4" t="s">
        <v>32</v>
      </c>
      <c r="I647" s="5">
        <v>45427</v>
      </c>
      <c r="J647" s="4">
        <f t="shared" si="10"/>
        <v>6</v>
      </c>
    </row>
    <row r="648" spans="1:10" x14ac:dyDescent="0.25">
      <c r="A648" s="4">
        <f>_xlfn.XLOOKUP(E648,'Data Validation'!$M$3:$M$10,'Data Validation'!$N$3:$N$10)</f>
        <v>2</v>
      </c>
      <c r="B648" s="4">
        <v>10</v>
      </c>
      <c r="C648" s="4" t="s">
        <v>11</v>
      </c>
      <c r="D648" s="7">
        <v>32.82</v>
      </c>
      <c r="E648" s="4" t="s">
        <v>19</v>
      </c>
      <c r="F648" s="4" t="s">
        <v>13</v>
      </c>
      <c r="G648" s="4" t="s">
        <v>48</v>
      </c>
      <c r="H648" s="4" t="s">
        <v>32</v>
      </c>
      <c r="I648" s="5">
        <v>45428</v>
      </c>
      <c r="J648" s="4">
        <f t="shared" si="10"/>
        <v>6</v>
      </c>
    </row>
    <row r="649" spans="1:10" x14ac:dyDescent="0.25">
      <c r="A649" s="4">
        <f>_xlfn.XLOOKUP(E649,'Data Validation'!$M$3:$M$10,'Data Validation'!$N$3:$N$10)</f>
        <v>2</v>
      </c>
      <c r="B649" s="4">
        <v>10</v>
      </c>
      <c r="C649" s="4" t="s">
        <v>11</v>
      </c>
      <c r="D649" s="7">
        <v>32.82</v>
      </c>
      <c r="E649" s="4" t="s">
        <v>19</v>
      </c>
      <c r="F649" s="4" t="s">
        <v>13</v>
      </c>
      <c r="G649" s="4" t="s">
        <v>48</v>
      </c>
      <c r="H649" s="4" t="s">
        <v>32</v>
      </c>
      <c r="I649" s="5">
        <v>45428</v>
      </c>
      <c r="J649" s="4">
        <f t="shared" si="10"/>
        <v>6</v>
      </c>
    </row>
    <row r="650" spans="1:10" x14ac:dyDescent="0.25">
      <c r="A650" s="4">
        <f>_xlfn.XLOOKUP(E650,'Data Validation'!$M$3:$M$10,'Data Validation'!$N$3:$N$10)</f>
        <v>2</v>
      </c>
      <c r="B650" s="4">
        <v>12</v>
      </c>
      <c r="C650" s="4" t="s">
        <v>11</v>
      </c>
      <c r="D650" s="7">
        <v>32.82</v>
      </c>
      <c r="E650" s="4" t="s">
        <v>19</v>
      </c>
      <c r="F650" s="4" t="s">
        <v>17</v>
      </c>
      <c r="G650" s="4" t="s">
        <v>48</v>
      </c>
      <c r="H650" s="4" t="s">
        <v>32</v>
      </c>
      <c r="I650" s="5">
        <v>45428</v>
      </c>
      <c r="J650" s="4">
        <f t="shared" si="10"/>
        <v>6</v>
      </c>
    </row>
    <row r="651" spans="1:10" x14ac:dyDescent="0.25">
      <c r="A651" s="4">
        <f>_xlfn.XLOOKUP(E651,'Data Validation'!$M$3:$M$10,'Data Validation'!$N$3:$N$10)</f>
        <v>2</v>
      </c>
      <c r="B651" s="4">
        <v>11</v>
      </c>
      <c r="C651" s="4" t="s">
        <v>11</v>
      </c>
      <c r="D651" s="7">
        <v>32.82</v>
      </c>
      <c r="E651" s="4" t="s">
        <v>19</v>
      </c>
      <c r="F651" s="4" t="s">
        <v>13</v>
      </c>
      <c r="G651" s="4" t="s">
        <v>49</v>
      </c>
      <c r="H651" s="4" t="s">
        <v>32</v>
      </c>
      <c r="I651" s="5">
        <v>45429</v>
      </c>
      <c r="J651" s="4">
        <f t="shared" si="10"/>
        <v>6</v>
      </c>
    </row>
    <row r="652" spans="1:10" x14ac:dyDescent="0.25">
      <c r="A652" s="4">
        <f>_xlfn.XLOOKUP(E652,'Data Validation'!$M$3:$M$10,'Data Validation'!$N$3:$N$10)</f>
        <v>2</v>
      </c>
      <c r="B652" s="4">
        <v>19</v>
      </c>
      <c r="C652" s="4" t="s">
        <v>11</v>
      </c>
      <c r="D652" s="7">
        <v>32.82</v>
      </c>
      <c r="E652" s="4" t="s">
        <v>19</v>
      </c>
      <c r="F652" s="4" t="s">
        <v>20</v>
      </c>
      <c r="G652" s="4" t="s">
        <v>49</v>
      </c>
      <c r="H652" s="4" t="s">
        <v>32</v>
      </c>
      <c r="I652" s="5">
        <v>45429</v>
      </c>
      <c r="J652" s="4">
        <f t="shared" si="10"/>
        <v>6</v>
      </c>
    </row>
    <row r="653" spans="1:10" x14ac:dyDescent="0.25">
      <c r="A653" s="4">
        <f>_xlfn.XLOOKUP(E653,'Data Validation'!$M$3:$M$10,'Data Validation'!$N$3:$N$10)</f>
        <v>2</v>
      </c>
      <c r="B653" s="4">
        <v>11</v>
      </c>
      <c r="C653" s="4" t="s">
        <v>11</v>
      </c>
      <c r="D653" s="7">
        <v>32.82</v>
      </c>
      <c r="E653" s="4" t="s">
        <v>19</v>
      </c>
      <c r="F653" s="4" t="s">
        <v>13</v>
      </c>
      <c r="G653" s="4" t="s">
        <v>50</v>
      </c>
      <c r="H653" s="4" t="s">
        <v>32</v>
      </c>
      <c r="I653" s="5">
        <v>45430</v>
      </c>
      <c r="J653" s="4">
        <f t="shared" si="10"/>
        <v>6</v>
      </c>
    </row>
    <row r="654" spans="1:10" x14ac:dyDescent="0.25">
      <c r="A654" s="4">
        <f>_xlfn.XLOOKUP(E654,'Data Validation'!$M$3:$M$10,'Data Validation'!$N$3:$N$10)</f>
        <v>2</v>
      </c>
      <c r="B654" s="4">
        <v>16</v>
      </c>
      <c r="C654" s="4" t="s">
        <v>11</v>
      </c>
      <c r="D654" s="7">
        <v>32.82</v>
      </c>
      <c r="E654" s="4" t="s">
        <v>19</v>
      </c>
      <c r="F654" s="4" t="s">
        <v>17</v>
      </c>
      <c r="G654" s="4" t="s">
        <v>50</v>
      </c>
      <c r="H654" s="4" t="s">
        <v>32</v>
      </c>
      <c r="I654" s="5">
        <v>45430</v>
      </c>
      <c r="J654" s="4">
        <f t="shared" si="10"/>
        <v>6</v>
      </c>
    </row>
    <row r="655" spans="1:10" x14ac:dyDescent="0.25">
      <c r="A655" s="4">
        <f>_xlfn.XLOOKUP(E655,'Data Validation'!$M$3:$M$10,'Data Validation'!$N$3:$N$10)</f>
        <v>2</v>
      </c>
      <c r="B655" s="4">
        <v>16</v>
      </c>
      <c r="C655" s="4" t="s">
        <v>11</v>
      </c>
      <c r="D655" s="7">
        <v>32.82</v>
      </c>
      <c r="E655" s="4" t="s">
        <v>19</v>
      </c>
      <c r="F655" s="4" t="s">
        <v>17</v>
      </c>
      <c r="G655" s="4" t="s">
        <v>50</v>
      </c>
      <c r="H655" s="4" t="s">
        <v>32</v>
      </c>
      <c r="I655" s="5">
        <v>45430</v>
      </c>
      <c r="J655" s="4">
        <f t="shared" si="10"/>
        <v>6</v>
      </c>
    </row>
    <row r="656" spans="1:10" x14ac:dyDescent="0.25">
      <c r="A656" s="4">
        <f>_xlfn.XLOOKUP(E656,'Data Validation'!$M$3:$M$10,'Data Validation'!$N$3:$N$10)</f>
        <v>2</v>
      </c>
      <c r="B656" s="4">
        <v>19</v>
      </c>
      <c r="C656" s="4" t="s">
        <v>11</v>
      </c>
      <c r="D656" s="7">
        <v>32.82</v>
      </c>
      <c r="E656" s="4" t="s">
        <v>19</v>
      </c>
      <c r="F656" s="4" t="s">
        <v>20</v>
      </c>
      <c r="G656" s="4" t="s">
        <v>50</v>
      </c>
      <c r="H656" s="4" t="s">
        <v>32</v>
      </c>
      <c r="I656" s="5">
        <v>45430</v>
      </c>
      <c r="J656" s="4">
        <f t="shared" si="10"/>
        <v>6</v>
      </c>
    </row>
    <row r="657" spans="1:10" x14ac:dyDescent="0.25">
      <c r="A657" s="4">
        <f>_xlfn.XLOOKUP(E657,'Data Validation'!$M$3:$M$10,'Data Validation'!$N$3:$N$10)</f>
        <v>2</v>
      </c>
      <c r="B657" s="4">
        <v>12</v>
      </c>
      <c r="C657" s="4" t="s">
        <v>11</v>
      </c>
      <c r="D657" s="7">
        <v>32.82</v>
      </c>
      <c r="E657" s="4" t="s">
        <v>19</v>
      </c>
      <c r="F657" s="4" t="s">
        <v>17</v>
      </c>
      <c r="G657" s="4" t="s">
        <v>51</v>
      </c>
      <c r="H657" s="4" t="s">
        <v>32</v>
      </c>
      <c r="I657" s="5">
        <v>45431</v>
      </c>
      <c r="J657" s="4">
        <f t="shared" si="10"/>
        <v>6</v>
      </c>
    </row>
    <row r="658" spans="1:10" x14ac:dyDescent="0.25">
      <c r="A658" s="4">
        <f>_xlfn.XLOOKUP(E658,'Data Validation'!$M$3:$M$10,'Data Validation'!$N$3:$N$10)</f>
        <v>2</v>
      </c>
      <c r="B658" s="4">
        <v>15</v>
      </c>
      <c r="C658" s="4" t="s">
        <v>11</v>
      </c>
      <c r="D658" s="7">
        <v>32.82</v>
      </c>
      <c r="E658" s="4" t="s">
        <v>19</v>
      </c>
      <c r="F658" s="4" t="s">
        <v>17</v>
      </c>
      <c r="G658" s="4" t="s">
        <v>51</v>
      </c>
      <c r="H658" s="4" t="s">
        <v>32</v>
      </c>
      <c r="I658" s="5">
        <v>45431</v>
      </c>
      <c r="J658" s="4">
        <f t="shared" si="10"/>
        <v>6</v>
      </c>
    </row>
    <row r="659" spans="1:10" x14ac:dyDescent="0.25">
      <c r="A659" s="4">
        <f>_xlfn.XLOOKUP(E659,'Data Validation'!$M$3:$M$10,'Data Validation'!$N$3:$N$10)</f>
        <v>2</v>
      </c>
      <c r="B659" s="4">
        <v>18</v>
      </c>
      <c r="C659" s="4" t="s">
        <v>11</v>
      </c>
      <c r="D659" s="7">
        <v>32.82</v>
      </c>
      <c r="E659" s="4" t="s">
        <v>19</v>
      </c>
      <c r="F659" s="4" t="s">
        <v>20</v>
      </c>
      <c r="G659" s="4" t="s">
        <v>51</v>
      </c>
      <c r="H659" s="4" t="s">
        <v>32</v>
      </c>
      <c r="I659" s="5">
        <v>45431</v>
      </c>
      <c r="J659" s="4">
        <f t="shared" si="10"/>
        <v>6</v>
      </c>
    </row>
    <row r="660" spans="1:10" x14ac:dyDescent="0.25">
      <c r="A660" s="4">
        <f>_xlfn.XLOOKUP(E660,'Data Validation'!$M$3:$M$10,'Data Validation'!$N$3:$N$10)</f>
        <v>2</v>
      </c>
      <c r="B660" s="4">
        <v>10</v>
      </c>
      <c r="C660" s="4" t="s">
        <v>11</v>
      </c>
      <c r="D660" s="7">
        <v>32.82</v>
      </c>
      <c r="E660" s="4" t="s">
        <v>19</v>
      </c>
      <c r="F660" s="4" t="s">
        <v>13</v>
      </c>
      <c r="G660" s="4" t="s">
        <v>45</v>
      </c>
      <c r="H660" s="4" t="s">
        <v>32</v>
      </c>
      <c r="I660" s="5">
        <v>45432</v>
      </c>
      <c r="J660" s="4">
        <f t="shared" si="10"/>
        <v>6</v>
      </c>
    </row>
    <row r="661" spans="1:10" x14ac:dyDescent="0.25">
      <c r="A661" s="4">
        <f>_xlfn.XLOOKUP(E661,'Data Validation'!$M$3:$M$10,'Data Validation'!$N$3:$N$10)</f>
        <v>2</v>
      </c>
      <c r="B661" s="4">
        <v>14</v>
      </c>
      <c r="C661" s="4" t="s">
        <v>11</v>
      </c>
      <c r="D661" s="7">
        <v>32.82</v>
      </c>
      <c r="E661" s="4" t="s">
        <v>19</v>
      </c>
      <c r="F661" s="4" t="s">
        <v>17</v>
      </c>
      <c r="G661" s="4" t="s">
        <v>45</v>
      </c>
      <c r="H661" s="4" t="s">
        <v>32</v>
      </c>
      <c r="I661" s="5">
        <v>45432</v>
      </c>
      <c r="J661" s="4">
        <f t="shared" si="10"/>
        <v>6</v>
      </c>
    </row>
    <row r="662" spans="1:10" x14ac:dyDescent="0.25">
      <c r="A662" s="4">
        <f>_xlfn.XLOOKUP(E662,'Data Validation'!$M$3:$M$10,'Data Validation'!$N$3:$N$10)</f>
        <v>2</v>
      </c>
      <c r="B662" s="4">
        <v>20</v>
      </c>
      <c r="C662" s="4" t="s">
        <v>11</v>
      </c>
      <c r="D662" s="7">
        <v>32.82</v>
      </c>
      <c r="E662" s="4" t="s">
        <v>19</v>
      </c>
      <c r="F662" s="4" t="s">
        <v>20</v>
      </c>
      <c r="G662" s="4" t="s">
        <v>45</v>
      </c>
      <c r="H662" s="4" t="s">
        <v>32</v>
      </c>
      <c r="I662" s="5">
        <v>45432</v>
      </c>
      <c r="J662" s="4">
        <f t="shared" si="10"/>
        <v>6</v>
      </c>
    </row>
    <row r="663" spans="1:10" x14ac:dyDescent="0.25">
      <c r="A663" s="4">
        <f>_xlfn.XLOOKUP(E663,'Data Validation'!$M$3:$M$10,'Data Validation'!$N$3:$N$10)</f>
        <v>2</v>
      </c>
      <c r="B663" s="4">
        <v>21</v>
      </c>
      <c r="C663" s="4" t="s">
        <v>11</v>
      </c>
      <c r="D663" s="7">
        <v>32.82</v>
      </c>
      <c r="E663" s="4" t="s">
        <v>19</v>
      </c>
      <c r="F663" s="4" t="s">
        <v>20</v>
      </c>
      <c r="G663" s="4" t="s">
        <v>45</v>
      </c>
      <c r="H663" s="4" t="s">
        <v>32</v>
      </c>
      <c r="I663" s="5">
        <v>45432</v>
      </c>
      <c r="J663" s="4">
        <f t="shared" si="10"/>
        <v>6</v>
      </c>
    </row>
    <row r="664" spans="1:10" x14ac:dyDescent="0.25">
      <c r="A664" s="4">
        <f>_xlfn.XLOOKUP(E664,'Data Validation'!$M$3:$M$10,'Data Validation'!$N$3:$N$10)</f>
        <v>2</v>
      </c>
      <c r="B664" s="4">
        <v>21</v>
      </c>
      <c r="C664" s="4" t="s">
        <v>11</v>
      </c>
      <c r="D664" s="7">
        <v>32.82</v>
      </c>
      <c r="E664" s="4" t="s">
        <v>19</v>
      </c>
      <c r="F664" s="4" t="s">
        <v>20</v>
      </c>
      <c r="G664" s="4" t="s">
        <v>45</v>
      </c>
      <c r="H664" s="4" t="s">
        <v>32</v>
      </c>
      <c r="I664" s="5">
        <v>45432</v>
      </c>
      <c r="J664" s="4">
        <f t="shared" si="10"/>
        <v>6</v>
      </c>
    </row>
    <row r="665" spans="1:10" x14ac:dyDescent="0.25">
      <c r="A665" s="4">
        <f>_xlfn.XLOOKUP(E665,'Data Validation'!$M$3:$M$10,'Data Validation'!$N$3:$N$10)</f>
        <v>2</v>
      </c>
      <c r="B665" s="4">
        <v>10</v>
      </c>
      <c r="C665" s="4" t="s">
        <v>11</v>
      </c>
      <c r="D665" s="7">
        <v>32.82</v>
      </c>
      <c r="E665" s="4" t="s">
        <v>19</v>
      </c>
      <c r="F665" s="4" t="s">
        <v>13</v>
      </c>
      <c r="G665" s="4" t="s">
        <v>47</v>
      </c>
      <c r="H665" s="4" t="s">
        <v>32</v>
      </c>
      <c r="I665" s="5">
        <v>45434</v>
      </c>
      <c r="J665" s="4">
        <f t="shared" si="10"/>
        <v>6</v>
      </c>
    </row>
    <row r="666" spans="1:10" x14ac:dyDescent="0.25">
      <c r="A666" s="4">
        <f>_xlfn.XLOOKUP(E666,'Data Validation'!$M$3:$M$10,'Data Validation'!$N$3:$N$10)</f>
        <v>2</v>
      </c>
      <c r="B666" s="4">
        <v>11</v>
      </c>
      <c r="C666" s="4" t="s">
        <v>11</v>
      </c>
      <c r="D666" s="7">
        <v>32.82</v>
      </c>
      <c r="E666" s="4" t="s">
        <v>19</v>
      </c>
      <c r="F666" s="4" t="s">
        <v>13</v>
      </c>
      <c r="G666" s="4" t="s">
        <v>47</v>
      </c>
      <c r="H666" s="4" t="s">
        <v>32</v>
      </c>
      <c r="I666" s="5">
        <v>45434</v>
      </c>
      <c r="J666" s="4">
        <f t="shared" si="10"/>
        <v>6</v>
      </c>
    </row>
    <row r="667" spans="1:10" x14ac:dyDescent="0.25">
      <c r="A667" s="4">
        <f>_xlfn.XLOOKUP(E667,'Data Validation'!$M$3:$M$10,'Data Validation'!$N$3:$N$10)</f>
        <v>2</v>
      </c>
      <c r="B667" s="4">
        <v>14</v>
      </c>
      <c r="C667" s="4" t="s">
        <v>11</v>
      </c>
      <c r="D667" s="7">
        <v>32.82</v>
      </c>
      <c r="E667" s="4" t="s">
        <v>19</v>
      </c>
      <c r="F667" s="4" t="s">
        <v>17</v>
      </c>
      <c r="G667" s="4" t="s">
        <v>47</v>
      </c>
      <c r="H667" s="4" t="s">
        <v>32</v>
      </c>
      <c r="I667" s="5">
        <v>45434</v>
      </c>
      <c r="J667" s="4">
        <f t="shared" si="10"/>
        <v>6</v>
      </c>
    </row>
    <row r="668" spans="1:10" x14ac:dyDescent="0.25">
      <c r="A668" s="4">
        <f>_xlfn.XLOOKUP(E668,'Data Validation'!$M$3:$M$10,'Data Validation'!$N$3:$N$10)</f>
        <v>2</v>
      </c>
      <c r="B668" s="4">
        <v>22</v>
      </c>
      <c r="C668" s="4" t="s">
        <v>11</v>
      </c>
      <c r="D668" s="7">
        <v>32.82</v>
      </c>
      <c r="E668" s="4" t="s">
        <v>19</v>
      </c>
      <c r="F668" s="4" t="s">
        <v>20</v>
      </c>
      <c r="G668" s="4" t="s">
        <v>48</v>
      </c>
      <c r="H668" s="4" t="s">
        <v>32</v>
      </c>
      <c r="I668" s="5">
        <v>45435</v>
      </c>
      <c r="J668" s="4">
        <f t="shared" si="10"/>
        <v>6</v>
      </c>
    </row>
    <row r="669" spans="1:10" x14ac:dyDescent="0.25">
      <c r="A669" s="4">
        <f>_xlfn.XLOOKUP(E669,'Data Validation'!$M$3:$M$10,'Data Validation'!$N$3:$N$10)</f>
        <v>2</v>
      </c>
      <c r="B669" s="4">
        <v>22</v>
      </c>
      <c r="C669" s="4" t="s">
        <v>11</v>
      </c>
      <c r="D669" s="7">
        <v>32.82</v>
      </c>
      <c r="E669" s="4" t="s">
        <v>19</v>
      </c>
      <c r="F669" s="4" t="s">
        <v>20</v>
      </c>
      <c r="G669" s="4" t="s">
        <v>49</v>
      </c>
      <c r="H669" s="4" t="s">
        <v>32</v>
      </c>
      <c r="I669" s="5">
        <v>45436</v>
      </c>
      <c r="J669" s="4">
        <f t="shared" si="10"/>
        <v>6</v>
      </c>
    </row>
    <row r="670" spans="1:10" x14ac:dyDescent="0.25">
      <c r="A670" s="4">
        <f>_xlfn.XLOOKUP(E670,'Data Validation'!$M$3:$M$10,'Data Validation'!$N$3:$N$10)</f>
        <v>2</v>
      </c>
      <c r="B670" s="4">
        <v>12</v>
      </c>
      <c r="C670" s="4" t="s">
        <v>11</v>
      </c>
      <c r="D670" s="7">
        <v>32.82</v>
      </c>
      <c r="E670" s="4" t="s">
        <v>19</v>
      </c>
      <c r="F670" s="4" t="s">
        <v>17</v>
      </c>
      <c r="G670" s="4" t="s">
        <v>50</v>
      </c>
      <c r="H670" s="4" t="s">
        <v>32</v>
      </c>
      <c r="I670" s="5">
        <v>45437</v>
      </c>
      <c r="J670" s="4">
        <f t="shared" si="10"/>
        <v>6</v>
      </c>
    </row>
    <row r="671" spans="1:10" x14ac:dyDescent="0.25">
      <c r="A671" s="4">
        <f>_xlfn.XLOOKUP(E671,'Data Validation'!$M$3:$M$10,'Data Validation'!$N$3:$N$10)</f>
        <v>2</v>
      </c>
      <c r="B671" s="4">
        <v>12</v>
      </c>
      <c r="C671" s="4" t="s">
        <v>11</v>
      </c>
      <c r="D671" s="7">
        <v>32.82</v>
      </c>
      <c r="E671" s="4" t="s">
        <v>19</v>
      </c>
      <c r="F671" s="4" t="s">
        <v>17</v>
      </c>
      <c r="G671" s="4" t="s">
        <v>50</v>
      </c>
      <c r="H671" s="4" t="s">
        <v>32</v>
      </c>
      <c r="I671" s="5">
        <v>45437</v>
      </c>
      <c r="J671" s="4">
        <f t="shared" si="10"/>
        <v>6</v>
      </c>
    </row>
    <row r="672" spans="1:10" x14ac:dyDescent="0.25">
      <c r="A672" s="4">
        <f>_xlfn.XLOOKUP(E672,'Data Validation'!$M$3:$M$10,'Data Validation'!$N$3:$N$10)</f>
        <v>2</v>
      </c>
      <c r="B672" s="4">
        <v>12</v>
      </c>
      <c r="C672" s="4" t="s">
        <v>11</v>
      </c>
      <c r="D672" s="7">
        <v>32.82</v>
      </c>
      <c r="E672" s="4" t="s">
        <v>19</v>
      </c>
      <c r="F672" s="4" t="s">
        <v>17</v>
      </c>
      <c r="G672" s="4" t="s">
        <v>50</v>
      </c>
      <c r="H672" s="4" t="s">
        <v>32</v>
      </c>
      <c r="I672" s="5">
        <v>45437</v>
      </c>
      <c r="J672" s="4">
        <f t="shared" si="10"/>
        <v>6</v>
      </c>
    </row>
    <row r="673" spans="1:10" x14ac:dyDescent="0.25">
      <c r="A673" s="4">
        <f>_xlfn.XLOOKUP(E673,'Data Validation'!$M$3:$M$10,'Data Validation'!$N$3:$N$10)</f>
        <v>2</v>
      </c>
      <c r="B673" s="4">
        <v>16</v>
      </c>
      <c r="C673" s="4" t="s">
        <v>11</v>
      </c>
      <c r="D673" s="7">
        <v>32.82</v>
      </c>
      <c r="E673" s="4" t="s">
        <v>19</v>
      </c>
      <c r="F673" s="4" t="s">
        <v>17</v>
      </c>
      <c r="G673" s="4" t="s">
        <v>50</v>
      </c>
      <c r="H673" s="4" t="s">
        <v>32</v>
      </c>
      <c r="I673" s="5">
        <v>45437</v>
      </c>
      <c r="J673" s="4">
        <f t="shared" si="10"/>
        <v>6</v>
      </c>
    </row>
    <row r="674" spans="1:10" x14ac:dyDescent="0.25">
      <c r="A674" s="4">
        <f>_xlfn.XLOOKUP(E674,'Data Validation'!$M$3:$M$10,'Data Validation'!$N$3:$N$10)</f>
        <v>2</v>
      </c>
      <c r="B674" s="4">
        <v>14</v>
      </c>
      <c r="C674" s="4" t="s">
        <v>11</v>
      </c>
      <c r="D674" s="7">
        <v>32.82</v>
      </c>
      <c r="E674" s="4" t="s">
        <v>19</v>
      </c>
      <c r="F674" s="4" t="s">
        <v>17</v>
      </c>
      <c r="G674" s="4" t="s">
        <v>51</v>
      </c>
      <c r="H674" s="4" t="s">
        <v>32</v>
      </c>
      <c r="I674" s="5">
        <v>45438</v>
      </c>
      <c r="J674" s="4">
        <f t="shared" si="10"/>
        <v>6</v>
      </c>
    </row>
    <row r="675" spans="1:10" x14ac:dyDescent="0.25">
      <c r="A675" s="4">
        <f>_xlfn.XLOOKUP(E675,'Data Validation'!$M$3:$M$10,'Data Validation'!$N$3:$N$10)</f>
        <v>2</v>
      </c>
      <c r="B675" s="4">
        <v>14</v>
      </c>
      <c r="C675" s="4" t="s">
        <v>11</v>
      </c>
      <c r="D675" s="7">
        <v>32.82</v>
      </c>
      <c r="E675" s="4" t="s">
        <v>19</v>
      </c>
      <c r="F675" s="4" t="s">
        <v>17</v>
      </c>
      <c r="G675" s="4" t="s">
        <v>51</v>
      </c>
      <c r="H675" s="4" t="s">
        <v>32</v>
      </c>
      <c r="I675" s="5">
        <v>45438</v>
      </c>
      <c r="J675" s="4">
        <f t="shared" si="10"/>
        <v>6</v>
      </c>
    </row>
    <row r="676" spans="1:10" x14ac:dyDescent="0.25">
      <c r="A676" s="4">
        <f>_xlfn.XLOOKUP(E676,'Data Validation'!$M$3:$M$10,'Data Validation'!$N$3:$N$10)</f>
        <v>2</v>
      </c>
      <c r="B676" s="4">
        <v>14</v>
      </c>
      <c r="C676" s="4" t="s">
        <v>11</v>
      </c>
      <c r="D676" s="7">
        <v>32.82</v>
      </c>
      <c r="E676" s="4" t="s">
        <v>19</v>
      </c>
      <c r="F676" s="4" t="s">
        <v>17</v>
      </c>
      <c r="G676" s="4" t="s">
        <v>45</v>
      </c>
      <c r="H676" s="4" t="s">
        <v>32</v>
      </c>
      <c r="I676" s="5">
        <v>45439</v>
      </c>
      <c r="J676" s="4">
        <f t="shared" si="10"/>
        <v>6</v>
      </c>
    </row>
    <row r="677" spans="1:10" x14ac:dyDescent="0.25">
      <c r="A677" s="4">
        <f>_xlfn.XLOOKUP(E677,'Data Validation'!$M$3:$M$10,'Data Validation'!$N$3:$N$10)</f>
        <v>2</v>
      </c>
      <c r="B677" s="4">
        <v>21</v>
      </c>
      <c r="C677" s="4" t="s">
        <v>11</v>
      </c>
      <c r="D677" s="7">
        <v>32.82</v>
      </c>
      <c r="E677" s="4" t="s">
        <v>19</v>
      </c>
      <c r="F677" s="4" t="s">
        <v>20</v>
      </c>
      <c r="G677" s="4" t="s">
        <v>45</v>
      </c>
      <c r="H677" s="4" t="s">
        <v>32</v>
      </c>
      <c r="I677" s="5">
        <v>45439</v>
      </c>
      <c r="J677" s="4">
        <f t="shared" si="10"/>
        <v>6</v>
      </c>
    </row>
    <row r="678" spans="1:10" x14ac:dyDescent="0.25">
      <c r="A678" s="4">
        <f>_xlfn.XLOOKUP(E678,'Data Validation'!$M$3:$M$10,'Data Validation'!$N$3:$N$10)</f>
        <v>2</v>
      </c>
      <c r="B678" s="4">
        <v>8</v>
      </c>
      <c r="C678" s="4" t="s">
        <v>11</v>
      </c>
      <c r="D678" s="7">
        <v>32.82</v>
      </c>
      <c r="E678" s="4" t="s">
        <v>19</v>
      </c>
      <c r="F678" s="4" t="s">
        <v>13</v>
      </c>
      <c r="G678" s="4" t="s">
        <v>46</v>
      </c>
      <c r="H678" s="4" t="s">
        <v>32</v>
      </c>
      <c r="I678" s="5">
        <v>45440</v>
      </c>
      <c r="J678" s="4">
        <f t="shared" si="10"/>
        <v>6</v>
      </c>
    </row>
    <row r="679" spans="1:10" x14ac:dyDescent="0.25">
      <c r="A679" s="4">
        <f>_xlfn.XLOOKUP(E679,'Data Validation'!$M$3:$M$10,'Data Validation'!$N$3:$N$10)</f>
        <v>2</v>
      </c>
      <c r="B679" s="4">
        <v>9</v>
      </c>
      <c r="C679" s="4" t="s">
        <v>11</v>
      </c>
      <c r="D679" s="7">
        <v>32.82</v>
      </c>
      <c r="E679" s="4" t="s">
        <v>19</v>
      </c>
      <c r="F679" s="4" t="s">
        <v>13</v>
      </c>
      <c r="G679" s="4" t="s">
        <v>46</v>
      </c>
      <c r="H679" s="4" t="s">
        <v>32</v>
      </c>
      <c r="I679" s="5">
        <v>45440</v>
      </c>
      <c r="J679" s="4">
        <f t="shared" si="10"/>
        <v>6</v>
      </c>
    </row>
    <row r="680" spans="1:10" x14ac:dyDescent="0.25">
      <c r="A680" s="4">
        <f>_xlfn.XLOOKUP(E680,'Data Validation'!$M$3:$M$10,'Data Validation'!$N$3:$N$10)</f>
        <v>2</v>
      </c>
      <c r="B680" s="4">
        <v>20</v>
      </c>
      <c r="C680" s="4" t="s">
        <v>11</v>
      </c>
      <c r="D680" s="7">
        <v>32.82</v>
      </c>
      <c r="E680" s="4" t="s">
        <v>19</v>
      </c>
      <c r="F680" s="4" t="s">
        <v>20</v>
      </c>
      <c r="G680" s="4" t="s">
        <v>46</v>
      </c>
      <c r="H680" s="4" t="s">
        <v>32</v>
      </c>
      <c r="I680" s="5">
        <v>45440</v>
      </c>
      <c r="J680" s="4">
        <f t="shared" si="10"/>
        <v>6</v>
      </c>
    </row>
    <row r="681" spans="1:10" x14ac:dyDescent="0.25">
      <c r="A681" s="4">
        <f>_xlfn.XLOOKUP(E681,'Data Validation'!$M$3:$M$10,'Data Validation'!$N$3:$N$10)</f>
        <v>2</v>
      </c>
      <c r="B681" s="4">
        <v>8</v>
      </c>
      <c r="C681" s="4" t="s">
        <v>11</v>
      </c>
      <c r="D681" s="7">
        <v>32.82</v>
      </c>
      <c r="E681" s="4" t="s">
        <v>19</v>
      </c>
      <c r="F681" s="4" t="s">
        <v>13</v>
      </c>
      <c r="G681" s="4" t="s">
        <v>48</v>
      </c>
      <c r="H681" s="4" t="s">
        <v>32</v>
      </c>
      <c r="I681" s="5">
        <v>45442</v>
      </c>
      <c r="J681" s="4">
        <f t="shared" si="10"/>
        <v>6</v>
      </c>
    </row>
    <row r="682" spans="1:10" x14ac:dyDescent="0.25">
      <c r="A682" s="4">
        <f>_xlfn.XLOOKUP(E682,'Data Validation'!$M$3:$M$10,'Data Validation'!$N$3:$N$10)</f>
        <v>2</v>
      </c>
      <c r="B682" s="4">
        <v>14</v>
      </c>
      <c r="C682" s="4" t="s">
        <v>11</v>
      </c>
      <c r="D682" s="7">
        <v>32.82</v>
      </c>
      <c r="E682" s="4" t="s">
        <v>19</v>
      </c>
      <c r="F682" s="4" t="s">
        <v>17</v>
      </c>
      <c r="G682" s="4" t="s">
        <v>48</v>
      </c>
      <c r="H682" s="4" t="s">
        <v>32</v>
      </c>
      <c r="I682" s="5">
        <v>45442</v>
      </c>
      <c r="J682" s="4">
        <f t="shared" si="10"/>
        <v>6</v>
      </c>
    </row>
    <row r="683" spans="1:10" x14ac:dyDescent="0.25">
      <c r="A683" s="4">
        <f>_xlfn.XLOOKUP(E683,'Data Validation'!$M$3:$M$10,'Data Validation'!$N$3:$N$10)</f>
        <v>2</v>
      </c>
      <c r="B683" s="4">
        <v>20</v>
      </c>
      <c r="C683" s="4" t="s">
        <v>11</v>
      </c>
      <c r="D683" s="7">
        <v>32.82</v>
      </c>
      <c r="E683" s="4" t="s">
        <v>19</v>
      </c>
      <c r="F683" s="4" t="s">
        <v>20</v>
      </c>
      <c r="G683" s="4" t="s">
        <v>48</v>
      </c>
      <c r="H683" s="4" t="s">
        <v>32</v>
      </c>
      <c r="I683" s="5">
        <v>45442</v>
      </c>
      <c r="J683" s="4">
        <f t="shared" si="10"/>
        <v>6</v>
      </c>
    </row>
    <row r="684" spans="1:10" x14ac:dyDescent="0.25">
      <c r="A684" s="4">
        <f>_xlfn.XLOOKUP(E684,'Data Validation'!$M$3:$M$10,'Data Validation'!$N$3:$N$10)</f>
        <v>2</v>
      </c>
      <c r="B684" s="4">
        <v>7</v>
      </c>
      <c r="C684" s="4" t="s">
        <v>11</v>
      </c>
      <c r="D684" s="7">
        <v>32.82</v>
      </c>
      <c r="E684" s="4" t="s">
        <v>19</v>
      </c>
      <c r="F684" s="4" t="s">
        <v>13</v>
      </c>
      <c r="G684" s="4" t="s">
        <v>49</v>
      </c>
      <c r="H684" s="4" t="s">
        <v>32</v>
      </c>
      <c r="I684" s="5">
        <v>45443</v>
      </c>
      <c r="J684" s="4">
        <f t="shared" si="10"/>
        <v>6</v>
      </c>
    </row>
    <row r="685" spans="1:10" x14ac:dyDescent="0.25">
      <c r="A685" s="4">
        <f>_xlfn.XLOOKUP(E685,'Data Validation'!$M$3:$M$10,'Data Validation'!$N$3:$N$10)</f>
        <v>2</v>
      </c>
      <c r="B685" s="4">
        <v>14</v>
      </c>
      <c r="C685" s="4" t="s">
        <v>11</v>
      </c>
      <c r="D685" s="7">
        <v>32.82</v>
      </c>
      <c r="E685" s="4" t="s">
        <v>19</v>
      </c>
      <c r="F685" s="4" t="s">
        <v>17</v>
      </c>
      <c r="G685" s="4" t="s">
        <v>49</v>
      </c>
      <c r="H685" s="4" t="s">
        <v>32</v>
      </c>
      <c r="I685" s="5">
        <v>45443</v>
      </c>
      <c r="J685" s="4">
        <f t="shared" si="10"/>
        <v>6</v>
      </c>
    </row>
    <row r="686" spans="1:10" x14ac:dyDescent="0.25">
      <c r="A686" s="4">
        <f>_xlfn.XLOOKUP(E686,'Data Validation'!$M$3:$M$10,'Data Validation'!$N$3:$N$10)</f>
        <v>2</v>
      </c>
      <c r="B686" s="4">
        <v>20</v>
      </c>
      <c r="C686" s="4" t="s">
        <v>11</v>
      </c>
      <c r="D686" s="7">
        <v>32.82</v>
      </c>
      <c r="E686" s="4" t="s">
        <v>19</v>
      </c>
      <c r="F686" s="4" t="s">
        <v>20</v>
      </c>
      <c r="G686" s="4" t="s">
        <v>49</v>
      </c>
      <c r="H686" s="4" t="s">
        <v>32</v>
      </c>
      <c r="I686" s="5">
        <v>45443</v>
      </c>
      <c r="J686" s="4">
        <f t="shared" si="10"/>
        <v>6</v>
      </c>
    </row>
    <row r="687" spans="1:10" x14ac:dyDescent="0.25">
      <c r="A687" s="4">
        <f>_xlfn.XLOOKUP(E687,'Data Validation'!$M$3:$M$10,'Data Validation'!$N$3:$N$10)</f>
        <v>2</v>
      </c>
      <c r="B687" s="4">
        <v>22</v>
      </c>
      <c r="C687" s="4" t="s">
        <v>11</v>
      </c>
      <c r="D687" s="7">
        <v>32.82</v>
      </c>
      <c r="E687" s="4" t="s">
        <v>19</v>
      </c>
      <c r="F687" s="4" t="s">
        <v>20</v>
      </c>
      <c r="G687" s="4" t="s">
        <v>49</v>
      </c>
      <c r="H687" s="4" t="s">
        <v>32</v>
      </c>
      <c r="I687" s="5">
        <v>45443</v>
      </c>
      <c r="J687" s="4">
        <f t="shared" si="10"/>
        <v>6</v>
      </c>
    </row>
    <row r="688" spans="1:10" x14ac:dyDescent="0.25">
      <c r="A688" s="4">
        <f>_xlfn.XLOOKUP(E688,'Data Validation'!$M$3:$M$10,'Data Validation'!$N$3:$N$10)</f>
        <v>2</v>
      </c>
      <c r="B688" s="4">
        <v>14</v>
      </c>
      <c r="C688" s="4" t="s">
        <v>11</v>
      </c>
      <c r="D688" s="7">
        <v>32.82</v>
      </c>
      <c r="E688" s="4" t="s">
        <v>19</v>
      </c>
      <c r="F688" s="4" t="s">
        <v>17</v>
      </c>
      <c r="G688" s="4" t="s">
        <v>50</v>
      </c>
      <c r="H688" s="4" t="s">
        <v>53</v>
      </c>
      <c r="I688" s="5">
        <v>45444</v>
      </c>
      <c r="J688" s="4">
        <f t="shared" si="10"/>
        <v>6</v>
      </c>
    </row>
    <row r="689" spans="1:10" x14ac:dyDescent="0.25">
      <c r="A689" s="4">
        <f>_xlfn.XLOOKUP(E689,'Data Validation'!$M$3:$M$10,'Data Validation'!$N$3:$N$10)</f>
        <v>2</v>
      </c>
      <c r="B689" s="4">
        <v>18</v>
      </c>
      <c r="C689" s="4" t="s">
        <v>11</v>
      </c>
      <c r="D689" s="7">
        <v>32.82</v>
      </c>
      <c r="E689" s="4" t="s">
        <v>19</v>
      </c>
      <c r="F689" s="4" t="s">
        <v>20</v>
      </c>
      <c r="G689" s="4" t="s">
        <v>50</v>
      </c>
      <c r="H689" s="4" t="s">
        <v>53</v>
      </c>
      <c r="I689" s="5">
        <v>45444</v>
      </c>
      <c r="J689" s="4">
        <f t="shared" si="10"/>
        <v>6</v>
      </c>
    </row>
    <row r="690" spans="1:10" x14ac:dyDescent="0.25">
      <c r="A690" s="4">
        <f>_xlfn.XLOOKUP(E690,'Data Validation'!$M$3:$M$10,'Data Validation'!$N$3:$N$10)</f>
        <v>2</v>
      </c>
      <c r="B690" s="4">
        <v>18</v>
      </c>
      <c r="C690" s="4" t="s">
        <v>11</v>
      </c>
      <c r="D690" s="7">
        <v>32.82</v>
      </c>
      <c r="E690" s="4" t="s">
        <v>19</v>
      </c>
      <c r="F690" s="4" t="s">
        <v>20</v>
      </c>
      <c r="G690" s="4" t="s">
        <v>50</v>
      </c>
      <c r="H690" s="4" t="s">
        <v>53</v>
      </c>
      <c r="I690" s="5">
        <v>45444</v>
      </c>
      <c r="J690" s="4">
        <f t="shared" si="10"/>
        <v>6</v>
      </c>
    </row>
    <row r="691" spans="1:10" x14ac:dyDescent="0.25">
      <c r="A691" s="4">
        <f>_xlfn.XLOOKUP(E691,'Data Validation'!$M$3:$M$10,'Data Validation'!$N$3:$N$10)</f>
        <v>2</v>
      </c>
      <c r="B691" s="4">
        <v>21</v>
      </c>
      <c r="C691" s="4" t="s">
        <v>11</v>
      </c>
      <c r="D691" s="7">
        <v>32.82</v>
      </c>
      <c r="E691" s="4" t="s">
        <v>19</v>
      </c>
      <c r="F691" s="4" t="s">
        <v>20</v>
      </c>
      <c r="G691" s="4" t="s">
        <v>50</v>
      </c>
      <c r="H691" s="4" t="s">
        <v>53</v>
      </c>
      <c r="I691" s="5">
        <v>45444</v>
      </c>
      <c r="J691" s="4">
        <f t="shared" si="10"/>
        <v>6</v>
      </c>
    </row>
    <row r="692" spans="1:10" x14ac:dyDescent="0.25">
      <c r="A692" s="4">
        <f>_xlfn.XLOOKUP(E692,'Data Validation'!$M$3:$M$10,'Data Validation'!$N$3:$N$10)</f>
        <v>2</v>
      </c>
      <c r="B692" s="4">
        <v>20</v>
      </c>
      <c r="C692" s="4" t="s">
        <v>11</v>
      </c>
      <c r="D692" s="7">
        <v>32.82</v>
      </c>
      <c r="E692" s="4" t="s">
        <v>19</v>
      </c>
      <c r="F692" s="4" t="s">
        <v>20</v>
      </c>
      <c r="G692" s="4" t="s">
        <v>51</v>
      </c>
      <c r="H692" s="4" t="s">
        <v>53</v>
      </c>
      <c r="I692" s="5">
        <v>45445</v>
      </c>
      <c r="J692" s="4">
        <f t="shared" si="10"/>
        <v>6</v>
      </c>
    </row>
    <row r="693" spans="1:10" x14ac:dyDescent="0.25">
      <c r="A693" s="4">
        <f>_xlfn.XLOOKUP(E693,'Data Validation'!$M$3:$M$10,'Data Validation'!$N$3:$N$10)</f>
        <v>2</v>
      </c>
      <c r="B693" s="4">
        <v>21</v>
      </c>
      <c r="C693" s="4" t="s">
        <v>11</v>
      </c>
      <c r="D693" s="7">
        <v>32.82</v>
      </c>
      <c r="E693" s="4" t="s">
        <v>19</v>
      </c>
      <c r="F693" s="4" t="s">
        <v>20</v>
      </c>
      <c r="G693" s="4" t="s">
        <v>51</v>
      </c>
      <c r="H693" s="4" t="s">
        <v>53</v>
      </c>
      <c r="I693" s="5">
        <v>45445</v>
      </c>
      <c r="J693" s="4">
        <f t="shared" si="10"/>
        <v>6</v>
      </c>
    </row>
    <row r="694" spans="1:10" x14ac:dyDescent="0.25">
      <c r="A694" s="4">
        <f>_xlfn.XLOOKUP(E694,'Data Validation'!$M$3:$M$10,'Data Validation'!$N$3:$N$10)</f>
        <v>2</v>
      </c>
      <c r="B694" s="4">
        <v>14</v>
      </c>
      <c r="C694" s="4" t="s">
        <v>11</v>
      </c>
      <c r="D694" s="7">
        <v>32.82</v>
      </c>
      <c r="E694" s="4" t="s">
        <v>19</v>
      </c>
      <c r="F694" s="4" t="s">
        <v>17</v>
      </c>
      <c r="G694" s="4" t="s">
        <v>45</v>
      </c>
      <c r="H694" s="4" t="s">
        <v>53</v>
      </c>
      <c r="I694" s="5">
        <v>45446</v>
      </c>
      <c r="J694" s="4">
        <f t="shared" si="10"/>
        <v>6</v>
      </c>
    </row>
    <row r="695" spans="1:10" x14ac:dyDescent="0.25">
      <c r="A695" s="4">
        <f>_xlfn.XLOOKUP(E695,'Data Validation'!$M$3:$M$10,'Data Validation'!$N$3:$N$10)</f>
        <v>2</v>
      </c>
      <c r="B695" s="4">
        <v>10</v>
      </c>
      <c r="C695" s="4" t="s">
        <v>11</v>
      </c>
      <c r="D695" s="7">
        <v>32.82</v>
      </c>
      <c r="E695" s="4" t="s">
        <v>19</v>
      </c>
      <c r="F695" s="4" t="s">
        <v>13</v>
      </c>
      <c r="G695" s="4" t="s">
        <v>46</v>
      </c>
      <c r="H695" s="4" t="s">
        <v>53</v>
      </c>
      <c r="I695" s="5">
        <v>45447</v>
      </c>
      <c r="J695" s="4">
        <f t="shared" si="10"/>
        <v>6</v>
      </c>
    </row>
    <row r="696" spans="1:10" x14ac:dyDescent="0.25">
      <c r="A696" s="4">
        <f>_xlfn.XLOOKUP(E696,'Data Validation'!$M$3:$M$10,'Data Validation'!$N$3:$N$10)</f>
        <v>2</v>
      </c>
      <c r="B696" s="4">
        <v>21</v>
      </c>
      <c r="C696" s="4" t="s">
        <v>11</v>
      </c>
      <c r="D696" s="7">
        <v>32.82</v>
      </c>
      <c r="E696" s="4" t="s">
        <v>19</v>
      </c>
      <c r="F696" s="4" t="s">
        <v>20</v>
      </c>
      <c r="G696" s="4" t="s">
        <v>46</v>
      </c>
      <c r="H696" s="4" t="s">
        <v>53</v>
      </c>
      <c r="I696" s="5">
        <v>45447</v>
      </c>
      <c r="J696" s="4">
        <f t="shared" si="10"/>
        <v>6</v>
      </c>
    </row>
    <row r="697" spans="1:10" x14ac:dyDescent="0.25">
      <c r="A697" s="4">
        <f>_xlfn.XLOOKUP(E697,'Data Validation'!$M$3:$M$10,'Data Validation'!$N$3:$N$10)</f>
        <v>2</v>
      </c>
      <c r="B697" s="4">
        <v>21</v>
      </c>
      <c r="C697" s="4" t="s">
        <v>11</v>
      </c>
      <c r="D697" s="7">
        <v>32.82</v>
      </c>
      <c r="E697" s="4" t="s">
        <v>19</v>
      </c>
      <c r="F697" s="4" t="s">
        <v>20</v>
      </c>
      <c r="G697" s="4" t="s">
        <v>46</v>
      </c>
      <c r="H697" s="4" t="s">
        <v>53</v>
      </c>
      <c r="I697" s="5">
        <v>45447</v>
      </c>
      <c r="J697" s="4">
        <f t="shared" si="10"/>
        <v>6</v>
      </c>
    </row>
    <row r="698" spans="1:10" x14ac:dyDescent="0.25">
      <c r="A698" s="4">
        <f>_xlfn.XLOOKUP(E698,'Data Validation'!$M$3:$M$10,'Data Validation'!$N$3:$N$10)</f>
        <v>2</v>
      </c>
      <c r="B698" s="4">
        <v>21</v>
      </c>
      <c r="C698" s="4" t="s">
        <v>11</v>
      </c>
      <c r="D698" s="7">
        <v>32.82</v>
      </c>
      <c r="E698" s="4" t="s">
        <v>19</v>
      </c>
      <c r="F698" s="4" t="s">
        <v>20</v>
      </c>
      <c r="G698" s="4" t="s">
        <v>46</v>
      </c>
      <c r="H698" s="4" t="s">
        <v>53</v>
      </c>
      <c r="I698" s="5">
        <v>45447</v>
      </c>
      <c r="J698" s="4">
        <f t="shared" si="10"/>
        <v>6</v>
      </c>
    </row>
    <row r="699" spans="1:10" x14ac:dyDescent="0.25">
      <c r="A699" s="4">
        <f>_xlfn.XLOOKUP(E699,'Data Validation'!$M$3:$M$10,'Data Validation'!$N$3:$N$10)</f>
        <v>2</v>
      </c>
      <c r="B699" s="4">
        <v>21</v>
      </c>
      <c r="C699" s="4" t="s">
        <v>11</v>
      </c>
      <c r="D699" s="7">
        <v>32.82</v>
      </c>
      <c r="E699" s="4" t="s">
        <v>19</v>
      </c>
      <c r="F699" s="4" t="s">
        <v>20</v>
      </c>
      <c r="G699" s="4" t="s">
        <v>46</v>
      </c>
      <c r="H699" s="4" t="s">
        <v>53</v>
      </c>
      <c r="I699" s="5">
        <v>45447</v>
      </c>
      <c r="J699" s="4">
        <f t="shared" si="10"/>
        <v>6</v>
      </c>
    </row>
    <row r="700" spans="1:10" x14ac:dyDescent="0.25">
      <c r="A700" s="4">
        <f>_xlfn.XLOOKUP(E700,'Data Validation'!$M$3:$M$10,'Data Validation'!$N$3:$N$10)</f>
        <v>2</v>
      </c>
      <c r="B700" s="4">
        <v>10</v>
      </c>
      <c r="C700" s="4" t="s">
        <v>11</v>
      </c>
      <c r="D700" s="7">
        <v>32.82</v>
      </c>
      <c r="E700" s="4" t="s">
        <v>19</v>
      </c>
      <c r="F700" s="4" t="s">
        <v>13</v>
      </c>
      <c r="G700" s="4" t="s">
        <v>47</v>
      </c>
      <c r="H700" s="4" t="s">
        <v>53</v>
      </c>
      <c r="I700" s="5">
        <v>45448</v>
      </c>
      <c r="J700" s="4">
        <f t="shared" si="10"/>
        <v>6</v>
      </c>
    </row>
    <row r="701" spans="1:10" x14ac:dyDescent="0.25">
      <c r="A701" s="4">
        <f>_xlfn.XLOOKUP(E701,'Data Validation'!$M$3:$M$10,'Data Validation'!$N$3:$N$10)</f>
        <v>2</v>
      </c>
      <c r="B701" s="4">
        <v>19</v>
      </c>
      <c r="C701" s="4" t="s">
        <v>11</v>
      </c>
      <c r="D701" s="7">
        <v>32.82</v>
      </c>
      <c r="E701" s="4" t="s">
        <v>19</v>
      </c>
      <c r="F701" s="4" t="s">
        <v>20</v>
      </c>
      <c r="G701" s="4" t="s">
        <v>47</v>
      </c>
      <c r="H701" s="4" t="s">
        <v>53</v>
      </c>
      <c r="I701" s="5">
        <v>45448</v>
      </c>
      <c r="J701" s="4">
        <f t="shared" si="10"/>
        <v>6</v>
      </c>
    </row>
    <row r="702" spans="1:10" x14ac:dyDescent="0.25">
      <c r="A702" s="4">
        <f>_xlfn.XLOOKUP(E702,'Data Validation'!$M$3:$M$10,'Data Validation'!$N$3:$N$10)</f>
        <v>2</v>
      </c>
      <c r="B702" s="4">
        <v>8</v>
      </c>
      <c r="C702" s="4" t="s">
        <v>11</v>
      </c>
      <c r="D702" s="7">
        <v>32.82</v>
      </c>
      <c r="E702" s="4" t="s">
        <v>19</v>
      </c>
      <c r="F702" s="4" t="s">
        <v>13</v>
      </c>
      <c r="G702" s="4" t="s">
        <v>48</v>
      </c>
      <c r="H702" s="4" t="s">
        <v>53</v>
      </c>
      <c r="I702" s="5">
        <v>45449</v>
      </c>
      <c r="J702" s="4">
        <f t="shared" si="10"/>
        <v>6</v>
      </c>
    </row>
    <row r="703" spans="1:10" x14ac:dyDescent="0.25">
      <c r="A703" s="4">
        <f>_xlfn.XLOOKUP(E703,'Data Validation'!$M$3:$M$10,'Data Validation'!$N$3:$N$10)</f>
        <v>2</v>
      </c>
      <c r="B703" s="4">
        <v>8</v>
      </c>
      <c r="C703" s="4" t="s">
        <v>11</v>
      </c>
      <c r="D703" s="7">
        <v>32.82</v>
      </c>
      <c r="E703" s="4" t="s">
        <v>19</v>
      </c>
      <c r="F703" s="4" t="s">
        <v>13</v>
      </c>
      <c r="G703" s="4" t="s">
        <v>48</v>
      </c>
      <c r="H703" s="4" t="s">
        <v>53</v>
      </c>
      <c r="I703" s="5">
        <v>45449</v>
      </c>
      <c r="J703" s="4">
        <f t="shared" si="10"/>
        <v>6</v>
      </c>
    </row>
    <row r="704" spans="1:10" x14ac:dyDescent="0.25">
      <c r="A704" s="4">
        <f>_xlfn.XLOOKUP(E704,'Data Validation'!$M$3:$M$10,'Data Validation'!$N$3:$N$10)</f>
        <v>2</v>
      </c>
      <c r="B704" s="4">
        <v>15</v>
      </c>
      <c r="C704" s="4" t="s">
        <v>11</v>
      </c>
      <c r="D704" s="7">
        <v>32.82</v>
      </c>
      <c r="E704" s="4" t="s">
        <v>19</v>
      </c>
      <c r="F704" s="4" t="s">
        <v>17</v>
      </c>
      <c r="G704" s="4" t="s">
        <v>48</v>
      </c>
      <c r="H704" s="4" t="s">
        <v>53</v>
      </c>
      <c r="I704" s="5">
        <v>45449</v>
      </c>
      <c r="J704" s="4">
        <f t="shared" si="10"/>
        <v>6</v>
      </c>
    </row>
    <row r="705" spans="1:10" x14ac:dyDescent="0.25">
      <c r="A705" s="4">
        <f>_xlfn.XLOOKUP(E705,'Data Validation'!$M$3:$M$10,'Data Validation'!$N$3:$N$10)</f>
        <v>2</v>
      </c>
      <c r="B705" s="4">
        <v>21</v>
      </c>
      <c r="C705" s="4" t="s">
        <v>11</v>
      </c>
      <c r="D705" s="7">
        <v>32.82</v>
      </c>
      <c r="E705" s="4" t="s">
        <v>19</v>
      </c>
      <c r="F705" s="4" t="s">
        <v>20</v>
      </c>
      <c r="G705" s="4" t="s">
        <v>48</v>
      </c>
      <c r="H705" s="4" t="s">
        <v>53</v>
      </c>
      <c r="I705" s="5">
        <v>45449</v>
      </c>
      <c r="J705" s="4">
        <f t="shared" si="10"/>
        <v>6</v>
      </c>
    </row>
    <row r="706" spans="1:10" x14ac:dyDescent="0.25">
      <c r="A706" s="4">
        <f>_xlfn.XLOOKUP(E706,'Data Validation'!$M$3:$M$10,'Data Validation'!$N$3:$N$10)</f>
        <v>2</v>
      </c>
      <c r="B706" s="4">
        <v>13</v>
      </c>
      <c r="C706" s="4" t="s">
        <v>11</v>
      </c>
      <c r="D706" s="7">
        <v>32.82</v>
      </c>
      <c r="E706" s="4" t="s">
        <v>19</v>
      </c>
      <c r="F706" s="4" t="s">
        <v>17</v>
      </c>
      <c r="G706" s="4" t="s">
        <v>49</v>
      </c>
      <c r="H706" s="4" t="s">
        <v>53</v>
      </c>
      <c r="I706" s="5">
        <v>45450</v>
      </c>
      <c r="J706" s="4">
        <f t="shared" si="10"/>
        <v>6</v>
      </c>
    </row>
    <row r="707" spans="1:10" x14ac:dyDescent="0.25">
      <c r="A707" s="4">
        <f>_xlfn.XLOOKUP(E707,'Data Validation'!$M$3:$M$10,'Data Validation'!$N$3:$N$10)</f>
        <v>2</v>
      </c>
      <c r="B707" s="4">
        <v>9</v>
      </c>
      <c r="C707" s="4" t="s">
        <v>11</v>
      </c>
      <c r="D707" s="7">
        <v>32.82</v>
      </c>
      <c r="E707" s="4" t="s">
        <v>19</v>
      </c>
      <c r="F707" s="4" t="s">
        <v>13</v>
      </c>
      <c r="G707" s="4" t="s">
        <v>50</v>
      </c>
      <c r="H707" s="4" t="s">
        <v>53</v>
      </c>
      <c r="I707" s="5">
        <v>45451</v>
      </c>
      <c r="J707" s="4">
        <f t="shared" ref="J707:J770" si="11">IF(OR(E707&lt;&gt;E706,D707&lt;&gt;D706),J706+1,J706)</f>
        <v>6</v>
      </c>
    </row>
    <row r="708" spans="1:10" x14ac:dyDescent="0.25">
      <c r="A708" s="4">
        <f>_xlfn.XLOOKUP(E708,'Data Validation'!$M$3:$M$10,'Data Validation'!$N$3:$N$10)</f>
        <v>2</v>
      </c>
      <c r="B708" s="4">
        <v>12</v>
      </c>
      <c r="C708" s="4" t="s">
        <v>11</v>
      </c>
      <c r="D708" s="7">
        <v>32.82</v>
      </c>
      <c r="E708" s="4" t="s">
        <v>19</v>
      </c>
      <c r="F708" s="4" t="s">
        <v>17</v>
      </c>
      <c r="G708" s="4" t="s">
        <v>51</v>
      </c>
      <c r="H708" s="4" t="s">
        <v>53</v>
      </c>
      <c r="I708" s="5">
        <v>45452</v>
      </c>
      <c r="J708" s="4">
        <f t="shared" si="11"/>
        <v>6</v>
      </c>
    </row>
    <row r="709" spans="1:10" x14ac:dyDescent="0.25">
      <c r="A709" s="4">
        <f>_xlfn.XLOOKUP(E709,'Data Validation'!$M$3:$M$10,'Data Validation'!$N$3:$N$10)</f>
        <v>2</v>
      </c>
      <c r="B709" s="4">
        <v>19</v>
      </c>
      <c r="C709" s="4" t="s">
        <v>11</v>
      </c>
      <c r="D709" s="7">
        <v>32.82</v>
      </c>
      <c r="E709" s="4" t="s">
        <v>19</v>
      </c>
      <c r="F709" s="4" t="s">
        <v>20</v>
      </c>
      <c r="G709" s="4" t="s">
        <v>51</v>
      </c>
      <c r="H709" s="4" t="s">
        <v>53</v>
      </c>
      <c r="I709" s="5">
        <v>45452</v>
      </c>
      <c r="J709" s="4">
        <f t="shared" si="11"/>
        <v>6</v>
      </c>
    </row>
    <row r="710" spans="1:10" x14ac:dyDescent="0.25">
      <c r="A710" s="4">
        <f>_xlfn.XLOOKUP(E710,'Data Validation'!$M$3:$M$10,'Data Validation'!$N$3:$N$10)</f>
        <v>2</v>
      </c>
      <c r="B710" s="4">
        <v>10</v>
      </c>
      <c r="C710" s="4" t="s">
        <v>11</v>
      </c>
      <c r="D710" s="7">
        <v>32.82</v>
      </c>
      <c r="E710" s="4" t="s">
        <v>19</v>
      </c>
      <c r="F710" s="4" t="s">
        <v>13</v>
      </c>
      <c r="G710" s="4" t="s">
        <v>46</v>
      </c>
      <c r="H710" s="4" t="s">
        <v>53</v>
      </c>
      <c r="I710" s="5">
        <v>45454</v>
      </c>
      <c r="J710" s="4">
        <f t="shared" si="11"/>
        <v>6</v>
      </c>
    </row>
    <row r="711" spans="1:10" x14ac:dyDescent="0.25">
      <c r="A711" s="4">
        <f>_xlfn.XLOOKUP(E711,'Data Validation'!$M$3:$M$10,'Data Validation'!$N$3:$N$10)</f>
        <v>2</v>
      </c>
      <c r="B711" s="4">
        <v>21</v>
      </c>
      <c r="C711" s="4" t="s">
        <v>11</v>
      </c>
      <c r="D711" s="7">
        <v>32.82</v>
      </c>
      <c r="E711" s="4" t="s">
        <v>19</v>
      </c>
      <c r="F711" s="4" t="s">
        <v>20</v>
      </c>
      <c r="G711" s="4" t="s">
        <v>46</v>
      </c>
      <c r="H711" s="4" t="s">
        <v>53</v>
      </c>
      <c r="I711" s="5">
        <v>45454</v>
      </c>
      <c r="J711" s="4">
        <f t="shared" si="11"/>
        <v>6</v>
      </c>
    </row>
    <row r="712" spans="1:10" x14ac:dyDescent="0.25">
      <c r="A712" s="4">
        <f>_xlfn.XLOOKUP(E712,'Data Validation'!$M$3:$M$10,'Data Validation'!$N$3:$N$10)</f>
        <v>2</v>
      </c>
      <c r="B712" s="4">
        <v>21</v>
      </c>
      <c r="C712" s="4" t="s">
        <v>11</v>
      </c>
      <c r="D712" s="7">
        <v>32.82</v>
      </c>
      <c r="E712" s="4" t="s">
        <v>19</v>
      </c>
      <c r="F712" s="4" t="s">
        <v>20</v>
      </c>
      <c r="G712" s="4" t="s">
        <v>46</v>
      </c>
      <c r="H712" s="4" t="s">
        <v>53</v>
      </c>
      <c r="I712" s="5">
        <v>45454</v>
      </c>
      <c r="J712" s="4">
        <f t="shared" si="11"/>
        <v>6</v>
      </c>
    </row>
    <row r="713" spans="1:10" x14ac:dyDescent="0.25">
      <c r="A713" s="4">
        <f>_xlfn.XLOOKUP(E713,'Data Validation'!$M$3:$M$10,'Data Validation'!$N$3:$N$10)</f>
        <v>2</v>
      </c>
      <c r="B713" s="4">
        <v>20</v>
      </c>
      <c r="C713" s="4" t="s">
        <v>11</v>
      </c>
      <c r="D713" s="7">
        <v>32.82</v>
      </c>
      <c r="E713" s="4" t="s">
        <v>19</v>
      </c>
      <c r="F713" s="4" t="s">
        <v>20</v>
      </c>
      <c r="G713" s="4" t="s">
        <v>47</v>
      </c>
      <c r="H713" s="4" t="s">
        <v>53</v>
      </c>
      <c r="I713" s="5">
        <v>45455</v>
      </c>
      <c r="J713" s="4">
        <f t="shared" si="11"/>
        <v>6</v>
      </c>
    </row>
    <row r="714" spans="1:10" x14ac:dyDescent="0.25">
      <c r="A714" s="4">
        <f>_xlfn.XLOOKUP(E714,'Data Validation'!$M$3:$M$10,'Data Validation'!$N$3:$N$10)</f>
        <v>2</v>
      </c>
      <c r="B714" s="4">
        <v>9</v>
      </c>
      <c r="C714" s="4" t="s">
        <v>11</v>
      </c>
      <c r="D714" s="7">
        <v>32.82</v>
      </c>
      <c r="E714" s="4" t="s">
        <v>19</v>
      </c>
      <c r="F714" s="4" t="s">
        <v>13</v>
      </c>
      <c r="G714" s="4" t="s">
        <v>48</v>
      </c>
      <c r="H714" s="4" t="s">
        <v>53</v>
      </c>
      <c r="I714" s="5">
        <v>45456</v>
      </c>
      <c r="J714" s="4">
        <f t="shared" si="11"/>
        <v>6</v>
      </c>
    </row>
    <row r="715" spans="1:10" x14ac:dyDescent="0.25">
      <c r="A715" s="4">
        <f>_xlfn.XLOOKUP(E715,'Data Validation'!$M$3:$M$10,'Data Validation'!$N$3:$N$10)</f>
        <v>2</v>
      </c>
      <c r="B715" s="4">
        <v>17</v>
      </c>
      <c r="C715" s="4" t="s">
        <v>11</v>
      </c>
      <c r="D715" s="7">
        <v>32.82</v>
      </c>
      <c r="E715" s="4" t="s">
        <v>19</v>
      </c>
      <c r="F715" s="4" t="s">
        <v>20</v>
      </c>
      <c r="G715" s="4" t="s">
        <v>48</v>
      </c>
      <c r="H715" s="4" t="s">
        <v>53</v>
      </c>
      <c r="I715" s="5">
        <v>45456</v>
      </c>
      <c r="J715" s="4">
        <f t="shared" si="11"/>
        <v>6</v>
      </c>
    </row>
    <row r="716" spans="1:10" x14ac:dyDescent="0.25">
      <c r="A716" s="4">
        <f>_xlfn.XLOOKUP(E716,'Data Validation'!$M$3:$M$10,'Data Validation'!$N$3:$N$10)</f>
        <v>2</v>
      </c>
      <c r="B716" s="4">
        <v>20</v>
      </c>
      <c r="C716" s="4" t="s">
        <v>11</v>
      </c>
      <c r="D716" s="7">
        <v>32.82</v>
      </c>
      <c r="E716" s="4" t="s">
        <v>19</v>
      </c>
      <c r="F716" s="4" t="s">
        <v>20</v>
      </c>
      <c r="G716" s="4" t="s">
        <v>48</v>
      </c>
      <c r="H716" s="4" t="s">
        <v>53</v>
      </c>
      <c r="I716" s="5">
        <v>45456</v>
      </c>
      <c r="J716" s="4">
        <f t="shared" si="11"/>
        <v>6</v>
      </c>
    </row>
    <row r="717" spans="1:10" x14ac:dyDescent="0.25">
      <c r="A717" s="4">
        <f>_xlfn.XLOOKUP(E717,'Data Validation'!$M$3:$M$10,'Data Validation'!$N$3:$N$10)</f>
        <v>2</v>
      </c>
      <c r="B717" s="4">
        <v>20</v>
      </c>
      <c r="C717" s="4" t="s">
        <v>11</v>
      </c>
      <c r="D717" s="7">
        <v>32.82</v>
      </c>
      <c r="E717" s="4" t="s">
        <v>19</v>
      </c>
      <c r="F717" s="4" t="s">
        <v>20</v>
      </c>
      <c r="G717" s="4" t="s">
        <v>48</v>
      </c>
      <c r="H717" s="4" t="s">
        <v>53</v>
      </c>
      <c r="I717" s="5">
        <v>45456</v>
      </c>
      <c r="J717" s="4">
        <f t="shared" si="11"/>
        <v>6</v>
      </c>
    </row>
    <row r="718" spans="1:10" x14ac:dyDescent="0.25">
      <c r="A718" s="4">
        <f>_xlfn.XLOOKUP(E718,'Data Validation'!$M$3:$M$10,'Data Validation'!$N$3:$N$10)</f>
        <v>2</v>
      </c>
      <c r="B718" s="4">
        <v>21</v>
      </c>
      <c r="C718" s="4" t="s">
        <v>11</v>
      </c>
      <c r="D718" s="7">
        <v>32.82</v>
      </c>
      <c r="E718" s="4" t="s">
        <v>19</v>
      </c>
      <c r="F718" s="4" t="s">
        <v>20</v>
      </c>
      <c r="G718" s="4" t="s">
        <v>48</v>
      </c>
      <c r="H718" s="4" t="s">
        <v>53</v>
      </c>
      <c r="I718" s="5">
        <v>45456</v>
      </c>
      <c r="J718" s="4">
        <f t="shared" si="11"/>
        <v>6</v>
      </c>
    </row>
    <row r="719" spans="1:10" x14ac:dyDescent="0.25">
      <c r="A719" s="4">
        <f>_xlfn.XLOOKUP(E719,'Data Validation'!$M$3:$M$10,'Data Validation'!$N$3:$N$10)</f>
        <v>2</v>
      </c>
      <c r="B719" s="4">
        <v>18</v>
      </c>
      <c r="C719" s="4" t="s">
        <v>11</v>
      </c>
      <c r="D719" s="7">
        <v>32.82</v>
      </c>
      <c r="E719" s="4" t="s">
        <v>19</v>
      </c>
      <c r="F719" s="4" t="s">
        <v>20</v>
      </c>
      <c r="G719" s="4" t="s">
        <v>49</v>
      </c>
      <c r="H719" s="4" t="s">
        <v>53</v>
      </c>
      <c r="I719" s="5">
        <v>45457</v>
      </c>
      <c r="J719" s="4">
        <f t="shared" si="11"/>
        <v>6</v>
      </c>
    </row>
    <row r="720" spans="1:10" x14ac:dyDescent="0.25">
      <c r="A720" s="4">
        <f>_xlfn.XLOOKUP(E720,'Data Validation'!$M$3:$M$10,'Data Validation'!$N$3:$N$10)</f>
        <v>2</v>
      </c>
      <c r="B720" s="4">
        <v>12</v>
      </c>
      <c r="C720" s="4" t="s">
        <v>11</v>
      </c>
      <c r="D720" s="7">
        <v>32.82</v>
      </c>
      <c r="E720" s="4" t="s">
        <v>19</v>
      </c>
      <c r="F720" s="4" t="s">
        <v>17</v>
      </c>
      <c r="G720" s="4" t="s">
        <v>50</v>
      </c>
      <c r="H720" s="4" t="s">
        <v>53</v>
      </c>
      <c r="I720" s="5">
        <v>45458</v>
      </c>
      <c r="J720" s="4">
        <f t="shared" si="11"/>
        <v>6</v>
      </c>
    </row>
    <row r="721" spans="1:10" x14ac:dyDescent="0.25">
      <c r="A721" s="4">
        <f>_xlfn.XLOOKUP(E721,'Data Validation'!$M$3:$M$10,'Data Validation'!$N$3:$N$10)</f>
        <v>2</v>
      </c>
      <c r="B721" s="4">
        <v>12</v>
      </c>
      <c r="C721" s="4" t="s">
        <v>11</v>
      </c>
      <c r="D721" s="7">
        <v>32.82</v>
      </c>
      <c r="E721" s="4" t="s">
        <v>19</v>
      </c>
      <c r="F721" s="4" t="s">
        <v>17</v>
      </c>
      <c r="G721" s="4" t="s">
        <v>50</v>
      </c>
      <c r="H721" s="4" t="s">
        <v>53</v>
      </c>
      <c r="I721" s="5">
        <v>45458</v>
      </c>
      <c r="J721" s="4">
        <f t="shared" si="11"/>
        <v>6</v>
      </c>
    </row>
    <row r="722" spans="1:10" x14ac:dyDescent="0.25">
      <c r="A722" s="4">
        <f>_xlfn.XLOOKUP(E722,'Data Validation'!$M$3:$M$10,'Data Validation'!$N$3:$N$10)</f>
        <v>2</v>
      </c>
      <c r="B722" s="4">
        <v>16</v>
      </c>
      <c r="C722" s="4" t="s">
        <v>11</v>
      </c>
      <c r="D722" s="7">
        <v>32.82</v>
      </c>
      <c r="E722" s="4" t="s">
        <v>19</v>
      </c>
      <c r="F722" s="4" t="s">
        <v>17</v>
      </c>
      <c r="G722" s="4" t="s">
        <v>50</v>
      </c>
      <c r="H722" s="4" t="s">
        <v>53</v>
      </c>
      <c r="I722" s="5">
        <v>45458</v>
      </c>
      <c r="J722" s="4">
        <f t="shared" si="11"/>
        <v>6</v>
      </c>
    </row>
    <row r="723" spans="1:10" x14ac:dyDescent="0.25">
      <c r="A723" s="4">
        <f>_xlfn.XLOOKUP(E723,'Data Validation'!$M$3:$M$10,'Data Validation'!$N$3:$N$10)</f>
        <v>2</v>
      </c>
      <c r="B723" s="4">
        <v>10</v>
      </c>
      <c r="C723" s="4" t="s">
        <v>11</v>
      </c>
      <c r="D723" s="7">
        <v>32.82</v>
      </c>
      <c r="E723" s="4" t="s">
        <v>19</v>
      </c>
      <c r="F723" s="4" t="s">
        <v>13</v>
      </c>
      <c r="G723" s="4" t="s">
        <v>51</v>
      </c>
      <c r="H723" s="4" t="s">
        <v>53</v>
      </c>
      <c r="I723" s="5">
        <v>45459</v>
      </c>
      <c r="J723" s="4">
        <f t="shared" si="11"/>
        <v>6</v>
      </c>
    </row>
    <row r="724" spans="1:10" x14ac:dyDescent="0.25">
      <c r="A724" s="4">
        <f>_xlfn.XLOOKUP(E724,'Data Validation'!$M$3:$M$10,'Data Validation'!$N$3:$N$10)</f>
        <v>2</v>
      </c>
      <c r="B724" s="4">
        <v>12</v>
      </c>
      <c r="C724" s="4" t="s">
        <v>11</v>
      </c>
      <c r="D724" s="7">
        <v>32.82</v>
      </c>
      <c r="E724" s="4" t="s">
        <v>19</v>
      </c>
      <c r="F724" s="4" t="s">
        <v>17</v>
      </c>
      <c r="G724" s="4" t="s">
        <v>51</v>
      </c>
      <c r="H724" s="4" t="s">
        <v>53</v>
      </c>
      <c r="I724" s="5">
        <v>45459</v>
      </c>
      <c r="J724" s="4">
        <f t="shared" si="11"/>
        <v>6</v>
      </c>
    </row>
    <row r="725" spans="1:10" x14ac:dyDescent="0.25">
      <c r="A725" s="4">
        <f>_xlfn.XLOOKUP(E725,'Data Validation'!$M$3:$M$10,'Data Validation'!$N$3:$N$10)</f>
        <v>2</v>
      </c>
      <c r="B725" s="4">
        <v>15</v>
      </c>
      <c r="C725" s="4" t="s">
        <v>11</v>
      </c>
      <c r="D725" s="7">
        <v>32.82</v>
      </c>
      <c r="E725" s="4" t="s">
        <v>19</v>
      </c>
      <c r="F725" s="4" t="s">
        <v>17</v>
      </c>
      <c r="G725" s="4" t="s">
        <v>51</v>
      </c>
      <c r="H725" s="4" t="s">
        <v>53</v>
      </c>
      <c r="I725" s="5">
        <v>45459</v>
      </c>
      <c r="J725" s="4">
        <f t="shared" si="11"/>
        <v>6</v>
      </c>
    </row>
    <row r="726" spans="1:10" x14ac:dyDescent="0.25">
      <c r="A726" s="4">
        <f>_xlfn.XLOOKUP(E726,'Data Validation'!$M$3:$M$10,'Data Validation'!$N$3:$N$10)</f>
        <v>2</v>
      </c>
      <c r="B726" s="4">
        <v>15</v>
      </c>
      <c r="C726" s="4" t="s">
        <v>11</v>
      </c>
      <c r="D726" s="7">
        <v>32.82</v>
      </c>
      <c r="E726" s="4" t="s">
        <v>19</v>
      </c>
      <c r="F726" s="4" t="s">
        <v>17</v>
      </c>
      <c r="G726" s="4" t="s">
        <v>51</v>
      </c>
      <c r="H726" s="4" t="s">
        <v>53</v>
      </c>
      <c r="I726" s="5">
        <v>45459</v>
      </c>
      <c r="J726" s="4">
        <f t="shared" si="11"/>
        <v>6</v>
      </c>
    </row>
    <row r="727" spans="1:10" x14ac:dyDescent="0.25">
      <c r="A727" s="4">
        <f>_xlfn.XLOOKUP(E727,'Data Validation'!$M$3:$M$10,'Data Validation'!$N$3:$N$10)</f>
        <v>2</v>
      </c>
      <c r="B727" s="4">
        <v>17</v>
      </c>
      <c r="C727" s="4" t="s">
        <v>11</v>
      </c>
      <c r="D727" s="7">
        <v>32.82</v>
      </c>
      <c r="E727" s="4" t="s">
        <v>19</v>
      </c>
      <c r="F727" s="4" t="s">
        <v>20</v>
      </c>
      <c r="G727" s="4" t="s">
        <v>51</v>
      </c>
      <c r="H727" s="4" t="s">
        <v>53</v>
      </c>
      <c r="I727" s="5">
        <v>45459</v>
      </c>
      <c r="J727" s="4">
        <f t="shared" si="11"/>
        <v>6</v>
      </c>
    </row>
    <row r="728" spans="1:10" x14ac:dyDescent="0.25">
      <c r="A728" s="4">
        <f>_xlfn.XLOOKUP(E728,'Data Validation'!$M$3:$M$10,'Data Validation'!$N$3:$N$10)</f>
        <v>2</v>
      </c>
      <c r="B728" s="4">
        <v>17</v>
      </c>
      <c r="C728" s="4" t="s">
        <v>11</v>
      </c>
      <c r="D728" s="7">
        <v>32.82</v>
      </c>
      <c r="E728" s="4" t="s">
        <v>19</v>
      </c>
      <c r="F728" s="4" t="s">
        <v>20</v>
      </c>
      <c r="G728" s="4" t="s">
        <v>51</v>
      </c>
      <c r="H728" s="4" t="s">
        <v>53</v>
      </c>
      <c r="I728" s="5">
        <v>45459</v>
      </c>
      <c r="J728" s="4">
        <f t="shared" si="11"/>
        <v>6</v>
      </c>
    </row>
    <row r="729" spans="1:10" x14ac:dyDescent="0.25">
      <c r="A729" s="4">
        <f>_xlfn.XLOOKUP(E729,'Data Validation'!$M$3:$M$10,'Data Validation'!$N$3:$N$10)</f>
        <v>2</v>
      </c>
      <c r="B729" s="4">
        <v>21</v>
      </c>
      <c r="C729" s="4" t="s">
        <v>11</v>
      </c>
      <c r="D729" s="7">
        <v>32.82</v>
      </c>
      <c r="E729" s="4" t="s">
        <v>19</v>
      </c>
      <c r="F729" s="4" t="s">
        <v>20</v>
      </c>
      <c r="G729" s="4" t="s">
        <v>45</v>
      </c>
      <c r="H729" s="4" t="s">
        <v>53</v>
      </c>
      <c r="I729" s="5">
        <v>45460</v>
      </c>
      <c r="J729" s="4">
        <f t="shared" si="11"/>
        <v>6</v>
      </c>
    </row>
    <row r="730" spans="1:10" x14ac:dyDescent="0.25">
      <c r="A730" s="4">
        <f>_xlfn.XLOOKUP(E730,'Data Validation'!$M$3:$M$10,'Data Validation'!$N$3:$N$10)</f>
        <v>2</v>
      </c>
      <c r="B730" s="4">
        <v>21</v>
      </c>
      <c r="C730" s="4" t="s">
        <v>11</v>
      </c>
      <c r="D730" s="7">
        <v>32.82</v>
      </c>
      <c r="E730" s="4" t="s">
        <v>19</v>
      </c>
      <c r="F730" s="4" t="s">
        <v>20</v>
      </c>
      <c r="G730" s="4" t="s">
        <v>46</v>
      </c>
      <c r="H730" s="4" t="s">
        <v>53</v>
      </c>
      <c r="I730" s="5">
        <v>45461</v>
      </c>
      <c r="J730" s="4">
        <f t="shared" si="11"/>
        <v>6</v>
      </c>
    </row>
    <row r="731" spans="1:10" x14ac:dyDescent="0.25">
      <c r="A731" s="4">
        <f>_xlfn.XLOOKUP(E731,'Data Validation'!$M$3:$M$10,'Data Validation'!$N$3:$N$10)</f>
        <v>2</v>
      </c>
      <c r="B731" s="4">
        <v>21</v>
      </c>
      <c r="C731" s="4" t="s">
        <v>11</v>
      </c>
      <c r="D731" s="7">
        <v>32.82</v>
      </c>
      <c r="E731" s="4" t="s">
        <v>19</v>
      </c>
      <c r="F731" s="4" t="s">
        <v>20</v>
      </c>
      <c r="G731" s="4" t="s">
        <v>46</v>
      </c>
      <c r="H731" s="4" t="s">
        <v>53</v>
      </c>
      <c r="I731" s="5">
        <v>45461</v>
      </c>
      <c r="J731" s="4">
        <f t="shared" si="11"/>
        <v>6</v>
      </c>
    </row>
    <row r="732" spans="1:10" x14ac:dyDescent="0.25">
      <c r="A732" s="4">
        <f>_xlfn.XLOOKUP(E732,'Data Validation'!$M$3:$M$10,'Data Validation'!$N$3:$N$10)</f>
        <v>2</v>
      </c>
      <c r="B732" s="4">
        <v>14</v>
      </c>
      <c r="C732" s="4" t="s">
        <v>11</v>
      </c>
      <c r="D732" s="7">
        <v>32.82</v>
      </c>
      <c r="E732" s="4" t="s">
        <v>19</v>
      </c>
      <c r="F732" s="4" t="s">
        <v>17</v>
      </c>
      <c r="G732" s="4" t="s">
        <v>47</v>
      </c>
      <c r="H732" s="4" t="s">
        <v>53</v>
      </c>
      <c r="I732" s="5">
        <v>45462</v>
      </c>
      <c r="J732" s="4">
        <f t="shared" si="11"/>
        <v>6</v>
      </c>
    </row>
    <row r="733" spans="1:10" x14ac:dyDescent="0.25">
      <c r="A733" s="4">
        <f>_xlfn.XLOOKUP(E733,'Data Validation'!$M$3:$M$10,'Data Validation'!$N$3:$N$10)</f>
        <v>2</v>
      </c>
      <c r="B733" s="4">
        <v>19</v>
      </c>
      <c r="C733" s="4" t="s">
        <v>11</v>
      </c>
      <c r="D733" s="7">
        <v>32.82</v>
      </c>
      <c r="E733" s="4" t="s">
        <v>19</v>
      </c>
      <c r="F733" s="4" t="s">
        <v>20</v>
      </c>
      <c r="G733" s="4" t="s">
        <v>47</v>
      </c>
      <c r="H733" s="4" t="s">
        <v>53</v>
      </c>
      <c r="I733" s="5">
        <v>45462</v>
      </c>
      <c r="J733" s="4">
        <f t="shared" si="11"/>
        <v>6</v>
      </c>
    </row>
    <row r="734" spans="1:10" x14ac:dyDescent="0.25">
      <c r="A734" s="4">
        <f>_xlfn.XLOOKUP(E734,'Data Validation'!$M$3:$M$10,'Data Validation'!$N$3:$N$10)</f>
        <v>2</v>
      </c>
      <c r="B734" s="4">
        <v>21</v>
      </c>
      <c r="C734" s="4" t="s">
        <v>11</v>
      </c>
      <c r="D734" s="7">
        <v>32.82</v>
      </c>
      <c r="E734" s="4" t="s">
        <v>19</v>
      </c>
      <c r="F734" s="4" t="s">
        <v>20</v>
      </c>
      <c r="G734" s="4" t="s">
        <v>47</v>
      </c>
      <c r="H734" s="4" t="s">
        <v>53</v>
      </c>
      <c r="I734" s="5">
        <v>45462</v>
      </c>
      <c r="J734" s="4">
        <f t="shared" si="11"/>
        <v>6</v>
      </c>
    </row>
    <row r="735" spans="1:10" x14ac:dyDescent="0.25">
      <c r="A735" s="4">
        <f>_xlfn.XLOOKUP(E735,'Data Validation'!$M$3:$M$10,'Data Validation'!$N$3:$N$10)</f>
        <v>2</v>
      </c>
      <c r="B735" s="4">
        <v>21</v>
      </c>
      <c r="C735" s="4" t="s">
        <v>11</v>
      </c>
      <c r="D735" s="7">
        <v>32.82</v>
      </c>
      <c r="E735" s="4" t="s">
        <v>19</v>
      </c>
      <c r="F735" s="4" t="s">
        <v>20</v>
      </c>
      <c r="G735" s="4" t="s">
        <v>48</v>
      </c>
      <c r="H735" s="4" t="s">
        <v>53</v>
      </c>
      <c r="I735" s="5">
        <v>45463</v>
      </c>
      <c r="J735" s="4">
        <f t="shared" si="11"/>
        <v>6</v>
      </c>
    </row>
    <row r="736" spans="1:10" x14ac:dyDescent="0.25">
      <c r="A736" s="4">
        <f>_xlfn.XLOOKUP(E736,'Data Validation'!$M$3:$M$10,'Data Validation'!$N$3:$N$10)</f>
        <v>2</v>
      </c>
      <c r="B736" s="4">
        <v>13</v>
      </c>
      <c r="C736" s="4" t="s">
        <v>11</v>
      </c>
      <c r="D736" s="7">
        <v>32.82</v>
      </c>
      <c r="E736" s="4" t="s">
        <v>19</v>
      </c>
      <c r="F736" s="4" t="s">
        <v>17</v>
      </c>
      <c r="G736" s="4" t="s">
        <v>49</v>
      </c>
      <c r="H736" s="4" t="s">
        <v>53</v>
      </c>
      <c r="I736" s="5">
        <v>45464</v>
      </c>
      <c r="J736" s="4">
        <f t="shared" si="11"/>
        <v>6</v>
      </c>
    </row>
    <row r="737" spans="1:10" x14ac:dyDescent="0.25">
      <c r="A737" s="4">
        <f>_xlfn.XLOOKUP(E737,'Data Validation'!$M$3:$M$10,'Data Validation'!$N$3:$N$10)</f>
        <v>2</v>
      </c>
      <c r="B737" s="4">
        <v>13</v>
      </c>
      <c r="C737" s="4" t="s">
        <v>11</v>
      </c>
      <c r="D737" s="7">
        <v>32.82</v>
      </c>
      <c r="E737" s="4" t="s">
        <v>19</v>
      </c>
      <c r="F737" s="4" t="s">
        <v>17</v>
      </c>
      <c r="G737" s="4" t="s">
        <v>49</v>
      </c>
      <c r="H737" s="4" t="s">
        <v>53</v>
      </c>
      <c r="I737" s="5">
        <v>45464</v>
      </c>
      <c r="J737" s="4">
        <f t="shared" si="11"/>
        <v>6</v>
      </c>
    </row>
    <row r="738" spans="1:10" x14ac:dyDescent="0.25">
      <c r="A738" s="4">
        <f>_xlfn.XLOOKUP(E738,'Data Validation'!$M$3:$M$10,'Data Validation'!$N$3:$N$10)</f>
        <v>2</v>
      </c>
      <c r="B738" s="4">
        <v>19</v>
      </c>
      <c r="C738" s="4" t="s">
        <v>11</v>
      </c>
      <c r="D738" s="7">
        <v>32.82</v>
      </c>
      <c r="E738" s="4" t="s">
        <v>19</v>
      </c>
      <c r="F738" s="4" t="s">
        <v>20</v>
      </c>
      <c r="G738" s="4" t="s">
        <v>49</v>
      </c>
      <c r="H738" s="4" t="s">
        <v>53</v>
      </c>
      <c r="I738" s="5">
        <v>45464</v>
      </c>
      <c r="J738" s="4">
        <f t="shared" si="11"/>
        <v>6</v>
      </c>
    </row>
    <row r="739" spans="1:10" x14ac:dyDescent="0.25">
      <c r="A739" s="4">
        <f>_xlfn.XLOOKUP(E739,'Data Validation'!$M$3:$M$10,'Data Validation'!$N$3:$N$10)</f>
        <v>2</v>
      </c>
      <c r="B739" s="4">
        <v>9</v>
      </c>
      <c r="C739" s="4" t="s">
        <v>11</v>
      </c>
      <c r="D739" s="7">
        <v>32.82</v>
      </c>
      <c r="E739" s="4" t="s">
        <v>19</v>
      </c>
      <c r="F739" s="4" t="s">
        <v>13</v>
      </c>
      <c r="G739" s="4" t="s">
        <v>50</v>
      </c>
      <c r="H739" s="4" t="s">
        <v>53</v>
      </c>
      <c r="I739" s="5">
        <v>45465</v>
      </c>
      <c r="J739" s="4">
        <f t="shared" si="11"/>
        <v>6</v>
      </c>
    </row>
    <row r="740" spans="1:10" x14ac:dyDescent="0.25">
      <c r="A740" s="4">
        <f>_xlfn.XLOOKUP(E740,'Data Validation'!$M$3:$M$10,'Data Validation'!$N$3:$N$10)</f>
        <v>2</v>
      </c>
      <c r="B740" s="4">
        <v>12</v>
      </c>
      <c r="C740" s="4" t="s">
        <v>11</v>
      </c>
      <c r="D740" s="7">
        <v>32.82</v>
      </c>
      <c r="E740" s="4" t="s">
        <v>19</v>
      </c>
      <c r="F740" s="4" t="s">
        <v>17</v>
      </c>
      <c r="G740" s="4" t="s">
        <v>50</v>
      </c>
      <c r="H740" s="4" t="s">
        <v>53</v>
      </c>
      <c r="I740" s="5">
        <v>45465</v>
      </c>
      <c r="J740" s="4">
        <f t="shared" si="11"/>
        <v>6</v>
      </c>
    </row>
    <row r="741" spans="1:10" x14ac:dyDescent="0.25">
      <c r="A741" s="4">
        <f>_xlfn.XLOOKUP(E741,'Data Validation'!$M$3:$M$10,'Data Validation'!$N$3:$N$10)</f>
        <v>2</v>
      </c>
      <c r="B741" s="4">
        <v>18</v>
      </c>
      <c r="C741" s="4" t="s">
        <v>11</v>
      </c>
      <c r="D741" s="7">
        <v>32.82</v>
      </c>
      <c r="E741" s="4" t="s">
        <v>19</v>
      </c>
      <c r="F741" s="4" t="s">
        <v>20</v>
      </c>
      <c r="G741" s="4" t="s">
        <v>51</v>
      </c>
      <c r="H741" s="4" t="s">
        <v>53</v>
      </c>
      <c r="I741" s="5">
        <v>45466</v>
      </c>
      <c r="J741" s="4">
        <f t="shared" si="11"/>
        <v>6</v>
      </c>
    </row>
    <row r="742" spans="1:10" x14ac:dyDescent="0.25">
      <c r="A742" s="4">
        <f>_xlfn.XLOOKUP(E742,'Data Validation'!$M$3:$M$10,'Data Validation'!$N$3:$N$10)</f>
        <v>2</v>
      </c>
      <c r="B742" s="4">
        <v>18</v>
      </c>
      <c r="C742" s="4" t="s">
        <v>11</v>
      </c>
      <c r="D742" s="7">
        <v>32.82</v>
      </c>
      <c r="E742" s="4" t="s">
        <v>19</v>
      </c>
      <c r="F742" s="4" t="s">
        <v>20</v>
      </c>
      <c r="G742" s="4" t="s">
        <v>51</v>
      </c>
      <c r="H742" s="4" t="s">
        <v>53</v>
      </c>
      <c r="I742" s="5">
        <v>45466</v>
      </c>
      <c r="J742" s="4">
        <f t="shared" si="11"/>
        <v>6</v>
      </c>
    </row>
    <row r="743" spans="1:10" x14ac:dyDescent="0.25">
      <c r="A743" s="4">
        <f>_xlfn.XLOOKUP(E743,'Data Validation'!$M$3:$M$10,'Data Validation'!$N$3:$N$10)</f>
        <v>2</v>
      </c>
      <c r="B743" s="4">
        <v>11</v>
      </c>
      <c r="C743" s="4" t="s">
        <v>11</v>
      </c>
      <c r="D743" s="7">
        <v>32.82</v>
      </c>
      <c r="E743" s="4" t="s">
        <v>19</v>
      </c>
      <c r="F743" s="4" t="s">
        <v>13</v>
      </c>
      <c r="G743" s="4" t="s">
        <v>45</v>
      </c>
      <c r="H743" s="4" t="s">
        <v>53</v>
      </c>
      <c r="I743" s="5">
        <v>45467</v>
      </c>
      <c r="J743" s="4">
        <f t="shared" si="11"/>
        <v>6</v>
      </c>
    </row>
    <row r="744" spans="1:10" x14ac:dyDescent="0.25">
      <c r="A744" s="4">
        <f>_xlfn.XLOOKUP(E744,'Data Validation'!$M$3:$M$10,'Data Validation'!$N$3:$N$10)</f>
        <v>2</v>
      </c>
      <c r="B744" s="4">
        <v>10</v>
      </c>
      <c r="C744" s="4" t="s">
        <v>11</v>
      </c>
      <c r="D744" s="7">
        <v>32.82</v>
      </c>
      <c r="E744" s="4" t="s">
        <v>19</v>
      </c>
      <c r="F744" s="4" t="s">
        <v>13</v>
      </c>
      <c r="G744" s="4" t="s">
        <v>46</v>
      </c>
      <c r="H744" s="4" t="s">
        <v>53</v>
      </c>
      <c r="I744" s="5">
        <v>45468</v>
      </c>
      <c r="J744" s="4">
        <f t="shared" si="11"/>
        <v>6</v>
      </c>
    </row>
    <row r="745" spans="1:10" x14ac:dyDescent="0.25">
      <c r="A745" s="4">
        <f>_xlfn.XLOOKUP(E745,'Data Validation'!$M$3:$M$10,'Data Validation'!$N$3:$N$10)</f>
        <v>2</v>
      </c>
      <c r="B745" s="4">
        <v>10</v>
      </c>
      <c r="C745" s="4" t="s">
        <v>11</v>
      </c>
      <c r="D745" s="7">
        <v>32.82</v>
      </c>
      <c r="E745" s="4" t="s">
        <v>19</v>
      </c>
      <c r="F745" s="4" t="s">
        <v>13</v>
      </c>
      <c r="G745" s="4" t="s">
        <v>46</v>
      </c>
      <c r="H745" s="4" t="s">
        <v>53</v>
      </c>
      <c r="I745" s="5">
        <v>45468</v>
      </c>
      <c r="J745" s="4">
        <f t="shared" si="11"/>
        <v>6</v>
      </c>
    </row>
    <row r="746" spans="1:10" x14ac:dyDescent="0.25">
      <c r="A746" s="4">
        <f>_xlfn.XLOOKUP(E746,'Data Validation'!$M$3:$M$10,'Data Validation'!$N$3:$N$10)</f>
        <v>2</v>
      </c>
      <c r="B746" s="4">
        <v>21</v>
      </c>
      <c r="C746" s="4" t="s">
        <v>11</v>
      </c>
      <c r="D746" s="7">
        <v>32.82</v>
      </c>
      <c r="E746" s="4" t="s">
        <v>19</v>
      </c>
      <c r="F746" s="4" t="s">
        <v>20</v>
      </c>
      <c r="G746" s="4" t="s">
        <v>47</v>
      </c>
      <c r="H746" s="4" t="s">
        <v>53</v>
      </c>
      <c r="I746" s="5">
        <v>45469</v>
      </c>
      <c r="J746" s="4">
        <f t="shared" si="11"/>
        <v>6</v>
      </c>
    </row>
    <row r="747" spans="1:10" x14ac:dyDescent="0.25">
      <c r="A747" s="4">
        <f>_xlfn.XLOOKUP(E747,'Data Validation'!$M$3:$M$10,'Data Validation'!$N$3:$N$10)</f>
        <v>2</v>
      </c>
      <c r="B747" s="4">
        <v>9</v>
      </c>
      <c r="C747" s="4" t="s">
        <v>11</v>
      </c>
      <c r="D747" s="7">
        <v>32.82</v>
      </c>
      <c r="E747" s="4" t="s">
        <v>19</v>
      </c>
      <c r="F747" s="4" t="s">
        <v>13</v>
      </c>
      <c r="G747" s="4" t="s">
        <v>48</v>
      </c>
      <c r="H747" s="4" t="s">
        <v>53</v>
      </c>
      <c r="I747" s="5">
        <v>45470</v>
      </c>
      <c r="J747" s="4">
        <f t="shared" si="11"/>
        <v>6</v>
      </c>
    </row>
    <row r="748" spans="1:10" x14ac:dyDescent="0.25">
      <c r="A748" s="4">
        <f>_xlfn.XLOOKUP(E748,'Data Validation'!$M$3:$M$10,'Data Validation'!$N$3:$N$10)</f>
        <v>2</v>
      </c>
      <c r="B748" s="4">
        <v>21</v>
      </c>
      <c r="C748" s="4" t="s">
        <v>11</v>
      </c>
      <c r="D748" s="7">
        <v>32.82</v>
      </c>
      <c r="E748" s="4" t="s">
        <v>19</v>
      </c>
      <c r="F748" s="4" t="s">
        <v>20</v>
      </c>
      <c r="G748" s="4" t="s">
        <v>48</v>
      </c>
      <c r="H748" s="4" t="s">
        <v>53</v>
      </c>
      <c r="I748" s="5">
        <v>45470</v>
      </c>
      <c r="J748" s="4">
        <f t="shared" si="11"/>
        <v>6</v>
      </c>
    </row>
    <row r="749" spans="1:10" x14ac:dyDescent="0.25">
      <c r="A749" s="4">
        <f>_xlfn.XLOOKUP(E749,'Data Validation'!$M$3:$M$10,'Data Validation'!$N$3:$N$10)</f>
        <v>2</v>
      </c>
      <c r="B749" s="4">
        <v>21</v>
      </c>
      <c r="C749" s="4" t="s">
        <v>11</v>
      </c>
      <c r="D749" s="7">
        <v>32.82</v>
      </c>
      <c r="E749" s="4" t="s">
        <v>19</v>
      </c>
      <c r="F749" s="4" t="s">
        <v>20</v>
      </c>
      <c r="G749" s="4" t="s">
        <v>49</v>
      </c>
      <c r="H749" s="4" t="s">
        <v>53</v>
      </c>
      <c r="I749" s="5">
        <v>45471</v>
      </c>
      <c r="J749" s="4">
        <f t="shared" si="11"/>
        <v>6</v>
      </c>
    </row>
    <row r="750" spans="1:10" x14ac:dyDescent="0.25">
      <c r="A750" s="4">
        <f>_xlfn.XLOOKUP(E750,'Data Validation'!$M$3:$M$10,'Data Validation'!$N$3:$N$10)</f>
        <v>2</v>
      </c>
      <c r="B750" s="4">
        <v>9</v>
      </c>
      <c r="C750" s="4" t="s">
        <v>11</v>
      </c>
      <c r="D750" s="7">
        <v>32.82</v>
      </c>
      <c r="E750" s="4" t="s">
        <v>19</v>
      </c>
      <c r="F750" s="4" t="s">
        <v>13</v>
      </c>
      <c r="G750" s="4" t="s">
        <v>50</v>
      </c>
      <c r="H750" s="4" t="s">
        <v>53</v>
      </c>
      <c r="I750" s="5">
        <v>45472</v>
      </c>
      <c r="J750" s="4">
        <f t="shared" si="11"/>
        <v>6</v>
      </c>
    </row>
    <row r="751" spans="1:10" x14ac:dyDescent="0.25">
      <c r="A751" s="4">
        <f>_xlfn.XLOOKUP(E751,'Data Validation'!$M$3:$M$10,'Data Validation'!$N$3:$N$10)</f>
        <v>2</v>
      </c>
      <c r="B751" s="4">
        <v>11</v>
      </c>
      <c r="C751" s="4" t="s">
        <v>11</v>
      </c>
      <c r="D751" s="7">
        <v>32.82</v>
      </c>
      <c r="E751" s="4" t="s">
        <v>19</v>
      </c>
      <c r="F751" s="4" t="s">
        <v>13</v>
      </c>
      <c r="G751" s="4" t="s">
        <v>50</v>
      </c>
      <c r="H751" s="4" t="s">
        <v>53</v>
      </c>
      <c r="I751" s="5">
        <v>45472</v>
      </c>
      <c r="J751" s="4">
        <f t="shared" si="11"/>
        <v>6</v>
      </c>
    </row>
    <row r="752" spans="1:10" x14ac:dyDescent="0.25">
      <c r="A752" s="4">
        <f>_xlfn.XLOOKUP(E752,'Data Validation'!$M$3:$M$10,'Data Validation'!$N$3:$N$10)</f>
        <v>2</v>
      </c>
      <c r="B752" s="4">
        <v>11</v>
      </c>
      <c r="C752" s="4" t="s">
        <v>11</v>
      </c>
      <c r="D752" s="7">
        <v>32.82</v>
      </c>
      <c r="E752" s="4" t="s">
        <v>19</v>
      </c>
      <c r="F752" s="4" t="s">
        <v>13</v>
      </c>
      <c r="G752" s="4" t="s">
        <v>50</v>
      </c>
      <c r="H752" s="4" t="s">
        <v>53</v>
      </c>
      <c r="I752" s="5">
        <v>45472</v>
      </c>
      <c r="J752" s="4">
        <f t="shared" si="11"/>
        <v>6</v>
      </c>
    </row>
    <row r="753" spans="1:10" x14ac:dyDescent="0.25">
      <c r="A753" s="4">
        <f>_xlfn.XLOOKUP(E753,'Data Validation'!$M$3:$M$10,'Data Validation'!$N$3:$N$10)</f>
        <v>2</v>
      </c>
      <c r="B753" s="4">
        <v>21</v>
      </c>
      <c r="C753" s="4" t="s">
        <v>11</v>
      </c>
      <c r="D753" s="7">
        <v>32.82</v>
      </c>
      <c r="E753" s="4" t="s">
        <v>19</v>
      </c>
      <c r="F753" s="4" t="s">
        <v>20</v>
      </c>
      <c r="G753" s="4" t="s">
        <v>51</v>
      </c>
      <c r="H753" s="4" t="s">
        <v>53</v>
      </c>
      <c r="I753" s="5">
        <v>45473</v>
      </c>
      <c r="J753" s="4">
        <f t="shared" si="11"/>
        <v>6</v>
      </c>
    </row>
    <row r="754" spans="1:10" x14ac:dyDescent="0.25">
      <c r="A754" s="4">
        <f>_xlfn.XLOOKUP(E754,'Data Validation'!$M$3:$M$10,'Data Validation'!$N$3:$N$10)</f>
        <v>2</v>
      </c>
      <c r="B754" s="4">
        <v>10</v>
      </c>
      <c r="C754" s="4" t="s">
        <v>11</v>
      </c>
      <c r="D754" s="7">
        <v>32.82</v>
      </c>
      <c r="E754" s="4" t="s">
        <v>19</v>
      </c>
      <c r="F754" s="4" t="s">
        <v>13</v>
      </c>
      <c r="G754" s="4" t="s">
        <v>46</v>
      </c>
      <c r="H754" s="4" t="s">
        <v>54</v>
      </c>
      <c r="I754" s="5">
        <v>45475</v>
      </c>
      <c r="J754" s="4">
        <f t="shared" si="11"/>
        <v>6</v>
      </c>
    </row>
    <row r="755" spans="1:10" x14ac:dyDescent="0.25">
      <c r="A755" s="4">
        <f>_xlfn.XLOOKUP(E755,'Data Validation'!$M$3:$M$10,'Data Validation'!$N$3:$N$10)</f>
        <v>2</v>
      </c>
      <c r="B755" s="4">
        <v>16</v>
      </c>
      <c r="C755" s="4" t="s">
        <v>11</v>
      </c>
      <c r="D755" s="7">
        <v>32.82</v>
      </c>
      <c r="E755" s="4" t="s">
        <v>19</v>
      </c>
      <c r="F755" s="4" t="s">
        <v>17</v>
      </c>
      <c r="G755" s="4" t="s">
        <v>46</v>
      </c>
      <c r="H755" s="4" t="s">
        <v>54</v>
      </c>
      <c r="I755" s="5">
        <v>45475</v>
      </c>
      <c r="J755" s="4">
        <f t="shared" si="11"/>
        <v>6</v>
      </c>
    </row>
    <row r="756" spans="1:10" x14ac:dyDescent="0.25">
      <c r="A756" s="4">
        <f>_xlfn.XLOOKUP(E756,'Data Validation'!$M$3:$M$10,'Data Validation'!$N$3:$N$10)</f>
        <v>2</v>
      </c>
      <c r="B756" s="4">
        <v>22</v>
      </c>
      <c r="C756" s="4" t="s">
        <v>11</v>
      </c>
      <c r="D756" s="7">
        <v>32.82</v>
      </c>
      <c r="E756" s="4" t="s">
        <v>19</v>
      </c>
      <c r="F756" s="4" t="s">
        <v>20</v>
      </c>
      <c r="G756" s="4" t="s">
        <v>46</v>
      </c>
      <c r="H756" s="4" t="s">
        <v>54</v>
      </c>
      <c r="I756" s="5">
        <v>45475</v>
      </c>
      <c r="J756" s="4">
        <f t="shared" si="11"/>
        <v>6</v>
      </c>
    </row>
    <row r="757" spans="1:10" x14ac:dyDescent="0.25">
      <c r="A757" s="4">
        <f>_xlfn.XLOOKUP(E757,'Data Validation'!$M$3:$M$10,'Data Validation'!$N$3:$N$10)</f>
        <v>2</v>
      </c>
      <c r="B757" s="4">
        <v>13</v>
      </c>
      <c r="C757" s="4" t="s">
        <v>11</v>
      </c>
      <c r="D757" s="7">
        <v>32.82</v>
      </c>
      <c r="E757" s="4" t="s">
        <v>19</v>
      </c>
      <c r="F757" s="4" t="s">
        <v>17</v>
      </c>
      <c r="G757" s="4" t="s">
        <v>47</v>
      </c>
      <c r="H757" s="4" t="s">
        <v>54</v>
      </c>
      <c r="I757" s="5">
        <v>45476</v>
      </c>
      <c r="J757" s="4">
        <f t="shared" si="11"/>
        <v>6</v>
      </c>
    </row>
    <row r="758" spans="1:10" x14ac:dyDescent="0.25">
      <c r="A758" s="4">
        <f>_xlfn.XLOOKUP(E758,'Data Validation'!$M$3:$M$10,'Data Validation'!$N$3:$N$10)</f>
        <v>2</v>
      </c>
      <c r="B758" s="4">
        <v>16</v>
      </c>
      <c r="C758" s="4" t="s">
        <v>11</v>
      </c>
      <c r="D758" s="7">
        <v>32.82</v>
      </c>
      <c r="E758" s="4" t="s">
        <v>19</v>
      </c>
      <c r="F758" s="4" t="s">
        <v>17</v>
      </c>
      <c r="G758" s="4" t="s">
        <v>47</v>
      </c>
      <c r="H758" s="4" t="s">
        <v>54</v>
      </c>
      <c r="I758" s="5">
        <v>45476</v>
      </c>
      <c r="J758" s="4">
        <f t="shared" si="11"/>
        <v>6</v>
      </c>
    </row>
    <row r="759" spans="1:10" x14ac:dyDescent="0.25">
      <c r="A759" s="4">
        <f>_xlfn.XLOOKUP(E759,'Data Validation'!$M$3:$M$10,'Data Validation'!$N$3:$N$10)</f>
        <v>2</v>
      </c>
      <c r="B759" s="4">
        <v>16</v>
      </c>
      <c r="C759" s="4" t="s">
        <v>11</v>
      </c>
      <c r="D759" s="7">
        <v>32.82</v>
      </c>
      <c r="E759" s="4" t="s">
        <v>19</v>
      </c>
      <c r="F759" s="4" t="s">
        <v>17</v>
      </c>
      <c r="G759" s="4" t="s">
        <v>47</v>
      </c>
      <c r="H759" s="4" t="s">
        <v>54</v>
      </c>
      <c r="I759" s="5">
        <v>45476</v>
      </c>
      <c r="J759" s="4">
        <f t="shared" si="11"/>
        <v>6</v>
      </c>
    </row>
    <row r="760" spans="1:10" x14ac:dyDescent="0.25">
      <c r="A760" s="4">
        <f>_xlfn.XLOOKUP(E760,'Data Validation'!$M$3:$M$10,'Data Validation'!$N$3:$N$10)</f>
        <v>2</v>
      </c>
      <c r="B760" s="4">
        <v>10</v>
      </c>
      <c r="C760" s="4" t="s">
        <v>11</v>
      </c>
      <c r="D760" s="7">
        <v>32.82</v>
      </c>
      <c r="E760" s="4" t="s">
        <v>19</v>
      </c>
      <c r="F760" s="4" t="s">
        <v>13</v>
      </c>
      <c r="G760" s="4" t="s">
        <v>48</v>
      </c>
      <c r="H760" s="4" t="s">
        <v>54</v>
      </c>
      <c r="I760" s="5">
        <v>45477</v>
      </c>
      <c r="J760" s="4">
        <f t="shared" si="11"/>
        <v>6</v>
      </c>
    </row>
    <row r="761" spans="1:10" x14ac:dyDescent="0.25">
      <c r="A761" s="4">
        <f>_xlfn.XLOOKUP(E761,'Data Validation'!$M$3:$M$10,'Data Validation'!$N$3:$N$10)</f>
        <v>2</v>
      </c>
      <c r="B761" s="4">
        <v>13</v>
      </c>
      <c r="C761" s="4" t="s">
        <v>11</v>
      </c>
      <c r="D761" s="7">
        <v>32.82</v>
      </c>
      <c r="E761" s="4" t="s">
        <v>19</v>
      </c>
      <c r="F761" s="4" t="s">
        <v>17</v>
      </c>
      <c r="G761" s="4" t="s">
        <v>49</v>
      </c>
      <c r="H761" s="4" t="s">
        <v>54</v>
      </c>
      <c r="I761" s="5">
        <v>45478</v>
      </c>
      <c r="J761" s="4">
        <f t="shared" si="11"/>
        <v>6</v>
      </c>
    </row>
    <row r="762" spans="1:10" x14ac:dyDescent="0.25">
      <c r="A762" s="4">
        <f>_xlfn.XLOOKUP(E762,'Data Validation'!$M$3:$M$10,'Data Validation'!$N$3:$N$10)</f>
        <v>2</v>
      </c>
      <c r="B762" s="4">
        <v>13</v>
      </c>
      <c r="C762" s="4" t="s">
        <v>11</v>
      </c>
      <c r="D762" s="7">
        <v>32.82</v>
      </c>
      <c r="E762" s="4" t="s">
        <v>19</v>
      </c>
      <c r="F762" s="4" t="s">
        <v>17</v>
      </c>
      <c r="G762" s="4" t="s">
        <v>49</v>
      </c>
      <c r="H762" s="4" t="s">
        <v>54</v>
      </c>
      <c r="I762" s="5">
        <v>45478</v>
      </c>
      <c r="J762" s="4">
        <f t="shared" si="11"/>
        <v>6</v>
      </c>
    </row>
    <row r="763" spans="1:10" x14ac:dyDescent="0.25">
      <c r="A763" s="4">
        <f>_xlfn.XLOOKUP(E763,'Data Validation'!$M$3:$M$10,'Data Validation'!$N$3:$N$10)</f>
        <v>2</v>
      </c>
      <c r="B763" s="4">
        <v>22</v>
      </c>
      <c r="C763" s="4" t="s">
        <v>11</v>
      </c>
      <c r="D763" s="7">
        <v>32.82</v>
      </c>
      <c r="E763" s="4" t="s">
        <v>19</v>
      </c>
      <c r="F763" s="4" t="s">
        <v>20</v>
      </c>
      <c r="G763" s="4" t="s">
        <v>49</v>
      </c>
      <c r="H763" s="4" t="s">
        <v>54</v>
      </c>
      <c r="I763" s="5">
        <v>45478</v>
      </c>
      <c r="J763" s="4">
        <f t="shared" si="11"/>
        <v>6</v>
      </c>
    </row>
    <row r="764" spans="1:10" x14ac:dyDescent="0.25">
      <c r="A764" s="4">
        <f>_xlfn.XLOOKUP(E764,'Data Validation'!$M$3:$M$10,'Data Validation'!$N$3:$N$10)</f>
        <v>2</v>
      </c>
      <c r="B764" s="4">
        <v>19</v>
      </c>
      <c r="C764" s="4" t="s">
        <v>11</v>
      </c>
      <c r="D764" s="7">
        <v>27.92</v>
      </c>
      <c r="E764" s="4" t="s">
        <v>19</v>
      </c>
      <c r="F764" s="4" t="s">
        <v>20</v>
      </c>
      <c r="G764" s="4" t="s">
        <v>50</v>
      </c>
      <c r="H764" s="4" t="s">
        <v>54</v>
      </c>
      <c r="I764" s="5">
        <v>45479</v>
      </c>
      <c r="J764" s="4">
        <f t="shared" si="11"/>
        <v>7</v>
      </c>
    </row>
    <row r="765" spans="1:10" x14ac:dyDescent="0.25">
      <c r="A765" s="4">
        <f>_xlfn.XLOOKUP(E765,'Data Validation'!$M$3:$M$10,'Data Validation'!$N$3:$N$10)</f>
        <v>2</v>
      </c>
      <c r="B765" s="4">
        <v>9</v>
      </c>
      <c r="C765" s="4" t="s">
        <v>11</v>
      </c>
      <c r="D765" s="7">
        <v>27.92</v>
      </c>
      <c r="E765" s="4" t="s">
        <v>19</v>
      </c>
      <c r="F765" s="4" t="s">
        <v>13</v>
      </c>
      <c r="G765" s="4" t="s">
        <v>51</v>
      </c>
      <c r="H765" s="4" t="s">
        <v>54</v>
      </c>
      <c r="I765" s="5">
        <v>45480</v>
      </c>
      <c r="J765" s="4">
        <f t="shared" si="11"/>
        <v>7</v>
      </c>
    </row>
    <row r="766" spans="1:10" x14ac:dyDescent="0.25">
      <c r="A766" s="4">
        <f>_xlfn.XLOOKUP(E766,'Data Validation'!$M$3:$M$10,'Data Validation'!$N$3:$N$10)</f>
        <v>2</v>
      </c>
      <c r="B766" s="4">
        <v>9</v>
      </c>
      <c r="C766" s="4" t="s">
        <v>11</v>
      </c>
      <c r="D766" s="7">
        <v>27.92</v>
      </c>
      <c r="E766" s="4" t="s">
        <v>19</v>
      </c>
      <c r="F766" s="4" t="s">
        <v>13</v>
      </c>
      <c r="G766" s="4" t="s">
        <v>51</v>
      </c>
      <c r="H766" s="4" t="s">
        <v>54</v>
      </c>
      <c r="I766" s="5">
        <v>45480</v>
      </c>
      <c r="J766" s="4">
        <f t="shared" si="11"/>
        <v>7</v>
      </c>
    </row>
    <row r="767" spans="1:10" x14ac:dyDescent="0.25">
      <c r="A767" s="4">
        <f>_xlfn.XLOOKUP(E767,'Data Validation'!$M$3:$M$10,'Data Validation'!$N$3:$N$10)</f>
        <v>2</v>
      </c>
      <c r="B767" s="4">
        <v>22</v>
      </c>
      <c r="C767" s="4" t="s">
        <v>11</v>
      </c>
      <c r="D767" s="7">
        <v>27.92</v>
      </c>
      <c r="E767" s="4" t="s">
        <v>19</v>
      </c>
      <c r="F767" s="4" t="s">
        <v>20</v>
      </c>
      <c r="G767" s="4" t="s">
        <v>51</v>
      </c>
      <c r="H767" s="4" t="s">
        <v>54</v>
      </c>
      <c r="I767" s="5">
        <v>45480</v>
      </c>
      <c r="J767" s="4">
        <f t="shared" si="11"/>
        <v>7</v>
      </c>
    </row>
    <row r="768" spans="1:10" x14ac:dyDescent="0.25">
      <c r="A768" s="4">
        <f>_xlfn.XLOOKUP(E768,'Data Validation'!$M$3:$M$10,'Data Validation'!$N$3:$N$10)</f>
        <v>2</v>
      </c>
      <c r="B768" s="4">
        <v>19</v>
      </c>
      <c r="C768" s="4" t="s">
        <v>11</v>
      </c>
      <c r="D768" s="7">
        <v>27.92</v>
      </c>
      <c r="E768" s="4" t="s">
        <v>19</v>
      </c>
      <c r="F768" s="4" t="s">
        <v>20</v>
      </c>
      <c r="G768" s="4" t="s">
        <v>45</v>
      </c>
      <c r="H768" s="4" t="s">
        <v>54</v>
      </c>
      <c r="I768" s="5">
        <v>45481</v>
      </c>
      <c r="J768" s="4">
        <f t="shared" si="11"/>
        <v>7</v>
      </c>
    </row>
    <row r="769" spans="1:10" x14ac:dyDescent="0.25">
      <c r="A769" s="4">
        <f>_xlfn.XLOOKUP(E769,'Data Validation'!$M$3:$M$10,'Data Validation'!$N$3:$N$10)</f>
        <v>2</v>
      </c>
      <c r="B769" s="4">
        <v>10</v>
      </c>
      <c r="C769" s="4" t="s">
        <v>11</v>
      </c>
      <c r="D769" s="7">
        <v>27.92</v>
      </c>
      <c r="E769" s="4" t="s">
        <v>19</v>
      </c>
      <c r="F769" s="4" t="s">
        <v>13</v>
      </c>
      <c r="G769" s="4" t="s">
        <v>46</v>
      </c>
      <c r="H769" s="4" t="s">
        <v>54</v>
      </c>
      <c r="I769" s="5">
        <v>45482</v>
      </c>
      <c r="J769" s="4">
        <f t="shared" si="11"/>
        <v>7</v>
      </c>
    </row>
    <row r="770" spans="1:10" x14ac:dyDescent="0.25">
      <c r="A770" s="4">
        <f>_xlfn.XLOOKUP(E770,'Data Validation'!$M$3:$M$10,'Data Validation'!$N$3:$N$10)</f>
        <v>2</v>
      </c>
      <c r="B770" s="4">
        <v>10</v>
      </c>
      <c r="C770" s="4" t="s">
        <v>11</v>
      </c>
      <c r="D770" s="7">
        <v>27.92</v>
      </c>
      <c r="E770" s="4" t="s">
        <v>19</v>
      </c>
      <c r="F770" s="4" t="s">
        <v>13</v>
      </c>
      <c r="G770" s="4" t="s">
        <v>46</v>
      </c>
      <c r="H770" s="4" t="s">
        <v>54</v>
      </c>
      <c r="I770" s="5">
        <v>45482</v>
      </c>
      <c r="J770" s="4">
        <f t="shared" si="11"/>
        <v>7</v>
      </c>
    </row>
    <row r="771" spans="1:10" x14ac:dyDescent="0.25">
      <c r="A771" s="4">
        <f>_xlfn.XLOOKUP(E771,'Data Validation'!$M$3:$M$10,'Data Validation'!$N$3:$N$10)</f>
        <v>2</v>
      </c>
      <c r="B771" s="4">
        <v>11</v>
      </c>
      <c r="C771" s="4" t="s">
        <v>11</v>
      </c>
      <c r="D771" s="7">
        <v>27.92</v>
      </c>
      <c r="E771" s="4" t="s">
        <v>19</v>
      </c>
      <c r="F771" s="4" t="s">
        <v>13</v>
      </c>
      <c r="G771" s="4" t="s">
        <v>46</v>
      </c>
      <c r="H771" s="4" t="s">
        <v>54</v>
      </c>
      <c r="I771" s="5">
        <v>45482</v>
      </c>
      <c r="J771" s="4">
        <f t="shared" ref="J771:J834" si="12">IF(OR(E771&lt;&gt;E770,D771&lt;&gt;D770),J770+1,J770)</f>
        <v>7</v>
      </c>
    </row>
    <row r="772" spans="1:10" x14ac:dyDescent="0.25">
      <c r="A772" s="4">
        <f>_xlfn.XLOOKUP(E772,'Data Validation'!$M$3:$M$10,'Data Validation'!$N$3:$N$10)</f>
        <v>2</v>
      </c>
      <c r="B772" s="4">
        <v>16</v>
      </c>
      <c r="C772" s="4" t="s">
        <v>11</v>
      </c>
      <c r="D772" s="7">
        <v>27.92</v>
      </c>
      <c r="E772" s="4" t="s">
        <v>19</v>
      </c>
      <c r="F772" s="4" t="s">
        <v>17</v>
      </c>
      <c r="G772" s="4" t="s">
        <v>46</v>
      </c>
      <c r="H772" s="4" t="s">
        <v>54</v>
      </c>
      <c r="I772" s="5">
        <v>45482</v>
      </c>
      <c r="J772" s="4">
        <f t="shared" si="12"/>
        <v>7</v>
      </c>
    </row>
    <row r="773" spans="1:10" x14ac:dyDescent="0.25">
      <c r="A773" s="4">
        <f>_xlfn.XLOOKUP(E773,'Data Validation'!$M$3:$M$10,'Data Validation'!$N$3:$N$10)</f>
        <v>2</v>
      </c>
      <c r="B773" s="4">
        <v>12</v>
      </c>
      <c r="C773" s="4" t="s">
        <v>11</v>
      </c>
      <c r="D773" s="7">
        <v>27.92</v>
      </c>
      <c r="E773" s="4" t="s">
        <v>19</v>
      </c>
      <c r="F773" s="4" t="s">
        <v>17</v>
      </c>
      <c r="G773" s="4" t="s">
        <v>47</v>
      </c>
      <c r="H773" s="4" t="s">
        <v>54</v>
      </c>
      <c r="I773" s="5">
        <v>45483</v>
      </c>
      <c r="J773" s="4">
        <f t="shared" si="12"/>
        <v>7</v>
      </c>
    </row>
    <row r="774" spans="1:10" x14ac:dyDescent="0.25">
      <c r="A774" s="4">
        <f>_xlfn.XLOOKUP(E774,'Data Validation'!$M$3:$M$10,'Data Validation'!$N$3:$N$10)</f>
        <v>2</v>
      </c>
      <c r="B774" s="4">
        <v>16</v>
      </c>
      <c r="C774" s="4" t="s">
        <v>11</v>
      </c>
      <c r="D774" s="7">
        <v>27.92</v>
      </c>
      <c r="E774" s="4" t="s">
        <v>19</v>
      </c>
      <c r="F774" s="4" t="s">
        <v>17</v>
      </c>
      <c r="G774" s="4" t="s">
        <v>48</v>
      </c>
      <c r="H774" s="4" t="s">
        <v>54</v>
      </c>
      <c r="I774" s="5">
        <v>45484</v>
      </c>
      <c r="J774" s="4">
        <f t="shared" si="12"/>
        <v>7</v>
      </c>
    </row>
    <row r="775" spans="1:10" x14ac:dyDescent="0.25">
      <c r="A775" s="4">
        <f>_xlfn.XLOOKUP(E775,'Data Validation'!$M$3:$M$10,'Data Validation'!$N$3:$N$10)</f>
        <v>2</v>
      </c>
      <c r="B775" s="4">
        <v>10</v>
      </c>
      <c r="C775" s="4" t="s">
        <v>11</v>
      </c>
      <c r="D775" s="7">
        <v>27.92</v>
      </c>
      <c r="E775" s="4" t="s">
        <v>19</v>
      </c>
      <c r="F775" s="4" t="s">
        <v>13</v>
      </c>
      <c r="G775" s="4" t="s">
        <v>51</v>
      </c>
      <c r="H775" s="4" t="s">
        <v>54</v>
      </c>
      <c r="I775" s="5">
        <v>45487</v>
      </c>
      <c r="J775" s="4">
        <f t="shared" si="12"/>
        <v>7</v>
      </c>
    </row>
    <row r="776" spans="1:10" x14ac:dyDescent="0.25">
      <c r="A776" s="4">
        <f>_xlfn.XLOOKUP(E776,'Data Validation'!$M$3:$M$10,'Data Validation'!$N$3:$N$10)</f>
        <v>2</v>
      </c>
      <c r="B776" s="4">
        <v>12</v>
      </c>
      <c r="C776" s="4" t="s">
        <v>11</v>
      </c>
      <c r="D776" s="7">
        <v>27.92</v>
      </c>
      <c r="E776" s="4" t="s">
        <v>19</v>
      </c>
      <c r="F776" s="4" t="s">
        <v>17</v>
      </c>
      <c r="G776" s="4" t="s">
        <v>46</v>
      </c>
      <c r="H776" s="4" t="s">
        <v>54</v>
      </c>
      <c r="I776" s="5">
        <v>45489</v>
      </c>
      <c r="J776" s="4">
        <f t="shared" si="12"/>
        <v>7</v>
      </c>
    </row>
    <row r="777" spans="1:10" x14ac:dyDescent="0.25">
      <c r="A777" s="4">
        <f>_xlfn.XLOOKUP(E777,'Data Validation'!$M$3:$M$10,'Data Validation'!$N$3:$N$10)</f>
        <v>2</v>
      </c>
      <c r="B777" s="4">
        <v>13</v>
      </c>
      <c r="C777" s="4" t="s">
        <v>11</v>
      </c>
      <c r="D777" s="7">
        <v>27.92</v>
      </c>
      <c r="E777" s="4" t="s">
        <v>19</v>
      </c>
      <c r="F777" s="4" t="s">
        <v>17</v>
      </c>
      <c r="G777" s="4" t="s">
        <v>47</v>
      </c>
      <c r="H777" s="4" t="s">
        <v>54</v>
      </c>
      <c r="I777" s="5">
        <v>45490</v>
      </c>
      <c r="J777" s="4">
        <f t="shared" si="12"/>
        <v>7</v>
      </c>
    </row>
    <row r="778" spans="1:10" x14ac:dyDescent="0.25">
      <c r="A778" s="4">
        <f>_xlfn.XLOOKUP(E778,'Data Validation'!$M$3:$M$10,'Data Validation'!$N$3:$N$10)</f>
        <v>2</v>
      </c>
      <c r="B778" s="4">
        <v>11</v>
      </c>
      <c r="C778" s="4" t="s">
        <v>11</v>
      </c>
      <c r="D778" s="7">
        <v>27.92</v>
      </c>
      <c r="E778" s="4" t="s">
        <v>19</v>
      </c>
      <c r="F778" s="4" t="s">
        <v>13</v>
      </c>
      <c r="G778" s="4" t="s">
        <v>48</v>
      </c>
      <c r="H778" s="4" t="s">
        <v>54</v>
      </c>
      <c r="I778" s="5">
        <v>45491</v>
      </c>
      <c r="J778" s="4">
        <f t="shared" si="12"/>
        <v>7</v>
      </c>
    </row>
    <row r="779" spans="1:10" x14ac:dyDescent="0.25">
      <c r="A779" s="4">
        <f>_xlfn.XLOOKUP(E779,'Data Validation'!$M$3:$M$10,'Data Validation'!$N$3:$N$10)</f>
        <v>2</v>
      </c>
      <c r="B779" s="4">
        <v>11</v>
      </c>
      <c r="C779" s="4" t="s">
        <v>11</v>
      </c>
      <c r="D779" s="7">
        <v>27.92</v>
      </c>
      <c r="E779" s="4" t="s">
        <v>19</v>
      </c>
      <c r="F779" s="4" t="s">
        <v>13</v>
      </c>
      <c r="G779" s="4" t="s">
        <v>49</v>
      </c>
      <c r="H779" s="4" t="s">
        <v>54</v>
      </c>
      <c r="I779" s="5">
        <v>45492</v>
      </c>
      <c r="J779" s="4">
        <f t="shared" si="12"/>
        <v>7</v>
      </c>
    </row>
    <row r="780" spans="1:10" x14ac:dyDescent="0.25">
      <c r="A780" s="4">
        <f>_xlfn.XLOOKUP(E780,'Data Validation'!$M$3:$M$10,'Data Validation'!$N$3:$N$10)</f>
        <v>2</v>
      </c>
      <c r="B780" s="4">
        <v>12</v>
      </c>
      <c r="C780" s="4" t="s">
        <v>11</v>
      </c>
      <c r="D780" s="7">
        <v>27.92</v>
      </c>
      <c r="E780" s="4" t="s">
        <v>19</v>
      </c>
      <c r="F780" s="4" t="s">
        <v>17</v>
      </c>
      <c r="G780" s="4" t="s">
        <v>49</v>
      </c>
      <c r="H780" s="4" t="s">
        <v>54</v>
      </c>
      <c r="I780" s="5">
        <v>45492</v>
      </c>
      <c r="J780" s="4">
        <f t="shared" si="12"/>
        <v>7</v>
      </c>
    </row>
    <row r="781" spans="1:10" x14ac:dyDescent="0.25">
      <c r="A781" s="4">
        <f>_xlfn.XLOOKUP(E781,'Data Validation'!$M$3:$M$10,'Data Validation'!$N$3:$N$10)</f>
        <v>2</v>
      </c>
      <c r="B781" s="4">
        <v>10</v>
      </c>
      <c r="C781" s="4" t="s">
        <v>11</v>
      </c>
      <c r="D781" s="7">
        <v>27.92</v>
      </c>
      <c r="E781" s="4" t="s">
        <v>19</v>
      </c>
      <c r="F781" s="4" t="s">
        <v>13</v>
      </c>
      <c r="G781" s="4" t="s">
        <v>45</v>
      </c>
      <c r="H781" s="4" t="s">
        <v>54</v>
      </c>
      <c r="I781" s="5">
        <v>45495</v>
      </c>
      <c r="J781" s="4">
        <f t="shared" si="12"/>
        <v>7</v>
      </c>
    </row>
    <row r="782" spans="1:10" x14ac:dyDescent="0.25">
      <c r="A782" s="4">
        <f>_xlfn.XLOOKUP(E782,'Data Validation'!$M$3:$M$10,'Data Validation'!$N$3:$N$10)</f>
        <v>2</v>
      </c>
      <c r="B782" s="4">
        <v>8</v>
      </c>
      <c r="C782" s="4" t="s">
        <v>11</v>
      </c>
      <c r="D782" s="7">
        <v>27.92</v>
      </c>
      <c r="E782" s="4" t="s">
        <v>19</v>
      </c>
      <c r="F782" s="4" t="s">
        <v>13</v>
      </c>
      <c r="G782" s="4" t="s">
        <v>46</v>
      </c>
      <c r="H782" s="4" t="s">
        <v>54</v>
      </c>
      <c r="I782" s="5">
        <v>45496</v>
      </c>
      <c r="J782" s="4">
        <f t="shared" si="12"/>
        <v>7</v>
      </c>
    </row>
    <row r="783" spans="1:10" x14ac:dyDescent="0.25">
      <c r="A783" s="4">
        <f>_xlfn.XLOOKUP(E783,'Data Validation'!$M$3:$M$10,'Data Validation'!$N$3:$N$10)</f>
        <v>2</v>
      </c>
      <c r="B783" s="4">
        <v>10</v>
      </c>
      <c r="C783" s="4" t="s">
        <v>11</v>
      </c>
      <c r="D783" s="7">
        <v>27.92</v>
      </c>
      <c r="E783" s="4" t="s">
        <v>19</v>
      </c>
      <c r="F783" s="4" t="s">
        <v>13</v>
      </c>
      <c r="G783" s="4" t="s">
        <v>46</v>
      </c>
      <c r="H783" s="4" t="s">
        <v>54</v>
      </c>
      <c r="I783" s="5">
        <v>45496</v>
      </c>
      <c r="J783" s="4">
        <f t="shared" si="12"/>
        <v>7</v>
      </c>
    </row>
    <row r="784" spans="1:10" x14ac:dyDescent="0.25">
      <c r="A784" s="4">
        <f>_xlfn.XLOOKUP(E784,'Data Validation'!$M$3:$M$10,'Data Validation'!$N$3:$N$10)</f>
        <v>2</v>
      </c>
      <c r="B784" s="4">
        <v>15</v>
      </c>
      <c r="C784" s="4" t="s">
        <v>11</v>
      </c>
      <c r="D784" s="7">
        <v>27.92</v>
      </c>
      <c r="E784" s="4" t="s">
        <v>19</v>
      </c>
      <c r="F784" s="4" t="s">
        <v>17</v>
      </c>
      <c r="G784" s="4" t="s">
        <v>46</v>
      </c>
      <c r="H784" s="4" t="s">
        <v>54</v>
      </c>
      <c r="I784" s="5">
        <v>45496</v>
      </c>
      <c r="J784" s="4">
        <f t="shared" si="12"/>
        <v>7</v>
      </c>
    </row>
    <row r="785" spans="1:10" x14ac:dyDescent="0.25">
      <c r="A785" s="4">
        <f>_xlfn.XLOOKUP(E785,'Data Validation'!$M$3:$M$10,'Data Validation'!$N$3:$N$10)</f>
        <v>2</v>
      </c>
      <c r="B785" s="4">
        <v>9</v>
      </c>
      <c r="C785" s="4" t="s">
        <v>11</v>
      </c>
      <c r="D785" s="7">
        <v>27.92</v>
      </c>
      <c r="E785" s="4" t="s">
        <v>19</v>
      </c>
      <c r="F785" s="4" t="s">
        <v>13</v>
      </c>
      <c r="G785" s="4" t="s">
        <v>47</v>
      </c>
      <c r="H785" s="4" t="s">
        <v>54</v>
      </c>
      <c r="I785" s="5">
        <v>45497</v>
      </c>
      <c r="J785" s="4">
        <f t="shared" si="12"/>
        <v>7</v>
      </c>
    </row>
    <row r="786" spans="1:10" x14ac:dyDescent="0.25">
      <c r="A786" s="4">
        <f>_xlfn.XLOOKUP(E786,'Data Validation'!$M$3:$M$10,'Data Validation'!$N$3:$N$10)</f>
        <v>2</v>
      </c>
      <c r="B786" s="4">
        <v>9</v>
      </c>
      <c r="C786" s="4" t="s">
        <v>11</v>
      </c>
      <c r="D786" s="7">
        <v>27.92</v>
      </c>
      <c r="E786" s="4" t="s">
        <v>19</v>
      </c>
      <c r="F786" s="4" t="s">
        <v>13</v>
      </c>
      <c r="G786" s="4" t="s">
        <v>47</v>
      </c>
      <c r="H786" s="4" t="s">
        <v>54</v>
      </c>
      <c r="I786" s="5">
        <v>45497</v>
      </c>
      <c r="J786" s="4">
        <f t="shared" si="12"/>
        <v>7</v>
      </c>
    </row>
    <row r="787" spans="1:10" x14ac:dyDescent="0.25">
      <c r="A787" s="4">
        <f>_xlfn.XLOOKUP(E787,'Data Validation'!$M$3:$M$10,'Data Validation'!$N$3:$N$10)</f>
        <v>2</v>
      </c>
      <c r="B787" s="4">
        <v>21</v>
      </c>
      <c r="C787" s="4" t="s">
        <v>11</v>
      </c>
      <c r="D787" s="7">
        <v>27.92</v>
      </c>
      <c r="E787" s="4" t="s">
        <v>19</v>
      </c>
      <c r="F787" s="4" t="s">
        <v>20</v>
      </c>
      <c r="G787" s="4" t="s">
        <v>47</v>
      </c>
      <c r="H787" s="4" t="s">
        <v>54</v>
      </c>
      <c r="I787" s="5">
        <v>45497</v>
      </c>
      <c r="J787" s="4">
        <f t="shared" si="12"/>
        <v>7</v>
      </c>
    </row>
    <row r="788" spans="1:10" x14ac:dyDescent="0.25">
      <c r="A788" s="4">
        <f>_xlfn.XLOOKUP(E788,'Data Validation'!$M$3:$M$10,'Data Validation'!$N$3:$N$10)</f>
        <v>2</v>
      </c>
      <c r="B788" s="4">
        <v>10</v>
      </c>
      <c r="C788" s="4" t="s">
        <v>11</v>
      </c>
      <c r="D788" s="7">
        <v>27.92</v>
      </c>
      <c r="E788" s="4" t="s">
        <v>19</v>
      </c>
      <c r="F788" s="4" t="s">
        <v>13</v>
      </c>
      <c r="G788" s="4" t="s">
        <v>48</v>
      </c>
      <c r="H788" s="4" t="s">
        <v>54</v>
      </c>
      <c r="I788" s="5">
        <v>45498</v>
      </c>
      <c r="J788" s="4">
        <f t="shared" si="12"/>
        <v>7</v>
      </c>
    </row>
    <row r="789" spans="1:10" x14ac:dyDescent="0.25">
      <c r="A789" s="4">
        <f>_xlfn.XLOOKUP(E789,'Data Validation'!$M$3:$M$10,'Data Validation'!$N$3:$N$10)</f>
        <v>2</v>
      </c>
      <c r="B789" s="4">
        <v>9</v>
      </c>
      <c r="C789" s="4" t="s">
        <v>11</v>
      </c>
      <c r="D789" s="7">
        <v>27.92</v>
      </c>
      <c r="E789" s="4" t="s">
        <v>19</v>
      </c>
      <c r="F789" s="4" t="s">
        <v>13</v>
      </c>
      <c r="G789" s="4" t="s">
        <v>49</v>
      </c>
      <c r="H789" s="4" t="s">
        <v>54</v>
      </c>
      <c r="I789" s="5">
        <v>45499</v>
      </c>
      <c r="J789" s="4">
        <f t="shared" si="12"/>
        <v>7</v>
      </c>
    </row>
    <row r="790" spans="1:10" x14ac:dyDescent="0.25">
      <c r="A790" s="4">
        <f>_xlfn.XLOOKUP(E790,'Data Validation'!$M$3:$M$10,'Data Validation'!$N$3:$N$10)</f>
        <v>2</v>
      </c>
      <c r="B790" s="4">
        <v>11</v>
      </c>
      <c r="C790" s="4" t="s">
        <v>11</v>
      </c>
      <c r="D790" s="7">
        <v>27.92</v>
      </c>
      <c r="E790" s="4" t="s">
        <v>19</v>
      </c>
      <c r="F790" s="4" t="s">
        <v>13</v>
      </c>
      <c r="G790" s="4" t="s">
        <v>49</v>
      </c>
      <c r="H790" s="4" t="s">
        <v>54</v>
      </c>
      <c r="I790" s="5">
        <v>45499</v>
      </c>
      <c r="J790" s="4">
        <f t="shared" si="12"/>
        <v>7</v>
      </c>
    </row>
    <row r="791" spans="1:10" x14ac:dyDescent="0.25">
      <c r="A791" s="4">
        <f>_xlfn.XLOOKUP(E791,'Data Validation'!$M$3:$M$10,'Data Validation'!$N$3:$N$10)</f>
        <v>2</v>
      </c>
      <c r="B791" s="4">
        <v>12</v>
      </c>
      <c r="C791" s="4" t="s">
        <v>11</v>
      </c>
      <c r="D791" s="7">
        <v>27.92</v>
      </c>
      <c r="E791" s="4" t="s">
        <v>19</v>
      </c>
      <c r="F791" s="4" t="s">
        <v>17</v>
      </c>
      <c r="G791" s="4" t="s">
        <v>49</v>
      </c>
      <c r="H791" s="4" t="s">
        <v>54</v>
      </c>
      <c r="I791" s="5">
        <v>45499</v>
      </c>
      <c r="J791" s="4">
        <f t="shared" si="12"/>
        <v>7</v>
      </c>
    </row>
    <row r="792" spans="1:10" x14ac:dyDescent="0.25">
      <c r="A792" s="4">
        <f>_xlfn.XLOOKUP(E792,'Data Validation'!$M$3:$M$10,'Data Validation'!$N$3:$N$10)</f>
        <v>2</v>
      </c>
      <c r="B792" s="4">
        <v>22</v>
      </c>
      <c r="C792" s="4" t="s">
        <v>11</v>
      </c>
      <c r="D792" s="7">
        <v>27.92</v>
      </c>
      <c r="E792" s="4" t="s">
        <v>19</v>
      </c>
      <c r="F792" s="4" t="s">
        <v>20</v>
      </c>
      <c r="G792" s="4" t="s">
        <v>49</v>
      </c>
      <c r="H792" s="4" t="s">
        <v>54</v>
      </c>
      <c r="I792" s="5">
        <v>45499</v>
      </c>
      <c r="J792" s="4">
        <f t="shared" si="12"/>
        <v>7</v>
      </c>
    </row>
    <row r="793" spans="1:10" x14ac:dyDescent="0.25">
      <c r="A793" s="4">
        <f>_xlfn.XLOOKUP(E793,'Data Validation'!$M$3:$M$10,'Data Validation'!$N$3:$N$10)</f>
        <v>2</v>
      </c>
      <c r="B793" s="4">
        <v>11</v>
      </c>
      <c r="C793" s="4" t="s">
        <v>11</v>
      </c>
      <c r="D793" s="7">
        <v>27.92</v>
      </c>
      <c r="E793" s="4" t="s">
        <v>19</v>
      </c>
      <c r="F793" s="4" t="s">
        <v>13</v>
      </c>
      <c r="G793" s="4" t="s">
        <v>50</v>
      </c>
      <c r="H793" s="4" t="s">
        <v>54</v>
      </c>
      <c r="I793" s="5">
        <v>45500</v>
      </c>
      <c r="J793" s="4">
        <f t="shared" si="12"/>
        <v>7</v>
      </c>
    </row>
    <row r="794" spans="1:10" x14ac:dyDescent="0.25">
      <c r="A794" s="4">
        <f>_xlfn.XLOOKUP(E794,'Data Validation'!$M$3:$M$10,'Data Validation'!$N$3:$N$10)</f>
        <v>2</v>
      </c>
      <c r="B794" s="4">
        <v>12</v>
      </c>
      <c r="C794" s="4" t="s">
        <v>11</v>
      </c>
      <c r="D794" s="7">
        <v>27.92</v>
      </c>
      <c r="E794" s="4" t="s">
        <v>19</v>
      </c>
      <c r="F794" s="4" t="s">
        <v>17</v>
      </c>
      <c r="G794" s="4" t="s">
        <v>50</v>
      </c>
      <c r="H794" s="4" t="s">
        <v>54</v>
      </c>
      <c r="I794" s="5">
        <v>45500</v>
      </c>
      <c r="J794" s="4">
        <f t="shared" si="12"/>
        <v>7</v>
      </c>
    </row>
    <row r="795" spans="1:10" x14ac:dyDescent="0.25">
      <c r="A795" s="4">
        <f>_xlfn.XLOOKUP(E795,'Data Validation'!$M$3:$M$10,'Data Validation'!$N$3:$N$10)</f>
        <v>2</v>
      </c>
      <c r="B795" s="4">
        <v>12</v>
      </c>
      <c r="C795" s="4" t="s">
        <v>11</v>
      </c>
      <c r="D795" s="7">
        <v>27.92</v>
      </c>
      <c r="E795" s="4" t="s">
        <v>19</v>
      </c>
      <c r="F795" s="4" t="s">
        <v>17</v>
      </c>
      <c r="G795" s="4" t="s">
        <v>50</v>
      </c>
      <c r="H795" s="4" t="s">
        <v>54</v>
      </c>
      <c r="I795" s="5">
        <v>45500</v>
      </c>
      <c r="J795" s="4">
        <f t="shared" si="12"/>
        <v>7</v>
      </c>
    </row>
    <row r="796" spans="1:10" x14ac:dyDescent="0.25">
      <c r="A796" s="4">
        <f>_xlfn.XLOOKUP(E796,'Data Validation'!$M$3:$M$10,'Data Validation'!$N$3:$N$10)</f>
        <v>2</v>
      </c>
      <c r="B796" s="4">
        <v>17</v>
      </c>
      <c r="C796" s="4" t="s">
        <v>11</v>
      </c>
      <c r="D796" s="7">
        <v>27.92</v>
      </c>
      <c r="E796" s="4" t="s">
        <v>19</v>
      </c>
      <c r="F796" s="4" t="s">
        <v>20</v>
      </c>
      <c r="G796" s="4" t="s">
        <v>50</v>
      </c>
      <c r="H796" s="4" t="s">
        <v>54</v>
      </c>
      <c r="I796" s="5">
        <v>45500</v>
      </c>
      <c r="J796" s="4">
        <f t="shared" si="12"/>
        <v>7</v>
      </c>
    </row>
    <row r="797" spans="1:10" x14ac:dyDescent="0.25">
      <c r="A797" s="4">
        <f>_xlfn.XLOOKUP(E797,'Data Validation'!$M$3:$M$10,'Data Validation'!$N$3:$N$10)</f>
        <v>2</v>
      </c>
      <c r="B797" s="4">
        <v>17</v>
      </c>
      <c r="C797" s="4" t="s">
        <v>11</v>
      </c>
      <c r="D797" s="7">
        <v>27.92</v>
      </c>
      <c r="E797" s="4" t="s">
        <v>19</v>
      </c>
      <c r="F797" s="4" t="s">
        <v>20</v>
      </c>
      <c r="G797" s="4" t="s">
        <v>50</v>
      </c>
      <c r="H797" s="4" t="s">
        <v>54</v>
      </c>
      <c r="I797" s="5">
        <v>45500</v>
      </c>
      <c r="J797" s="4">
        <f t="shared" si="12"/>
        <v>7</v>
      </c>
    </row>
    <row r="798" spans="1:10" x14ac:dyDescent="0.25">
      <c r="A798" s="4">
        <f>_xlfn.XLOOKUP(E798,'Data Validation'!$M$3:$M$10,'Data Validation'!$N$3:$N$10)</f>
        <v>2</v>
      </c>
      <c r="B798" s="4">
        <v>14</v>
      </c>
      <c r="C798" s="4" t="s">
        <v>11</v>
      </c>
      <c r="D798" s="7">
        <v>27.92</v>
      </c>
      <c r="E798" s="4" t="s">
        <v>19</v>
      </c>
      <c r="F798" s="4" t="s">
        <v>17</v>
      </c>
      <c r="G798" s="4" t="s">
        <v>51</v>
      </c>
      <c r="H798" s="4" t="s">
        <v>54</v>
      </c>
      <c r="I798" s="5">
        <v>45501</v>
      </c>
      <c r="J798" s="4">
        <f t="shared" si="12"/>
        <v>7</v>
      </c>
    </row>
    <row r="799" spans="1:10" x14ac:dyDescent="0.25">
      <c r="A799" s="4">
        <f>_xlfn.XLOOKUP(E799,'Data Validation'!$M$3:$M$10,'Data Validation'!$N$3:$N$10)</f>
        <v>2</v>
      </c>
      <c r="B799" s="4">
        <v>9</v>
      </c>
      <c r="C799" s="4" t="s">
        <v>11</v>
      </c>
      <c r="D799" s="7">
        <v>27.92</v>
      </c>
      <c r="E799" s="4" t="s">
        <v>19</v>
      </c>
      <c r="F799" s="4" t="s">
        <v>13</v>
      </c>
      <c r="G799" s="4" t="s">
        <v>45</v>
      </c>
      <c r="H799" s="4" t="s">
        <v>54</v>
      </c>
      <c r="I799" s="5">
        <v>45502</v>
      </c>
      <c r="J799" s="4">
        <f t="shared" si="12"/>
        <v>7</v>
      </c>
    </row>
    <row r="800" spans="1:10" x14ac:dyDescent="0.25">
      <c r="A800" s="4">
        <f>_xlfn.XLOOKUP(E800,'Data Validation'!$M$3:$M$10,'Data Validation'!$N$3:$N$10)</f>
        <v>2</v>
      </c>
      <c r="B800" s="4">
        <v>9</v>
      </c>
      <c r="C800" s="4" t="s">
        <v>11</v>
      </c>
      <c r="D800" s="7">
        <v>27.92</v>
      </c>
      <c r="E800" s="4" t="s">
        <v>19</v>
      </c>
      <c r="F800" s="4" t="s">
        <v>13</v>
      </c>
      <c r="G800" s="4" t="s">
        <v>45</v>
      </c>
      <c r="H800" s="4" t="s">
        <v>54</v>
      </c>
      <c r="I800" s="5">
        <v>45502</v>
      </c>
      <c r="J800" s="4">
        <f t="shared" si="12"/>
        <v>7</v>
      </c>
    </row>
    <row r="801" spans="1:10" x14ac:dyDescent="0.25">
      <c r="A801" s="4">
        <f>_xlfn.XLOOKUP(E801,'Data Validation'!$M$3:$M$10,'Data Validation'!$N$3:$N$10)</f>
        <v>2</v>
      </c>
      <c r="B801" s="4">
        <v>7</v>
      </c>
      <c r="C801" s="4" t="s">
        <v>11</v>
      </c>
      <c r="D801" s="7">
        <v>27.92</v>
      </c>
      <c r="E801" s="4" t="s">
        <v>19</v>
      </c>
      <c r="F801" s="4" t="s">
        <v>13</v>
      </c>
      <c r="G801" s="4" t="s">
        <v>46</v>
      </c>
      <c r="H801" s="4" t="s">
        <v>54</v>
      </c>
      <c r="I801" s="5">
        <v>45503</v>
      </c>
      <c r="J801" s="4">
        <f t="shared" si="12"/>
        <v>7</v>
      </c>
    </row>
    <row r="802" spans="1:10" x14ac:dyDescent="0.25">
      <c r="A802" s="4">
        <f>_xlfn.XLOOKUP(E802,'Data Validation'!$M$3:$M$10,'Data Validation'!$N$3:$N$10)</f>
        <v>2</v>
      </c>
      <c r="B802" s="4">
        <v>9</v>
      </c>
      <c r="C802" s="4" t="s">
        <v>11</v>
      </c>
      <c r="D802" s="7">
        <v>27.92</v>
      </c>
      <c r="E802" s="4" t="s">
        <v>19</v>
      </c>
      <c r="F802" s="4" t="s">
        <v>13</v>
      </c>
      <c r="G802" s="4" t="s">
        <v>46</v>
      </c>
      <c r="H802" s="4" t="s">
        <v>54</v>
      </c>
      <c r="I802" s="5">
        <v>45503</v>
      </c>
      <c r="J802" s="4">
        <f t="shared" si="12"/>
        <v>7</v>
      </c>
    </row>
    <row r="803" spans="1:10" x14ac:dyDescent="0.25">
      <c r="A803" s="4">
        <f>_xlfn.XLOOKUP(E803,'Data Validation'!$M$3:$M$10,'Data Validation'!$N$3:$N$10)</f>
        <v>2</v>
      </c>
      <c r="B803" s="4">
        <v>10</v>
      </c>
      <c r="C803" s="4" t="s">
        <v>11</v>
      </c>
      <c r="D803" s="7">
        <v>27.92</v>
      </c>
      <c r="E803" s="4" t="s">
        <v>19</v>
      </c>
      <c r="F803" s="4" t="s">
        <v>13</v>
      </c>
      <c r="G803" s="4" t="s">
        <v>46</v>
      </c>
      <c r="H803" s="4" t="s">
        <v>54</v>
      </c>
      <c r="I803" s="5">
        <v>45503</v>
      </c>
      <c r="J803" s="4">
        <f t="shared" si="12"/>
        <v>7</v>
      </c>
    </row>
    <row r="804" spans="1:10" x14ac:dyDescent="0.25">
      <c r="A804" s="4">
        <f>_xlfn.XLOOKUP(E804,'Data Validation'!$M$3:$M$10,'Data Validation'!$N$3:$N$10)</f>
        <v>2</v>
      </c>
      <c r="B804" s="4">
        <v>11</v>
      </c>
      <c r="C804" s="4" t="s">
        <v>11</v>
      </c>
      <c r="D804" s="7">
        <v>27.92</v>
      </c>
      <c r="E804" s="4" t="s">
        <v>19</v>
      </c>
      <c r="F804" s="4" t="s">
        <v>13</v>
      </c>
      <c r="G804" s="4" t="s">
        <v>46</v>
      </c>
      <c r="H804" s="4" t="s">
        <v>54</v>
      </c>
      <c r="I804" s="5">
        <v>45503</v>
      </c>
      <c r="J804" s="4">
        <f t="shared" si="12"/>
        <v>7</v>
      </c>
    </row>
    <row r="805" spans="1:10" x14ac:dyDescent="0.25">
      <c r="A805" s="4">
        <f>_xlfn.XLOOKUP(E805,'Data Validation'!$M$3:$M$10,'Data Validation'!$N$3:$N$10)</f>
        <v>2</v>
      </c>
      <c r="B805" s="4">
        <v>11</v>
      </c>
      <c r="C805" s="4" t="s">
        <v>11</v>
      </c>
      <c r="D805" s="7">
        <v>27.92</v>
      </c>
      <c r="E805" s="4" t="s">
        <v>19</v>
      </c>
      <c r="F805" s="4" t="s">
        <v>13</v>
      </c>
      <c r="G805" s="4" t="s">
        <v>46</v>
      </c>
      <c r="H805" s="4" t="s">
        <v>54</v>
      </c>
      <c r="I805" s="5">
        <v>45503</v>
      </c>
      <c r="J805" s="4">
        <f t="shared" si="12"/>
        <v>7</v>
      </c>
    </row>
    <row r="806" spans="1:10" x14ac:dyDescent="0.25">
      <c r="A806" s="4">
        <f>_xlfn.XLOOKUP(E806,'Data Validation'!$M$3:$M$10,'Data Validation'!$N$3:$N$10)</f>
        <v>2</v>
      </c>
      <c r="B806" s="4">
        <v>11</v>
      </c>
      <c r="C806" s="4" t="s">
        <v>11</v>
      </c>
      <c r="D806" s="7">
        <v>27.92</v>
      </c>
      <c r="E806" s="4" t="s">
        <v>19</v>
      </c>
      <c r="F806" s="4" t="s">
        <v>13</v>
      </c>
      <c r="G806" s="4" t="s">
        <v>46</v>
      </c>
      <c r="H806" s="4" t="s">
        <v>54</v>
      </c>
      <c r="I806" s="5">
        <v>45503</v>
      </c>
      <c r="J806" s="4">
        <f t="shared" si="12"/>
        <v>7</v>
      </c>
    </row>
    <row r="807" spans="1:10" x14ac:dyDescent="0.25">
      <c r="A807" s="4">
        <f>_xlfn.XLOOKUP(E807,'Data Validation'!$M$3:$M$10,'Data Validation'!$N$3:$N$10)</f>
        <v>2</v>
      </c>
      <c r="B807" s="4">
        <v>11</v>
      </c>
      <c r="C807" s="4" t="s">
        <v>11</v>
      </c>
      <c r="D807" s="7">
        <v>27.92</v>
      </c>
      <c r="E807" s="4" t="s">
        <v>19</v>
      </c>
      <c r="F807" s="4" t="s">
        <v>13</v>
      </c>
      <c r="G807" s="4" t="s">
        <v>46</v>
      </c>
      <c r="H807" s="4" t="s">
        <v>54</v>
      </c>
      <c r="I807" s="5">
        <v>45503</v>
      </c>
      <c r="J807" s="4">
        <f t="shared" si="12"/>
        <v>7</v>
      </c>
    </row>
    <row r="808" spans="1:10" x14ac:dyDescent="0.25">
      <c r="A808" s="4">
        <f>_xlfn.XLOOKUP(E808,'Data Validation'!$M$3:$M$10,'Data Validation'!$N$3:$N$10)</f>
        <v>2</v>
      </c>
      <c r="B808" s="4">
        <v>15</v>
      </c>
      <c r="C808" s="4" t="s">
        <v>11</v>
      </c>
      <c r="D808" s="7">
        <v>27.92</v>
      </c>
      <c r="E808" s="4" t="s">
        <v>19</v>
      </c>
      <c r="F808" s="4" t="s">
        <v>17</v>
      </c>
      <c r="G808" s="4" t="s">
        <v>46</v>
      </c>
      <c r="H808" s="4" t="s">
        <v>54</v>
      </c>
      <c r="I808" s="5">
        <v>45503</v>
      </c>
      <c r="J808" s="4">
        <f t="shared" si="12"/>
        <v>7</v>
      </c>
    </row>
    <row r="809" spans="1:10" x14ac:dyDescent="0.25">
      <c r="A809" s="4">
        <f>_xlfn.XLOOKUP(E809,'Data Validation'!$M$3:$M$10,'Data Validation'!$N$3:$N$10)</f>
        <v>2</v>
      </c>
      <c r="B809" s="4">
        <v>16</v>
      </c>
      <c r="C809" s="4" t="s">
        <v>11</v>
      </c>
      <c r="D809" s="7">
        <v>27.92</v>
      </c>
      <c r="E809" s="4" t="s">
        <v>19</v>
      </c>
      <c r="F809" s="4" t="s">
        <v>17</v>
      </c>
      <c r="G809" s="4" t="s">
        <v>46</v>
      </c>
      <c r="H809" s="4" t="s">
        <v>54</v>
      </c>
      <c r="I809" s="5">
        <v>45503</v>
      </c>
      <c r="J809" s="4">
        <f t="shared" si="12"/>
        <v>7</v>
      </c>
    </row>
    <row r="810" spans="1:10" x14ac:dyDescent="0.25">
      <c r="A810" s="4">
        <f>_xlfn.XLOOKUP(E810,'Data Validation'!$M$3:$M$10,'Data Validation'!$N$3:$N$10)</f>
        <v>2</v>
      </c>
      <c r="B810" s="4">
        <v>20</v>
      </c>
      <c r="C810" s="4" t="s">
        <v>11</v>
      </c>
      <c r="D810" s="7">
        <v>27.92</v>
      </c>
      <c r="E810" s="4" t="s">
        <v>19</v>
      </c>
      <c r="F810" s="4" t="s">
        <v>20</v>
      </c>
      <c r="G810" s="4" t="s">
        <v>46</v>
      </c>
      <c r="H810" s="4" t="s">
        <v>54</v>
      </c>
      <c r="I810" s="5">
        <v>45503</v>
      </c>
      <c r="J810" s="4">
        <f t="shared" si="12"/>
        <v>7</v>
      </c>
    </row>
    <row r="811" spans="1:10" x14ac:dyDescent="0.25">
      <c r="A811" s="4">
        <f>_xlfn.XLOOKUP(E811,'Data Validation'!$M$3:$M$10,'Data Validation'!$N$3:$N$10)</f>
        <v>2</v>
      </c>
      <c r="B811" s="4">
        <v>20</v>
      </c>
      <c r="C811" s="4" t="s">
        <v>11</v>
      </c>
      <c r="D811" s="7">
        <v>27.92</v>
      </c>
      <c r="E811" s="4" t="s">
        <v>19</v>
      </c>
      <c r="F811" s="4" t="s">
        <v>20</v>
      </c>
      <c r="G811" s="4" t="s">
        <v>46</v>
      </c>
      <c r="H811" s="4" t="s">
        <v>54</v>
      </c>
      <c r="I811" s="5">
        <v>45503</v>
      </c>
      <c r="J811" s="4">
        <f t="shared" si="12"/>
        <v>7</v>
      </c>
    </row>
    <row r="812" spans="1:10" x14ac:dyDescent="0.25">
      <c r="A812" s="4">
        <f>_xlfn.XLOOKUP(E812,'Data Validation'!$M$3:$M$10,'Data Validation'!$N$3:$N$10)</f>
        <v>2</v>
      </c>
      <c r="B812" s="4">
        <v>20</v>
      </c>
      <c r="C812" s="4" t="s">
        <v>11</v>
      </c>
      <c r="D812" s="7">
        <v>27.92</v>
      </c>
      <c r="E812" s="4" t="s">
        <v>19</v>
      </c>
      <c r="F812" s="4" t="s">
        <v>20</v>
      </c>
      <c r="G812" s="4" t="s">
        <v>46</v>
      </c>
      <c r="H812" s="4" t="s">
        <v>54</v>
      </c>
      <c r="I812" s="5">
        <v>45503</v>
      </c>
      <c r="J812" s="4">
        <f t="shared" si="12"/>
        <v>7</v>
      </c>
    </row>
    <row r="813" spans="1:10" x14ac:dyDescent="0.25">
      <c r="A813" s="4">
        <f>_xlfn.XLOOKUP(E813,'Data Validation'!$M$3:$M$10,'Data Validation'!$N$3:$N$10)</f>
        <v>2</v>
      </c>
      <c r="B813" s="4">
        <v>7</v>
      </c>
      <c r="C813" s="4" t="s">
        <v>11</v>
      </c>
      <c r="D813" s="7">
        <v>27.92</v>
      </c>
      <c r="E813" s="4" t="s">
        <v>19</v>
      </c>
      <c r="F813" s="4" t="s">
        <v>13</v>
      </c>
      <c r="G813" s="4" t="s">
        <v>47</v>
      </c>
      <c r="H813" s="4" t="s">
        <v>54</v>
      </c>
      <c r="I813" s="5">
        <v>45504</v>
      </c>
      <c r="J813" s="4">
        <f t="shared" si="12"/>
        <v>7</v>
      </c>
    </row>
    <row r="814" spans="1:10" x14ac:dyDescent="0.25">
      <c r="A814" s="4">
        <f>_xlfn.XLOOKUP(E814,'Data Validation'!$M$3:$M$10,'Data Validation'!$N$3:$N$10)</f>
        <v>2</v>
      </c>
      <c r="B814" s="4">
        <v>8</v>
      </c>
      <c r="C814" s="4" t="s">
        <v>11</v>
      </c>
      <c r="D814" s="7">
        <v>27.92</v>
      </c>
      <c r="E814" s="4" t="s">
        <v>19</v>
      </c>
      <c r="F814" s="4" t="s">
        <v>13</v>
      </c>
      <c r="G814" s="4" t="s">
        <v>47</v>
      </c>
      <c r="H814" s="4" t="s">
        <v>54</v>
      </c>
      <c r="I814" s="5">
        <v>45504</v>
      </c>
      <c r="J814" s="4">
        <f t="shared" si="12"/>
        <v>7</v>
      </c>
    </row>
    <row r="815" spans="1:10" x14ac:dyDescent="0.25">
      <c r="A815" s="4">
        <f>_xlfn.XLOOKUP(E815,'Data Validation'!$M$3:$M$10,'Data Validation'!$N$3:$N$10)</f>
        <v>2</v>
      </c>
      <c r="B815" s="4">
        <v>8</v>
      </c>
      <c r="C815" s="4" t="s">
        <v>11</v>
      </c>
      <c r="D815" s="7">
        <v>27.92</v>
      </c>
      <c r="E815" s="4" t="s">
        <v>19</v>
      </c>
      <c r="F815" s="4" t="s">
        <v>13</v>
      </c>
      <c r="G815" s="4" t="s">
        <v>47</v>
      </c>
      <c r="H815" s="4" t="s">
        <v>54</v>
      </c>
      <c r="I815" s="5">
        <v>45504</v>
      </c>
      <c r="J815" s="4">
        <f t="shared" si="12"/>
        <v>7</v>
      </c>
    </row>
    <row r="816" spans="1:10" x14ac:dyDescent="0.25">
      <c r="A816" s="4">
        <f>_xlfn.XLOOKUP(E816,'Data Validation'!$M$3:$M$10,'Data Validation'!$N$3:$N$10)</f>
        <v>2</v>
      </c>
      <c r="B816" s="4">
        <v>9</v>
      </c>
      <c r="C816" s="4" t="s">
        <v>11</v>
      </c>
      <c r="D816" s="7">
        <v>27.92</v>
      </c>
      <c r="E816" s="4" t="s">
        <v>19</v>
      </c>
      <c r="F816" s="4" t="s">
        <v>13</v>
      </c>
      <c r="G816" s="4" t="s">
        <v>47</v>
      </c>
      <c r="H816" s="4" t="s">
        <v>54</v>
      </c>
      <c r="I816" s="5">
        <v>45504</v>
      </c>
      <c r="J816" s="4">
        <f t="shared" si="12"/>
        <v>7</v>
      </c>
    </row>
    <row r="817" spans="1:10" x14ac:dyDescent="0.25">
      <c r="A817" s="4">
        <f>_xlfn.XLOOKUP(E817,'Data Validation'!$M$3:$M$10,'Data Validation'!$N$3:$N$10)</f>
        <v>2</v>
      </c>
      <c r="B817" s="4">
        <v>13</v>
      </c>
      <c r="C817" s="4" t="s">
        <v>11</v>
      </c>
      <c r="D817" s="7">
        <v>27.92</v>
      </c>
      <c r="E817" s="4" t="s">
        <v>19</v>
      </c>
      <c r="F817" s="4" t="s">
        <v>17</v>
      </c>
      <c r="G817" s="4" t="s">
        <v>47</v>
      </c>
      <c r="H817" s="4" t="s">
        <v>54</v>
      </c>
      <c r="I817" s="5">
        <v>45504</v>
      </c>
      <c r="J817" s="4">
        <f t="shared" si="12"/>
        <v>7</v>
      </c>
    </row>
    <row r="818" spans="1:10" x14ac:dyDescent="0.25">
      <c r="A818" s="4">
        <f>_xlfn.XLOOKUP(E818,'Data Validation'!$M$3:$M$10,'Data Validation'!$N$3:$N$10)</f>
        <v>2</v>
      </c>
      <c r="B818" s="4">
        <v>20</v>
      </c>
      <c r="C818" s="4" t="s">
        <v>11</v>
      </c>
      <c r="D818" s="7">
        <v>27.92</v>
      </c>
      <c r="E818" s="4" t="s">
        <v>19</v>
      </c>
      <c r="F818" s="4" t="s">
        <v>20</v>
      </c>
      <c r="G818" s="4" t="s">
        <v>47</v>
      </c>
      <c r="H818" s="4" t="s">
        <v>54</v>
      </c>
      <c r="I818" s="5">
        <v>45504</v>
      </c>
      <c r="J818" s="4">
        <f t="shared" si="12"/>
        <v>7</v>
      </c>
    </row>
    <row r="819" spans="1:10" x14ac:dyDescent="0.25">
      <c r="A819" s="4">
        <f>_xlfn.XLOOKUP(E819,'Data Validation'!$M$3:$M$10,'Data Validation'!$N$3:$N$10)</f>
        <v>2</v>
      </c>
      <c r="B819" s="4">
        <v>7</v>
      </c>
      <c r="C819" s="4" t="s">
        <v>11</v>
      </c>
      <c r="D819" s="7">
        <v>27.92</v>
      </c>
      <c r="E819" s="4" t="s">
        <v>19</v>
      </c>
      <c r="F819" s="4" t="s">
        <v>13</v>
      </c>
      <c r="G819" s="4" t="s">
        <v>48</v>
      </c>
      <c r="H819" s="4" t="s">
        <v>55</v>
      </c>
      <c r="I819" s="5">
        <v>45505</v>
      </c>
      <c r="J819" s="4">
        <f t="shared" si="12"/>
        <v>7</v>
      </c>
    </row>
    <row r="820" spans="1:10" x14ac:dyDescent="0.25">
      <c r="A820" s="4">
        <f>_xlfn.XLOOKUP(E820,'Data Validation'!$M$3:$M$10,'Data Validation'!$N$3:$N$10)</f>
        <v>2</v>
      </c>
      <c r="B820" s="4">
        <v>9</v>
      </c>
      <c r="C820" s="4" t="s">
        <v>11</v>
      </c>
      <c r="D820" s="7">
        <v>27.92</v>
      </c>
      <c r="E820" s="4" t="s">
        <v>19</v>
      </c>
      <c r="F820" s="4" t="s">
        <v>13</v>
      </c>
      <c r="G820" s="4" t="s">
        <v>48</v>
      </c>
      <c r="H820" s="4" t="s">
        <v>55</v>
      </c>
      <c r="I820" s="5">
        <v>45505</v>
      </c>
      <c r="J820" s="4">
        <f t="shared" si="12"/>
        <v>7</v>
      </c>
    </row>
    <row r="821" spans="1:10" x14ac:dyDescent="0.25">
      <c r="A821" s="4">
        <f>_xlfn.XLOOKUP(E821,'Data Validation'!$M$3:$M$10,'Data Validation'!$N$3:$N$10)</f>
        <v>2</v>
      </c>
      <c r="B821" s="4">
        <v>11</v>
      </c>
      <c r="C821" s="4" t="s">
        <v>11</v>
      </c>
      <c r="D821" s="7">
        <v>27.92</v>
      </c>
      <c r="E821" s="4" t="s">
        <v>19</v>
      </c>
      <c r="F821" s="4" t="s">
        <v>13</v>
      </c>
      <c r="G821" s="4" t="s">
        <v>48</v>
      </c>
      <c r="H821" s="4" t="s">
        <v>55</v>
      </c>
      <c r="I821" s="5">
        <v>45505</v>
      </c>
      <c r="J821" s="4">
        <f t="shared" si="12"/>
        <v>7</v>
      </c>
    </row>
    <row r="822" spans="1:10" x14ac:dyDescent="0.25">
      <c r="A822" s="4">
        <f>_xlfn.XLOOKUP(E822,'Data Validation'!$M$3:$M$10,'Data Validation'!$N$3:$N$10)</f>
        <v>2</v>
      </c>
      <c r="B822" s="4">
        <v>11</v>
      </c>
      <c r="C822" s="4" t="s">
        <v>11</v>
      </c>
      <c r="D822" s="7">
        <v>27.92</v>
      </c>
      <c r="E822" s="4" t="s">
        <v>19</v>
      </c>
      <c r="F822" s="4" t="s">
        <v>13</v>
      </c>
      <c r="G822" s="4" t="s">
        <v>48</v>
      </c>
      <c r="H822" s="4" t="s">
        <v>55</v>
      </c>
      <c r="I822" s="5">
        <v>45505</v>
      </c>
      <c r="J822" s="4">
        <f t="shared" si="12"/>
        <v>7</v>
      </c>
    </row>
    <row r="823" spans="1:10" x14ac:dyDescent="0.25">
      <c r="A823" s="4">
        <f>_xlfn.XLOOKUP(E823,'Data Validation'!$M$3:$M$10,'Data Validation'!$N$3:$N$10)</f>
        <v>2</v>
      </c>
      <c r="B823" s="4">
        <v>15</v>
      </c>
      <c r="C823" s="4" t="s">
        <v>11</v>
      </c>
      <c r="D823" s="7">
        <v>27.92</v>
      </c>
      <c r="E823" s="4" t="s">
        <v>19</v>
      </c>
      <c r="F823" s="4" t="s">
        <v>17</v>
      </c>
      <c r="G823" s="4" t="s">
        <v>48</v>
      </c>
      <c r="H823" s="4" t="s">
        <v>55</v>
      </c>
      <c r="I823" s="5">
        <v>45505</v>
      </c>
      <c r="J823" s="4">
        <f t="shared" si="12"/>
        <v>7</v>
      </c>
    </row>
    <row r="824" spans="1:10" x14ac:dyDescent="0.25">
      <c r="A824" s="4">
        <f>_xlfn.XLOOKUP(E824,'Data Validation'!$M$3:$M$10,'Data Validation'!$N$3:$N$10)</f>
        <v>2</v>
      </c>
      <c r="B824" s="4">
        <v>16</v>
      </c>
      <c r="C824" s="4" t="s">
        <v>11</v>
      </c>
      <c r="D824" s="7">
        <v>27.92</v>
      </c>
      <c r="E824" s="4" t="s">
        <v>19</v>
      </c>
      <c r="F824" s="4" t="s">
        <v>17</v>
      </c>
      <c r="G824" s="4" t="s">
        <v>48</v>
      </c>
      <c r="H824" s="4" t="s">
        <v>55</v>
      </c>
      <c r="I824" s="5">
        <v>45505</v>
      </c>
      <c r="J824" s="4">
        <f t="shared" si="12"/>
        <v>7</v>
      </c>
    </row>
    <row r="825" spans="1:10" x14ac:dyDescent="0.25">
      <c r="A825" s="4">
        <f>_xlfn.XLOOKUP(E825,'Data Validation'!$M$3:$M$10,'Data Validation'!$N$3:$N$10)</f>
        <v>2</v>
      </c>
      <c r="B825" s="4">
        <v>9</v>
      </c>
      <c r="C825" s="4" t="s">
        <v>11</v>
      </c>
      <c r="D825" s="7">
        <v>27.92</v>
      </c>
      <c r="E825" s="4" t="s">
        <v>19</v>
      </c>
      <c r="F825" s="4" t="s">
        <v>13</v>
      </c>
      <c r="G825" s="4" t="s">
        <v>49</v>
      </c>
      <c r="H825" s="4" t="s">
        <v>55</v>
      </c>
      <c r="I825" s="5">
        <v>45506</v>
      </c>
      <c r="J825" s="4">
        <f t="shared" si="12"/>
        <v>7</v>
      </c>
    </row>
    <row r="826" spans="1:10" x14ac:dyDescent="0.25">
      <c r="A826" s="4">
        <f>_xlfn.XLOOKUP(E826,'Data Validation'!$M$3:$M$10,'Data Validation'!$N$3:$N$10)</f>
        <v>2</v>
      </c>
      <c r="B826" s="4">
        <v>9</v>
      </c>
      <c r="C826" s="4" t="s">
        <v>11</v>
      </c>
      <c r="D826" s="7">
        <v>27.92</v>
      </c>
      <c r="E826" s="4" t="s">
        <v>19</v>
      </c>
      <c r="F826" s="4" t="s">
        <v>13</v>
      </c>
      <c r="G826" s="4" t="s">
        <v>49</v>
      </c>
      <c r="H826" s="4" t="s">
        <v>55</v>
      </c>
      <c r="I826" s="5">
        <v>45506</v>
      </c>
      <c r="J826" s="4">
        <f t="shared" si="12"/>
        <v>7</v>
      </c>
    </row>
    <row r="827" spans="1:10" x14ac:dyDescent="0.25">
      <c r="A827" s="4">
        <f>_xlfn.XLOOKUP(E827,'Data Validation'!$M$3:$M$10,'Data Validation'!$N$3:$N$10)</f>
        <v>2</v>
      </c>
      <c r="B827" s="4">
        <v>18</v>
      </c>
      <c r="C827" s="4" t="s">
        <v>11</v>
      </c>
      <c r="D827" s="7">
        <v>27.92</v>
      </c>
      <c r="E827" s="4" t="s">
        <v>19</v>
      </c>
      <c r="F827" s="4" t="s">
        <v>20</v>
      </c>
      <c r="G827" s="4" t="s">
        <v>49</v>
      </c>
      <c r="H827" s="4" t="s">
        <v>55</v>
      </c>
      <c r="I827" s="5">
        <v>45506</v>
      </c>
      <c r="J827" s="4">
        <f t="shared" si="12"/>
        <v>7</v>
      </c>
    </row>
    <row r="828" spans="1:10" x14ac:dyDescent="0.25">
      <c r="A828" s="4">
        <f>_xlfn.XLOOKUP(E828,'Data Validation'!$M$3:$M$10,'Data Validation'!$N$3:$N$10)</f>
        <v>2</v>
      </c>
      <c r="B828" s="4">
        <v>8</v>
      </c>
      <c r="C828" s="4" t="s">
        <v>11</v>
      </c>
      <c r="D828" s="7">
        <v>27.92</v>
      </c>
      <c r="E828" s="4" t="s">
        <v>19</v>
      </c>
      <c r="F828" s="4" t="s">
        <v>13</v>
      </c>
      <c r="G828" s="4" t="s">
        <v>50</v>
      </c>
      <c r="H828" s="4" t="s">
        <v>55</v>
      </c>
      <c r="I828" s="5">
        <v>45507</v>
      </c>
      <c r="J828" s="4">
        <f t="shared" si="12"/>
        <v>7</v>
      </c>
    </row>
    <row r="829" spans="1:10" x14ac:dyDescent="0.25">
      <c r="A829" s="4">
        <f>_xlfn.XLOOKUP(E829,'Data Validation'!$M$3:$M$10,'Data Validation'!$N$3:$N$10)</f>
        <v>2</v>
      </c>
      <c r="B829" s="4">
        <v>9</v>
      </c>
      <c r="C829" s="4" t="s">
        <v>11</v>
      </c>
      <c r="D829" s="7">
        <v>27.92</v>
      </c>
      <c r="E829" s="4" t="s">
        <v>19</v>
      </c>
      <c r="F829" s="4" t="s">
        <v>13</v>
      </c>
      <c r="G829" s="4" t="s">
        <v>50</v>
      </c>
      <c r="H829" s="4" t="s">
        <v>55</v>
      </c>
      <c r="I829" s="5">
        <v>45507</v>
      </c>
      <c r="J829" s="4">
        <f t="shared" si="12"/>
        <v>7</v>
      </c>
    </row>
    <row r="830" spans="1:10" x14ac:dyDescent="0.25">
      <c r="A830" s="4">
        <f>_xlfn.XLOOKUP(E830,'Data Validation'!$M$3:$M$10,'Data Validation'!$N$3:$N$10)</f>
        <v>2</v>
      </c>
      <c r="B830" s="4">
        <v>9</v>
      </c>
      <c r="C830" s="4" t="s">
        <v>11</v>
      </c>
      <c r="D830" s="7">
        <v>27.92</v>
      </c>
      <c r="E830" s="4" t="s">
        <v>19</v>
      </c>
      <c r="F830" s="4" t="s">
        <v>13</v>
      </c>
      <c r="G830" s="4" t="s">
        <v>50</v>
      </c>
      <c r="H830" s="4" t="s">
        <v>55</v>
      </c>
      <c r="I830" s="5">
        <v>45507</v>
      </c>
      <c r="J830" s="4">
        <f t="shared" si="12"/>
        <v>7</v>
      </c>
    </row>
    <row r="831" spans="1:10" x14ac:dyDescent="0.25">
      <c r="A831" s="4">
        <f>_xlfn.XLOOKUP(E831,'Data Validation'!$M$3:$M$10,'Data Validation'!$N$3:$N$10)</f>
        <v>2</v>
      </c>
      <c r="B831" s="4">
        <v>10</v>
      </c>
      <c r="C831" s="4" t="s">
        <v>11</v>
      </c>
      <c r="D831" s="7">
        <v>27.92</v>
      </c>
      <c r="E831" s="4" t="s">
        <v>19</v>
      </c>
      <c r="F831" s="4" t="s">
        <v>13</v>
      </c>
      <c r="G831" s="4" t="s">
        <v>50</v>
      </c>
      <c r="H831" s="4" t="s">
        <v>55</v>
      </c>
      <c r="I831" s="5">
        <v>45507</v>
      </c>
      <c r="J831" s="4">
        <f t="shared" si="12"/>
        <v>7</v>
      </c>
    </row>
    <row r="832" spans="1:10" x14ac:dyDescent="0.25">
      <c r="A832" s="4">
        <f>_xlfn.XLOOKUP(E832,'Data Validation'!$M$3:$M$10,'Data Validation'!$N$3:$N$10)</f>
        <v>2</v>
      </c>
      <c r="B832" s="4">
        <v>11</v>
      </c>
      <c r="C832" s="4" t="s">
        <v>11</v>
      </c>
      <c r="D832" s="7">
        <v>27.92</v>
      </c>
      <c r="E832" s="4" t="s">
        <v>19</v>
      </c>
      <c r="F832" s="4" t="s">
        <v>13</v>
      </c>
      <c r="G832" s="4" t="s">
        <v>50</v>
      </c>
      <c r="H832" s="4" t="s">
        <v>55</v>
      </c>
      <c r="I832" s="5">
        <v>45507</v>
      </c>
      <c r="J832" s="4">
        <f t="shared" si="12"/>
        <v>7</v>
      </c>
    </row>
    <row r="833" spans="1:10" x14ac:dyDescent="0.25">
      <c r="A833" s="4">
        <f>_xlfn.XLOOKUP(E833,'Data Validation'!$M$3:$M$10,'Data Validation'!$N$3:$N$10)</f>
        <v>2</v>
      </c>
      <c r="B833" s="4">
        <v>12</v>
      </c>
      <c r="C833" s="4" t="s">
        <v>11</v>
      </c>
      <c r="D833" s="7">
        <v>27.92</v>
      </c>
      <c r="E833" s="4" t="s">
        <v>19</v>
      </c>
      <c r="F833" s="4" t="s">
        <v>17</v>
      </c>
      <c r="G833" s="4" t="s">
        <v>50</v>
      </c>
      <c r="H833" s="4" t="s">
        <v>55</v>
      </c>
      <c r="I833" s="5">
        <v>45507</v>
      </c>
      <c r="J833" s="4">
        <f t="shared" si="12"/>
        <v>7</v>
      </c>
    </row>
    <row r="834" spans="1:10" x14ac:dyDescent="0.25">
      <c r="A834" s="4">
        <f>_xlfn.XLOOKUP(E834,'Data Validation'!$M$3:$M$10,'Data Validation'!$N$3:$N$10)</f>
        <v>2</v>
      </c>
      <c r="B834" s="4">
        <v>16</v>
      </c>
      <c r="C834" s="4" t="s">
        <v>11</v>
      </c>
      <c r="D834" s="7">
        <v>27.92</v>
      </c>
      <c r="E834" s="4" t="s">
        <v>19</v>
      </c>
      <c r="F834" s="4" t="s">
        <v>17</v>
      </c>
      <c r="G834" s="4" t="s">
        <v>50</v>
      </c>
      <c r="H834" s="4" t="s">
        <v>55</v>
      </c>
      <c r="I834" s="5">
        <v>45507</v>
      </c>
      <c r="J834" s="4">
        <f t="shared" si="12"/>
        <v>7</v>
      </c>
    </row>
    <row r="835" spans="1:10" x14ac:dyDescent="0.25">
      <c r="A835" s="4">
        <f>_xlfn.XLOOKUP(E835,'Data Validation'!$M$3:$M$10,'Data Validation'!$N$3:$N$10)</f>
        <v>2</v>
      </c>
      <c r="B835" s="4">
        <v>10</v>
      </c>
      <c r="C835" s="4" t="s">
        <v>11</v>
      </c>
      <c r="D835" s="7">
        <v>27.92</v>
      </c>
      <c r="E835" s="4" t="s">
        <v>19</v>
      </c>
      <c r="F835" s="4" t="s">
        <v>13</v>
      </c>
      <c r="G835" s="4" t="s">
        <v>51</v>
      </c>
      <c r="H835" s="4" t="s">
        <v>55</v>
      </c>
      <c r="I835" s="5">
        <v>45508</v>
      </c>
      <c r="J835" s="4">
        <f t="shared" ref="J835:J898" si="13">IF(OR(E835&lt;&gt;E834,D835&lt;&gt;D834),J834+1,J834)</f>
        <v>7</v>
      </c>
    </row>
    <row r="836" spans="1:10" x14ac:dyDescent="0.25">
      <c r="A836" s="4">
        <f>_xlfn.XLOOKUP(E836,'Data Validation'!$M$3:$M$10,'Data Validation'!$N$3:$N$10)</f>
        <v>2</v>
      </c>
      <c r="B836" s="4">
        <v>11</v>
      </c>
      <c r="C836" s="4" t="s">
        <v>11</v>
      </c>
      <c r="D836" s="7">
        <v>27.92</v>
      </c>
      <c r="E836" s="4" t="s">
        <v>19</v>
      </c>
      <c r="F836" s="4" t="s">
        <v>13</v>
      </c>
      <c r="G836" s="4" t="s">
        <v>51</v>
      </c>
      <c r="H836" s="4" t="s">
        <v>55</v>
      </c>
      <c r="I836" s="5">
        <v>45508</v>
      </c>
      <c r="J836" s="4">
        <f t="shared" si="13"/>
        <v>7</v>
      </c>
    </row>
    <row r="837" spans="1:10" x14ac:dyDescent="0.25">
      <c r="A837" s="4">
        <f>_xlfn.XLOOKUP(E837,'Data Validation'!$M$3:$M$10,'Data Validation'!$N$3:$N$10)</f>
        <v>2</v>
      </c>
      <c r="B837" s="4">
        <v>9</v>
      </c>
      <c r="C837" s="4" t="s">
        <v>11</v>
      </c>
      <c r="D837" s="7">
        <v>27.92</v>
      </c>
      <c r="E837" s="4" t="s">
        <v>19</v>
      </c>
      <c r="F837" s="4" t="s">
        <v>13</v>
      </c>
      <c r="G837" s="4" t="s">
        <v>45</v>
      </c>
      <c r="H837" s="4" t="s">
        <v>55</v>
      </c>
      <c r="I837" s="5">
        <v>45509</v>
      </c>
      <c r="J837" s="4">
        <f t="shared" si="13"/>
        <v>7</v>
      </c>
    </row>
    <row r="838" spans="1:10" x14ac:dyDescent="0.25">
      <c r="A838" s="4">
        <f>_xlfn.XLOOKUP(E838,'Data Validation'!$M$3:$M$10,'Data Validation'!$N$3:$N$10)</f>
        <v>2</v>
      </c>
      <c r="B838" s="4">
        <v>17</v>
      </c>
      <c r="C838" s="4" t="s">
        <v>11</v>
      </c>
      <c r="D838" s="7">
        <v>27.92</v>
      </c>
      <c r="E838" s="4" t="s">
        <v>19</v>
      </c>
      <c r="F838" s="4" t="s">
        <v>20</v>
      </c>
      <c r="G838" s="4" t="s">
        <v>45</v>
      </c>
      <c r="H838" s="4" t="s">
        <v>55</v>
      </c>
      <c r="I838" s="5">
        <v>45509</v>
      </c>
      <c r="J838" s="4">
        <f t="shared" si="13"/>
        <v>7</v>
      </c>
    </row>
    <row r="839" spans="1:10" x14ac:dyDescent="0.25">
      <c r="A839" s="4">
        <f>_xlfn.XLOOKUP(E839,'Data Validation'!$M$3:$M$10,'Data Validation'!$N$3:$N$10)</f>
        <v>2</v>
      </c>
      <c r="B839" s="4">
        <v>22</v>
      </c>
      <c r="C839" s="4" t="s">
        <v>11</v>
      </c>
      <c r="D839" s="7">
        <v>27.92</v>
      </c>
      <c r="E839" s="4" t="s">
        <v>19</v>
      </c>
      <c r="F839" s="4" t="s">
        <v>20</v>
      </c>
      <c r="G839" s="4" t="s">
        <v>45</v>
      </c>
      <c r="H839" s="4" t="s">
        <v>55</v>
      </c>
      <c r="I839" s="5">
        <v>45509</v>
      </c>
      <c r="J839" s="4">
        <f t="shared" si="13"/>
        <v>7</v>
      </c>
    </row>
    <row r="840" spans="1:10" x14ac:dyDescent="0.25">
      <c r="A840" s="4">
        <f>_xlfn.XLOOKUP(E840,'Data Validation'!$M$3:$M$10,'Data Validation'!$N$3:$N$10)</f>
        <v>2</v>
      </c>
      <c r="B840" s="4">
        <v>19</v>
      </c>
      <c r="C840" s="4" t="s">
        <v>11</v>
      </c>
      <c r="D840" s="7">
        <v>27.92</v>
      </c>
      <c r="E840" s="4" t="s">
        <v>19</v>
      </c>
      <c r="F840" s="4" t="s">
        <v>20</v>
      </c>
      <c r="G840" s="4" t="s">
        <v>46</v>
      </c>
      <c r="H840" s="4" t="s">
        <v>55</v>
      </c>
      <c r="I840" s="5">
        <v>45510</v>
      </c>
      <c r="J840" s="4">
        <f t="shared" si="13"/>
        <v>7</v>
      </c>
    </row>
    <row r="841" spans="1:10" x14ac:dyDescent="0.25">
      <c r="A841" s="4">
        <f>_xlfn.XLOOKUP(E841,'Data Validation'!$M$3:$M$10,'Data Validation'!$N$3:$N$10)</f>
        <v>2</v>
      </c>
      <c r="B841" s="4">
        <v>8</v>
      </c>
      <c r="C841" s="4" t="s">
        <v>11</v>
      </c>
      <c r="D841" s="7">
        <v>27.92</v>
      </c>
      <c r="E841" s="4" t="s">
        <v>19</v>
      </c>
      <c r="F841" s="4" t="s">
        <v>13</v>
      </c>
      <c r="G841" s="4" t="s">
        <v>47</v>
      </c>
      <c r="H841" s="4" t="s">
        <v>55</v>
      </c>
      <c r="I841" s="5">
        <v>45511</v>
      </c>
      <c r="J841" s="4">
        <f t="shared" si="13"/>
        <v>7</v>
      </c>
    </row>
    <row r="842" spans="1:10" x14ac:dyDescent="0.25">
      <c r="A842" s="4">
        <f>_xlfn.XLOOKUP(E842,'Data Validation'!$M$3:$M$10,'Data Validation'!$N$3:$N$10)</f>
        <v>2</v>
      </c>
      <c r="B842" s="4">
        <v>12</v>
      </c>
      <c r="C842" s="4" t="s">
        <v>11</v>
      </c>
      <c r="D842" s="7">
        <v>27.92</v>
      </c>
      <c r="E842" s="4" t="s">
        <v>19</v>
      </c>
      <c r="F842" s="4" t="s">
        <v>17</v>
      </c>
      <c r="G842" s="4" t="s">
        <v>48</v>
      </c>
      <c r="H842" s="4" t="s">
        <v>55</v>
      </c>
      <c r="I842" s="5">
        <v>45512</v>
      </c>
      <c r="J842" s="4">
        <f t="shared" si="13"/>
        <v>7</v>
      </c>
    </row>
    <row r="843" spans="1:10" x14ac:dyDescent="0.25">
      <c r="A843" s="4">
        <f>_xlfn.XLOOKUP(E843,'Data Validation'!$M$3:$M$10,'Data Validation'!$N$3:$N$10)</f>
        <v>2</v>
      </c>
      <c r="B843" s="4">
        <v>21</v>
      </c>
      <c r="C843" s="4" t="s">
        <v>11</v>
      </c>
      <c r="D843" s="7">
        <v>27.92</v>
      </c>
      <c r="E843" s="4" t="s">
        <v>19</v>
      </c>
      <c r="F843" s="4" t="s">
        <v>20</v>
      </c>
      <c r="G843" s="4" t="s">
        <v>48</v>
      </c>
      <c r="H843" s="4" t="s">
        <v>55</v>
      </c>
      <c r="I843" s="5">
        <v>45512</v>
      </c>
      <c r="J843" s="4">
        <f t="shared" si="13"/>
        <v>7</v>
      </c>
    </row>
    <row r="844" spans="1:10" x14ac:dyDescent="0.25">
      <c r="A844" s="4">
        <f>_xlfn.XLOOKUP(E844,'Data Validation'!$M$3:$M$10,'Data Validation'!$N$3:$N$10)</f>
        <v>2</v>
      </c>
      <c r="B844" s="4">
        <v>10</v>
      </c>
      <c r="C844" s="4" t="s">
        <v>11</v>
      </c>
      <c r="D844" s="7">
        <v>27.92</v>
      </c>
      <c r="E844" s="4" t="s">
        <v>19</v>
      </c>
      <c r="F844" s="4" t="s">
        <v>13</v>
      </c>
      <c r="G844" s="4" t="s">
        <v>49</v>
      </c>
      <c r="H844" s="4" t="s">
        <v>55</v>
      </c>
      <c r="I844" s="5">
        <v>45513</v>
      </c>
      <c r="J844" s="4">
        <f t="shared" si="13"/>
        <v>7</v>
      </c>
    </row>
    <row r="845" spans="1:10" x14ac:dyDescent="0.25">
      <c r="A845" s="4">
        <f>_xlfn.XLOOKUP(E845,'Data Validation'!$M$3:$M$10,'Data Validation'!$N$3:$N$10)</f>
        <v>2</v>
      </c>
      <c r="B845" s="4">
        <v>8</v>
      </c>
      <c r="C845" s="4" t="s">
        <v>11</v>
      </c>
      <c r="D845" s="7">
        <v>27.92</v>
      </c>
      <c r="E845" s="4" t="s">
        <v>19</v>
      </c>
      <c r="F845" s="4" t="s">
        <v>13</v>
      </c>
      <c r="G845" s="4" t="s">
        <v>50</v>
      </c>
      <c r="H845" s="4" t="s">
        <v>55</v>
      </c>
      <c r="I845" s="5">
        <v>45514</v>
      </c>
      <c r="J845" s="4">
        <f t="shared" si="13"/>
        <v>7</v>
      </c>
    </row>
    <row r="846" spans="1:10" x14ac:dyDescent="0.25">
      <c r="A846" s="4">
        <f>_xlfn.XLOOKUP(E846,'Data Validation'!$M$3:$M$10,'Data Validation'!$N$3:$N$10)</f>
        <v>2</v>
      </c>
      <c r="B846" s="4">
        <v>12</v>
      </c>
      <c r="C846" s="4" t="s">
        <v>11</v>
      </c>
      <c r="D846" s="7">
        <v>27.92</v>
      </c>
      <c r="E846" s="4" t="s">
        <v>19</v>
      </c>
      <c r="F846" s="4" t="s">
        <v>17</v>
      </c>
      <c r="G846" s="4" t="s">
        <v>50</v>
      </c>
      <c r="H846" s="4" t="s">
        <v>55</v>
      </c>
      <c r="I846" s="5">
        <v>45514</v>
      </c>
      <c r="J846" s="4">
        <f t="shared" si="13"/>
        <v>7</v>
      </c>
    </row>
    <row r="847" spans="1:10" x14ac:dyDescent="0.25">
      <c r="A847" s="4">
        <f>_xlfn.XLOOKUP(E847,'Data Validation'!$M$3:$M$10,'Data Validation'!$N$3:$N$10)</f>
        <v>2</v>
      </c>
      <c r="B847" s="4">
        <v>10</v>
      </c>
      <c r="C847" s="4" t="s">
        <v>11</v>
      </c>
      <c r="D847" s="7">
        <v>27.92</v>
      </c>
      <c r="E847" s="4" t="s">
        <v>19</v>
      </c>
      <c r="F847" s="4" t="s">
        <v>13</v>
      </c>
      <c r="G847" s="4" t="s">
        <v>51</v>
      </c>
      <c r="H847" s="4" t="s">
        <v>55</v>
      </c>
      <c r="I847" s="5">
        <v>45515</v>
      </c>
      <c r="J847" s="4">
        <f t="shared" si="13"/>
        <v>7</v>
      </c>
    </row>
    <row r="848" spans="1:10" x14ac:dyDescent="0.25">
      <c r="A848" s="4">
        <f>_xlfn.XLOOKUP(E848,'Data Validation'!$M$3:$M$10,'Data Validation'!$N$3:$N$10)</f>
        <v>2</v>
      </c>
      <c r="B848" s="4">
        <v>11</v>
      </c>
      <c r="C848" s="4" t="s">
        <v>11</v>
      </c>
      <c r="D848" s="7">
        <v>27.92</v>
      </c>
      <c r="E848" s="4" t="s">
        <v>19</v>
      </c>
      <c r="F848" s="4" t="s">
        <v>13</v>
      </c>
      <c r="G848" s="4" t="s">
        <v>51</v>
      </c>
      <c r="H848" s="4" t="s">
        <v>55</v>
      </c>
      <c r="I848" s="5">
        <v>45515</v>
      </c>
      <c r="J848" s="4">
        <f t="shared" si="13"/>
        <v>7</v>
      </c>
    </row>
    <row r="849" spans="1:10" x14ac:dyDescent="0.25">
      <c r="A849" s="4">
        <f>_xlfn.XLOOKUP(E849,'Data Validation'!$M$3:$M$10,'Data Validation'!$N$3:$N$10)</f>
        <v>2</v>
      </c>
      <c r="B849" s="4">
        <v>15</v>
      </c>
      <c r="C849" s="4" t="s">
        <v>11</v>
      </c>
      <c r="D849" s="7">
        <v>27.92</v>
      </c>
      <c r="E849" s="4" t="s">
        <v>19</v>
      </c>
      <c r="F849" s="4" t="s">
        <v>17</v>
      </c>
      <c r="G849" s="4" t="s">
        <v>51</v>
      </c>
      <c r="H849" s="4" t="s">
        <v>55</v>
      </c>
      <c r="I849" s="5">
        <v>45515</v>
      </c>
      <c r="J849" s="4">
        <f t="shared" si="13"/>
        <v>7</v>
      </c>
    </row>
    <row r="850" spans="1:10" x14ac:dyDescent="0.25">
      <c r="A850" s="4">
        <f>_xlfn.XLOOKUP(E850,'Data Validation'!$M$3:$M$10,'Data Validation'!$N$3:$N$10)</f>
        <v>2</v>
      </c>
      <c r="B850" s="4">
        <v>11</v>
      </c>
      <c r="C850" s="4" t="s">
        <v>11</v>
      </c>
      <c r="D850" s="7">
        <v>27.92</v>
      </c>
      <c r="E850" s="4" t="s">
        <v>19</v>
      </c>
      <c r="F850" s="4" t="s">
        <v>13</v>
      </c>
      <c r="G850" s="4" t="s">
        <v>45</v>
      </c>
      <c r="H850" s="4" t="s">
        <v>55</v>
      </c>
      <c r="I850" s="5">
        <v>45516</v>
      </c>
      <c r="J850" s="4">
        <f t="shared" si="13"/>
        <v>7</v>
      </c>
    </row>
    <row r="851" spans="1:10" x14ac:dyDescent="0.25">
      <c r="A851" s="4">
        <f>_xlfn.XLOOKUP(E851,'Data Validation'!$M$3:$M$10,'Data Validation'!$N$3:$N$10)</f>
        <v>2</v>
      </c>
      <c r="B851" s="4">
        <v>14</v>
      </c>
      <c r="C851" s="4" t="s">
        <v>11</v>
      </c>
      <c r="D851" s="7">
        <v>27.92</v>
      </c>
      <c r="E851" s="4" t="s">
        <v>19</v>
      </c>
      <c r="F851" s="4" t="s">
        <v>17</v>
      </c>
      <c r="G851" s="4" t="s">
        <v>45</v>
      </c>
      <c r="H851" s="4" t="s">
        <v>55</v>
      </c>
      <c r="I851" s="5">
        <v>45516</v>
      </c>
      <c r="J851" s="4">
        <f t="shared" si="13"/>
        <v>7</v>
      </c>
    </row>
    <row r="852" spans="1:10" x14ac:dyDescent="0.25">
      <c r="A852" s="4">
        <f>_xlfn.XLOOKUP(E852,'Data Validation'!$M$3:$M$10,'Data Validation'!$N$3:$N$10)</f>
        <v>2</v>
      </c>
      <c r="B852" s="4">
        <v>15</v>
      </c>
      <c r="C852" s="4" t="s">
        <v>11</v>
      </c>
      <c r="D852" s="7">
        <v>27.92</v>
      </c>
      <c r="E852" s="4" t="s">
        <v>19</v>
      </c>
      <c r="F852" s="4" t="s">
        <v>17</v>
      </c>
      <c r="G852" s="4" t="s">
        <v>45</v>
      </c>
      <c r="H852" s="4" t="s">
        <v>55</v>
      </c>
      <c r="I852" s="5">
        <v>45516</v>
      </c>
      <c r="J852" s="4">
        <f t="shared" si="13"/>
        <v>7</v>
      </c>
    </row>
    <row r="853" spans="1:10" x14ac:dyDescent="0.25">
      <c r="A853" s="4">
        <f>_xlfn.XLOOKUP(E853,'Data Validation'!$M$3:$M$10,'Data Validation'!$N$3:$N$10)</f>
        <v>2</v>
      </c>
      <c r="B853" s="4">
        <v>18</v>
      </c>
      <c r="C853" s="4" t="s">
        <v>11</v>
      </c>
      <c r="D853" s="7">
        <v>27.92</v>
      </c>
      <c r="E853" s="4" t="s">
        <v>19</v>
      </c>
      <c r="F853" s="4" t="s">
        <v>20</v>
      </c>
      <c r="G853" s="4" t="s">
        <v>45</v>
      </c>
      <c r="H853" s="4" t="s">
        <v>55</v>
      </c>
      <c r="I853" s="5">
        <v>45516</v>
      </c>
      <c r="J853" s="4">
        <f t="shared" si="13"/>
        <v>7</v>
      </c>
    </row>
    <row r="854" spans="1:10" x14ac:dyDescent="0.25">
      <c r="A854" s="4">
        <f>_xlfn.XLOOKUP(E854,'Data Validation'!$M$3:$M$10,'Data Validation'!$N$3:$N$10)</f>
        <v>2</v>
      </c>
      <c r="B854" s="4">
        <v>21</v>
      </c>
      <c r="C854" s="4" t="s">
        <v>11</v>
      </c>
      <c r="D854" s="7">
        <v>27.92</v>
      </c>
      <c r="E854" s="4" t="s">
        <v>19</v>
      </c>
      <c r="F854" s="4" t="s">
        <v>20</v>
      </c>
      <c r="G854" s="4" t="s">
        <v>45</v>
      </c>
      <c r="H854" s="4" t="s">
        <v>55</v>
      </c>
      <c r="I854" s="5">
        <v>45516</v>
      </c>
      <c r="J854" s="4">
        <f t="shared" si="13"/>
        <v>7</v>
      </c>
    </row>
    <row r="855" spans="1:10" x14ac:dyDescent="0.25">
      <c r="A855" s="4">
        <f>_xlfn.XLOOKUP(E855,'Data Validation'!$M$3:$M$10,'Data Validation'!$N$3:$N$10)</f>
        <v>2</v>
      </c>
      <c r="B855" s="4">
        <v>8</v>
      </c>
      <c r="C855" s="4" t="s">
        <v>11</v>
      </c>
      <c r="D855" s="7">
        <v>27.92</v>
      </c>
      <c r="E855" s="4" t="s">
        <v>19</v>
      </c>
      <c r="F855" s="4" t="s">
        <v>13</v>
      </c>
      <c r="G855" s="4" t="s">
        <v>46</v>
      </c>
      <c r="H855" s="4" t="s">
        <v>55</v>
      </c>
      <c r="I855" s="5">
        <v>45517</v>
      </c>
      <c r="J855" s="4">
        <f t="shared" si="13"/>
        <v>7</v>
      </c>
    </row>
    <row r="856" spans="1:10" x14ac:dyDescent="0.25">
      <c r="A856" s="4">
        <f>_xlfn.XLOOKUP(E856,'Data Validation'!$M$3:$M$10,'Data Validation'!$N$3:$N$10)</f>
        <v>2</v>
      </c>
      <c r="B856" s="4">
        <v>9</v>
      </c>
      <c r="C856" s="4" t="s">
        <v>11</v>
      </c>
      <c r="D856" s="7">
        <v>27.92</v>
      </c>
      <c r="E856" s="4" t="s">
        <v>19</v>
      </c>
      <c r="F856" s="4" t="s">
        <v>13</v>
      </c>
      <c r="G856" s="4" t="s">
        <v>46</v>
      </c>
      <c r="H856" s="4" t="s">
        <v>55</v>
      </c>
      <c r="I856" s="5">
        <v>45517</v>
      </c>
      <c r="J856" s="4">
        <f t="shared" si="13"/>
        <v>7</v>
      </c>
    </row>
    <row r="857" spans="1:10" x14ac:dyDescent="0.25">
      <c r="A857" s="4">
        <f>_xlfn.XLOOKUP(E857,'Data Validation'!$M$3:$M$10,'Data Validation'!$N$3:$N$10)</f>
        <v>2</v>
      </c>
      <c r="B857" s="4">
        <v>9</v>
      </c>
      <c r="C857" s="4" t="s">
        <v>11</v>
      </c>
      <c r="D857" s="7">
        <v>27.92</v>
      </c>
      <c r="E857" s="4" t="s">
        <v>19</v>
      </c>
      <c r="F857" s="4" t="s">
        <v>13</v>
      </c>
      <c r="G857" s="4" t="s">
        <v>46</v>
      </c>
      <c r="H857" s="4" t="s">
        <v>55</v>
      </c>
      <c r="I857" s="5">
        <v>45517</v>
      </c>
      <c r="J857" s="4">
        <f t="shared" si="13"/>
        <v>7</v>
      </c>
    </row>
    <row r="858" spans="1:10" x14ac:dyDescent="0.25">
      <c r="A858" s="4">
        <f>_xlfn.XLOOKUP(E858,'Data Validation'!$M$3:$M$10,'Data Validation'!$N$3:$N$10)</f>
        <v>2</v>
      </c>
      <c r="B858" s="4">
        <v>13</v>
      </c>
      <c r="C858" s="4" t="s">
        <v>11</v>
      </c>
      <c r="D858" s="7">
        <v>27.92</v>
      </c>
      <c r="E858" s="4" t="s">
        <v>19</v>
      </c>
      <c r="F858" s="4" t="s">
        <v>17</v>
      </c>
      <c r="G858" s="4" t="s">
        <v>46</v>
      </c>
      <c r="H858" s="4" t="s">
        <v>55</v>
      </c>
      <c r="I858" s="5">
        <v>45517</v>
      </c>
      <c r="J858" s="4">
        <f t="shared" si="13"/>
        <v>7</v>
      </c>
    </row>
    <row r="859" spans="1:10" x14ac:dyDescent="0.25">
      <c r="A859" s="4">
        <f>_xlfn.XLOOKUP(E859,'Data Validation'!$M$3:$M$10,'Data Validation'!$N$3:$N$10)</f>
        <v>2</v>
      </c>
      <c r="B859" s="4">
        <v>15</v>
      </c>
      <c r="C859" s="4" t="s">
        <v>11</v>
      </c>
      <c r="D859" s="7">
        <v>27.92</v>
      </c>
      <c r="E859" s="4" t="s">
        <v>19</v>
      </c>
      <c r="F859" s="4" t="s">
        <v>17</v>
      </c>
      <c r="G859" s="4" t="s">
        <v>46</v>
      </c>
      <c r="H859" s="4" t="s">
        <v>55</v>
      </c>
      <c r="I859" s="5">
        <v>45517</v>
      </c>
      <c r="J859" s="4">
        <f t="shared" si="13"/>
        <v>7</v>
      </c>
    </row>
    <row r="860" spans="1:10" x14ac:dyDescent="0.25">
      <c r="A860" s="4">
        <f>_xlfn.XLOOKUP(E860,'Data Validation'!$M$3:$M$10,'Data Validation'!$N$3:$N$10)</f>
        <v>2</v>
      </c>
      <c r="B860" s="4">
        <v>18</v>
      </c>
      <c r="C860" s="4" t="s">
        <v>11</v>
      </c>
      <c r="D860" s="7">
        <v>27.92</v>
      </c>
      <c r="E860" s="4" t="s">
        <v>19</v>
      </c>
      <c r="F860" s="4" t="s">
        <v>20</v>
      </c>
      <c r="G860" s="4" t="s">
        <v>47</v>
      </c>
      <c r="H860" s="4" t="s">
        <v>55</v>
      </c>
      <c r="I860" s="5">
        <v>45518</v>
      </c>
      <c r="J860" s="4">
        <f t="shared" si="13"/>
        <v>7</v>
      </c>
    </row>
    <row r="861" spans="1:10" x14ac:dyDescent="0.25">
      <c r="A861" s="4">
        <f>_xlfn.XLOOKUP(E861,'Data Validation'!$M$3:$M$10,'Data Validation'!$N$3:$N$10)</f>
        <v>2</v>
      </c>
      <c r="B861" s="4">
        <v>17</v>
      </c>
      <c r="C861" s="4" t="s">
        <v>11</v>
      </c>
      <c r="D861" s="7">
        <v>27.92</v>
      </c>
      <c r="E861" s="4" t="s">
        <v>19</v>
      </c>
      <c r="F861" s="4" t="s">
        <v>20</v>
      </c>
      <c r="G861" s="4" t="s">
        <v>48</v>
      </c>
      <c r="H861" s="4" t="s">
        <v>55</v>
      </c>
      <c r="I861" s="5">
        <v>45519</v>
      </c>
      <c r="J861" s="4">
        <f t="shared" si="13"/>
        <v>7</v>
      </c>
    </row>
    <row r="862" spans="1:10" x14ac:dyDescent="0.25">
      <c r="A862" s="4">
        <f>_xlfn.XLOOKUP(E862,'Data Validation'!$M$3:$M$10,'Data Validation'!$N$3:$N$10)</f>
        <v>2</v>
      </c>
      <c r="B862" s="4">
        <v>19</v>
      </c>
      <c r="C862" s="4" t="s">
        <v>11</v>
      </c>
      <c r="D862" s="7">
        <v>27.92</v>
      </c>
      <c r="E862" s="4" t="s">
        <v>19</v>
      </c>
      <c r="F862" s="4" t="s">
        <v>20</v>
      </c>
      <c r="G862" s="4" t="s">
        <v>48</v>
      </c>
      <c r="H862" s="4" t="s">
        <v>55</v>
      </c>
      <c r="I862" s="5">
        <v>45519</v>
      </c>
      <c r="J862" s="4">
        <f t="shared" si="13"/>
        <v>7</v>
      </c>
    </row>
    <row r="863" spans="1:10" x14ac:dyDescent="0.25">
      <c r="A863" s="4">
        <f>_xlfn.XLOOKUP(E863,'Data Validation'!$M$3:$M$10,'Data Validation'!$N$3:$N$10)</f>
        <v>2</v>
      </c>
      <c r="B863" s="4">
        <v>19</v>
      </c>
      <c r="C863" s="4" t="s">
        <v>11</v>
      </c>
      <c r="D863" s="7">
        <v>27.92</v>
      </c>
      <c r="E863" s="4" t="s">
        <v>19</v>
      </c>
      <c r="F863" s="4" t="s">
        <v>20</v>
      </c>
      <c r="G863" s="4" t="s">
        <v>48</v>
      </c>
      <c r="H863" s="4" t="s">
        <v>55</v>
      </c>
      <c r="I863" s="5">
        <v>45519</v>
      </c>
      <c r="J863" s="4">
        <f t="shared" si="13"/>
        <v>7</v>
      </c>
    </row>
    <row r="864" spans="1:10" x14ac:dyDescent="0.25">
      <c r="A864" s="4">
        <f>_xlfn.XLOOKUP(E864,'Data Validation'!$M$3:$M$10,'Data Validation'!$N$3:$N$10)</f>
        <v>2</v>
      </c>
      <c r="B864" s="4">
        <v>21</v>
      </c>
      <c r="C864" s="4" t="s">
        <v>11</v>
      </c>
      <c r="D864" s="7">
        <v>27.92</v>
      </c>
      <c r="E864" s="4" t="s">
        <v>19</v>
      </c>
      <c r="F864" s="4" t="s">
        <v>20</v>
      </c>
      <c r="G864" s="4" t="s">
        <v>48</v>
      </c>
      <c r="H864" s="4" t="s">
        <v>55</v>
      </c>
      <c r="I864" s="5">
        <v>45519</v>
      </c>
      <c r="J864" s="4">
        <f t="shared" si="13"/>
        <v>7</v>
      </c>
    </row>
    <row r="865" spans="1:10" x14ac:dyDescent="0.25">
      <c r="A865" s="4">
        <f>_xlfn.XLOOKUP(E865,'Data Validation'!$M$3:$M$10,'Data Validation'!$N$3:$N$10)</f>
        <v>2</v>
      </c>
      <c r="B865" s="4">
        <v>13</v>
      </c>
      <c r="C865" s="4" t="s">
        <v>11</v>
      </c>
      <c r="D865" s="7">
        <v>27.92</v>
      </c>
      <c r="E865" s="4" t="s">
        <v>19</v>
      </c>
      <c r="F865" s="4" t="s">
        <v>17</v>
      </c>
      <c r="G865" s="4" t="s">
        <v>49</v>
      </c>
      <c r="H865" s="4" t="s">
        <v>55</v>
      </c>
      <c r="I865" s="5">
        <v>45520</v>
      </c>
      <c r="J865" s="4">
        <f t="shared" si="13"/>
        <v>7</v>
      </c>
    </row>
    <row r="866" spans="1:10" x14ac:dyDescent="0.25">
      <c r="A866" s="4">
        <f>_xlfn.XLOOKUP(E866,'Data Validation'!$M$3:$M$10,'Data Validation'!$N$3:$N$10)</f>
        <v>2</v>
      </c>
      <c r="B866" s="4">
        <v>9</v>
      </c>
      <c r="C866" s="4" t="s">
        <v>11</v>
      </c>
      <c r="D866" s="7">
        <v>27.92</v>
      </c>
      <c r="E866" s="4" t="s">
        <v>19</v>
      </c>
      <c r="F866" s="4" t="s">
        <v>13</v>
      </c>
      <c r="G866" s="4" t="s">
        <v>50</v>
      </c>
      <c r="H866" s="4" t="s">
        <v>55</v>
      </c>
      <c r="I866" s="5">
        <v>45521</v>
      </c>
      <c r="J866" s="4">
        <f t="shared" si="13"/>
        <v>7</v>
      </c>
    </row>
    <row r="867" spans="1:10" x14ac:dyDescent="0.25">
      <c r="A867" s="4">
        <f>_xlfn.XLOOKUP(E867,'Data Validation'!$M$3:$M$10,'Data Validation'!$N$3:$N$10)</f>
        <v>2</v>
      </c>
      <c r="B867" s="4">
        <v>10</v>
      </c>
      <c r="C867" s="4" t="s">
        <v>11</v>
      </c>
      <c r="D867" s="7">
        <v>27.92</v>
      </c>
      <c r="E867" s="4" t="s">
        <v>19</v>
      </c>
      <c r="F867" s="4" t="s">
        <v>13</v>
      </c>
      <c r="G867" s="4" t="s">
        <v>50</v>
      </c>
      <c r="H867" s="4" t="s">
        <v>55</v>
      </c>
      <c r="I867" s="5">
        <v>45521</v>
      </c>
      <c r="J867" s="4">
        <f t="shared" si="13"/>
        <v>7</v>
      </c>
    </row>
    <row r="868" spans="1:10" x14ac:dyDescent="0.25">
      <c r="A868" s="4">
        <f>_xlfn.XLOOKUP(E868,'Data Validation'!$M$3:$M$10,'Data Validation'!$N$3:$N$10)</f>
        <v>2</v>
      </c>
      <c r="B868" s="4">
        <v>13</v>
      </c>
      <c r="C868" s="4" t="s">
        <v>11</v>
      </c>
      <c r="D868" s="7">
        <v>27.92</v>
      </c>
      <c r="E868" s="4" t="s">
        <v>19</v>
      </c>
      <c r="F868" s="4" t="s">
        <v>17</v>
      </c>
      <c r="G868" s="4" t="s">
        <v>50</v>
      </c>
      <c r="H868" s="4" t="s">
        <v>55</v>
      </c>
      <c r="I868" s="5">
        <v>45521</v>
      </c>
      <c r="J868" s="4">
        <f t="shared" si="13"/>
        <v>7</v>
      </c>
    </row>
    <row r="869" spans="1:10" x14ac:dyDescent="0.25">
      <c r="A869" s="4">
        <f>_xlfn.XLOOKUP(E869,'Data Validation'!$M$3:$M$10,'Data Validation'!$N$3:$N$10)</f>
        <v>2</v>
      </c>
      <c r="B869" s="4">
        <v>21</v>
      </c>
      <c r="C869" s="4" t="s">
        <v>11</v>
      </c>
      <c r="D869" s="7">
        <v>27.92</v>
      </c>
      <c r="E869" s="4" t="s">
        <v>19</v>
      </c>
      <c r="F869" s="4" t="s">
        <v>20</v>
      </c>
      <c r="G869" s="4" t="s">
        <v>50</v>
      </c>
      <c r="H869" s="4" t="s">
        <v>55</v>
      </c>
      <c r="I869" s="5">
        <v>45521</v>
      </c>
      <c r="J869" s="4">
        <f t="shared" si="13"/>
        <v>7</v>
      </c>
    </row>
    <row r="870" spans="1:10" x14ac:dyDescent="0.25">
      <c r="A870" s="4">
        <f>_xlfn.XLOOKUP(E870,'Data Validation'!$M$3:$M$10,'Data Validation'!$N$3:$N$10)</f>
        <v>2</v>
      </c>
      <c r="B870" s="4">
        <v>8</v>
      </c>
      <c r="C870" s="4" t="s">
        <v>11</v>
      </c>
      <c r="D870" s="7">
        <v>27.92</v>
      </c>
      <c r="E870" s="4" t="s">
        <v>19</v>
      </c>
      <c r="F870" s="4" t="s">
        <v>13</v>
      </c>
      <c r="G870" s="4" t="s">
        <v>51</v>
      </c>
      <c r="H870" s="4" t="s">
        <v>55</v>
      </c>
      <c r="I870" s="5">
        <v>45522</v>
      </c>
      <c r="J870" s="4">
        <f t="shared" si="13"/>
        <v>7</v>
      </c>
    </row>
    <row r="871" spans="1:10" x14ac:dyDescent="0.25">
      <c r="A871" s="4">
        <f>_xlfn.XLOOKUP(E871,'Data Validation'!$M$3:$M$10,'Data Validation'!$N$3:$N$10)</f>
        <v>2</v>
      </c>
      <c r="B871" s="4">
        <v>14</v>
      </c>
      <c r="C871" s="4" t="s">
        <v>11</v>
      </c>
      <c r="D871" s="7">
        <v>27.92</v>
      </c>
      <c r="E871" s="4" t="s">
        <v>19</v>
      </c>
      <c r="F871" s="4" t="s">
        <v>17</v>
      </c>
      <c r="G871" s="4" t="s">
        <v>51</v>
      </c>
      <c r="H871" s="4" t="s">
        <v>55</v>
      </c>
      <c r="I871" s="5">
        <v>45522</v>
      </c>
      <c r="J871" s="4">
        <f t="shared" si="13"/>
        <v>7</v>
      </c>
    </row>
    <row r="872" spans="1:10" x14ac:dyDescent="0.25">
      <c r="A872" s="4">
        <f>_xlfn.XLOOKUP(E872,'Data Validation'!$M$3:$M$10,'Data Validation'!$N$3:$N$10)</f>
        <v>2</v>
      </c>
      <c r="B872" s="4">
        <v>18</v>
      </c>
      <c r="C872" s="4" t="s">
        <v>11</v>
      </c>
      <c r="D872" s="7">
        <v>27.92</v>
      </c>
      <c r="E872" s="4" t="s">
        <v>19</v>
      </c>
      <c r="F872" s="4" t="s">
        <v>20</v>
      </c>
      <c r="G872" s="4" t="s">
        <v>51</v>
      </c>
      <c r="H872" s="4" t="s">
        <v>55</v>
      </c>
      <c r="I872" s="5">
        <v>45522</v>
      </c>
      <c r="J872" s="4">
        <f t="shared" si="13"/>
        <v>7</v>
      </c>
    </row>
    <row r="873" spans="1:10" x14ac:dyDescent="0.25">
      <c r="A873" s="4">
        <f>_xlfn.XLOOKUP(E873,'Data Validation'!$M$3:$M$10,'Data Validation'!$N$3:$N$10)</f>
        <v>2</v>
      </c>
      <c r="B873" s="4">
        <v>18</v>
      </c>
      <c r="C873" s="4" t="s">
        <v>11</v>
      </c>
      <c r="D873" s="7">
        <v>27.92</v>
      </c>
      <c r="E873" s="4" t="s">
        <v>19</v>
      </c>
      <c r="F873" s="4" t="s">
        <v>20</v>
      </c>
      <c r="G873" s="4" t="s">
        <v>51</v>
      </c>
      <c r="H873" s="4" t="s">
        <v>55</v>
      </c>
      <c r="I873" s="5">
        <v>45522</v>
      </c>
      <c r="J873" s="4">
        <f t="shared" si="13"/>
        <v>7</v>
      </c>
    </row>
    <row r="874" spans="1:10" x14ac:dyDescent="0.25">
      <c r="A874" s="4">
        <f>_xlfn.XLOOKUP(E874,'Data Validation'!$M$3:$M$10,'Data Validation'!$N$3:$N$10)</f>
        <v>2</v>
      </c>
      <c r="B874" s="4">
        <v>15</v>
      </c>
      <c r="C874" s="4" t="s">
        <v>11</v>
      </c>
      <c r="D874" s="7">
        <v>27.92</v>
      </c>
      <c r="E874" s="4" t="s">
        <v>19</v>
      </c>
      <c r="F874" s="4" t="s">
        <v>17</v>
      </c>
      <c r="G874" s="4" t="s">
        <v>45</v>
      </c>
      <c r="H874" s="4" t="s">
        <v>55</v>
      </c>
      <c r="I874" s="5">
        <v>45523</v>
      </c>
      <c r="J874" s="4">
        <f t="shared" si="13"/>
        <v>7</v>
      </c>
    </row>
    <row r="875" spans="1:10" x14ac:dyDescent="0.25">
      <c r="A875" s="4">
        <f>_xlfn.XLOOKUP(E875,'Data Validation'!$M$3:$M$10,'Data Validation'!$N$3:$N$10)</f>
        <v>2</v>
      </c>
      <c r="B875" s="4">
        <v>15</v>
      </c>
      <c r="C875" s="4" t="s">
        <v>11</v>
      </c>
      <c r="D875" s="7">
        <v>27.92</v>
      </c>
      <c r="E875" s="4" t="s">
        <v>19</v>
      </c>
      <c r="F875" s="4" t="s">
        <v>17</v>
      </c>
      <c r="G875" s="4" t="s">
        <v>45</v>
      </c>
      <c r="H875" s="4" t="s">
        <v>55</v>
      </c>
      <c r="I875" s="5">
        <v>45523</v>
      </c>
      <c r="J875" s="4">
        <f t="shared" si="13"/>
        <v>7</v>
      </c>
    </row>
    <row r="876" spans="1:10" x14ac:dyDescent="0.25">
      <c r="A876" s="4">
        <f>_xlfn.XLOOKUP(E876,'Data Validation'!$M$3:$M$10,'Data Validation'!$N$3:$N$10)</f>
        <v>2</v>
      </c>
      <c r="B876" s="4">
        <v>9</v>
      </c>
      <c r="C876" s="4" t="s">
        <v>11</v>
      </c>
      <c r="D876" s="7">
        <v>27.92</v>
      </c>
      <c r="E876" s="4" t="s">
        <v>19</v>
      </c>
      <c r="F876" s="4" t="s">
        <v>13</v>
      </c>
      <c r="G876" s="4" t="s">
        <v>46</v>
      </c>
      <c r="H876" s="4" t="s">
        <v>55</v>
      </c>
      <c r="I876" s="5">
        <v>45524</v>
      </c>
      <c r="J876" s="4">
        <f t="shared" si="13"/>
        <v>7</v>
      </c>
    </row>
    <row r="877" spans="1:10" x14ac:dyDescent="0.25">
      <c r="A877" s="4">
        <f>_xlfn.XLOOKUP(E877,'Data Validation'!$M$3:$M$10,'Data Validation'!$N$3:$N$10)</f>
        <v>2</v>
      </c>
      <c r="B877" s="4">
        <v>7</v>
      </c>
      <c r="C877" s="4" t="s">
        <v>11</v>
      </c>
      <c r="D877" s="7">
        <v>27.92</v>
      </c>
      <c r="E877" s="4" t="s">
        <v>19</v>
      </c>
      <c r="F877" s="4" t="s">
        <v>13</v>
      </c>
      <c r="G877" s="4" t="s">
        <v>47</v>
      </c>
      <c r="H877" s="4" t="s">
        <v>55</v>
      </c>
      <c r="I877" s="5">
        <v>45525</v>
      </c>
      <c r="J877" s="4">
        <f t="shared" si="13"/>
        <v>7</v>
      </c>
    </row>
    <row r="878" spans="1:10" x14ac:dyDescent="0.25">
      <c r="A878" s="4">
        <f>_xlfn.XLOOKUP(E878,'Data Validation'!$M$3:$M$10,'Data Validation'!$N$3:$N$10)</f>
        <v>2</v>
      </c>
      <c r="B878" s="4">
        <v>10</v>
      </c>
      <c r="C878" s="4" t="s">
        <v>11</v>
      </c>
      <c r="D878" s="7">
        <v>27.92</v>
      </c>
      <c r="E878" s="4" t="s">
        <v>19</v>
      </c>
      <c r="F878" s="4" t="s">
        <v>13</v>
      </c>
      <c r="G878" s="4" t="s">
        <v>47</v>
      </c>
      <c r="H878" s="4" t="s">
        <v>55</v>
      </c>
      <c r="I878" s="5">
        <v>45525</v>
      </c>
      <c r="J878" s="4">
        <f t="shared" si="13"/>
        <v>7</v>
      </c>
    </row>
    <row r="879" spans="1:10" x14ac:dyDescent="0.25">
      <c r="A879" s="4">
        <f>_xlfn.XLOOKUP(E879,'Data Validation'!$M$3:$M$10,'Data Validation'!$N$3:$N$10)</f>
        <v>2</v>
      </c>
      <c r="B879" s="4">
        <v>10</v>
      </c>
      <c r="C879" s="4" t="s">
        <v>11</v>
      </c>
      <c r="D879" s="7">
        <v>27.92</v>
      </c>
      <c r="E879" s="4" t="s">
        <v>19</v>
      </c>
      <c r="F879" s="4" t="s">
        <v>13</v>
      </c>
      <c r="G879" s="4" t="s">
        <v>48</v>
      </c>
      <c r="H879" s="4" t="s">
        <v>55</v>
      </c>
      <c r="I879" s="5">
        <v>45526</v>
      </c>
      <c r="J879" s="4">
        <f t="shared" si="13"/>
        <v>7</v>
      </c>
    </row>
    <row r="880" spans="1:10" x14ac:dyDescent="0.25">
      <c r="A880" s="4">
        <f>_xlfn.XLOOKUP(E880,'Data Validation'!$M$3:$M$10,'Data Validation'!$N$3:$N$10)</f>
        <v>2</v>
      </c>
      <c r="B880" s="4">
        <v>10</v>
      </c>
      <c r="C880" s="4" t="s">
        <v>11</v>
      </c>
      <c r="D880" s="7">
        <v>27.92</v>
      </c>
      <c r="E880" s="4" t="s">
        <v>19</v>
      </c>
      <c r="F880" s="4" t="s">
        <v>13</v>
      </c>
      <c r="G880" s="4" t="s">
        <v>48</v>
      </c>
      <c r="H880" s="4" t="s">
        <v>55</v>
      </c>
      <c r="I880" s="5">
        <v>45526</v>
      </c>
      <c r="J880" s="4">
        <f t="shared" si="13"/>
        <v>7</v>
      </c>
    </row>
    <row r="881" spans="1:10" x14ac:dyDescent="0.25">
      <c r="A881" s="4">
        <f>_xlfn.XLOOKUP(E881,'Data Validation'!$M$3:$M$10,'Data Validation'!$N$3:$N$10)</f>
        <v>2</v>
      </c>
      <c r="B881" s="4">
        <v>9</v>
      </c>
      <c r="C881" s="4" t="s">
        <v>11</v>
      </c>
      <c r="D881" s="7">
        <v>27.92</v>
      </c>
      <c r="E881" s="4" t="s">
        <v>19</v>
      </c>
      <c r="F881" s="4" t="s">
        <v>13</v>
      </c>
      <c r="G881" s="4" t="s">
        <v>49</v>
      </c>
      <c r="H881" s="4" t="s">
        <v>55</v>
      </c>
      <c r="I881" s="5">
        <v>45527</v>
      </c>
      <c r="J881" s="4">
        <f t="shared" si="13"/>
        <v>7</v>
      </c>
    </row>
    <row r="882" spans="1:10" x14ac:dyDescent="0.25">
      <c r="A882" s="4">
        <f>_xlfn.XLOOKUP(E882,'Data Validation'!$M$3:$M$10,'Data Validation'!$N$3:$N$10)</f>
        <v>2</v>
      </c>
      <c r="B882" s="4">
        <v>9</v>
      </c>
      <c r="C882" s="4" t="s">
        <v>11</v>
      </c>
      <c r="D882" s="7">
        <v>27.92</v>
      </c>
      <c r="E882" s="4" t="s">
        <v>19</v>
      </c>
      <c r="F882" s="4" t="s">
        <v>13</v>
      </c>
      <c r="G882" s="4" t="s">
        <v>45</v>
      </c>
      <c r="H882" s="4" t="s">
        <v>55</v>
      </c>
      <c r="I882" s="5">
        <v>45530</v>
      </c>
      <c r="J882" s="4">
        <f t="shared" si="13"/>
        <v>7</v>
      </c>
    </row>
    <row r="883" spans="1:10" x14ac:dyDescent="0.25">
      <c r="A883" s="4">
        <f>_xlfn.XLOOKUP(E883,'Data Validation'!$M$3:$M$10,'Data Validation'!$N$3:$N$10)</f>
        <v>2</v>
      </c>
      <c r="B883" s="4">
        <v>18</v>
      </c>
      <c r="C883" s="4" t="s">
        <v>11</v>
      </c>
      <c r="D883" s="7">
        <v>27.92</v>
      </c>
      <c r="E883" s="4" t="s">
        <v>19</v>
      </c>
      <c r="F883" s="4" t="s">
        <v>20</v>
      </c>
      <c r="G883" s="4" t="s">
        <v>45</v>
      </c>
      <c r="H883" s="4" t="s">
        <v>55</v>
      </c>
      <c r="I883" s="5">
        <v>45530</v>
      </c>
      <c r="J883" s="4">
        <f t="shared" si="13"/>
        <v>7</v>
      </c>
    </row>
    <row r="884" spans="1:10" x14ac:dyDescent="0.25">
      <c r="A884" s="4">
        <f>_xlfn.XLOOKUP(E884,'Data Validation'!$M$3:$M$10,'Data Validation'!$N$3:$N$10)</f>
        <v>2</v>
      </c>
      <c r="B884" s="4">
        <v>22</v>
      </c>
      <c r="C884" s="4" t="s">
        <v>11</v>
      </c>
      <c r="D884" s="7">
        <v>27.92</v>
      </c>
      <c r="E884" s="4" t="s">
        <v>19</v>
      </c>
      <c r="F884" s="4" t="s">
        <v>20</v>
      </c>
      <c r="G884" s="4" t="s">
        <v>45</v>
      </c>
      <c r="H884" s="4" t="s">
        <v>55</v>
      </c>
      <c r="I884" s="5">
        <v>45530</v>
      </c>
      <c r="J884" s="4">
        <f t="shared" si="13"/>
        <v>7</v>
      </c>
    </row>
    <row r="885" spans="1:10" x14ac:dyDescent="0.25">
      <c r="A885" s="4">
        <f>_xlfn.XLOOKUP(E885,'Data Validation'!$M$3:$M$10,'Data Validation'!$N$3:$N$10)</f>
        <v>2</v>
      </c>
      <c r="B885" s="4">
        <v>12</v>
      </c>
      <c r="C885" s="4" t="s">
        <v>11</v>
      </c>
      <c r="D885" s="7">
        <v>27.92</v>
      </c>
      <c r="E885" s="4" t="s">
        <v>19</v>
      </c>
      <c r="F885" s="4" t="s">
        <v>17</v>
      </c>
      <c r="G885" s="4" t="s">
        <v>47</v>
      </c>
      <c r="H885" s="4" t="s">
        <v>55</v>
      </c>
      <c r="I885" s="5">
        <v>45532</v>
      </c>
      <c r="J885" s="4">
        <f t="shared" si="13"/>
        <v>7</v>
      </c>
    </row>
    <row r="886" spans="1:10" x14ac:dyDescent="0.25">
      <c r="A886" s="4">
        <f>_xlfn.XLOOKUP(E886,'Data Validation'!$M$3:$M$10,'Data Validation'!$N$3:$N$10)</f>
        <v>2</v>
      </c>
      <c r="B886" s="4">
        <v>13</v>
      </c>
      <c r="C886" s="4" t="s">
        <v>11</v>
      </c>
      <c r="D886" s="7">
        <v>27.92</v>
      </c>
      <c r="E886" s="4" t="s">
        <v>19</v>
      </c>
      <c r="F886" s="4" t="s">
        <v>17</v>
      </c>
      <c r="G886" s="4" t="s">
        <v>47</v>
      </c>
      <c r="H886" s="4" t="s">
        <v>55</v>
      </c>
      <c r="I886" s="5">
        <v>45532</v>
      </c>
      <c r="J886" s="4">
        <f t="shared" si="13"/>
        <v>7</v>
      </c>
    </row>
    <row r="887" spans="1:10" x14ac:dyDescent="0.25">
      <c r="A887" s="4">
        <f>_xlfn.XLOOKUP(E887,'Data Validation'!$M$3:$M$10,'Data Validation'!$N$3:$N$10)</f>
        <v>2</v>
      </c>
      <c r="B887" s="4">
        <v>17</v>
      </c>
      <c r="C887" s="4" t="s">
        <v>11</v>
      </c>
      <c r="D887" s="7">
        <v>27.92</v>
      </c>
      <c r="E887" s="4" t="s">
        <v>19</v>
      </c>
      <c r="F887" s="4" t="s">
        <v>20</v>
      </c>
      <c r="G887" s="4" t="s">
        <v>49</v>
      </c>
      <c r="H887" s="4" t="s">
        <v>55</v>
      </c>
      <c r="I887" s="5">
        <v>45534</v>
      </c>
      <c r="J887" s="4">
        <f t="shared" si="13"/>
        <v>7</v>
      </c>
    </row>
    <row r="888" spans="1:10" x14ac:dyDescent="0.25">
      <c r="A888" s="4">
        <f>_xlfn.XLOOKUP(E888,'Data Validation'!$M$3:$M$10,'Data Validation'!$N$3:$N$10)</f>
        <v>2</v>
      </c>
      <c r="B888" s="4">
        <v>17</v>
      </c>
      <c r="C888" s="4" t="s">
        <v>11</v>
      </c>
      <c r="D888" s="7">
        <v>27.92</v>
      </c>
      <c r="E888" s="4" t="s">
        <v>19</v>
      </c>
      <c r="F888" s="4" t="s">
        <v>20</v>
      </c>
      <c r="G888" s="4" t="s">
        <v>49</v>
      </c>
      <c r="H888" s="4" t="s">
        <v>55</v>
      </c>
      <c r="I888" s="5">
        <v>45534</v>
      </c>
      <c r="J888" s="4">
        <f t="shared" si="13"/>
        <v>7</v>
      </c>
    </row>
    <row r="889" spans="1:10" x14ac:dyDescent="0.25">
      <c r="A889" s="4">
        <f>_xlfn.XLOOKUP(E889,'Data Validation'!$M$3:$M$10,'Data Validation'!$N$3:$N$10)</f>
        <v>2</v>
      </c>
      <c r="B889" s="4">
        <v>10</v>
      </c>
      <c r="C889" s="4" t="s">
        <v>11</v>
      </c>
      <c r="D889" s="7">
        <v>27.92</v>
      </c>
      <c r="E889" s="4" t="s">
        <v>19</v>
      </c>
      <c r="F889" s="4" t="s">
        <v>13</v>
      </c>
      <c r="G889" s="4" t="s">
        <v>50</v>
      </c>
      <c r="H889" s="4" t="s">
        <v>55</v>
      </c>
      <c r="I889" s="5">
        <v>45535</v>
      </c>
      <c r="J889" s="4">
        <f t="shared" si="13"/>
        <v>7</v>
      </c>
    </row>
    <row r="890" spans="1:10" x14ac:dyDescent="0.25">
      <c r="A890" s="4">
        <f>_xlfn.XLOOKUP(E890,'Data Validation'!$M$3:$M$10,'Data Validation'!$N$3:$N$10)</f>
        <v>2</v>
      </c>
      <c r="B890" s="4">
        <v>11</v>
      </c>
      <c r="C890" s="4" t="s">
        <v>11</v>
      </c>
      <c r="D890" s="7">
        <v>27.92</v>
      </c>
      <c r="E890" s="4" t="s">
        <v>19</v>
      </c>
      <c r="F890" s="4" t="s">
        <v>13</v>
      </c>
      <c r="G890" s="4" t="s">
        <v>50</v>
      </c>
      <c r="H890" s="4" t="s">
        <v>55</v>
      </c>
      <c r="I890" s="5">
        <v>45535</v>
      </c>
      <c r="J890" s="4">
        <f t="shared" si="13"/>
        <v>7</v>
      </c>
    </row>
    <row r="891" spans="1:10" x14ac:dyDescent="0.25">
      <c r="A891" s="4">
        <f>_xlfn.XLOOKUP(E891,'Data Validation'!$M$3:$M$10,'Data Validation'!$N$3:$N$10)</f>
        <v>2</v>
      </c>
      <c r="B891" s="4">
        <v>12</v>
      </c>
      <c r="C891" s="4" t="s">
        <v>11</v>
      </c>
      <c r="D891" s="7">
        <v>27.92</v>
      </c>
      <c r="E891" s="4" t="s">
        <v>19</v>
      </c>
      <c r="F891" s="4" t="s">
        <v>17</v>
      </c>
      <c r="G891" s="4" t="s">
        <v>51</v>
      </c>
      <c r="H891" s="4" t="s">
        <v>56</v>
      </c>
      <c r="I891" s="5">
        <v>45536</v>
      </c>
      <c r="J891" s="4">
        <f t="shared" si="13"/>
        <v>7</v>
      </c>
    </row>
    <row r="892" spans="1:10" x14ac:dyDescent="0.25">
      <c r="A892" s="4">
        <f>_xlfn.XLOOKUP(E892,'Data Validation'!$M$3:$M$10,'Data Validation'!$N$3:$N$10)</f>
        <v>2</v>
      </c>
      <c r="B892" s="4">
        <v>12</v>
      </c>
      <c r="C892" s="4" t="s">
        <v>11</v>
      </c>
      <c r="D892" s="7">
        <v>27.92</v>
      </c>
      <c r="E892" s="4" t="s">
        <v>19</v>
      </c>
      <c r="F892" s="4" t="s">
        <v>17</v>
      </c>
      <c r="G892" s="4" t="s">
        <v>51</v>
      </c>
      <c r="H892" s="4" t="s">
        <v>56</v>
      </c>
      <c r="I892" s="5">
        <v>45536</v>
      </c>
      <c r="J892" s="4">
        <f t="shared" si="13"/>
        <v>7</v>
      </c>
    </row>
    <row r="893" spans="1:10" x14ac:dyDescent="0.25">
      <c r="A893" s="4">
        <f>_xlfn.XLOOKUP(E893,'Data Validation'!$M$3:$M$10,'Data Validation'!$N$3:$N$10)</f>
        <v>2</v>
      </c>
      <c r="B893" s="4">
        <v>14</v>
      </c>
      <c r="C893" s="4" t="s">
        <v>11</v>
      </c>
      <c r="D893" s="7">
        <v>27.92</v>
      </c>
      <c r="E893" s="4" t="s">
        <v>19</v>
      </c>
      <c r="F893" s="4" t="s">
        <v>17</v>
      </c>
      <c r="G893" s="4" t="s">
        <v>51</v>
      </c>
      <c r="H893" s="4" t="s">
        <v>56</v>
      </c>
      <c r="I893" s="5">
        <v>45536</v>
      </c>
      <c r="J893" s="4">
        <f t="shared" si="13"/>
        <v>7</v>
      </c>
    </row>
    <row r="894" spans="1:10" x14ac:dyDescent="0.25">
      <c r="A894" s="4">
        <f>_xlfn.XLOOKUP(E894,'Data Validation'!$M$3:$M$10,'Data Validation'!$N$3:$N$10)</f>
        <v>2</v>
      </c>
      <c r="B894" s="4">
        <v>8</v>
      </c>
      <c r="C894" s="4" t="s">
        <v>11</v>
      </c>
      <c r="D894" s="7">
        <v>27.92</v>
      </c>
      <c r="E894" s="4" t="s">
        <v>19</v>
      </c>
      <c r="F894" s="4" t="s">
        <v>13</v>
      </c>
      <c r="G894" s="4" t="s">
        <v>45</v>
      </c>
      <c r="H894" s="4" t="s">
        <v>56</v>
      </c>
      <c r="I894" s="5">
        <v>45537</v>
      </c>
      <c r="J894" s="4">
        <f t="shared" si="13"/>
        <v>7</v>
      </c>
    </row>
    <row r="895" spans="1:10" x14ac:dyDescent="0.25">
      <c r="A895" s="4">
        <f>_xlfn.XLOOKUP(E895,'Data Validation'!$M$3:$M$10,'Data Validation'!$N$3:$N$10)</f>
        <v>2</v>
      </c>
      <c r="B895" s="4">
        <v>14</v>
      </c>
      <c r="C895" s="4" t="s">
        <v>11</v>
      </c>
      <c r="D895" s="7">
        <v>27.92</v>
      </c>
      <c r="E895" s="4" t="s">
        <v>19</v>
      </c>
      <c r="F895" s="4" t="s">
        <v>17</v>
      </c>
      <c r="G895" s="4" t="s">
        <v>45</v>
      </c>
      <c r="H895" s="4" t="s">
        <v>56</v>
      </c>
      <c r="I895" s="5">
        <v>45537</v>
      </c>
      <c r="J895" s="4">
        <f t="shared" si="13"/>
        <v>7</v>
      </c>
    </row>
    <row r="896" spans="1:10" x14ac:dyDescent="0.25">
      <c r="A896" s="4">
        <f>_xlfn.XLOOKUP(E896,'Data Validation'!$M$3:$M$10,'Data Validation'!$N$3:$N$10)</f>
        <v>2</v>
      </c>
      <c r="B896" s="4">
        <v>9</v>
      </c>
      <c r="C896" s="4" t="s">
        <v>11</v>
      </c>
      <c r="D896" s="7">
        <v>27.92</v>
      </c>
      <c r="E896" s="4" t="s">
        <v>19</v>
      </c>
      <c r="F896" s="4" t="s">
        <v>13</v>
      </c>
      <c r="G896" s="4" t="s">
        <v>46</v>
      </c>
      <c r="H896" s="4" t="s">
        <v>56</v>
      </c>
      <c r="I896" s="5">
        <v>45538</v>
      </c>
      <c r="J896" s="4">
        <f t="shared" si="13"/>
        <v>7</v>
      </c>
    </row>
    <row r="897" spans="1:10" x14ac:dyDescent="0.25">
      <c r="A897" s="4">
        <f>_xlfn.XLOOKUP(E897,'Data Validation'!$M$3:$M$10,'Data Validation'!$N$3:$N$10)</f>
        <v>2</v>
      </c>
      <c r="B897" s="4">
        <v>9</v>
      </c>
      <c r="C897" s="4" t="s">
        <v>11</v>
      </c>
      <c r="D897" s="7">
        <v>27.92</v>
      </c>
      <c r="E897" s="4" t="s">
        <v>19</v>
      </c>
      <c r="F897" s="4" t="s">
        <v>13</v>
      </c>
      <c r="G897" s="4" t="s">
        <v>46</v>
      </c>
      <c r="H897" s="4" t="s">
        <v>56</v>
      </c>
      <c r="I897" s="5">
        <v>45538</v>
      </c>
      <c r="J897" s="4">
        <f t="shared" si="13"/>
        <v>7</v>
      </c>
    </row>
    <row r="898" spans="1:10" x14ac:dyDescent="0.25">
      <c r="A898" s="4">
        <f>_xlfn.XLOOKUP(E898,'Data Validation'!$M$3:$M$10,'Data Validation'!$N$3:$N$10)</f>
        <v>2</v>
      </c>
      <c r="B898" s="4">
        <v>9</v>
      </c>
      <c r="C898" s="4" t="s">
        <v>11</v>
      </c>
      <c r="D898" s="7">
        <v>27.92</v>
      </c>
      <c r="E898" s="4" t="s">
        <v>19</v>
      </c>
      <c r="F898" s="4" t="s">
        <v>13</v>
      </c>
      <c r="G898" s="4" t="s">
        <v>46</v>
      </c>
      <c r="H898" s="4" t="s">
        <v>56</v>
      </c>
      <c r="I898" s="5">
        <v>45538</v>
      </c>
      <c r="J898" s="4">
        <f t="shared" si="13"/>
        <v>7</v>
      </c>
    </row>
    <row r="899" spans="1:10" x14ac:dyDescent="0.25">
      <c r="A899" s="4">
        <f>_xlfn.XLOOKUP(E899,'Data Validation'!$M$3:$M$10,'Data Validation'!$N$3:$N$10)</f>
        <v>2</v>
      </c>
      <c r="B899" s="4">
        <v>14</v>
      </c>
      <c r="C899" s="4" t="s">
        <v>11</v>
      </c>
      <c r="D899" s="7">
        <v>27.92</v>
      </c>
      <c r="E899" s="4" t="s">
        <v>19</v>
      </c>
      <c r="F899" s="4" t="s">
        <v>17</v>
      </c>
      <c r="G899" s="4" t="s">
        <v>46</v>
      </c>
      <c r="H899" s="4" t="s">
        <v>56</v>
      </c>
      <c r="I899" s="5">
        <v>45538</v>
      </c>
      <c r="J899" s="4">
        <f t="shared" ref="J899:J962" si="14">IF(OR(E899&lt;&gt;E898,D899&lt;&gt;D898),J898+1,J898)</f>
        <v>7</v>
      </c>
    </row>
    <row r="900" spans="1:10" x14ac:dyDescent="0.25">
      <c r="A900" s="4">
        <f>_xlfn.XLOOKUP(E900,'Data Validation'!$M$3:$M$10,'Data Validation'!$N$3:$N$10)</f>
        <v>2</v>
      </c>
      <c r="B900" s="4">
        <v>14</v>
      </c>
      <c r="C900" s="4" t="s">
        <v>11</v>
      </c>
      <c r="D900" s="7">
        <v>27.92</v>
      </c>
      <c r="E900" s="4" t="s">
        <v>19</v>
      </c>
      <c r="F900" s="4" t="s">
        <v>17</v>
      </c>
      <c r="G900" s="4" t="s">
        <v>46</v>
      </c>
      <c r="H900" s="4" t="s">
        <v>56</v>
      </c>
      <c r="I900" s="5">
        <v>45538</v>
      </c>
      <c r="J900" s="4">
        <f t="shared" si="14"/>
        <v>7</v>
      </c>
    </row>
    <row r="901" spans="1:10" x14ac:dyDescent="0.25">
      <c r="A901" s="4">
        <f>_xlfn.XLOOKUP(E901,'Data Validation'!$M$3:$M$10,'Data Validation'!$N$3:$N$10)</f>
        <v>2</v>
      </c>
      <c r="B901" s="4">
        <v>18</v>
      </c>
      <c r="C901" s="4" t="s">
        <v>11</v>
      </c>
      <c r="D901" s="7">
        <v>27.92</v>
      </c>
      <c r="E901" s="4" t="s">
        <v>19</v>
      </c>
      <c r="F901" s="4" t="s">
        <v>20</v>
      </c>
      <c r="G901" s="4" t="s">
        <v>46</v>
      </c>
      <c r="H901" s="4" t="s">
        <v>56</v>
      </c>
      <c r="I901" s="5">
        <v>45538</v>
      </c>
      <c r="J901" s="4">
        <f t="shared" si="14"/>
        <v>7</v>
      </c>
    </row>
    <row r="902" spans="1:10" x14ac:dyDescent="0.25">
      <c r="A902" s="4">
        <f>_xlfn.XLOOKUP(E902,'Data Validation'!$M$3:$M$10,'Data Validation'!$N$3:$N$10)</f>
        <v>2</v>
      </c>
      <c r="B902" s="4">
        <v>19</v>
      </c>
      <c r="C902" s="4" t="s">
        <v>11</v>
      </c>
      <c r="D902" s="7">
        <v>27.92</v>
      </c>
      <c r="E902" s="4" t="s">
        <v>19</v>
      </c>
      <c r="F902" s="4" t="s">
        <v>20</v>
      </c>
      <c r="G902" s="4" t="s">
        <v>46</v>
      </c>
      <c r="H902" s="4" t="s">
        <v>56</v>
      </c>
      <c r="I902" s="5">
        <v>45538</v>
      </c>
      <c r="J902" s="4">
        <f t="shared" si="14"/>
        <v>7</v>
      </c>
    </row>
    <row r="903" spans="1:10" x14ac:dyDescent="0.25">
      <c r="A903" s="4">
        <f>_xlfn.XLOOKUP(E903,'Data Validation'!$M$3:$M$10,'Data Validation'!$N$3:$N$10)</f>
        <v>2</v>
      </c>
      <c r="B903" s="4">
        <v>11</v>
      </c>
      <c r="C903" s="4" t="s">
        <v>11</v>
      </c>
      <c r="D903" s="7">
        <v>27.92</v>
      </c>
      <c r="E903" s="4" t="s">
        <v>19</v>
      </c>
      <c r="F903" s="4" t="s">
        <v>13</v>
      </c>
      <c r="G903" s="4" t="s">
        <v>47</v>
      </c>
      <c r="H903" s="4" t="s">
        <v>56</v>
      </c>
      <c r="I903" s="5">
        <v>45539</v>
      </c>
      <c r="J903" s="4">
        <f t="shared" si="14"/>
        <v>7</v>
      </c>
    </row>
    <row r="904" spans="1:10" x14ac:dyDescent="0.25">
      <c r="A904" s="4">
        <f>_xlfn.XLOOKUP(E904,'Data Validation'!$M$3:$M$10,'Data Validation'!$N$3:$N$10)</f>
        <v>2</v>
      </c>
      <c r="B904" s="4">
        <v>11</v>
      </c>
      <c r="C904" s="4" t="s">
        <v>11</v>
      </c>
      <c r="D904" s="7">
        <v>27.92</v>
      </c>
      <c r="E904" s="4" t="s">
        <v>19</v>
      </c>
      <c r="F904" s="4" t="s">
        <v>13</v>
      </c>
      <c r="G904" s="4" t="s">
        <v>47</v>
      </c>
      <c r="H904" s="4" t="s">
        <v>56</v>
      </c>
      <c r="I904" s="5">
        <v>45539</v>
      </c>
      <c r="J904" s="4">
        <f t="shared" si="14"/>
        <v>7</v>
      </c>
    </row>
    <row r="905" spans="1:10" x14ac:dyDescent="0.25">
      <c r="A905" s="4">
        <f>_xlfn.XLOOKUP(E905,'Data Validation'!$M$3:$M$10,'Data Validation'!$N$3:$N$10)</f>
        <v>2</v>
      </c>
      <c r="B905" s="4">
        <v>13</v>
      </c>
      <c r="C905" s="4" t="s">
        <v>11</v>
      </c>
      <c r="D905" s="7">
        <v>27.92</v>
      </c>
      <c r="E905" s="4" t="s">
        <v>19</v>
      </c>
      <c r="F905" s="4" t="s">
        <v>17</v>
      </c>
      <c r="G905" s="4" t="s">
        <v>47</v>
      </c>
      <c r="H905" s="4" t="s">
        <v>56</v>
      </c>
      <c r="I905" s="5">
        <v>45539</v>
      </c>
      <c r="J905" s="4">
        <f t="shared" si="14"/>
        <v>7</v>
      </c>
    </row>
    <row r="906" spans="1:10" x14ac:dyDescent="0.25">
      <c r="A906" s="4">
        <f>_xlfn.XLOOKUP(E906,'Data Validation'!$M$3:$M$10,'Data Validation'!$N$3:$N$10)</f>
        <v>2</v>
      </c>
      <c r="B906" s="4">
        <v>19</v>
      </c>
      <c r="C906" s="4" t="s">
        <v>11</v>
      </c>
      <c r="D906" s="7">
        <v>27.92</v>
      </c>
      <c r="E906" s="4" t="s">
        <v>19</v>
      </c>
      <c r="F906" s="4" t="s">
        <v>20</v>
      </c>
      <c r="G906" s="4" t="s">
        <v>47</v>
      </c>
      <c r="H906" s="4" t="s">
        <v>56</v>
      </c>
      <c r="I906" s="5">
        <v>45539</v>
      </c>
      <c r="J906" s="4">
        <f t="shared" si="14"/>
        <v>7</v>
      </c>
    </row>
    <row r="907" spans="1:10" x14ac:dyDescent="0.25">
      <c r="A907" s="4">
        <f>_xlfn.XLOOKUP(E907,'Data Validation'!$M$3:$M$10,'Data Validation'!$N$3:$N$10)</f>
        <v>2</v>
      </c>
      <c r="B907" s="4">
        <v>9</v>
      </c>
      <c r="C907" s="4" t="s">
        <v>11</v>
      </c>
      <c r="D907" s="7">
        <v>27.92</v>
      </c>
      <c r="E907" s="4" t="s">
        <v>19</v>
      </c>
      <c r="F907" s="4" t="s">
        <v>13</v>
      </c>
      <c r="G907" s="4" t="s">
        <v>48</v>
      </c>
      <c r="H907" s="4" t="s">
        <v>56</v>
      </c>
      <c r="I907" s="5">
        <v>45540</v>
      </c>
      <c r="J907" s="4">
        <f t="shared" si="14"/>
        <v>7</v>
      </c>
    </row>
    <row r="908" spans="1:10" x14ac:dyDescent="0.25">
      <c r="A908" s="4">
        <f>_xlfn.XLOOKUP(E908,'Data Validation'!$M$3:$M$10,'Data Validation'!$N$3:$N$10)</f>
        <v>2</v>
      </c>
      <c r="B908" s="4">
        <v>10</v>
      </c>
      <c r="C908" s="4" t="s">
        <v>11</v>
      </c>
      <c r="D908" s="7">
        <v>27.92</v>
      </c>
      <c r="E908" s="4" t="s">
        <v>19</v>
      </c>
      <c r="F908" s="4" t="s">
        <v>13</v>
      </c>
      <c r="G908" s="4" t="s">
        <v>48</v>
      </c>
      <c r="H908" s="4" t="s">
        <v>56</v>
      </c>
      <c r="I908" s="5">
        <v>45540</v>
      </c>
      <c r="J908" s="4">
        <f t="shared" si="14"/>
        <v>7</v>
      </c>
    </row>
    <row r="909" spans="1:10" x14ac:dyDescent="0.25">
      <c r="A909" s="4">
        <f>_xlfn.XLOOKUP(E909,'Data Validation'!$M$3:$M$10,'Data Validation'!$N$3:$N$10)</f>
        <v>2</v>
      </c>
      <c r="B909" s="4">
        <v>16</v>
      </c>
      <c r="C909" s="4" t="s">
        <v>11</v>
      </c>
      <c r="D909" s="7">
        <v>27.92</v>
      </c>
      <c r="E909" s="4" t="s">
        <v>19</v>
      </c>
      <c r="F909" s="4" t="s">
        <v>17</v>
      </c>
      <c r="G909" s="4" t="s">
        <v>48</v>
      </c>
      <c r="H909" s="4" t="s">
        <v>56</v>
      </c>
      <c r="I909" s="5">
        <v>45540</v>
      </c>
      <c r="J909" s="4">
        <f t="shared" si="14"/>
        <v>7</v>
      </c>
    </row>
    <row r="910" spans="1:10" x14ac:dyDescent="0.25">
      <c r="A910" s="4">
        <f>_xlfn.XLOOKUP(E910,'Data Validation'!$M$3:$M$10,'Data Validation'!$N$3:$N$10)</f>
        <v>2</v>
      </c>
      <c r="B910" s="4">
        <v>21</v>
      </c>
      <c r="C910" s="4" t="s">
        <v>11</v>
      </c>
      <c r="D910" s="7">
        <v>27.92</v>
      </c>
      <c r="E910" s="4" t="s">
        <v>19</v>
      </c>
      <c r="F910" s="4" t="s">
        <v>20</v>
      </c>
      <c r="G910" s="4" t="s">
        <v>48</v>
      </c>
      <c r="H910" s="4" t="s">
        <v>56</v>
      </c>
      <c r="I910" s="5">
        <v>45540</v>
      </c>
      <c r="J910" s="4">
        <f t="shared" si="14"/>
        <v>7</v>
      </c>
    </row>
    <row r="911" spans="1:10" x14ac:dyDescent="0.25">
      <c r="A911" s="4">
        <f>_xlfn.XLOOKUP(E911,'Data Validation'!$M$3:$M$10,'Data Validation'!$N$3:$N$10)</f>
        <v>2</v>
      </c>
      <c r="B911" s="4">
        <v>21</v>
      </c>
      <c r="C911" s="4" t="s">
        <v>11</v>
      </c>
      <c r="D911" s="7">
        <v>27.92</v>
      </c>
      <c r="E911" s="4" t="s">
        <v>19</v>
      </c>
      <c r="F911" s="4" t="s">
        <v>20</v>
      </c>
      <c r="G911" s="4" t="s">
        <v>48</v>
      </c>
      <c r="H911" s="4" t="s">
        <v>56</v>
      </c>
      <c r="I911" s="5">
        <v>45540</v>
      </c>
      <c r="J911" s="4">
        <f t="shared" si="14"/>
        <v>7</v>
      </c>
    </row>
    <row r="912" spans="1:10" x14ac:dyDescent="0.25">
      <c r="A912" s="4">
        <f>_xlfn.XLOOKUP(E912,'Data Validation'!$M$3:$M$10,'Data Validation'!$N$3:$N$10)</f>
        <v>2</v>
      </c>
      <c r="B912" s="4">
        <v>9</v>
      </c>
      <c r="C912" s="4" t="s">
        <v>11</v>
      </c>
      <c r="D912" s="7">
        <v>27.92</v>
      </c>
      <c r="E912" s="4" t="s">
        <v>19</v>
      </c>
      <c r="F912" s="4" t="s">
        <v>13</v>
      </c>
      <c r="G912" s="4" t="s">
        <v>50</v>
      </c>
      <c r="H912" s="4" t="s">
        <v>56</v>
      </c>
      <c r="I912" s="5">
        <v>45542</v>
      </c>
      <c r="J912" s="4">
        <f t="shared" si="14"/>
        <v>7</v>
      </c>
    </row>
    <row r="913" spans="1:10" x14ac:dyDescent="0.25">
      <c r="A913" s="4">
        <f>_xlfn.XLOOKUP(E913,'Data Validation'!$M$3:$M$10,'Data Validation'!$N$3:$N$10)</f>
        <v>2</v>
      </c>
      <c r="B913" s="4">
        <v>9</v>
      </c>
      <c r="C913" s="4" t="s">
        <v>11</v>
      </c>
      <c r="D913" s="7">
        <v>27.92</v>
      </c>
      <c r="E913" s="4" t="s">
        <v>19</v>
      </c>
      <c r="F913" s="4" t="s">
        <v>13</v>
      </c>
      <c r="G913" s="4" t="s">
        <v>50</v>
      </c>
      <c r="H913" s="4" t="s">
        <v>56</v>
      </c>
      <c r="I913" s="5">
        <v>45542</v>
      </c>
      <c r="J913" s="4">
        <f t="shared" si="14"/>
        <v>7</v>
      </c>
    </row>
    <row r="914" spans="1:10" x14ac:dyDescent="0.25">
      <c r="A914" s="4">
        <f>_xlfn.XLOOKUP(E914,'Data Validation'!$M$3:$M$10,'Data Validation'!$N$3:$N$10)</f>
        <v>2</v>
      </c>
      <c r="B914" s="4">
        <v>11</v>
      </c>
      <c r="C914" s="4" t="s">
        <v>11</v>
      </c>
      <c r="D914" s="7">
        <v>27.92</v>
      </c>
      <c r="E914" s="4" t="s">
        <v>19</v>
      </c>
      <c r="F914" s="4" t="s">
        <v>13</v>
      </c>
      <c r="G914" s="4" t="s">
        <v>50</v>
      </c>
      <c r="H914" s="4" t="s">
        <v>56</v>
      </c>
      <c r="I914" s="5">
        <v>45542</v>
      </c>
      <c r="J914" s="4">
        <f t="shared" si="14"/>
        <v>7</v>
      </c>
    </row>
    <row r="915" spans="1:10" x14ac:dyDescent="0.25">
      <c r="A915" s="4">
        <f>_xlfn.XLOOKUP(E915,'Data Validation'!$M$3:$M$10,'Data Validation'!$N$3:$N$10)</f>
        <v>2</v>
      </c>
      <c r="B915" s="4">
        <v>7</v>
      </c>
      <c r="C915" s="4" t="s">
        <v>11</v>
      </c>
      <c r="D915" s="7">
        <v>27.92</v>
      </c>
      <c r="E915" s="4" t="s">
        <v>19</v>
      </c>
      <c r="F915" s="4" t="s">
        <v>13</v>
      </c>
      <c r="G915" s="4" t="s">
        <v>45</v>
      </c>
      <c r="H915" s="4" t="s">
        <v>56</v>
      </c>
      <c r="I915" s="5">
        <v>45544</v>
      </c>
      <c r="J915" s="4">
        <f t="shared" si="14"/>
        <v>7</v>
      </c>
    </row>
    <row r="916" spans="1:10" x14ac:dyDescent="0.25">
      <c r="A916" s="4">
        <f>_xlfn.XLOOKUP(E916,'Data Validation'!$M$3:$M$10,'Data Validation'!$N$3:$N$10)</f>
        <v>2</v>
      </c>
      <c r="B916" s="4">
        <v>11</v>
      </c>
      <c r="C916" s="4" t="s">
        <v>11</v>
      </c>
      <c r="D916" s="7">
        <v>27.92</v>
      </c>
      <c r="E916" s="4" t="s">
        <v>19</v>
      </c>
      <c r="F916" s="4" t="s">
        <v>13</v>
      </c>
      <c r="G916" s="4" t="s">
        <v>45</v>
      </c>
      <c r="H916" s="4" t="s">
        <v>56</v>
      </c>
      <c r="I916" s="5">
        <v>45544</v>
      </c>
      <c r="J916" s="4">
        <f t="shared" si="14"/>
        <v>7</v>
      </c>
    </row>
    <row r="917" spans="1:10" x14ac:dyDescent="0.25">
      <c r="A917" s="4">
        <f>_xlfn.XLOOKUP(E917,'Data Validation'!$M$3:$M$10,'Data Validation'!$N$3:$N$10)</f>
        <v>2</v>
      </c>
      <c r="B917" s="4">
        <v>11</v>
      </c>
      <c r="C917" s="4" t="s">
        <v>11</v>
      </c>
      <c r="D917" s="7">
        <v>27.92</v>
      </c>
      <c r="E917" s="4" t="s">
        <v>19</v>
      </c>
      <c r="F917" s="4" t="s">
        <v>13</v>
      </c>
      <c r="G917" s="4" t="s">
        <v>45</v>
      </c>
      <c r="H917" s="4" t="s">
        <v>56</v>
      </c>
      <c r="I917" s="5">
        <v>45544</v>
      </c>
      <c r="J917" s="4">
        <f t="shared" si="14"/>
        <v>7</v>
      </c>
    </row>
    <row r="918" spans="1:10" x14ac:dyDescent="0.25">
      <c r="A918" s="4">
        <f>_xlfn.XLOOKUP(E918,'Data Validation'!$M$3:$M$10,'Data Validation'!$N$3:$N$10)</f>
        <v>2</v>
      </c>
      <c r="B918" s="4">
        <v>18</v>
      </c>
      <c r="C918" s="4" t="s">
        <v>11</v>
      </c>
      <c r="D918" s="7">
        <v>27.92</v>
      </c>
      <c r="E918" s="4" t="s">
        <v>19</v>
      </c>
      <c r="F918" s="4" t="s">
        <v>20</v>
      </c>
      <c r="G918" s="4" t="s">
        <v>46</v>
      </c>
      <c r="H918" s="4" t="s">
        <v>56</v>
      </c>
      <c r="I918" s="5">
        <v>45545</v>
      </c>
      <c r="J918" s="4">
        <f t="shared" si="14"/>
        <v>7</v>
      </c>
    </row>
    <row r="919" spans="1:10" x14ac:dyDescent="0.25">
      <c r="A919" s="4">
        <f>_xlfn.XLOOKUP(E919,'Data Validation'!$M$3:$M$10,'Data Validation'!$N$3:$N$10)</f>
        <v>2</v>
      </c>
      <c r="B919" s="4">
        <v>21</v>
      </c>
      <c r="C919" s="4" t="s">
        <v>11</v>
      </c>
      <c r="D919" s="7">
        <v>27.92</v>
      </c>
      <c r="E919" s="4" t="s">
        <v>19</v>
      </c>
      <c r="F919" s="4" t="s">
        <v>20</v>
      </c>
      <c r="G919" s="4" t="s">
        <v>46</v>
      </c>
      <c r="H919" s="4" t="s">
        <v>56</v>
      </c>
      <c r="I919" s="5">
        <v>45545</v>
      </c>
      <c r="J919" s="4">
        <f t="shared" si="14"/>
        <v>7</v>
      </c>
    </row>
    <row r="920" spans="1:10" x14ac:dyDescent="0.25">
      <c r="A920" s="4">
        <f>_xlfn.XLOOKUP(E920,'Data Validation'!$M$3:$M$10,'Data Validation'!$N$3:$N$10)</f>
        <v>2</v>
      </c>
      <c r="B920" s="4">
        <v>9</v>
      </c>
      <c r="C920" s="4" t="s">
        <v>11</v>
      </c>
      <c r="D920" s="7">
        <v>27.92</v>
      </c>
      <c r="E920" s="4" t="s">
        <v>19</v>
      </c>
      <c r="F920" s="4" t="s">
        <v>13</v>
      </c>
      <c r="G920" s="4" t="s">
        <v>47</v>
      </c>
      <c r="H920" s="4" t="s">
        <v>56</v>
      </c>
      <c r="I920" s="5">
        <v>45546</v>
      </c>
      <c r="J920" s="4">
        <f t="shared" si="14"/>
        <v>7</v>
      </c>
    </row>
    <row r="921" spans="1:10" x14ac:dyDescent="0.25">
      <c r="A921" s="4">
        <f>_xlfn.XLOOKUP(E921,'Data Validation'!$M$3:$M$10,'Data Validation'!$N$3:$N$10)</f>
        <v>2</v>
      </c>
      <c r="B921" s="4">
        <v>20</v>
      </c>
      <c r="C921" s="4" t="s">
        <v>11</v>
      </c>
      <c r="D921" s="7">
        <v>27.92</v>
      </c>
      <c r="E921" s="4" t="s">
        <v>19</v>
      </c>
      <c r="F921" s="4" t="s">
        <v>20</v>
      </c>
      <c r="G921" s="4" t="s">
        <v>47</v>
      </c>
      <c r="H921" s="4" t="s">
        <v>56</v>
      </c>
      <c r="I921" s="5">
        <v>45546</v>
      </c>
      <c r="J921" s="4">
        <f t="shared" si="14"/>
        <v>7</v>
      </c>
    </row>
    <row r="922" spans="1:10" x14ac:dyDescent="0.25">
      <c r="A922" s="4">
        <f>_xlfn.XLOOKUP(E922,'Data Validation'!$M$3:$M$10,'Data Validation'!$N$3:$N$10)</f>
        <v>2</v>
      </c>
      <c r="B922" s="4">
        <v>10</v>
      </c>
      <c r="C922" s="4" t="s">
        <v>11</v>
      </c>
      <c r="D922" s="7">
        <v>27.92</v>
      </c>
      <c r="E922" s="4" t="s">
        <v>19</v>
      </c>
      <c r="F922" s="4" t="s">
        <v>13</v>
      </c>
      <c r="G922" s="4" t="s">
        <v>48</v>
      </c>
      <c r="H922" s="4" t="s">
        <v>56</v>
      </c>
      <c r="I922" s="5">
        <v>45547</v>
      </c>
      <c r="J922" s="4">
        <f t="shared" si="14"/>
        <v>7</v>
      </c>
    </row>
    <row r="923" spans="1:10" x14ac:dyDescent="0.25">
      <c r="A923" s="4">
        <f>_xlfn.XLOOKUP(E923,'Data Validation'!$M$3:$M$10,'Data Validation'!$N$3:$N$10)</f>
        <v>2</v>
      </c>
      <c r="B923" s="4">
        <v>11</v>
      </c>
      <c r="C923" s="4" t="s">
        <v>11</v>
      </c>
      <c r="D923" s="7">
        <v>27.92</v>
      </c>
      <c r="E923" s="4" t="s">
        <v>19</v>
      </c>
      <c r="F923" s="4" t="s">
        <v>13</v>
      </c>
      <c r="G923" s="4" t="s">
        <v>48</v>
      </c>
      <c r="H923" s="4" t="s">
        <v>56</v>
      </c>
      <c r="I923" s="5">
        <v>45547</v>
      </c>
      <c r="J923" s="4">
        <f t="shared" si="14"/>
        <v>7</v>
      </c>
    </row>
    <row r="924" spans="1:10" x14ac:dyDescent="0.25">
      <c r="A924" s="4">
        <f>_xlfn.XLOOKUP(E924,'Data Validation'!$M$3:$M$10,'Data Validation'!$N$3:$N$10)</f>
        <v>2</v>
      </c>
      <c r="B924" s="4">
        <v>15</v>
      </c>
      <c r="C924" s="4" t="s">
        <v>11</v>
      </c>
      <c r="D924" s="7">
        <v>27.92</v>
      </c>
      <c r="E924" s="4" t="s">
        <v>19</v>
      </c>
      <c r="F924" s="4" t="s">
        <v>17</v>
      </c>
      <c r="G924" s="4" t="s">
        <v>49</v>
      </c>
      <c r="H924" s="4" t="s">
        <v>56</v>
      </c>
      <c r="I924" s="5">
        <v>45548</v>
      </c>
      <c r="J924" s="4">
        <f t="shared" si="14"/>
        <v>7</v>
      </c>
    </row>
    <row r="925" spans="1:10" x14ac:dyDescent="0.25">
      <c r="A925" s="4">
        <f>_xlfn.XLOOKUP(E925,'Data Validation'!$M$3:$M$10,'Data Validation'!$N$3:$N$10)</f>
        <v>2</v>
      </c>
      <c r="B925" s="4">
        <v>15</v>
      </c>
      <c r="C925" s="4" t="s">
        <v>11</v>
      </c>
      <c r="D925" s="7">
        <v>27.92</v>
      </c>
      <c r="E925" s="4" t="s">
        <v>19</v>
      </c>
      <c r="F925" s="4" t="s">
        <v>17</v>
      </c>
      <c r="G925" s="4" t="s">
        <v>49</v>
      </c>
      <c r="H925" s="4" t="s">
        <v>56</v>
      </c>
      <c r="I925" s="5">
        <v>45548</v>
      </c>
      <c r="J925" s="4">
        <f t="shared" si="14"/>
        <v>7</v>
      </c>
    </row>
    <row r="926" spans="1:10" x14ac:dyDescent="0.25">
      <c r="A926" s="4">
        <f>_xlfn.XLOOKUP(E926,'Data Validation'!$M$3:$M$10,'Data Validation'!$N$3:$N$10)</f>
        <v>2</v>
      </c>
      <c r="B926" s="4">
        <v>9</v>
      </c>
      <c r="C926" s="4" t="s">
        <v>11</v>
      </c>
      <c r="D926" s="7">
        <v>27.92</v>
      </c>
      <c r="E926" s="4" t="s">
        <v>19</v>
      </c>
      <c r="F926" s="4" t="s">
        <v>13</v>
      </c>
      <c r="G926" s="4" t="s">
        <v>51</v>
      </c>
      <c r="H926" s="4" t="s">
        <v>56</v>
      </c>
      <c r="I926" s="5">
        <v>45550</v>
      </c>
      <c r="J926" s="4">
        <f t="shared" si="14"/>
        <v>7</v>
      </c>
    </row>
    <row r="927" spans="1:10" x14ac:dyDescent="0.25">
      <c r="A927" s="4">
        <f>_xlfn.XLOOKUP(E927,'Data Validation'!$M$3:$M$10,'Data Validation'!$N$3:$N$10)</f>
        <v>2</v>
      </c>
      <c r="B927" s="4">
        <v>13</v>
      </c>
      <c r="C927" s="4" t="s">
        <v>11</v>
      </c>
      <c r="D927" s="7">
        <v>27.92</v>
      </c>
      <c r="E927" s="4" t="s">
        <v>19</v>
      </c>
      <c r="F927" s="4" t="s">
        <v>17</v>
      </c>
      <c r="G927" s="4" t="s">
        <v>45</v>
      </c>
      <c r="H927" s="4" t="s">
        <v>56</v>
      </c>
      <c r="I927" s="5">
        <v>45551</v>
      </c>
      <c r="J927" s="4">
        <f t="shared" si="14"/>
        <v>7</v>
      </c>
    </row>
    <row r="928" spans="1:10" x14ac:dyDescent="0.25">
      <c r="A928" s="4">
        <f>_xlfn.XLOOKUP(E928,'Data Validation'!$M$3:$M$10,'Data Validation'!$N$3:$N$10)</f>
        <v>2</v>
      </c>
      <c r="B928" s="4">
        <v>17</v>
      </c>
      <c r="C928" s="4" t="s">
        <v>11</v>
      </c>
      <c r="D928" s="7">
        <v>27.92</v>
      </c>
      <c r="E928" s="4" t="s">
        <v>19</v>
      </c>
      <c r="F928" s="4" t="s">
        <v>20</v>
      </c>
      <c r="G928" s="4" t="s">
        <v>45</v>
      </c>
      <c r="H928" s="4" t="s">
        <v>56</v>
      </c>
      <c r="I928" s="5">
        <v>45551</v>
      </c>
      <c r="J928" s="4">
        <f t="shared" si="14"/>
        <v>7</v>
      </c>
    </row>
    <row r="929" spans="1:10" x14ac:dyDescent="0.25">
      <c r="A929" s="4">
        <f>_xlfn.XLOOKUP(E929,'Data Validation'!$M$3:$M$10,'Data Validation'!$N$3:$N$10)</f>
        <v>2</v>
      </c>
      <c r="B929" s="4">
        <v>21</v>
      </c>
      <c r="C929" s="4" t="s">
        <v>11</v>
      </c>
      <c r="D929" s="7">
        <v>27.92</v>
      </c>
      <c r="E929" s="4" t="s">
        <v>19</v>
      </c>
      <c r="F929" s="4" t="s">
        <v>20</v>
      </c>
      <c r="G929" s="4" t="s">
        <v>45</v>
      </c>
      <c r="H929" s="4" t="s">
        <v>56</v>
      </c>
      <c r="I929" s="5">
        <v>45551</v>
      </c>
      <c r="J929" s="4">
        <f t="shared" si="14"/>
        <v>7</v>
      </c>
    </row>
    <row r="930" spans="1:10" x14ac:dyDescent="0.25">
      <c r="A930" s="4">
        <f>_xlfn.XLOOKUP(E930,'Data Validation'!$M$3:$M$10,'Data Validation'!$N$3:$N$10)</f>
        <v>2</v>
      </c>
      <c r="B930" s="4">
        <v>21</v>
      </c>
      <c r="C930" s="4" t="s">
        <v>11</v>
      </c>
      <c r="D930" s="7">
        <v>27.92</v>
      </c>
      <c r="E930" s="4" t="s">
        <v>19</v>
      </c>
      <c r="F930" s="4" t="s">
        <v>20</v>
      </c>
      <c r="G930" s="4" t="s">
        <v>45</v>
      </c>
      <c r="H930" s="4" t="s">
        <v>56</v>
      </c>
      <c r="I930" s="5">
        <v>45551</v>
      </c>
      <c r="J930" s="4">
        <f t="shared" si="14"/>
        <v>7</v>
      </c>
    </row>
    <row r="931" spans="1:10" x14ac:dyDescent="0.25">
      <c r="A931" s="4">
        <f>_xlfn.XLOOKUP(E931,'Data Validation'!$M$3:$M$10,'Data Validation'!$N$3:$N$10)</f>
        <v>2</v>
      </c>
      <c r="B931" s="4">
        <v>21</v>
      </c>
      <c r="C931" s="4" t="s">
        <v>11</v>
      </c>
      <c r="D931" s="7">
        <v>27.92</v>
      </c>
      <c r="E931" s="4" t="s">
        <v>19</v>
      </c>
      <c r="F931" s="4" t="s">
        <v>20</v>
      </c>
      <c r="G931" s="4" t="s">
        <v>45</v>
      </c>
      <c r="H931" s="4" t="s">
        <v>56</v>
      </c>
      <c r="I931" s="5">
        <v>45551</v>
      </c>
      <c r="J931" s="4">
        <f t="shared" si="14"/>
        <v>7</v>
      </c>
    </row>
    <row r="932" spans="1:10" x14ac:dyDescent="0.25">
      <c r="A932" s="4">
        <f>_xlfn.XLOOKUP(E932,'Data Validation'!$M$3:$M$10,'Data Validation'!$N$3:$N$10)</f>
        <v>2</v>
      </c>
      <c r="B932" s="4">
        <v>8</v>
      </c>
      <c r="C932" s="4" t="s">
        <v>11</v>
      </c>
      <c r="D932" s="7">
        <v>27.92</v>
      </c>
      <c r="E932" s="4" t="s">
        <v>19</v>
      </c>
      <c r="F932" s="4" t="s">
        <v>13</v>
      </c>
      <c r="G932" s="4" t="s">
        <v>46</v>
      </c>
      <c r="H932" s="4" t="s">
        <v>56</v>
      </c>
      <c r="I932" s="5">
        <v>45552</v>
      </c>
      <c r="J932" s="4">
        <f t="shared" si="14"/>
        <v>7</v>
      </c>
    </row>
    <row r="933" spans="1:10" x14ac:dyDescent="0.25">
      <c r="A933" s="4">
        <f>_xlfn.XLOOKUP(E933,'Data Validation'!$M$3:$M$10,'Data Validation'!$N$3:$N$10)</f>
        <v>2</v>
      </c>
      <c r="B933" s="4">
        <v>9</v>
      </c>
      <c r="C933" s="4" t="s">
        <v>11</v>
      </c>
      <c r="D933" s="7">
        <v>27.92</v>
      </c>
      <c r="E933" s="4" t="s">
        <v>19</v>
      </c>
      <c r="F933" s="4" t="s">
        <v>13</v>
      </c>
      <c r="G933" s="4" t="s">
        <v>46</v>
      </c>
      <c r="H933" s="4" t="s">
        <v>56</v>
      </c>
      <c r="I933" s="5">
        <v>45552</v>
      </c>
      <c r="J933" s="4">
        <f t="shared" si="14"/>
        <v>7</v>
      </c>
    </row>
    <row r="934" spans="1:10" x14ac:dyDescent="0.25">
      <c r="A934" s="4">
        <f>_xlfn.XLOOKUP(E934,'Data Validation'!$M$3:$M$10,'Data Validation'!$N$3:$N$10)</f>
        <v>2</v>
      </c>
      <c r="B934" s="4">
        <v>9</v>
      </c>
      <c r="C934" s="4" t="s">
        <v>11</v>
      </c>
      <c r="D934" s="7">
        <v>27.92</v>
      </c>
      <c r="E934" s="4" t="s">
        <v>19</v>
      </c>
      <c r="F934" s="4" t="s">
        <v>13</v>
      </c>
      <c r="G934" s="4" t="s">
        <v>46</v>
      </c>
      <c r="H934" s="4" t="s">
        <v>56</v>
      </c>
      <c r="I934" s="5">
        <v>45552</v>
      </c>
      <c r="J934" s="4">
        <f t="shared" si="14"/>
        <v>7</v>
      </c>
    </row>
    <row r="935" spans="1:10" x14ac:dyDescent="0.25">
      <c r="A935" s="4">
        <f>_xlfn.XLOOKUP(E935,'Data Validation'!$M$3:$M$10,'Data Validation'!$N$3:$N$10)</f>
        <v>2</v>
      </c>
      <c r="B935" s="4">
        <v>12</v>
      </c>
      <c r="C935" s="4" t="s">
        <v>11</v>
      </c>
      <c r="D935" s="7">
        <v>27.92</v>
      </c>
      <c r="E935" s="4" t="s">
        <v>19</v>
      </c>
      <c r="F935" s="4" t="s">
        <v>17</v>
      </c>
      <c r="G935" s="4" t="s">
        <v>46</v>
      </c>
      <c r="H935" s="4" t="s">
        <v>56</v>
      </c>
      <c r="I935" s="5">
        <v>45552</v>
      </c>
      <c r="J935" s="4">
        <f t="shared" si="14"/>
        <v>7</v>
      </c>
    </row>
    <row r="936" spans="1:10" x14ac:dyDescent="0.25">
      <c r="A936" s="4">
        <f>_xlfn.XLOOKUP(E936,'Data Validation'!$M$3:$M$10,'Data Validation'!$N$3:$N$10)</f>
        <v>2</v>
      </c>
      <c r="B936" s="4">
        <v>13</v>
      </c>
      <c r="C936" s="4" t="s">
        <v>11</v>
      </c>
      <c r="D936" s="7">
        <v>27.92</v>
      </c>
      <c r="E936" s="4" t="s">
        <v>19</v>
      </c>
      <c r="F936" s="4" t="s">
        <v>17</v>
      </c>
      <c r="G936" s="4" t="s">
        <v>46</v>
      </c>
      <c r="H936" s="4" t="s">
        <v>56</v>
      </c>
      <c r="I936" s="5">
        <v>45552</v>
      </c>
      <c r="J936" s="4">
        <f t="shared" si="14"/>
        <v>7</v>
      </c>
    </row>
    <row r="937" spans="1:10" x14ac:dyDescent="0.25">
      <c r="A937" s="4">
        <f>_xlfn.XLOOKUP(E937,'Data Validation'!$M$3:$M$10,'Data Validation'!$N$3:$N$10)</f>
        <v>2</v>
      </c>
      <c r="B937" s="4">
        <v>19</v>
      </c>
      <c r="C937" s="4" t="s">
        <v>11</v>
      </c>
      <c r="D937" s="7">
        <v>27.92</v>
      </c>
      <c r="E937" s="4" t="s">
        <v>19</v>
      </c>
      <c r="F937" s="4" t="s">
        <v>20</v>
      </c>
      <c r="G937" s="4" t="s">
        <v>46</v>
      </c>
      <c r="H937" s="4" t="s">
        <v>56</v>
      </c>
      <c r="I937" s="5">
        <v>45552</v>
      </c>
      <c r="J937" s="4">
        <f t="shared" si="14"/>
        <v>7</v>
      </c>
    </row>
    <row r="938" spans="1:10" x14ac:dyDescent="0.25">
      <c r="A938" s="4">
        <f>_xlfn.XLOOKUP(E938,'Data Validation'!$M$3:$M$10,'Data Validation'!$N$3:$N$10)</f>
        <v>2</v>
      </c>
      <c r="B938" s="4">
        <v>19</v>
      </c>
      <c r="C938" s="4" t="s">
        <v>11</v>
      </c>
      <c r="D938" s="7">
        <v>27.92</v>
      </c>
      <c r="E938" s="4" t="s">
        <v>19</v>
      </c>
      <c r="F938" s="4" t="s">
        <v>20</v>
      </c>
      <c r="G938" s="4" t="s">
        <v>46</v>
      </c>
      <c r="H938" s="4" t="s">
        <v>56</v>
      </c>
      <c r="I938" s="5">
        <v>45552</v>
      </c>
      <c r="J938" s="4">
        <f t="shared" si="14"/>
        <v>7</v>
      </c>
    </row>
    <row r="939" spans="1:10" x14ac:dyDescent="0.25">
      <c r="A939" s="4">
        <f>_xlfn.XLOOKUP(E939,'Data Validation'!$M$3:$M$10,'Data Validation'!$N$3:$N$10)</f>
        <v>2</v>
      </c>
      <c r="B939" s="4">
        <v>19</v>
      </c>
      <c r="C939" s="4" t="s">
        <v>11</v>
      </c>
      <c r="D939" s="7">
        <v>27.92</v>
      </c>
      <c r="E939" s="4" t="s">
        <v>19</v>
      </c>
      <c r="F939" s="4" t="s">
        <v>20</v>
      </c>
      <c r="G939" s="4" t="s">
        <v>46</v>
      </c>
      <c r="H939" s="4" t="s">
        <v>56</v>
      </c>
      <c r="I939" s="5">
        <v>45552</v>
      </c>
      <c r="J939" s="4">
        <f t="shared" si="14"/>
        <v>7</v>
      </c>
    </row>
    <row r="940" spans="1:10" x14ac:dyDescent="0.25">
      <c r="A940" s="4">
        <f>_xlfn.XLOOKUP(E940,'Data Validation'!$M$3:$M$10,'Data Validation'!$N$3:$N$10)</f>
        <v>2</v>
      </c>
      <c r="B940" s="4">
        <v>19</v>
      </c>
      <c r="C940" s="4" t="s">
        <v>11</v>
      </c>
      <c r="D940" s="7">
        <v>27.92</v>
      </c>
      <c r="E940" s="4" t="s">
        <v>19</v>
      </c>
      <c r="F940" s="4" t="s">
        <v>20</v>
      </c>
      <c r="G940" s="4" t="s">
        <v>46</v>
      </c>
      <c r="H940" s="4" t="s">
        <v>56</v>
      </c>
      <c r="I940" s="5">
        <v>45552</v>
      </c>
      <c r="J940" s="4">
        <f t="shared" si="14"/>
        <v>7</v>
      </c>
    </row>
    <row r="941" spans="1:10" x14ac:dyDescent="0.25">
      <c r="A941" s="4">
        <f>_xlfn.XLOOKUP(E941,'Data Validation'!$M$3:$M$10,'Data Validation'!$N$3:$N$10)</f>
        <v>2</v>
      </c>
      <c r="B941" s="4">
        <v>19</v>
      </c>
      <c r="C941" s="4" t="s">
        <v>11</v>
      </c>
      <c r="D941" s="7">
        <v>27.92</v>
      </c>
      <c r="E941" s="4" t="s">
        <v>19</v>
      </c>
      <c r="F941" s="4" t="s">
        <v>20</v>
      </c>
      <c r="G941" s="4" t="s">
        <v>46</v>
      </c>
      <c r="H941" s="4" t="s">
        <v>56</v>
      </c>
      <c r="I941" s="5">
        <v>45552</v>
      </c>
      <c r="J941" s="4">
        <f t="shared" si="14"/>
        <v>7</v>
      </c>
    </row>
    <row r="942" spans="1:10" x14ac:dyDescent="0.25">
      <c r="A942" s="4">
        <f>_xlfn.XLOOKUP(E942,'Data Validation'!$M$3:$M$10,'Data Validation'!$N$3:$N$10)</f>
        <v>2</v>
      </c>
      <c r="B942" s="4">
        <v>21</v>
      </c>
      <c r="C942" s="4" t="s">
        <v>11</v>
      </c>
      <c r="D942" s="7">
        <v>27.92</v>
      </c>
      <c r="E942" s="4" t="s">
        <v>19</v>
      </c>
      <c r="F942" s="4" t="s">
        <v>20</v>
      </c>
      <c r="G942" s="4" t="s">
        <v>47</v>
      </c>
      <c r="H942" s="4" t="s">
        <v>56</v>
      </c>
      <c r="I942" s="5">
        <v>45553</v>
      </c>
      <c r="J942" s="4">
        <f t="shared" si="14"/>
        <v>7</v>
      </c>
    </row>
    <row r="943" spans="1:10" x14ac:dyDescent="0.25">
      <c r="A943" s="4">
        <f>_xlfn.XLOOKUP(E943,'Data Validation'!$M$3:$M$10,'Data Validation'!$N$3:$N$10)</f>
        <v>2</v>
      </c>
      <c r="B943" s="4">
        <v>21</v>
      </c>
      <c r="C943" s="4" t="s">
        <v>11</v>
      </c>
      <c r="D943" s="7">
        <v>27.92</v>
      </c>
      <c r="E943" s="4" t="s">
        <v>19</v>
      </c>
      <c r="F943" s="4" t="s">
        <v>20</v>
      </c>
      <c r="G943" s="4" t="s">
        <v>47</v>
      </c>
      <c r="H943" s="4" t="s">
        <v>56</v>
      </c>
      <c r="I943" s="5">
        <v>45553</v>
      </c>
      <c r="J943" s="4">
        <f t="shared" si="14"/>
        <v>7</v>
      </c>
    </row>
    <row r="944" spans="1:10" x14ac:dyDescent="0.25">
      <c r="A944" s="4">
        <f>_xlfn.XLOOKUP(E944,'Data Validation'!$M$3:$M$10,'Data Validation'!$N$3:$N$10)</f>
        <v>2</v>
      </c>
      <c r="B944" s="4">
        <v>8</v>
      </c>
      <c r="C944" s="4" t="s">
        <v>11</v>
      </c>
      <c r="D944" s="7">
        <v>27.92</v>
      </c>
      <c r="E944" s="4" t="s">
        <v>19</v>
      </c>
      <c r="F944" s="4" t="s">
        <v>13</v>
      </c>
      <c r="G944" s="4" t="s">
        <v>48</v>
      </c>
      <c r="H944" s="4" t="s">
        <v>56</v>
      </c>
      <c r="I944" s="5">
        <v>45554</v>
      </c>
      <c r="J944" s="4">
        <f t="shared" si="14"/>
        <v>7</v>
      </c>
    </row>
    <row r="945" spans="1:10" x14ac:dyDescent="0.25">
      <c r="A945" s="4">
        <f>_xlfn.XLOOKUP(E945,'Data Validation'!$M$3:$M$10,'Data Validation'!$N$3:$N$10)</f>
        <v>2</v>
      </c>
      <c r="B945" s="4">
        <v>13</v>
      </c>
      <c r="C945" s="4" t="s">
        <v>11</v>
      </c>
      <c r="D945" s="7">
        <v>27.92</v>
      </c>
      <c r="E945" s="4" t="s">
        <v>19</v>
      </c>
      <c r="F945" s="4" t="s">
        <v>17</v>
      </c>
      <c r="G945" s="4" t="s">
        <v>48</v>
      </c>
      <c r="H945" s="4" t="s">
        <v>56</v>
      </c>
      <c r="I945" s="5">
        <v>45554</v>
      </c>
      <c r="J945" s="4">
        <f t="shared" si="14"/>
        <v>7</v>
      </c>
    </row>
    <row r="946" spans="1:10" x14ac:dyDescent="0.25">
      <c r="A946" s="4">
        <f>_xlfn.XLOOKUP(E946,'Data Validation'!$M$3:$M$10,'Data Validation'!$N$3:$N$10)</f>
        <v>2</v>
      </c>
      <c r="B946" s="4">
        <v>8</v>
      </c>
      <c r="C946" s="4" t="s">
        <v>11</v>
      </c>
      <c r="D946" s="7">
        <v>27.92</v>
      </c>
      <c r="E946" s="4" t="s">
        <v>19</v>
      </c>
      <c r="F946" s="4" t="s">
        <v>13</v>
      </c>
      <c r="G946" s="4" t="s">
        <v>49</v>
      </c>
      <c r="H946" s="4" t="s">
        <v>56</v>
      </c>
      <c r="I946" s="5">
        <v>45555</v>
      </c>
      <c r="J946" s="4">
        <f t="shared" si="14"/>
        <v>7</v>
      </c>
    </row>
    <row r="947" spans="1:10" x14ac:dyDescent="0.25">
      <c r="A947" s="4">
        <f>_xlfn.XLOOKUP(E947,'Data Validation'!$M$3:$M$10,'Data Validation'!$N$3:$N$10)</f>
        <v>2</v>
      </c>
      <c r="B947" s="4">
        <v>9</v>
      </c>
      <c r="C947" s="4" t="s">
        <v>11</v>
      </c>
      <c r="D947" s="7">
        <v>27.92</v>
      </c>
      <c r="E947" s="4" t="s">
        <v>19</v>
      </c>
      <c r="F947" s="4" t="s">
        <v>13</v>
      </c>
      <c r="G947" s="4" t="s">
        <v>49</v>
      </c>
      <c r="H947" s="4" t="s">
        <v>56</v>
      </c>
      <c r="I947" s="5">
        <v>45555</v>
      </c>
      <c r="J947" s="4">
        <f t="shared" si="14"/>
        <v>7</v>
      </c>
    </row>
    <row r="948" spans="1:10" x14ac:dyDescent="0.25">
      <c r="A948" s="4">
        <f>_xlfn.XLOOKUP(E948,'Data Validation'!$M$3:$M$10,'Data Validation'!$N$3:$N$10)</f>
        <v>2</v>
      </c>
      <c r="B948" s="4">
        <v>13</v>
      </c>
      <c r="C948" s="4" t="s">
        <v>11</v>
      </c>
      <c r="D948" s="7">
        <v>27.92</v>
      </c>
      <c r="E948" s="4" t="s">
        <v>19</v>
      </c>
      <c r="F948" s="4" t="s">
        <v>17</v>
      </c>
      <c r="G948" s="4" t="s">
        <v>49</v>
      </c>
      <c r="H948" s="4" t="s">
        <v>56</v>
      </c>
      <c r="I948" s="5">
        <v>45555</v>
      </c>
      <c r="J948" s="4">
        <f t="shared" si="14"/>
        <v>7</v>
      </c>
    </row>
    <row r="949" spans="1:10" x14ac:dyDescent="0.25">
      <c r="A949" s="4">
        <f>_xlfn.XLOOKUP(E949,'Data Validation'!$M$3:$M$10,'Data Validation'!$N$3:$N$10)</f>
        <v>2</v>
      </c>
      <c r="B949" s="4">
        <v>21</v>
      </c>
      <c r="C949" s="4" t="s">
        <v>11</v>
      </c>
      <c r="D949" s="7">
        <v>27.92</v>
      </c>
      <c r="E949" s="4" t="s">
        <v>19</v>
      </c>
      <c r="F949" s="4" t="s">
        <v>20</v>
      </c>
      <c r="G949" s="4" t="s">
        <v>49</v>
      </c>
      <c r="H949" s="4" t="s">
        <v>56</v>
      </c>
      <c r="I949" s="5">
        <v>45555</v>
      </c>
      <c r="J949" s="4">
        <f t="shared" si="14"/>
        <v>7</v>
      </c>
    </row>
    <row r="950" spans="1:10" x14ac:dyDescent="0.25">
      <c r="A950" s="4">
        <f>_xlfn.XLOOKUP(E950,'Data Validation'!$M$3:$M$10,'Data Validation'!$N$3:$N$10)</f>
        <v>2</v>
      </c>
      <c r="B950" s="4">
        <v>21</v>
      </c>
      <c r="C950" s="4" t="s">
        <v>11</v>
      </c>
      <c r="D950" s="7">
        <v>27.92</v>
      </c>
      <c r="E950" s="4" t="s">
        <v>19</v>
      </c>
      <c r="F950" s="4" t="s">
        <v>20</v>
      </c>
      <c r="G950" s="4" t="s">
        <v>49</v>
      </c>
      <c r="H950" s="4" t="s">
        <v>56</v>
      </c>
      <c r="I950" s="5">
        <v>45555</v>
      </c>
      <c r="J950" s="4">
        <f t="shared" si="14"/>
        <v>7</v>
      </c>
    </row>
    <row r="951" spans="1:10" x14ac:dyDescent="0.25">
      <c r="A951" s="4">
        <f>_xlfn.XLOOKUP(E951,'Data Validation'!$M$3:$M$10,'Data Validation'!$N$3:$N$10)</f>
        <v>2</v>
      </c>
      <c r="B951" s="4">
        <v>22</v>
      </c>
      <c r="C951" s="4" t="s">
        <v>11</v>
      </c>
      <c r="D951" s="7">
        <v>27.92</v>
      </c>
      <c r="E951" s="4" t="s">
        <v>19</v>
      </c>
      <c r="F951" s="4" t="s">
        <v>20</v>
      </c>
      <c r="G951" s="4" t="s">
        <v>50</v>
      </c>
      <c r="H951" s="4" t="s">
        <v>56</v>
      </c>
      <c r="I951" s="5">
        <v>45556</v>
      </c>
      <c r="J951" s="4">
        <f t="shared" si="14"/>
        <v>7</v>
      </c>
    </row>
    <row r="952" spans="1:10" x14ac:dyDescent="0.25">
      <c r="A952" s="4">
        <f>_xlfn.XLOOKUP(E952,'Data Validation'!$M$3:$M$10,'Data Validation'!$N$3:$N$10)</f>
        <v>2</v>
      </c>
      <c r="B952" s="4">
        <v>10</v>
      </c>
      <c r="C952" s="4" t="s">
        <v>11</v>
      </c>
      <c r="D952" s="7">
        <v>27.92</v>
      </c>
      <c r="E952" s="4" t="s">
        <v>19</v>
      </c>
      <c r="F952" s="4" t="s">
        <v>13</v>
      </c>
      <c r="G952" s="4" t="s">
        <v>51</v>
      </c>
      <c r="H952" s="4" t="s">
        <v>56</v>
      </c>
      <c r="I952" s="5">
        <v>45557</v>
      </c>
      <c r="J952" s="4">
        <f t="shared" si="14"/>
        <v>7</v>
      </c>
    </row>
    <row r="953" spans="1:10" x14ac:dyDescent="0.25">
      <c r="A953" s="4">
        <f>_xlfn.XLOOKUP(E953,'Data Validation'!$M$3:$M$10,'Data Validation'!$N$3:$N$10)</f>
        <v>2</v>
      </c>
      <c r="B953" s="4">
        <v>11</v>
      </c>
      <c r="C953" s="4" t="s">
        <v>11</v>
      </c>
      <c r="D953" s="7">
        <v>27.92</v>
      </c>
      <c r="E953" s="4" t="s">
        <v>19</v>
      </c>
      <c r="F953" s="4" t="s">
        <v>13</v>
      </c>
      <c r="G953" s="4" t="s">
        <v>51</v>
      </c>
      <c r="H953" s="4" t="s">
        <v>56</v>
      </c>
      <c r="I953" s="5">
        <v>45557</v>
      </c>
      <c r="J953" s="4">
        <f t="shared" si="14"/>
        <v>7</v>
      </c>
    </row>
    <row r="954" spans="1:10" x14ac:dyDescent="0.25">
      <c r="A954" s="4">
        <f>_xlfn.XLOOKUP(E954,'Data Validation'!$M$3:$M$10,'Data Validation'!$N$3:$N$10)</f>
        <v>2</v>
      </c>
      <c r="B954" s="4">
        <v>12</v>
      </c>
      <c r="C954" s="4" t="s">
        <v>11</v>
      </c>
      <c r="D954" s="7">
        <v>27.92</v>
      </c>
      <c r="E954" s="4" t="s">
        <v>19</v>
      </c>
      <c r="F954" s="4" t="s">
        <v>17</v>
      </c>
      <c r="G954" s="4" t="s">
        <v>51</v>
      </c>
      <c r="H954" s="4" t="s">
        <v>56</v>
      </c>
      <c r="I954" s="5">
        <v>45557</v>
      </c>
      <c r="J954" s="4">
        <f t="shared" si="14"/>
        <v>7</v>
      </c>
    </row>
    <row r="955" spans="1:10" x14ac:dyDescent="0.25">
      <c r="A955" s="4">
        <f>_xlfn.XLOOKUP(E955,'Data Validation'!$M$3:$M$10,'Data Validation'!$N$3:$N$10)</f>
        <v>2</v>
      </c>
      <c r="B955" s="4">
        <v>13</v>
      </c>
      <c r="C955" s="4" t="s">
        <v>11</v>
      </c>
      <c r="D955" s="7">
        <v>27.92</v>
      </c>
      <c r="E955" s="4" t="s">
        <v>19</v>
      </c>
      <c r="F955" s="4" t="s">
        <v>17</v>
      </c>
      <c r="G955" s="4" t="s">
        <v>51</v>
      </c>
      <c r="H955" s="4" t="s">
        <v>56</v>
      </c>
      <c r="I955" s="5">
        <v>45557</v>
      </c>
      <c r="J955" s="4">
        <f t="shared" si="14"/>
        <v>7</v>
      </c>
    </row>
    <row r="956" spans="1:10" x14ac:dyDescent="0.25">
      <c r="A956" s="4">
        <f>_xlfn.XLOOKUP(E956,'Data Validation'!$M$3:$M$10,'Data Validation'!$N$3:$N$10)</f>
        <v>2</v>
      </c>
      <c r="B956" s="4">
        <v>13</v>
      </c>
      <c r="C956" s="4" t="s">
        <v>11</v>
      </c>
      <c r="D956" s="7">
        <v>27.92</v>
      </c>
      <c r="E956" s="4" t="s">
        <v>19</v>
      </c>
      <c r="F956" s="4" t="s">
        <v>17</v>
      </c>
      <c r="G956" s="4" t="s">
        <v>51</v>
      </c>
      <c r="H956" s="4" t="s">
        <v>56</v>
      </c>
      <c r="I956" s="5">
        <v>45557</v>
      </c>
      <c r="J956" s="4">
        <f t="shared" si="14"/>
        <v>7</v>
      </c>
    </row>
    <row r="957" spans="1:10" x14ac:dyDescent="0.25">
      <c r="A957" s="4">
        <f>_xlfn.XLOOKUP(E957,'Data Validation'!$M$3:$M$10,'Data Validation'!$N$3:$N$10)</f>
        <v>2</v>
      </c>
      <c r="B957" s="4">
        <v>13</v>
      </c>
      <c r="C957" s="4" t="s">
        <v>11</v>
      </c>
      <c r="D957" s="7">
        <v>27.92</v>
      </c>
      <c r="E957" s="4" t="s">
        <v>19</v>
      </c>
      <c r="F957" s="4" t="s">
        <v>17</v>
      </c>
      <c r="G957" s="4" t="s">
        <v>51</v>
      </c>
      <c r="H957" s="4" t="s">
        <v>56</v>
      </c>
      <c r="I957" s="5">
        <v>45557</v>
      </c>
      <c r="J957" s="4">
        <f t="shared" si="14"/>
        <v>7</v>
      </c>
    </row>
    <row r="958" spans="1:10" x14ac:dyDescent="0.25">
      <c r="A958" s="4">
        <f>_xlfn.XLOOKUP(E958,'Data Validation'!$M$3:$M$10,'Data Validation'!$N$3:$N$10)</f>
        <v>2</v>
      </c>
      <c r="B958" s="4">
        <v>15</v>
      </c>
      <c r="C958" s="4" t="s">
        <v>11</v>
      </c>
      <c r="D958" s="7">
        <v>27.92</v>
      </c>
      <c r="E958" s="4" t="s">
        <v>19</v>
      </c>
      <c r="F958" s="4" t="s">
        <v>17</v>
      </c>
      <c r="G958" s="4" t="s">
        <v>51</v>
      </c>
      <c r="H958" s="4" t="s">
        <v>56</v>
      </c>
      <c r="I958" s="5">
        <v>45557</v>
      </c>
      <c r="J958" s="4">
        <f t="shared" si="14"/>
        <v>7</v>
      </c>
    </row>
    <row r="959" spans="1:10" x14ac:dyDescent="0.25">
      <c r="A959" s="4">
        <f>_xlfn.XLOOKUP(E959,'Data Validation'!$M$3:$M$10,'Data Validation'!$N$3:$N$10)</f>
        <v>2</v>
      </c>
      <c r="B959" s="4">
        <v>20</v>
      </c>
      <c r="C959" s="4" t="s">
        <v>11</v>
      </c>
      <c r="D959" s="7">
        <v>27.92</v>
      </c>
      <c r="E959" s="4" t="s">
        <v>19</v>
      </c>
      <c r="F959" s="4" t="s">
        <v>20</v>
      </c>
      <c r="G959" s="4" t="s">
        <v>51</v>
      </c>
      <c r="H959" s="4" t="s">
        <v>56</v>
      </c>
      <c r="I959" s="5">
        <v>45557</v>
      </c>
      <c r="J959" s="4">
        <f t="shared" si="14"/>
        <v>7</v>
      </c>
    </row>
    <row r="960" spans="1:10" x14ac:dyDescent="0.25">
      <c r="A960" s="4">
        <f>_xlfn.XLOOKUP(E960,'Data Validation'!$M$3:$M$10,'Data Validation'!$N$3:$N$10)</f>
        <v>2</v>
      </c>
      <c r="B960" s="4">
        <v>20</v>
      </c>
      <c r="C960" s="4" t="s">
        <v>11</v>
      </c>
      <c r="D960" s="7">
        <v>27.92</v>
      </c>
      <c r="E960" s="4" t="s">
        <v>19</v>
      </c>
      <c r="F960" s="4" t="s">
        <v>20</v>
      </c>
      <c r="G960" s="4" t="s">
        <v>51</v>
      </c>
      <c r="H960" s="4" t="s">
        <v>56</v>
      </c>
      <c r="I960" s="5">
        <v>45557</v>
      </c>
      <c r="J960" s="4">
        <f t="shared" si="14"/>
        <v>7</v>
      </c>
    </row>
    <row r="961" spans="1:10" x14ac:dyDescent="0.25">
      <c r="A961" s="4">
        <f>_xlfn.XLOOKUP(E961,'Data Validation'!$M$3:$M$10,'Data Validation'!$N$3:$N$10)</f>
        <v>2</v>
      </c>
      <c r="B961" s="4">
        <v>21</v>
      </c>
      <c r="C961" s="4" t="s">
        <v>11</v>
      </c>
      <c r="D961" s="7">
        <v>27.92</v>
      </c>
      <c r="E961" s="4" t="s">
        <v>19</v>
      </c>
      <c r="F961" s="4" t="s">
        <v>20</v>
      </c>
      <c r="G961" s="4" t="s">
        <v>51</v>
      </c>
      <c r="H961" s="4" t="s">
        <v>56</v>
      </c>
      <c r="I961" s="5">
        <v>45557</v>
      </c>
      <c r="J961" s="4">
        <f t="shared" si="14"/>
        <v>7</v>
      </c>
    </row>
    <row r="962" spans="1:10" x14ac:dyDescent="0.25">
      <c r="A962" s="4">
        <f>_xlfn.XLOOKUP(E962,'Data Validation'!$M$3:$M$10,'Data Validation'!$N$3:$N$10)</f>
        <v>2</v>
      </c>
      <c r="B962" s="4">
        <v>21</v>
      </c>
      <c r="C962" s="4" t="s">
        <v>11</v>
      </c>
      <c r="D962" s="7">
        <v>27.92</v>
      </c>
      <c r="E962" s="4" t="s">
        <v>19</v>
      </c>
      <c r="F962" s="4" t="s">
        <v>20</v>
      </c>
      <c r="G962" s="4" t="s">
        <v>51</v>
      </c>
      <c r="H962" s="4" t="s">
        <v>56</v>
      </c>
      <c r="I962" s="5">
        <v>45557</v>
      </c>
      <c r="J962" s="4">
        <f t="shared" si="14"/>
        <v>7</v>
      </c>
    </row>
    <row r="963" spans="1:10" x14ac:dyDescent="0.25">
      <c r="A963" s="4">
        <f>_xlfn.XLOOKUP(E963,'Data Validation'!$M$3:$M$10,'Data Validation'!$N$3:$N$10)</f>
        <v>2</v>
      </c>
      <c r="B963" s="4">
        <v>22</v>
      </c>
      <c r="C963" s="4" t="s">
        <v>11</v>
      </c>
      <c r="D963" s="7">
        <v>27.92</v>
      </c>
      <c r="E963" s="4" t="s">
        <v>19</v>
      </c>
      <c r="F963" s="4" t="s">
        <v>20</v>
      </c>
      <c r="G963" s="4" t="s">
        <v>51</v>
      </c>
      <c r="H963" s="4" t="s">
        <v>56</v>
      </c>
      <c r="I963" s="5">
        <v>45557</v>
      </c>
      <c r="J963" s="4">
        <f t="shared" ref="J963:J1026" si="15">IF(OR(E963&lt;&gt;E962,D963&lt;&gt;D962),J962+1,J962)</f>
        <v>7</v>
      </c>
    </row>
    <row r="964" spans="1:10" x14ac:dyDescent="0.25">
      <c r="A964" s="4">
        <f>_xlfn.XLOOKUP(E964,'Data Validation'!$M$3:$M$10,'Data Validation'!$N$3:$N$10)</f>
        <v>2</v>
      </c>
      <c r="B964" s="4">
        <v>9</v>
      </c>
      <c r="C964" s="4" t="s">
        <v>11</v>
      </c>
      <c r="D964" s="7">
        <v>27.92</v>
      </c>
      <c r="E964" s="4" t="s">
        <v>19</v>
      </c>
      <c r="F964" s="4" t="s">
        <v>13</v>
      </c>
      <c r="G964" s="4" t="s">
        <v>45</v>
      </c>
      <c r="H964" s="4" t="s">
        <v>56</v>
      </c>
      <c r="I964" s="5">
        <v>45558</v>
      </c>
      <c r="J964" s="4">
        <f t="shared" si="15"/>
        <v>7</v>
      </c>
    </row>
    <row r="965" spans="1:10" x14ac:dyDescent="0.25">
      <c r="A965" s="4">
        <f>_xlfn.XLOOKUP(E965,'Data Validation'!$M$3:$M$10,'Data Validation'!$N$3:$N$10)</f>
        <v>2</v>
      </c>
      <c r="B965" s="4">
        <v>14</v>
      </c>
      <c r="C965" s="4" t="s">
        <v>11</v>
      </c>
      <c r="D965" s="7">
        <v>27.92</v>
      </c>
      <c r="E965" s="4" t="s">
        <v>19</v>
      </c>
      <c r="F965" s="4" t="s">
        <v>17</v>
      </c>
      <c r="G965" s="4" t="s">
        <v>45</v>
      </c>
      <c r="H965" s="4" t="s">
        <v>56</v>
      </c>
      <c r="I965" s="5">
        <v>45558</v>
      </c>
      <c r="J965" s="4">
        <f t="shared" si="15"/>
        <v>7</v>
      </c>
    </row>
    <row r="966" spans="1:10" x14ac:dyDescent="0.25">
      <c r="A966" s="4">
        <f>_xlfn.XLOOKUP(E966,'Data Validation'!$M$3:$M$10,'Data Validation'!$N$3:$N$10)</f>
        <v>2</v>
      </c>
      <c r="B966" s="4">
        <v>22</v>
      </c>
      <c r="C966" s="4" t="s">
        <v>11</v>
      </c>
      <c r="D966" s="7">
        <v>27.92</v>
      </c>
      <c r="E966" s="4" t="s">
        <v>19</v>
      </c>
      <c r="F966" s="4" t="s">
        <v>20</v>
      </c>
      <c r="G966" s="4" t="s">
        <v>45</v>
      </c>
      <c r="H966" s="4" t="s">
        <v>56</v>
      </c>
      <c r="I966" s="5">
        <v>45558</v>
      </c>
      <c r="J966" s="4">
        <f t="shared" si="15"/>
        <v>7</v>
      </c>
    </row>
    <row r="967" spans="1:10" x14ac:dyDescent="0.25">
      <c r="A967" s="4">
        <f>_xlfn.XLOOKUP(E967,'Data Validation'!$M$3:$M$10,'Data Validation'!$N$3:$N$10)</f>
        <v>2</v>
      </c>
      <c r="B967" s="4">
        <v>22</v>
      </c>
      <c r="C967" s="4" t="s">
        <v>11</v>
      </c>
      <c r="D967" s="7">
        <v>27.92</v>
      </c>
      <c r="E967" s="4" t="s">
        <v>19</v>
      </c>
      <c r="F967" s="4" t="s">
        <v>20</v>
      </c>
      <c r="G967" s="4" t="s">
        <v>45</v>
      </c>
      <c r="H967" s="4" t="s">
        <v>56</v>
      </c>
      <c r="I967" s="5">
        <v>45558</v>
      </c>
      <c r="J967" s="4">
        <f t="shared" si="15"/>
        <v>7</v>
      </c>
    </row>
    <row r="968" spans="1:10" x14ac:dyDescent="0.25">
      <c r="A968" s="4">
        <f>_xlfn.XLOOKUP(E968,'Data Validation'!$M$3:$M$10,'Data Validation'!$N$3:$N$10)</f>
        <v>2</v>
      </c>
      <c r="B968" s="4">
        <v>8</v>
      </c>
      <c r="C968" s="4" t="s">
        <v>11</v>
      </c>
      <c r="D968" s="7">
        <v>27.92</v>
      </c>
      <c r="E968" s="4" t="s">
        <v>19</v>
      </c>
      <c r="F968" s="4" t="s">
        <v>13</v>
      </c>
      <c r="G968" s="4" t="s">
        <v>46</v>
      </c>
      <c r="H968" s="4" t="s">
        <v>56</v>
      </c>
      <c r="I968" s="5">
        <v>45559</v>
      </c>
      <c r="J968" s="4">
        <f t="shared" si="15"/>
        <v>7</v>
      </c>
    </row>
    <row r="969" spans="1:10" x14ac:dyDescent="0.25">
      <c r="A969" s="4">
        <f>_xlfn.XLOOKUP(E969,'Data Validation'!$M$3:$M$10,'Data Validation'!$N$3:$N$10)</f>
        <v>2</v>
      </c>
      <c r="B969" s="4">
        <v>21</v>
      </c>
      <c r="C969" s="4" t="s">
        <v>11</v>
      </c>
      <c r="D969" s="7">
        <v>27.92</v>
      </c>
      <c r="E969" s="4" t="s">
        <v>19</v>
      </c>
      <c r="F969" s="4" t="s">
        <v>20</v>
      </c>
      <c r="G969" s="4" t="s">
        <v>46</v>
      </c>
      <c r="H969" s="4" t="s">
        <v>56</v>
      </c>
      <c r="I969" s="5">
        <v>45559</v>
      </c>
      <c r="J969" s="4">
        <f t="shared" si="15"/>
        <v>7</v>
      </c>
    </row>
    <row r="970" spans="1:10" x14ac:dyDescent="0.25">
      <c r="A970" s="4">
        <f>_xlfn.XLOOKUP(E970,'Data Validation'!$M$3:$M$10,'Data Validation'!$N$3:$N$10)</f>
        <v>2</v>
      </c>
      <c r="B970" s="4">
        <v>21</v>
      </c>
      <c r="C970" s="4" t="s">
        <v>11</v>
      </c>
      <c r="D970" s="7">
        <v>27.92</v>
      </c>
      <c r="E970" s="4" t="s">
        <v>19</v>
      </c>
      <c r="F970" s="4" t="s">
        <v>20</v>
      </c>
      <c r="G970" s="4" t="s">
        <v>46</v>
      </c>
      <c r="H970" s="4" t="s">
        <v>56</v>
      </c>
      <c r="I970" s="5">
        <v>45559</v>
      </c>
      <c r="J970" s="4">
        <f t="shared" si="15"/>
        <v>7</v>
      </c>
    </row>
    <row r="971" spans="1:10" x14ac:dyDescent="0.25">
      <c r="A971" s="4">
        <f>_xlfn.XLOOKUP(E971,'Data Validation'!$M$3:$M$10,'Data Validation'!$N$3:$N$10)</f>
        <v>2</v>
      </c>
      <c r="B971" s="4">
        <v>11</v>
      </c>
      <c r="C971" s="4" t="s">
        <v>11</v>
      </c>
      <c r="D971" s="7">
        <v>27.92</v>
      </c>
      <c r="E971" s="4" t="s">
        <v>19</v>
      </c>
      <c r="F971" s="4" t="s">
        <v>13</v>
      </c>
      <c r="G971" s="4" t="s">
        <v>47</v>
      </c>
      <c r="H971" s="4" t="s">
        <v>56</v>
      </c>
      <c r="I971" s="5">
        <v>45560</v>
      </c>
      <c r="J971" s="4">
        <f t="shared" si="15"/>
        <v>7</v>
      </c>
    </row>
    <row r="972" spans="1:10" x14ac:dyDescent="0.25">
      <c r="A972" s="4">
        <f>_xlfn.XLOOKUP(E972,'Data Validation'!$M$3:$M$10,'Data Validation'!$N$3:$N$10)</f>
        <v>2</v>
      </c>
      <c r="B972" s="4">
        <v>13</v>
      </c>
      <c r="C972" s="4" t="s">
        <v>11</v>
      </c>
      <c r="D972" s="7">
        <v>27.92</v>
      </c>
      <c r="E972" s="4" t="s">
        <v>19</v>
      </c>
      <c r="F972" s="4" t="s">
        <v>17</v>
      </c>
      <c r="G972" s="4" t="s">
        <v>47</v>
      </c>
      <c r="H972" s="4" t="s">
        <v>56</v>
      </c>
      <c r="I972" s="5">
        <v>45560</v>
      </c>
      <c r="J972" s="4">
        <f t="shared" si="15"/>
        <v>7</v>
      </c>
    </row>
    <row r="973" spans="1:10" x14ac:dyDescent="0.25">
      <c r="A973" s="4">
        <f>_xlfn.XLOOKUP(E973,'Data Validation'!$M$3:$M$10,'Data Validation'!$N$3:$N$10)</f>
        <v>2</v>
      </c>
      <c r="B973" s="4">
        <v>13</v>
      </c>
      <c r="C973" s="4" t="s">
        <v>11</v>
      </c>
      <c r="D973" s="7">
        <v>27.92</v>
      </c>
      <c r="E973" s="4" t="s">
        <v>19</v>
      </c>
      <c r="F973" s="4" t="s">
        <v>17</v>
      </c>
      <c r="G973" s="4" t="s">
        <v>47</v>
      </c>
      <c r="H973" s="4" t="s">
        <v>56</v>
      </c>
      <c r="I973" s="5">
        <v>45560</v>
      </c>
      <c r="J973" s="4">
        <f t="shared" si="15"/>
        <v>7</v>
      </c>
    </row>
    <row r="974" spans="1:10" x14ac:dyDescent="0.25">
      <c r="A974" s="4">
        <f>_xlfn.XLOOKUP(E974,'Data Validation'!$M$3:$M$10,'Data Validation'!$N$3:$N$10)</f>
        <v>2</v>
      </c>
      <c r="B974" s="4">
        <v>17</v>
      </c>
      <c r="C974" s="4" t="s">
        <v>11</v>
      </c>
      <c r="D974" s="7">
        <v>27.92</v>
      </c>
      <c r="E974" s="4" t="s">
        <v>19</v>
      </c>
      <c r="F974" s="4" t="s">
        <v>20</v>
      </c>
      <c r="G974" s="4" t="s">
        <v>47</v>
      </c>
      <c r="H974" s="4" t="s">
        <v>56</v>
      </c>
      <c r="I974" s="5">
        <v>45560</v>
      </c>
      <c r="J974" s="4">
        <f t="shared" si="15"/>
        <v>7</v>
      </c>
    </row>
    <row r="975" spans="1:10" x14ac:dyDescent="0.25">
      <c r="A975" s="4">
        <f>_xlfn.XLOOKUP(E975,'Data Validation'!$M$3:$M$10,'Data Validation'!$N$3:$N$10)</f>
        <v>2</v>
      </c>
      <c r="B975" s="4">
        <v>17</v>
      </c>
      <c r="C975" s="4" t="s">
        <v>11</v>
      </c>
      <c r="D975" s="7">
        <v>27.92</v>
      </c>
      <c r="E975" s="4" t="s">
        <v>19</v>
      </c>
      <c r="F975" s="4" t="s">
        <v>20</v>
      </c>
      <c r="G975" s="4" t="s">
        <v>47</v>
      </c>
      <c r="H975" s="4" t="s">
        <v>56</v>
      </c>
      <c r="I975" s="5">
        <v>45560</v>
      </c>
      <c r="J975" s="4">
        <f t="shared" si="15"/>
        <v>7</v>
      </c>
    </row>
    <row r="976" spans="1:10" x14ac:dyDescent="0.25">
      <c r="A976" s="4">
        <f>_xlfn.XLOOKUP(E976,'Data Validation'!$M$3:$M$10,'Data Validation'!$N$3:$N$10)</f>
        <v>2</v>
      </c>
      <c r="B976" s="4">
        <v>22</v>
      </c>
      <c r="C976" s="4" t="s">
        <v>11</v>
      </c>
      <c r="D976" s="7">
        <v>27.92</v>
      </c>
      <c r="E976" s="4" t="s">
        <v>19</v>
      </c>
      <c r="F976" s="4" t="s">
        <v>20</v>
      </c>
      <c r="G976" s="4" t="s">
        <v>47</v>
      </c>
      <c r="H976" s="4" t="s">
        <v>56</v>
      </c>
      <c r="I976" s="5">
        <v>45560</v>
      </c>
      <c r="J976" s="4">
        <f t="shared" si="15"/>
        <v>7</v>
      </c>
    </row>
    <row r="977" spans="1:10" x14ac:dyDescent="0.25">
      <c r="A977" s="4">
        <f>_xlfn.XLOOKUP(E977,'Data Validation'!$M$3:$M$10,'Data Validation'!$N$3:$N$10)</f>
        <v>2</v>
      </c>
      <c r="B977" s="4">
        <v>10</v>
      </c>
      <c r="C977" s="4" t="s">
        <v>11</v>
      </c>
      <c r="D977" s="7">
        <v>27.92</v>
      </c>
      <c r="E977" s="4" t="s">
        <v>19</v>
      </c>
      <c r="F977" s="4" t="s">
        <v>13</v>
      </c>
      <c r="G977" s="4" t="s">
        <v>48</v>
      </c>
      <c r="H977" s="4" t="s">
        <v>56</v>
      </c>
      <c r="I977" s="5">
        <v>45561</v>
      </c>
      <c r="J977" s="4">
        <f t="shared" si="15"/>
        <v>7</v>
      </c>
    </row>
    <row r="978" spans="1:10" x14ac:dyDescent="0.25">
      <c r="A978" s="4">
        <f>_xlfn.XLOOKUP(E978,'Data Validation'!$M$3:$M$10,'Data Validation'!$N$3:$N$10)</f>
        <v>2</v>
      </c>
      <c r="B978" s="4">
        <v>22</v>
      </c>
      <c r="C978" s="4" t="s">
        <v>11</v>
      </c>
      <c r="D978" s="7">
        <v>27.92</v>
      </c>
      <c r="E978" s="4" t="s">
        <v>19</v>
      </c>
      <c r="F978" s="4" t="s">
        <v>20</v>
      </c>
      <c r="G978" s="4" t="s">
        <v>48</v>
      </c>
      <c r="H978" s="4" t="s">
        <v>56</v>
      </c>
      <c r="I978" s="5">
        <v>45561</v>
      </c>
      <c r="J978" s="4">
        <f t="shared" si="15"/>
        <v>7</v>
      </c>
    </row>
    <row r="979" spans="1:10" x14ac:dyDescent="0.25">
      <c r="A979" s="4">
        <f>_xlfn.XLOOKUP(E979,'Data Validation'!$M$3:$M$10,'Data Validation'!$N$3:$N$10)</f>
        <v>2</v>
      </c>
      <c r="B979" s="4">
        <v>9</v>
      </c>
      <c r="C979" s="4" t="s">
        <v>11</v>
      </c>
      <c r="D979" s="7">
        <v>27.92</v>
      </c>
      <c r="E979" s="4" t="s">
        <v>19</v>
      </c>
      <c r="F979" s="4" t="s">
        <v>13</v>
      </c>
      <c r="G979" s="4" t="s">
        <v>49</v>
      </c>
      <c r="H979" s="4" t="s">
        <v>56</v>
      </c>
      <c r="I979" s="5">
        <v>45562</v>
      </c>
      <c r="J979" s="4">
        <f t="shared" si="15"/>
        <v>7</v>
      </c>
    </row>
    <row r="980" spans="1:10" x14ac:dyDescent="0.25">
      <c r="A980" s="4">
        <f>_xlfn.XLOOKUP(E980,'Data Validation'!$M$3:$M$10,'Data Validation'!$N$3:$N$10)</f>
        <v>2</v>
      </c>
      <c r="B980" s="4">
        <v>10</v>
      </c>
      <c r="C980" s="4" t="s">
        <v>11</v>
      </c>
      <c r="D980" s="7">
        <v>27.92</v>
      </c>
      <c r="E980" s="4" t="s">
        <v>19</v>
      </c>
      <c r="F980" s="4" t="s">
        <v>13</v>
      </c>
      <c r="G980" s="4" t="s">
        <v>49</v>
      </c>
      <c r="H980" s="4" t="s">
        <v>56</v>
      </c>
      <c r="I980" s="5">
        <v>45562</v>
      </c>
      <c r="J980" s="4">
        <f t="shared" si="15"/>
        <v>7</v>
      </c>
    </row>
    <row r="981" spans="1:10" x14ac:dyDescent="0.25">
      <c r="A981" s="4">
        <f>_xlfn.XLOOKUP(E981,'Data Validation'!$M$3:$M$10,'Data Validation'!$N$3:$N$10)</f>
        <v>2</v>
      </c>
      <c r="B981" s="4">
        <v>11</v>
      </c>
      <c r="C981" s="4" t="s">
        <v>11</v>
      </c>
      <c r="D981" s="7">
        <v>27.92</v>
      </c>
      <c r="E981" s="4" t="s">
        <v>19</v>
      </c>
      <c r="F981" s="4" t="s">
        <v>13</v>
      </c>
      <c r="G981" s="4" t="s">
        <v>49</v>
      </c>
      <c r="H981" s="4" t="s">
        <v>56</v>
      </c>
      <c r="I981" s="5">
        <v>45562</v>
      </c>
      <c r="J981" s="4">
        <f t="shared" si="15"/>
        <v>7</v>
      </c>
    </row>
    <row r="982" spans="1:10" x14ac:dyDescent="0.25">
      <c r="A982" s="4">
        <f>_xlfn.XLOOKUP(E982,'Data Validation'!$M$3:$M$10,'Data Validation'!$N$3:$N$10)</f>
        <v>2</v>
      </c>
      <c r="B982" s="4">
        <v>13</v>
      </c>
      <c r="C982" s="4" t="s">
        <v>11</v>
      </c>
      <c r="D982" s="7">
        <v>27.92</v>
      </c>
      <c r="E982" s="4" t="s">
        <v>19</v>
      </c>
      <c r="F982" s="4" t="s">
        <v>17</v>
      </c>
      <c r="G982" s="4" t="s">
        <v>49</v>
      </c>
      <c r="H982" s="4" t="s">
        <v>56</v>
      </c>
      <c r="I982" s="5">
        <v>45562</v>
      </c>
      <c r="J982" s="4">
        <f t="shared" si="15"/>
        <v>7</v>
      </c>
    </row>
    <row r="983" spans="1:10" x14ac:dyDescent="0.25">
      <c r="A983" s="4">
        <f>_xlfn.XLOOKUP(E983,'Data Validation'!$M$3:$M$10,'Data Validation'!$N$3:$N$10)</f>
        <v>2</v>
      </c>
      <c r="B983" s="4">
        <v>20</v>
      </c>
      <c r="C983" s="4" t="s">
        <v>11</v>
      </c>
      <c r="D983" s="7">
        <v>27.92</v>
      </c>
      <c r="E983" s="4" t="s">
        <v>19</v>
      </c>
      <c r="F983" s="4" t="s">
        <v>20</v>
      </c>
      <c r="G983" s="4" t="s">
        <v>49</v>
      </c>
      <c r="H983" s="4" t="s">
        <v>56</v>
      </c>
      <c r="I983" s="5">
        <v>45562</v>
      </c>
      <c r="J983" s="4">
        <f t="shared" si="15"/>
        <v>7</v>
      </c>
    </row>
    <row r="984" spans="1:10" x14ac:dyDescent="0.25">
      <c r="A984" s="4">
        <f>_xlfn.XLOOKUP(E984,'Data Validation'!$M$3:$M$10,'Data Validation'!$N$3:$N$10)</f>
        <v>2</v>
      </c>
      <c r="B984" s="4">
        <v>8</v>
      </c>
      <c r="C984" s="4" t="s">
        <v>11</v>
      </c>
      <c r="D984" s="7">
        <v>27.92</v>
      </c>
      <c r="E984" s="4" t="s">
        <v>19</v>
      </c>
      <c r="F984" s="4" t="s">
        <v>13</v>
      </c>
      <c r="G984" s="4" t="s">
        <v>50</v>
      </c>
      <c r="H984" s="4" t="s">
        <v>56</v>
      </c>
      <c r="I984" s="5">
        <v>45563</v>
      </c>
      <c r="J984" s="4">
        <f t="shared" si="15"/>
        <v>7</v>
      </c>
    </row>
    <row r="985" spans="1:10" x14ac:dyDescent="0.25">
      <c r="A985" s="4">
        <f>_xlfn.XLOOKUP(E985,'Data Validation'!$M$3:$M$10,'Data Validation'!$N$3:$N$10)</f>
        <v>2</v>
      </c>
      <c r="B985" s="4">
        <v>9</v>
      </c>
      <c r="C985" s="4" t="s">
        <v>11</v>
      </c>
      <c r="D985" s="7">
        <v>27.92</v>
      </c>
      <c r="E985" s="4" t="s">
        <v>19</v>
      </c>
      <c r="F985" s="4" t="s">
        <v>13</v>
      </c>
      <c r="G985" s="4" t="s">
        <v>50</v>
      </c>
      <c r="H985" s="4" t="s">
        <v>56</v>
      </c>
      <c r="I985" s="5">
        <v>45563</v>
      </c>
      <c r="J985" s="4">
        <f t="shared" si="15"/>
        <v>7</v>
      </c>
    </row>
    <row r="986" spans="1:10" x14ac:dyDescent="0.25">
      <c r="A986" s="4">
        <f>_xlfn.XLOOKUP(E986,'Data Validation'!$M$3:$M$10,'Data Validation'!$N$3:$N$10)</f>
        <v>2</v>
      </c>
      <c r="B986" s="4">
        <v>17</v>
      </c>
      <c r="C986" s="4" t="s">
        <v>11</v>
      </c>
      <c r="D986" s="7">
        <v>30.86</v>
      </c>
      <c r="E986" s="4" t="s">
        <v>19</v>
      </c>
      <c r="F986" s="4" t="s">
        <v>20</v>
      </c>
      <c r="G986" s="4" t="s">
        <v>50</v>
      </c>
      <c r="H986" s="4" t="s">
        <v>56</v>
      </c>
      <c r="I986" s="5">
        <v>45563</v>
      </c>
      <c r="J986" s="4">
        <f t="shared" si="15"/>
        <v>8</v>
      </c>
    </row>
    <row r="987" spans="1:10" x14ac:dyDescent="0.25">
      <c r="A987" s="4">
        <f>_xlfn.XLOOKUP(E987,'Data Validation'!$M$3:$M$10,'Data Validation'!$N$3:$N$10)</f>
        <v>2</v>
      </c>
      <c r="B987" s="4">
        <v>10</v>
      </c>
      <c r="C987" s="4" t="s">
        <v>11</v>
      </c>
      <c r="D987" s="7">
        <v>30.86</v>
      </c>
      <c r="E987" s="4" t="s">
        <v>19</v>
      </c>
      <c r="F987" s="4" t="s">
        <v>13</v>
      </c>
      <c r="G987" s="4" t="s">
        <v>51</v>
      </c>
      <c r="H987" s="4" t="s">
        <v>56</v>
      </c>
      <c r="I987" s="5">
        <v>45564</v>
      </c>
      <c r="J987" s="4">
        <f t="shared" si="15"/>
        <v>8</v>
      </c>
    </row>
    <row r="988" spans="1:10" x14ac:dyDescent="0.25">
      <c r="A988" s="4">
        <f>_xlfn.XLOOKUP(E988,'Data Validation'!$M$3:$M$10,'Data Validation'!$N$3:$N$10)</f>
        <v>2</v>
      </c>
      <c r="B988" s="4">
        <v>10</v>
      </c>
      <c r="C988" s="4" t="s">
        <v>11</v>
      </c>
      <c r="D988" s="7">
        <v>30.86</v>
      </c>
      <c r="E988" s="4" t="s">
        <v>19</v>
      </c>
      <c r="F988" s="4" t="s">
        <v>13</v>
      </c>
      <c r="G988" s="4" t="s">
        <v>45</v>
      </c>
      <c r="H988" s="4" t="s">
        <v>56</v>
      </c>
      <c r="I988" s="5">
        <v>45565</v>
      </c>
      <c r="J988" s="4">
        <f t="shared" si="15"/>
        <v>8</v>
      </c>
    </row>
    <row r="989" spans="1:10" x14ac:dyDescent="0.25">
      <c r="A989" s="4">
        <f>_xlfn.XLOOKUP(E989,'Data Validation'!$M$3:$M$10,'Data Validation'!$N$3:$N$10)</f>
        <v>2</v>
      </c>
      <c r="B989" s="4">
        <v>11</v>
      </c>
      <c r="C989" s="4" t="s">
        <v>11</v>
      </c>
      <c r="D989" s="7">
        <v>30.86</v>
      </c>
      <c r="E989" s="4" t="s">
        <v>19</v>
      </c>
      <c r="F989" s="4" t="s">
        <v>13</v>
      </c>
      <c r="G989" s="4" t="s">
        <v>45</v>
      </c>
      <c r="H989" s="4" t="s">
        <v>56</v>
      </c>
      <c r="I989" s="5">
        <v>45565</v>
      </c>
      <c r="J989" s="4">
        <f t="shared" si="15"/>
        <v>8</v>
      </c>
    </row>
    <row r="990" spans="1:10" x14ac:dyDescent="0.25">
      <c r="A990" s="4">
        <f>_xlfn.XLOOKUP(E990,'Data Validation'!$M$3:$M$10,'Data Validation'!$N$3:$N$10)</f>
        <v>2</v>
      </c>
      <c r="B990" s="4">
        <v>16</v>
      </c>
      <c r="C990" s="4" t="s">
        <v>11</v>
      </c>
      <c r="D990" s="7">
        <v>30.86</v>
      </c>
      <c r="E990" s="4" t="s">
        <v>19</v>
      </c>
      <c r="F990" s="4" t="s">
        <v>17</v>
      </c>
      <c r="G990" s="4" t="s">
        <v>45</v>
      </c>
      <c r="H990" s="4" t="s">
        <v>56</v>
      </c>
      <c r="I990" s="5">
        <v>45565</v>
      </c>
      <c r="J990" s="4">
        <f t="shared" si="15"/>
        <v>8</v>
      </c>
    </row>
    <row r="991" spans="1:10" x14ac:dyDescent="0.25">
      <c r="A991" s="4">
        <f>_xlfn.XLOOKUP(E991,'Data Validation'!$M$3:$M$10,'Data Validation'!$N$3:$N$10)</f>
        <v>2</v>
      </c>
      <c r="B991" s="4">
        <v>19</v>
      </c>
      <c r="C991" s="4" t="s">
        <v>11</v>
      </c>
      <c r="D991" s="7">
        <v>30.86</v>
      </c>
      <c r="E991" s="4" t="s">
        <v>19</v>
      </c>
      <c r="F991" s="4" t="s">
        <v>20</v>
      </c>
      <c r="G991" s="4" t="s">
        <v>45</v>
      </c>
      <c r="H991" s="4" t="s">
        <v>56</v>
      </c>
      <c r="I991" s="5">
        <v>45565</v>
      </c>
      <c r="J991" s="4">
        <f t="shared" si="15"/>
        <v>8</v>
      </c>
    </row>
    <row r="992" spans="1:10" x14ac:dyDescent="0.25">
      <c r="A992" s="4">
        <f>_xlfn.XLOOKUP(E992,'Data Validation'!$M$3:$M$10,'Data Validation'!$N$3:$N$10)</f>
        <v>2</v>
      </c>
      <c r="B992" s="4">
        <v>20</v>
      </c>
      <c r="C992" s="4" t="s">
        <v>11</v>
      </c>
      <c r="D992" s="7">
        <v>30.86</v>
      </c>
      <c r="E992" s="4" t="s">
        <v>19</v>
      </c>
      <c r="F992" s="4" t="s">
        <v>20</v>
      </c>
      <c r="G992" s="4" t="s">
        <v>45</v>
      </c>
      <c r="H992" s="4" t="s">
        <v>56</v>
      </c>
      <c r="I992" s="5">
        <v>45565</v>
      </c>
      <c r="J992" s="4">
        <f t="shared" si="15"/>
        <v>8</v>
      </c>
    </row>
    <row r="993" spans="1:10" x14ac:dyDescent="0.25">
      <c r="A993" s="4">
        <f>_xlfn.XLOOKUP(E993,'Data Validation'!$M$3:$M$10,'Data Validation'!$N$3:$N$10)</f>
        <v>2</v>
      </c>
      <c r="B993" s="4">
        <v>20</v>
      </c>
      <c r="C993" s="4" t="s">
        <v>11</v>
      </c>
      <c r="D993" s="7">
        <v>30.86</v>
      </c>
      <c r="E993" s="4" t="s">
        <v>19</v>
      </c>
      <c r="F993" s="4" t="s">
        <v>20</v>
      </c>
      <c r="G993" s="4" t="s">
        <v>45</v>
      </c>
      <c r="H993" s="4" t="s">
        <v>56</v>
      </c>
      <c r="I993" s="5">
        <v>45565</v>
      </c>
      <c r="J993" s="4">
        <f t="shared" si="15"/>
        <v>8</v>
      </c>
    </row>
    <row r="994" spans="1:10" x14ac:dyDescent="0.25">
      <c r="A994" s="4">
        <f>_xlfn.XLOOKUP(E994,'Data Validation'!$M$3:$M$10,'Data Validation'!$N$3:$N$10)</f>
        <v>2</v>
      </c>
      <c r="B994" s="4">
        <v>21</v>
      </c>
      <c r="C994" s="4" t="s">
        <v>11</v>
      </c>
      <c r="D994" s="7">
        <v>30.86</v>
      </c>
      <c r="E994" s="4" t="s">
        <v>19</v>
      </c>
      <c r="F994" s="4" t="s">
        <v>20</v>
      </c>
      <c r="G994" s="4" t="s">
        <v>45</v>
      </c>
      <c r="H994" s="4" t="s">
        <v>56</v>
      </c>
      <c r="I994" s="5">
        <v>45565</v>
      </c>
      <c r="J994" s="4">
        <f t="shared" si="15"/>
        <v>8</v>
      </c>
    </row>
    <row r="995" spans="1:10" x14ac:dyDescent="0.25">
      <c r="A995" s="4">
        <f>_xlfn.XLOOKUP(E995,'Data Validation'!$M$3:$M$10,'Data Validation'!$N$3:$N$10)</f>
        <v>2</v>
      </c>
      <c r="B995" s="4">
        <v>9</v>
      </c>
      <c r="C995" s="4" t="s">
        <v>11</v>
      </c>
      <c r="D995" s="7">
        <v>30.86</v>
      </c>
      <c r="E995" s="4" t="s">
        <v>19</v>
      </c>
      <c r="F995" s="4" t="s">
        <v>13</v>
      </c>
      <c r="G995" s="4" t="s">
        <v>46</v>
      </c>
      <c r="H995" s="4" t="s">
        <v>57</v>
      </c>
      <c r="I995" s="5">
        <v>45566</v>
      </c>
      <c r="J995" s="4">
        <f t="shared" si="15"/>
        <v>8</v>
      </c>
    </row>
    <row r="996" spans="1:10" x14ac:dyDescent="0.25">
      <c r="A996" s="4">
        <f>_xlfn.XLOOKUP(E996,'Data Validation'!$M$3:$M$10,'Data Validation'!$N$3:$N$10)</f>
        <v>2</v>
      </c>
      <c r="B996" s="4">
        <v>10</v>
      </c>
      <c r="C996" s="4" t="s">
        <v>11</v>
      </c>
      <c r="D996" s="7">
        <v>30.86</v>
      </c>
      <c r="E996" s="4" t="s">
        <v>19</v>
      </c>
      <c r="F996" s="4" t="s">
        <v>13</v>
      </c>
      <c r="G996" s="4" t="s">
        <v>46</v>
      </c>
      <c r="H996" s="4" t="s">
        <v>57</v>
      </c>
      <c r="I996" s="5">
        <v>45566</v>
      </c>
      <c r="J996" s="4">
        <f t="shared" si="15"/>
        <v>8</v>
      </c>
    </row>
    <row r="997" spans="1:10" x14ac:dyDescent="0.25">
      <c r="A997" s="4">
        <f>_xlfn.XLOOKUP(E997,'Data Validation'!$M$3:$M$10,'Data Validation'!$N$3:$N$10)</f>
        <v>2</v>
      </c>
      <c r="B997" s="4">
        <v>10</v>
      </c>
      <c r="C997" s="4" t="s">
        <v>11</v>
      </c>
      <c r="D997" s="7">
        <v>30.86</v>
      </c>
      <c r="E997" s="4" t="s">
        <v>19</v>
      </c>
      <c r="F997" s="4" t="s">
        <v>13</v>
      </c>
      <c r="G997" s="4" t="s">
        <v>46</v>
      </c>
      <c r="H997" s="4" t="s">
        <v>57</v>
      </c>
      <c r="I997" s="5">
        <v>45566</v>
      </c>
      <c r="J997" s="4">
        <f t="shared" si="15"/>
        <v>8</v>
      </c>
    </row>
    <row r="998" spans="1:10" x14ac:dyDescent="0.25">
      <c r="A998" s="4">
        <f>_xlfn.XLOOKUP(E998,'Data Validation'!$M$3:$M$10,'Data Validation'!$N$3:$N$10)</f>
        <v>2</v>
      </c>
      <c r="B998" s="4">
        <v>11</v>
      </c>
      <c r="C998" s="4" t="s">
        <v>11</v>
      </c>
      <c r="D998" s="7">
        <v>30.86</v>
      </c>
      <c r="E998" s="4" t="s">
        <v>19</v>
      </c>
      <c r="F998" s="4" t="s">
        <v>13</v>
      </c>
      <c r="G998" s="4" t="s">
        <v>46</v>
      </c>
      <c r="H998" s="4" t="s">
        <v>57</v>
      </c>
      <c r="I998" s="5">
        <v>45566</v>
      </c>
      <c r="J998" s="4">
        <f t="shared" si="15"/>
        <v>8</v>
      </c>
    </row>
    <row r="999" spans="1:10" x14ac:dyDescent="0.25">
      <c r="A999" s="4">
        <f>_xlfn.XLOOKUP(E999,'Data Validation'!$M$3:$M$10,'Data Validation'!$N$3:$N$10)</f>
        <v>2</v>
      </c>
      <c r="B999" s="4">
        <v>12</v>
      </c>
      <c r="C999" s="4" t="s">
        <v>11</v>
      </c>
      <c r="D999" s="7">
        <v>30.86</v>
      </c>
      <c r="E999" s="4" t="s">
        <v>19</v>
      </c>
      <c r="F999" s="4" t="s">
        <v>17</v>
      </c>
      <c r="G999" s="4" t="s">
        <v>46</v>
      </c>
      <c r="H999" s="4" t="s">
        <v>57</v>
      </c>
      <c r="I999" s="5">
        <v>45566</v>
      </c>
      <c r="J999" s="4">
        <f t="shared" si="15"/>
        <v>8</v>
      </c>
    </row>
    <row r="1000" spans="1:10" x14ac:dyDescent="0.25">
      <c r="A1000" s="4">
        <f>_xlfn.XLOOKUP(E1000,'Data Validation'!$M$3:$M$10,'Data Validation'!$N$3:$N$10)</f>
        <v>2</v>
      </c>
      <c r="B1000" s="4">
        <v>12</v>
      </c>
      <c r="C1000" s="4" t="s">
        <v>11</v>
      </c>
      <c r="D1000" s="7">
        <v>30.86</v>
      </c>
      <c r="E1000" s="4" t="s">
        <v>19</v>
      </c>
      <c r="F1000" s="4" t="s">
        <v>17</v>
      </c>
      <c r="G1000" s="4" t="s">
        <v>46</v>
      </c>
      <c r="H1000" s="4" t="s">
        <v>57</v>
      </c>
      <c r="I1000" s="5">
        <v>45566</v>
      </c>
      <c r="J1000" s="4">
        <f t="shared" si="15"/>
        <v>8</v>
      </c>
    </row>
    <row r="1001" spans="1:10" x14ac:dyDescent="0.25">
      <c r="A1001" s="4">
        <f>_xlfn.XLOOKUP(E1001,'Data Validation'!$M$3:$M$10,'Data Validation'!$N$3:$N$10)</f>
        <v>2</v>
      </c>
      <c r="B1001" s="4">
        <v>14</v>
      </c>
      <c r="C1001" s="4" t="s">
        <v>11</v>
      </c>
      <c r="D1001" s="7">
        <v>30.86</v>
      </c>
      <c r="E1001" s="4" t="s">
        <v>19</v>
      </c>
      <c r="F1001" s="4" t="s">
        <v>17</v>
      </c>
      <c r="G1001" s="4" t="s">
        <v>46</v>
      </c>
      <c r="H1001" s="4" t="s">
        <v>57</v>
      </c>
      <c r="I1001" s="5">
        <v>45566</v>
      </c>
      <c r="J1001" s="4">
        <f t="shared" si="15"/>
        <v>8</v>
      </c>
    </row>
    <row r="1002" spans="1:10" x14ac:dyDescent="0.25">
      <c r="A1002" s="4">
        <f>_xlfn.XLOOKUP(E1002,'Data Validation'!$M$3:$M$10,'Data Validation'!$N$3:$N$10)</f>
        <v>2</v>
      </c>
      <c r="B1002" s="4">
        <v>9</v>
      </c>
      <c r="C1002" s="4" t="s">
        <v>11</v>
      </c>
      <c r="D1002" s="7">
        <v>30.86</v>
      </c>
      <c r="E1002" s="4" t="s">
        <v>19</v>
      </c>
      <c r="F1002" s="4" t="s">
        <v>13</v>
      </c>
      <c r="G1002" s="4" t="s">
        <v>47</v>
      </c>
      <c r="H1002" s="4" t="s">
        <v>57</v>
      </c>
      <c r="I1002" s="5">
        <v>45567</v>
      </c>
      <c r="J1002" s="4">
        <f t="shared" si="15"/>
        <v>8</v>
      </c>
    </row>
    <row r="1003" spans="1:10" x14ac:dyDescent="0.25">
      <c r="A1003" s="4">
        <f>_xlfn.XLOOKUP(E1003,'Data Validation'!$M$3:$M$10,'Data Validation'!$N$3:$N$10)</f>
        <v>2</v>
      </c>
      <c r="B1003" s="4">
        <v>10</v>
      </c>
      <c r="C1003" s="4" t="s">
        <v>11</v>
      </c>
      <c r="D1003" s="7">
        <v>30.86</v>
      </c>
      <c r="E1003" s="4" t="s">
        <v>19</v>
      </c>
      <c r="F1003" s="4" t="s">
        <v>13</v>
      </c>
      <c r="G1003" s="4" t="s">
        <v>47</v>
      </c>
      <c r="H1003" s="4" t="s">
        <v>57</v>
      </c>
      <c r="I1003" s="5">
        <v>45567</v>
      </c>
      <c r="J1003" s="4">
        <f t="shared" si="15"/>
        <v>8</v>
      </c>
    </row>
    <row r="1004" spans="1:10" x14ac:dyDescent="0.25">
      <c r="A1004" s="4">
        <f>_xlfn.XLOOKUP(E1004,'Data Validation'!$M$3:$M$10,'Data Validation'!$N$3:$N$10)</f>
        <v>2</v>
      </c>
      <c r="B1004" s="4">
        <v>15</v>
      </c>
      <c r="C1004" s="4" t="s">
        <v>11</v>
      </c>
      <c r="D1004" s="7">
        <v>30.86</v>
      </c>
      <c r="E1004" s="4" t="s">
        <v>19</v>
      </c>
      <c r="F1004" s="4" t="s">
        <v>17</v>
      </c>
      <c r="G1004" s="4" t="s">
        <v>48</v>
      </c>
      <c r="H1004" s="4" t="s">
        <v>57</v>
      </c>
      <c r="I1004" s="5">
        <v>45568</v>
      </c>
      <c r="J1004" s="4">
        <f t="shared" si="15"/>
        <v>8</v>
      </c>
    </row>
    <row r="1005" spans="1:10" x14ac:dyDescent="0.25">
      <c r="A1005" s="4">
        <f>_xlfn.XLOOKUP(E1005,'Data Validation'!$M$3:$M$10,'Data Validation'!$N$3:$N$10)</f>
        <v>2</v>
      </c>
      <c r="B1005" s="4">
        <v>9</v>
      </c>
      <c r="C1005" s="4" t="s">
        <v>11</v>
      </c>
      <c r="D1005" s="7">
        <v>30.86</v>
      </c>
      <c r="E1005" s="4" t="s">
        <v>19</v>
      </c>
      <c r="F1005" s="4" t="s">
        <v>13</v>
      </c>
      <c r="G1005" s="4" t="s">
        <v>49</v>
      </c>
      <c r="H1005" s="4" t="s">
        <v>57</v>
      </c>
      <c r="I1005" s="5">
        <v>45569</v>
      </c>
      <c r="J1005" s="4">
        <f t="shared" si="15"/>
        <v>8</v>
      </c>
    </row>
    <row r="1006" spans="1:10" x14ac:dyDescent="0.25">
      <c r="A1006" s="4">
        <f>_xlfn.XLOOKUP(E1006,'Data Validation'!$M$3:$M$10,'Data Validation'!$N$3:$N$10)</f>
        <v>2</v>
      </c>
      <c r="B1006" s="4">
        <v>12</v>
      </c>
      <c r="C1006" s="4" t="s">
        <v>11</v>
      </c>
      <c r="D1006" s="7">
        <v>30.86</v>
      </c>
      <c r="E1006" s="4" t="s">
        <v>19</v>
      </c>
      <c r="F1006" s="4" t="s">
        <v>17</v>
      </c>
      <c r="G1006" s="4" t="s">
        <v>51</v>
      </c>
      <c r="H1006" s="4" t="s">
        <v>57</v>
      </c>
      <c r="I1006" s="5">
        <v>45571</v>
      </c>
      <c r="J1006" s="4">
        <f t="shared" si="15"/>
        <v>8</v>
      </c>
    </row>
    <row r="1007" spans="1:10" x14ac:dyDescent="0.25">
      <c r="A1007" s="4">
        <f>_xlfn.XLOOKUP(E1007,'Data Validation'!$M$3:$M$10,'Data Validation'!$N$3:$N$10)</f>
        <v>2</v>
      </c>
      <c r="B1007" s="4">
        <v>13</v>
      </c>
      <c r="C1007" s="4" t="s">
        <v>11</v>
      </c>
      <c r="D1007" s="7">
        <v>30.86</v>
      </c>
      <c r="E1007" s="4" t="s">
        <v>19</v>
      </c>
      <c r="F1007" s="4" t="s">
        <v>17</v>
      </c>
      <c r="G1007" s="4" t="s">
        <v>51</v>
      </c>
      <c r="H1007" s="4" t="s">
        <v>57</v>
      </c>
      <c r="I1007" s="5">
        <v>45571</v>
      </c>
      <c r="J1007" s="4">
        <f t="shared" si="15"/>
        <v>8</v>
      </c>
    </row>
    <row r="1008" spans="1:10" x14ac:dyDescent="0.25">
      <c r="A1008" s="4">
        <f>_xlfn.XLOOKUP(E1008,'Data Validation'!$M$3:$M$10,'Data Validation'!$N$3:$N$10)</f>
        <v>2</v>
      </c>
      <c r="B1008" s="4">
        <v>18</v>
      </c>
      <c r="C1008" s="4" t="s">
        <v>11</v>
      </c>
      <c r="D1008" s="7">
        <v>30.86</v>
      </c>
      <c r="E1008" s="4" t="s">
        <v>19</v>
      </c>
      <c r="F1008" s="4" t="s">
        <v>20</v>
      </c>
      <c r="G1008" s="4" t="s">
        <v>51</v>
      </c>
      <c r="H1008" s="4" t="s">
        <v>57</v>
      </c>
      <c r="I1008" s="5">
        <v>45571</v>
      </c>
      <c r="J1008" s="4">
        <f t="shared" si="15"/>
        <v>8</v>
      </c>
    </row>
    <row r="1009" spans="1:10" x14ac:dyDescent="0.25">
      <c r="A1009" s="4">
        <f>_xlfn.XLOOKUP(E1009,'Data Validation'!$M$3:$M$10,'Data Validation'!$N$3:$N$10)</f>
        <v>2</v>
      </c>
      <c r="B1009" s="4">
        <v>8</v>
      </c>
      <c r="C1009" s="4" t="s">
        <v>11</v>
      </c>
      <c r="D1009" s="7">
        <v>30.86</v>
      </c>
      <c r="E1009" s="4" t="s">
        <v>19</v>
      </c>
      <c r="F1009" s="4" t="s">
        <v>13</v>
      </c>
      <c r="G1009" s="4" t="s">
        <v>45</v>
      </c>
      <c r="H1009" s="4" t="s">
        <v>57</v>
      </c>
      <c r="I1009" s="5">
        <v>45572</v>
      </c>
      <c r="J1009" s="4">
        <f t="shared" si="15"/>
        <v>8</v>
      </c>
    </row>
    <row r="1010" spans="1:10" x14ac:dyDescent="0.25">
      <c r="A1010" s="4">
        <f>_xlfn.XLOOKUP(E1010,'Data Validation'!$M$3:$M$10,'Data Validation'!$N$3:$N$10)</f>
        <v>2</v>
      </c>
      <c r="B1010" s="4">
        <v>12</v>
      </c>
      <c r="C1010" s="4" t="s">
        <v>11</v>
      </c>
      <c r="D1010" s="7">
        <v>30.86</v>
      </c>
      <c r="E1010" s="4" t="s">
        <v>19</v>
      </c>
      <c r="F1010" s="4" t="s">
        <v>17</v>
      </c>
      <c r="G1010" s="4" t="s">
        <v>45</v>
      </c>
      <c r="H1010" s="4" t="s">
        <v>57</v>
      </c>
      <c r="I1010" s="5">
        <v>45572</v>
      </c>
      <c r="J1010" s="4">
        <f t="shared" si="15"/>
        <v>8</v>
      </c>
    </row>
    <row r="1011" spans="1:10" x14ac:dyDescent="0.25">
      <c r="A1011" s="4">
        <f>_xlfn.XLOOKUP(E1011,'Data Validation'!$M$3:$M$10,'Data Validation'!$N$3:$N$10)</f>
        <v>2</v>
      </c>
      <c r="B1011" s="4">
        <v>9</v>
      </c>
      <c r="C1011" s="4" t="s">
        <v>11</v>
      </c>
      <c r="D1011" s="7">
        <v>30.86</v>
      </c>
      <c r="E1011" s="4" t="s">
        <v>19</v>
      </c>
      <c r="F1011" s="4" t="s">
        <v>13</v>
      </c>
      <c r="G1011" s="4" t="s">
        <v>46</v>
      </c>
      <c r="H1011" s="4" t="s">
        <v>57</v>
      </c>
      <c r="I1011" s="5">
        <v>45573</v>
      </c>
      <c r="J1011" s="4">
        <f t="shared" si="15"/>
        <v>8</v>
      </c>
    </row>
    <row r="1012" spans="1:10" x14ac:dyDescent="0.25">
      <c r="A1012" s="4">
        <f>_xlfn.XLOOKUP(E1012,'Data Validation'!$M$3:$M$10,'Data Validation'!$N$3:$N$10)</f>
        <v>2</v>
      </c>
      <c r="B1012" s="4">
        <v>15</v>
      </c>
      <c r="C1012" s="4" t="s">
        <v>11</v>
      </c>
      <c r="D1012" s="7">
        <v>30.86</v>
      </c>
      <c r="E1012" s="4" t="s">
        <v>19</v>
      </c>
      <c r="F1012" s="4" t="s">
        <v>17</v>
      </c>
      <c r="G1012" s="4" t="s">
        <v>46</v>
      </c>
      <c r="H1012" s="4" t="s">
        <v>57</v>
      </c>
      <c r="I1012" s="5">
        <v>45573</v>
      </c>
      <c r="J1012" s="4">
        <f t="shared" si="15"/>
        <v>8</v>
      </c>
    </row>
    <row r="1013" spans="1:10" x14ac:dyDescent="0.25">
      <c r="A1013" s="4">
        <f>_xlfn.XLOOKUP(E1013,'Data Validation'!$M$3:$M$10,'Data Validation'!$N$3:$N$10)</f>
        <v>2</v>
      </c>
      <c r="B1013" s="4">
        <v>21</v>
      </c>
      <c r="C1013" s="4" t="s">
        <v>11</v>
      </c>
      <c r="D1013" s="7">
        <v>30.86</v>
      </c>
      <c r="E1013" s="4" t="s">
        <v>19</v>
      </c>
      <c r="F1013" s="4" t="s">
        <v>20</v>
      </c>
      <c r="G1013" s="4" t="s">
        <v>46</v>
      </c>
      <c r="H1013" s="4" t="s">
        <v>57</v>
      </c>
      <c r="I1013" s="5">
        <v>45573</v>
      </c>
      <c r="J1013" s="4">
        <f t="shared" si="15"/>
        <v>8</v>
      </c>
    </row>
    <row r="1014" spans="1:10" x14ac:dyDescent="0.25">
      <c r="A1014" s="4">
        <f>_xlfn.XLOOKUP(E1014,'Data Validation'!$M$3:$M$10,'Data Validation'!$N$3:$N$10)</f>
        <v>2</v>
      </c>
      <c r="B1014" s="4">
        <v>21</v>
      </c>
      <c r="C1014" s="4" t="s">
        <v>11</v>
      </c>
      <c r="D1014" s="7">
        <v>30.86</v>
      </c>
      <c r="E1014" s="4" t="s">
        <v>19</v>
      </c>
      <c r="F1014" s="4" t="s">
        <v>20</v>
      </c>
      <c r="G1014" s="4" t="s">
        <v>46</v>
      </c>
      <c r="H1014" s="4" t="s">
        <v>57</v>
      </c>
      <c r="I1014" s="5">
        <v>45573</v>
      </c>
      <c r="J1014" s="4">
        <f t="shared" si="15"/>
        <v>8</v>
      </c>
    </row>
    <row r="1015" spans="1:10" x14ac:dyDescent="0.25">
      <c r="A1015" s="4">
        <f>_xlfn.XLOOKUP(E1015,'Data Validation'!$M$3:$M$10,'Data Validation'!$N$3:$N$10)</f>
        <v>2</v>
      </c>
      <c r="B1015" s="4">
        <v>8</v>
      </c>
      <c r="C1015" s="4" t="s">
        <v>11</v>
      </c>
      <c r="D1015" s="7">
        <v>30.86</v>
      </c>
      <c r="E1015" s="4" t="s">
        <v>19</v>
      </c>
      <c r="F1015" s="4" t="s">
        <v>13</v>
      </c>
      <c r="G1015" s="4" t="s">
        <v>47</v>
      </c>
      <c r="H1015" s="4" t="s">
        <v>57</v>
      </c>
      <c r="I1015" s="5">
        <v>45574</v>
      </c>
      <c r="J1015" s="4">
        <f t="shared" si="15"/>
        <v>8</v>
      </c>
    </row>
    <row r="1016" spans="1:10" x14ac:dyDescent="0.25">
      <c r="A1016" s="4">
        <f>_xlfn.XLOOKUP(E1016,'Data Validation'!$M$3:$M$10,'Data Validation'!$N$3:$N$10)</f>
        <v>2</v>
      </c>
      <c r="B1016" s="4">
        <v>9</v>
      </c>
      <c r="C1016" s="4" t="s">
        <v>11</v>
      </c>
      <c r="D1016" s="7">
        <v>30.86</v>
      </c>
      <c r="E1016" s="4" t="s">
        <v>19</v>
      </c>
      <c r="F1016" s="4" t="s">
        <v>13</v>
      </c>
      <c r="G1016" s="4" t="s">
        <v>47</v>
      </c>
      <c r="H1016" s="4" t="s">
        <v>57</v>
      </c>
      <c r="I1016" s="5">
        <v>45574</v>
      </c>
      <c r="J1016" s="4">
        <f t="shared" si="15"/>
        <v>8</v>
      </c>
    </row>
    <row r="1017" spans="1:10" x14ac:dyDescent="0.25">
      <c r="A1017" s="4">
        <f>_xlfn.XLOOKUP(E1017,'Data Validation'!$M$3:$M$10,'Data Validation'!$N$3:$N$10)</f>
        <v>2</v>
      </c>
      <c r="B1017" s="4">
        <v>13</v>
      </c>
      <c r="C1017" s="4" t="s">
        <v>11</v>
      </c>
      <c r="D1017" s="7">
        <v>30.86</v>
      </c>
      <c r="E1017" s="4" t="s">
        <v>19</v>
      </c>
      <c r="F1017" s="4" t="s">
        <v>17</v>
      </c>
      <c r="G1017" s="4" t="s">
        <v>47</v>
      </c>
      <c r="H1017" s="4" t="s">
        <v>57</v>
      </c>
      <c r="I1017" s="5">
        <v>45574</v>
      </c>
      <c r="J1017" s="4">
        <f t="shared" si="15"/>
        <v>8</v>
      </c>
    </row>
    <row r="1018" spans="1:10" x14ac:dyDescent="0.25">
      <c r="A1018" s="4">
        <f>_xlfn.XLOOKUP(E1018,'Data Validation'!$M$3:$M$10,'Data Validation'!$N$3:$N$10)</f>
        <v>2</v>
      </c>
      <c r="B1018" s="4">
        <v>9</v>
      </c>
      <c r="C1018" s="4" t="s">
        <v>11</v>
      </c>
      <c r="D1018" s="7">
        <v>30.86</v>
      </c>
      <c r="E1018" s="4" t="s">
        <v>19</v>
      </c>
      <c r="F1018" s="4" t="s">
        <v>13</v>
      </c>
      <c r="G1018" s="4" t="s">
        <v>48</v>
      </c>
      <c r="H1018" s="4" t="s">
        <v>57</v>
      </c>
      <c r="I1018" s="5">
        <v>45575</v>
      </c>
      <c r="J1018" s="4">
        <f t="shared" si="15"/>
        <v>8</v>
      </c>
    </row>
    <row r="1019" spans="1:10" x14ac:dyDescent="0.25">
      <c r="A1019" s="4">
        <f>_xlfn.XLOOKUP(E1019,'Data Validation'!$M$3:$M$10,'Data Validation'!$N$3:$N$10)</f>
        <v>2</v>
      </c>
      <c r="B1019" s="4">
        <v>18</v>
      </c>
      <c r="C1019" s="4" t="s">
        <v>11</v>
      </c>
      <c r="D1019" s="7">
        <v>30.86</v>
      </c>
      <c r="E1019" s="4" t="s">
        <v>19</v>
      </c>
      <c r="F1019" s="4" t="s">
        <v>20</v>
      </c>
      <c r="G1019" s="4" t="s">
        <v>48</v>
      </c>
      <c r="H1019" s="4" t="s">
        <v>57</v>
      </c>
      <c r="I1019" s="5">
        <v>45575</v>
      </c>
      <c r="J1019" s="4">
        <f t="shared" si="15"/>
        <v>8</v>
      </c>
    </row>
    <row r="1020" spans="1:10" x14ac:dyDescent="0.25">
      <c r="A1020" s="4">
        <f>_xlfn.XLOOKUP(E1020,'Data Validation'!$M$3:$M$10,'Data Validation'!$N$3:$N$10)</f>
        <v>2</v>
      </c>
      <c r="B1020" s="4">
        <v>7</v>
      </c>
      <c r="C1020" s="4" t="s">
        <v>11</v>
      </c>
      <c r="D1020" s="7">
        <v>30.86</v>
      </c>
      <c r="E1020" s="4" t="s">
        <v>19</v>
      </c>
      <c r="F1020" s="4" t="s">
        <v>13</v>
      </c>
      <c r="G1020" s="4" t="s">
        <v>49</v>
      </c>
      <c r="H1020" s="4" t="s">
        <v>57</v>
      </c>
      <c r="I1020" s="5">
        <v>45576</v>
      </c>
      <c r="J1020" s="4">
        <f t="shared" si="15"/>
        <v>8</v>
      </c>
    </row>
    <row r="1021" spans="1:10" x14ac:dyDescent="0.25">
      <c r="A1021" s="4">
        <f>_xlfn.XLOOKUP(E1021,'Data Validation'!$M$3:$M$10,'Data Validation'!$N$3:$N$10)</f>
        <v>2</v>
      </c>
      <c r="B1021" s="4">
        <v>8</v>
      </c>
      <c r="C1021" s="4" t="s">
        <v>11</v>
      </c>
      <c r="D1021" s="7">
        <v>30.86</v>
      </c>
      <c r="E1021" s="4" t="s">
        <v>19</v>
      </c>
      <c r="F1021" s="4" t="s">
        <v>13</v>
      </c>
      <c r="G1021" s="4" t="s">
        <v>49</v>
      </c>
      <c r="H1021" s="4" t="s">
        <v>57</v>
      </c>
      <c r="I1021" s="5">
        <v>45576</v>
      </c>
      <c r="J1021" s="4">
        <f t="shared" si="15"/>
        <v>8</v>
      </c>
    </row>
    <row r="1022" spans="1:10" x14ac:dyDescent="0.25">
      <c r="A1022" s="4">
        <f>_xlfn.XLOOKUP(E1022,'Data Validation'!$M$3:$M$10,'Data Validation'!$N$3:$N$10)</f>
        <v>2</v>
      </c>
      <c r="B1022" s="4">
        <v>9</v>
      </c>
      <c r="C1022" s="4" t="s">
        <v>11</v>
      </c>
      <c r="D1022" s="7">
        <v>30.86</v>
      </c>
      <c r="E1022" s="4" t="s">
        <v>19</v>
      </c>
      <c r="F1022" s="4" t="s">
        <v>13</v>
      </c>
      <c r="G1022" s="4" t="s">
        <v>49</v>
      </c>
      <c r="H1022" s="4" t="s">
        <v>57</v>
      </c>
      <c r="I1022" s="5">
        <v>45576</v>
      </c>
      <c r="J1022" s="4">
        <f t="shared" si="15"/>
        <v>8</v>
      </c>
    </row>
    <row r="1023" spans="1:10" x14ac:dyDescent="0.25">
      <c r="A1023" s="4">
        <f>_xlfn.XLOOKUP(E1023,'Data Validation'!$M$3:$M$10,'Data Validation'!$N$3:$N$10)</f>
        <v>2</v>
      </c>
      <c r="B1023" s="4">
        <v>10</v>
      </c>
      <c r="C1023" s="4" t="s">
        <v>11</v>
      </c>
      <c r="D1023" s="7">
        <v>30.86</v>
      </c>
      <c r="E1023" s="4" t="s">
        <v>19</v>
      </c>
      <c r="F1023" s="4" t="s">
        <v>13</v>
      </c>
      <c r="G1023" s="4" t="s">
        <v>49</v>
      </c>
      <c r="H1023" s="4" t="s">
        <v>57</v>
      </c>
      <c r="I1023" s="5">
        <v>45576</v>
      </c>
      <c r="J1023" s="4">
        <f t="shared" si="15"/>
        <v>8</v>
      </c>
    </row>
    <row r="1024" spans="1:10" x14ac:dyDescent="0.25">
      <c r="A1024" s="4">
        <f>_xlfn.XLOOKUP(E1024,'Data Validation'!$M$3:$M$10,'Data Validation'!$N$3:$N$10)</f>
        <v>2</v>
      </c>
      <c r="B1024" s="4">
        <v>21</v>
      </c>
      <c r="C1024" s="4" t="s">
        <v>11</v>
      </c>
      <c r="D1024" s="7">
        <v>30.86</v>
      </c>
      <c r="E1024" s="4" t="s">
        <v>19</v>
      </c>
      <c r="F1024" s="4" t="s">
        <v>20</v>
      </c>
      <c r="G1024" s="4" t="s">
        <v>49</v>
      </c>
      <c r="H1024" s="4" t="s">
        <v>57</v>
      </c>
      <c r="I1024" s="5">
        <v>45576</v>
      </c>
      <c r="J1024" s="4">
        <f t="shared" si="15"/>
        <v>8</v>
      </c>
    </row>
    <row r="1025" spans="1:10" x14ac:dyDescent="0.25">
      <c r="A1025" s="4">
        <f>_xlfn.XLOOKUP(E1025,'Data Validation'!$M$3:$M$10,'Data Validation'!$N$3:$N$10)</f>
        <v>2</v>
      </c>
      <c r="B1025" s="4">
        <v>11</v>
      </c>
      <c r="C1025" s="4" t="s">
        <v>11</v>
      </c>
      <c r="D1025" s="7">
        <v>30.86</v>
      </c>
      <c r="E1025" s="4" t="s">
        <v>19</v>
      </c>
      <c r="F1025" s="4" t="s">
        <v>13</v>
      </c>
      <c r="G1025" s="4" t="s">
        <v>50</v>
      </c>
      <c r="H1025" s="4" t="s">
        <v>57</v>
      </c>
      <c r="I1025" s="5">
        <v>45577</v>
      </c>
      <c r="J1025" s="4">
        <f t="shared" si="15"/>
        <v>8</v>
      </c>
    </row>
    <row r="1026" spans="1:10" x14ac:dyDescent="0.25">
      <c r="A1026" s="4">
        <f>_xlfn.XLOOKUP(E1026,'Data Validation'!$M$3:$M$10,'Data Validation'!$N$3:$N$10)</f>
        <v>2</v>
      </c>
      <c r="B1026" s="4">
        <v>12</v>
      </c>
      <c r="C1026" s="4" t="s">
        <v>11</v>
      </c>
      <c r="D1026" s="7">
        <v>30.86</v>
      </c>
      <c r="E1026" s="4" t="s">
        <v>19</v>
      </c>
      <c r="F1026" s="4" t="s">
        <v>17</v>
      </c>
      <c r="G1026" s="4" t="s">
        <v>51</v>
      </c>
      <c r="H1026" s="4" t="s">
        <v>57</v>
      </c>
      <c r="I1026" s="5">
        <v>45578</v>
      </c>
      <c r="J1026" s="4">
        <f t="shared" si="15"/>
        <v>8</v>
      </c>
    </row>
    <row r="1027" spans="1:10" x14ac:dyDescent="0.25">
      <c r="A1027" s="4">
        <f>_xlfn.XLOOKUP(E1027,'Data Validation'!$M$3:$M$10,'Data Validation'!$N$3:$N$10)</f>
        <v>2</v>
      </c>
      <c r="B1027" s="4">
        <v>8</v>
      </c>
      <c r="C1027" s="4" t="s">
        <v>11</v>
      </c>
      <c r="D1027" s="7">
        <v>30.86</v>
      </c>
      <c r="E1027" s="4" t="s">
        <v>19</v>
      </c>
      <c r="F1027" s="4" t="s">
        <v>13</v>
      </c>
      <c r="G1027" s="4" t="s">
        <v>45</v>
      </c>
      <c r="H1027" s="4" t="s">
        <v>57</v>
      </c>
      <c r="I1027" s="5">
        <v>45579</v>
      </c>
      <c r="J1027" s="4">
        <f t="shared" ref="J1027:J1090" si="16">IF(OR(E1027&lt;&gt;E1026,D1027&lt;&gt;D1026),J1026+1,J1026)</f>
        <v>8</v>
      </c>
    </row>
    <row r="1028" spans="1:10" x14ac:dyDescent="0.25">
      <c r="A1028" s="4">
        <f>_xlfn.XLOOKUP(E1028,'Data Validation'!$M$3:$M$10,'Data Validation'!$N$3:$N$10)</f>
        <v>2</v>
      </c>
      <c r="B1028" s="4">
        <v>13</v>
      </c>
      <c r="C1028" s="4" t="s">
        <v>11</v>
      </c>
      <c r="D1028" s="7">
        <v>30.86</v>
      </c>
      <c r="E1028" s="4" t="s">
        <v>19</v>
      </c>
      <c r="F1028" s="4" t="s">
        <v>17</v>
      </c>
      <c r="G1028" s="4" t="s">
        <v>46</v>
      </c>
      <c r="H1028" s="4" t="s">
        <v>57</v>
      </c>
      <c r="I1028" s="5">
        <v>45580</v>
      </c>
      <c r="J1028" s="4">
        <f t="shared" si="16"/>
        <v>8</v>
      </c>
    </row>
    <row r="1029" spans="1:10" x14ac:dyDescent="0.25">
      <c r="A1029" s="4">
        <f>_xlfn.XLOOKUP(E1029,'Data Validation'!$M$3:$M$10,'Data Validation'!$N$3:$N$10)</f>
        <v>2</v>
      </c>
      <c r="B1029" s="4">
        <v>8</v>
      </c>
      <c r="C1029" s="4" t="s">
        <v>11</v>
      </c>
      <c r="D1029" s="7">
        <v>30.86</v>
      </c>
      <c r="E1029" s="4" t="s">
        <v>19</v>
      </c>
      <c r="F1029" s="4" t="s">
        <v>13</v>
      </c>
      <c r="G1029" s="4" t="s">
        <v>47</v>
      </c>
      <c r="H1029" s="4" t="s">
        <v>57</v>
      </c>
      <c r="I1029" s="5">
        <v>45581</v>
      </c>
      <c r="J1029" s="4">
        <f t="shared" si="16"/>
        <v>8</v>
      </c>
    </row>
    <row r="1030" spans="1:10" x14ac:dyDescent="0.25">
      <c r="A1030" s="4">
        <f>_xlfn.XLOOKUP(E1030,'Data Validation'!$M$3:$M$10,'Data Validation'!$N$3:$N$10)</f>
        <v>2</v>
      </c>
      <c r="B1030" s="4">
        <v>10</v>
      </c>
      <c r="C1030" s="4" t="s">
        <v>11</v>
      </c>
      <c r="D1030" s="7">
        <v>30.86</v>
      </c>
      <c r="E1030" s="4" t="s">
        <v>19</v>
      </c>
      <c r="F1030" s="4" t="s">
        <v>13</v>
      </c>
      <c r="G1030" s="4" t="s">
        <v>47</v>
      </c>
      <c r="H1030" s="4" t="s">
        <v>57</v>
      </c>
      <c r="I1030" s="5">
        <v>45581</v>
      </c>
      <c r="J1030" s="4">
        <f t="shared" si="16"/>
        <v>8</v>
      </c>
    </row>
    <row r="1031" spans="1:10" x14ac:dyDescent="0.25">
      <c r="A1031" s="4">
        <f>_xlfn.XLOOKUP(E1031,'Data Validation'!$M$3:$M$10,'Data Validation'!$N$3:$N$10)</f>
        <v>2</v>
      </c>
      <c r="B1031" s="4">
        <v>10</v>
      </c>
      <c r="C1031" s="4" t="s">
        <v>11</v>
      </c>
      <c r="D1031" s="7">
        <v>30.86</v>
      </c>
      <c r="E1031" s="4" t="s">
        <v>19</v>
      </c>
      <c r="F1031" s="4" t="s">
        <v>13</v>
      </c>
      <c r="G1031" s="4" t="s">
        <v>47</v>
      </c>
      <c r="H1031" s="4" t="s">
        <v>57</v>
      </c>
      <c r="I1031" s="5">
        <v>45581</v>
      </c>
      <c r="J1031" s="4">
        <f t="shared" si="16"/>
        <v>8</v>
      </c>
    </row>
    <row r="1032" spans="1:10" x14ac:dyDescent="0.25">
      <c r="A1032" s="4">
        <f>_xlfn.XLOOKUP(E1032,'Data Validation'!$M$3:$M$10,'Data Validation'!$N$3:$N$10)</f>
        <v>2</v>
      </c>
      <c r="B1032" s="4">
        <v>10</v>
      </c>
      <c r="C1032" s="4" t="s">
        <v>11</v>
      </c>
      <c r="D1032" s="7">
        <v>30.86</v>
      </c>
      <c r="E1032" s="4" t="s">
        <v>19</v>
      </c>
      <c r="F1032" s="4" t="s">
        <v>13</v>
      </c>
      <c r="G1032" s="4" t="s">
        <v>47</v>
      </c>
      <c r="H1032" s="4" t="s">
        <v>57</v>
      </c>
      <c r="I1032" s="5">
        <v>45581</v>
      </c>
      <c r="J1032" s="4">
        <f t="shared" si="16"/>
        <v>8</v>
      </c>
    </row>
    <row r="1033" spans="1:10" x14ac:dyDescent="0.25">
      <c r="A1033" s="4">
        <f>_xlfn.XLOOKUP(E1033,'Data Validation'!$M$3:$M$10,'Data Validation'!$N$3:$N$10)</f>
        <v>2</v>
      </c>
      <c r="B1033" s="4">
        <v>12</v>
      </c>
      <c r="C1033" s="4" t="s">
        <v>11</v>
      </c>
      <c r="D1033" s="7">
        <v>30.86</v>
      </c>
      <c r="E1033" s="4" t="s">
        <v>19</v>
      </c>
      <c r="F1033" s="4" t="s">
        <v>17</v>
      </c>
      <c r="G1033" s="4" t="s">
        <v>47</v>
      </c>
      <c r="H1033" s="4" t="s">
        <v>57</v>
      </c>
      <c r="I1033" s="5">
        <v>45581</v>
      </c>
      <c r="J1033" s="4">
        <f t="shared" si="16"/>
        <v>8</v>
      </c>
    </row>
    <row r="1034" spans="1:10" x14ac:dyDescent="0.25">
      <c r="A1034" s="4">
        <f>_xlfn.XLOOKUP(E1034,'Data Validation'!$M$3:$M$10,'Data Validation'!$N$3:$N$10)</f>
        <v>2</v>
      </c>
      <c r="B1034" s="4">
        <v>17</v>
      </c>
      <c r="C1034" s="4" t="s">
        <v>11</v>
      </c>
      <c r="D1034" s="7">
        <v>30.86</v>
      </c>
      <c r="E1034" s="4" t="s">
        <v>19</v>
      </c>
      <c r="F1034" s="4" t="s">
        <v>20</v>
      </c>
      <c r="G1034" s="4" t="s">
        <v>47</v>
      </c>
      <c r="H1034" s="4" t="s">
        <v>57</v>
      </c>
      <c r="I1034" s="5">
        <v>45581</v>
      </c>
      <c r="J1034" s="4">
        <f t="shared" si="16"/>
        <v>8</v>
      </c>
    </row>
    <row r="1035" spans="1:10" x14ac:dyDescent="0.25">
      <c r="A1035" s="4">
        <f>_xlfn.XLOOKUP(E1035,'Data Validation'!$M$3:$M$10,'Data Validation'!$N$3:$N$10)</f>
        <v>2</v>
      </c>
      <c r="B1035" s="4">
        <v>19</v>
      </c>
      <c r="C1035" s="4" t="s">
        <v>11</v>
      </c>
      <c r="D1035" s="7">
        <v>30.86</v>
      </c>
      <c r="E1035" s="4" t="s">
        <v>19</v>
      </c>
      <c r="F1035" s="4" t="s">
        <v>20</v>
      </c>
      <c r="G1035" s="4" t="s">
        <v>47</v>
      </c>
      <c r="H1035" s="4" t="s">
        <v>57</v>
      </c>
      <c r="I1035" s="5">
        <v>45581</v>
      </c>
      <c r="J1035" s="4">
        <f t="shared" si="16"/>
        <v>8</v>
      </c>
    </row>
    <row r="1036" spans="1:10" x14ac:dyDescent="0.25">
      <c r="A1036" s="4">
        <f>_xlfn.XLOOKUP(E1036,'Data Validation'!$M$3:$M$10,'Data Validation'!$N$3:$N$10)</f>
        <v>2</v>
      </c>
      <c r="B1036" s="4">
        <v>19</v>
      </c>
      <c r="C1036" s="4" t="s">
        <v>11</v>
      </c>
      <c r="D1036" s="7">
        <v>30.86</v>
      </c>
      <c r="E1036" s="4" t="s">
        <v>19</v>
      </c>
      <c r="F1036" s="4" t="s">
        <v>20</v>
      </c>
      <c r="G1036" s="4" t="s">
        <v>47</v>
      </c>
      <c r="H1036" s="4" t="s">
        <v>57</v>
      </c>
      <c r="I1036" s="5">
        <v>45581</v>
      </c>
      <c r="J1036" s="4">
        <f t="shared" si="16"/>
        <v>8</v>
      </c>
    </row>
    <row r="1037" spans="1:10" x14ac:dyDescent="0.25">
      <c r="A1037" s="4">
        <f>_xlfn.XLOOKUP(E1037,'Data Validation'!$M$3:$M$10,'Data Validation'!$N$3:$N$10)</f>
        <v>2</v>
      </c>
      <c r="B1037" s="4">
        <v>9</v>
      </c>
      <c r="C1037" s="4" t="s">
        <v>11</v>
      </c>
      <c r="D1037" s="7">
        <v>30.86</v>
      </c>
      <c r="E1037" s="4" t="s">
        <v>19</v>
      </c>
      <c r="F1037" s="4" t="s">
        <v>13</v>
      </c>
      <c r="G1037" s="4" t="s">
        <v>48</v>
      </c>
      <c r="H1037" s="4" t="s">
        <v>57</v>
      </c>
      <c r="I1037" s="5">
        <v>45582</v>
      </c>
      <c r="J1037" s="4">
        <f t="shared" si="16"/>
        <v>8</v>
      </c>
    </row>
    <row r="1038" spans="1:10" x14ac:dyDescent="0.25">
      <c r="A1038" s="4">
        <f>_xlfn.XLOOKUP(E1038,'Data Validation'!$M$3:$M$10,'Data Validation'!$N$3:$N$10)</f>
        <v>2</v>
      </c>
      <c r="B1038" s="4">
        <v>11</v>
      </c>
      <c r="C1038" s="4" t="s">
        <v>11</v>
      </c>
      <c r="D1038" s="7">
        <v>30.86</v>
      </c>
      <c r="E1038" s="4" t="s">
        <v>19</v>
      </c>
      <c r="F1038" s="4" t="s">
        <v>13</v>
      </c>
      <c r="G1038" s="4" t="s">
        <v>48</v>
      </c>
      <c r="H1038" s="4" t="s">
        <v>57</v>
      </c>
      <c r="I1038" s="5">
        <v>45582</v>
      </c>
      <c r="J1038" s="4">
        <f t="shared" si="16"/>
        <v>8</v>
      </c>
    </row>
    <row r="1039" spans="1:10" x14ac:dyDescent="0.25">
      <c r="A1039" s="4">
        <f>_xlfn.XLOOKUP(E1039,'Data Validation'!$M$3:$M$10,'Data Validation'!$N$3:$N$10)</f>
        <v>2</v>
      </c>
      <c r="B1039" s="4">
        <v>20</v>
      </c>
      <c r="C1039" s="4" t="s">
        <v>11</v>
      </c>
      <c r="D1039" s="7">
        <v>30.86</v>
      </c>
      <c r="E1039" s="4" t="s">
        <v>19</v>
      </c>
      <c r="F1039" s="4" t="s">
        <v>20</v>
      </c>
      <c r="G1039" s="4" t="s">
        <v>48</v>
      </c>
      <c r="H1039" s="4" t="s">
        <v>57</v>
      </c>
      <c r="I1039" s="5">
        <v>45582</v>
      </c>
      <c r="J1039" s="4">
        <f t="shared" si="16"/>
        <v>8</v>
      </c>
    </row>
    <row r="1040" spans="1:10" x14ac:dyDescent="0.25">
      <c r="A1040" s="4">
        <f>_xlfn.XLOOKUP(E1040,'Data Validation'!$M$3:$M$10,'Data Validation'!$N$3:$N$10)</f>
        <v>2</v>
      </c>
      <c r="B1040" s="4">
        <v>21</v>
      </c>
      <c r="C1040" s="4" t="s">
        <v>11</v>
      </c>
      <c r="D1040" s="7">
        <v>30.86</v>
      </c>
      <c r="E1040" s="4" t="s">
        <v>19</v>
      </c>
      <c r="F1040" s="4" t="s">
        <v>20</v>
      </c>
      <c r="G1040" s="4" t="s">
        <v>49</v>
      </c>
      <c r="H1040" s="4" t="s">
        <v>57</v>
      </c>
      <c r="I1040" s="5">
        <v>45583</v>
      </c>
      <c r="J1040" s="4">
        <f t="shared" si="16"/>
        <v>8</v>
      </c>
    </row>
    <row r="1041" spans="1:10" x14ac:dyDescent="0.25">
      <c r="A1041" s="4">
        <f>_xlfn.XLOOKUP(E1041,'Data Validation'!$M$3:$M$10,'Data Validation'!$N$3:$N$10)</f>
        <v>2</v>
      </c>
      <c r="B1041" s="4">
        <v>8</v>
      </c>
      <c r="C1041" s="4" t="s">
        <v>11</v>
      </c>
      <c r="D1041" s="7">
        <v>30.86</v>
      </c>
      <c r="E1041" s="4" t="s">
        <v>19</v>
      </c>
      <c r="F1041" s="4" t="s">
        <v>13</v>
      </c>
      <c r="G1041" s="4" t="s">
        <v>50</v>
      </c>
      <c r="H1041" s="4" t="s">
        <v>57</v>
      </c>
      <c r="I1041" s="5">
        <v>45584</v>
      </c>
      <c r="J1041" s="4">
        <f t="shared" si="16"/>
        <v>8</v>
      </c>
    </row>
    <row r="1042" spans="1:10" x14ac:dyDescent="0.25">
      <c r="A1042" s="4">
        <f>_xlfn.XLOOKUP(E1042,'Data Validation'!$M$3:$M$10,'Data Validation'!$N$3:$N$10)</f>
        <v>2</v>
      </c>
      <c r="B1042" s="4">
        <v>15</v>
      </c>
      <c r="C1042" s="4" t="s">
        <v>11</v>
      </c>
      <c r="D1042" s="7">
        <v>30.86</v>
      </c>
      <c r="E1042" s="4" t="s">
        <v>19</v>
      </c>
      <c r="F1042" s="4" t="s">
        <v>17</v>
      </c>
      <c r="G1042" s="4" t="s">
        <v>51</v>
      </c>
      <c r="H1042" s="4" t="s">
        <v>57</v>
      </c>
      <c r="I1042" s="5">
        <v>45585</v>
      </c>
      <c r="J1042" s="4">
        <f t="shared" si="16"/>
        <v>8</v>
      </c>
    </row>
    <row r="1043" spans="1:10" x14ac:dyDescent="0.25">
      <c r="A1043" s="4">
        <f>_xlfn.XLOOKUP(E1043,'Data Validation'!$M$3:$M$10,'Data Validation'!$N$3:$N$10)</f>
        <v>2</v>
      </c>
      <c r="B1043" s="4">
        <v>9</v>
      </c>
      <c r="C1043" s="4" t="s">
        <v>11</v>
      </c>
      <c r="D1043" s="7">
        <v>30.86</v>
      </c>
      <c r="E1043" s="4" t="s">
        <v>19</v>
      </c>
      <c r="F1043" s="4" t="s">
        <v>13</v>
      </c>
      <c r="G1043" s="4" t="s">
        <v>45</v>
      </c>
      <c r="H1043" s="4" t="s">
        <v>57</v>
      </c>
      <c r="I1043" s="5">
        <v>45586</v>
      </c>
      <c r="J1043" s="4">
        <f t="shared" si="16"/>
        <v>8</v>
      </c>
    </row>
    <row r="1044" spans="1:10" x14ac:dyDescent="0.25">
      <c r="A1044" s="4">
        <f>_xlfn.XLOOKUP(E1044,'Data Validation'!$M$3:$M$10,'Data Validation'!$N$3:$N$10)</f>
        <v>2</v>
      </c>
      <c r="B1044" s="4">
        <v>15</v>
      </c>
      <c r="C1044" s="4" t="s">
        <v>11</v>
      </c>
      <c r="D1044" s="7">
        <v>30.86</v>
      </c>
      <c r="E1044" s="4" t="s">
        <v>19</v>
      </c>
      <c r="F1044" s="4" t="s">
        <v>17</v>
      </c>
      <c r="G1044" s="4" t="s">
        <v>45</v>
      </c>
      <c r="H1044" s="4" t="s">
        <v>57</v>
      </c>
      <c r="I1044" s="5">
        <v>45586</v>
      </c>
      <c r="J1044" s="4">
        <f t="shared" si="16"/>
        <v>8</v>
      </c>
    </row>
    <row r="1045" spans="1:10" x14ac:dyDescent="0.25">
      <c r="A1045" s="4">
        <f>_xlfn.XLOOKUP(E1045,'Data Validation'!$M$3:$M$10,'Data Validation'!$N$3:$N$10)</f>
        <v>2</v>
      </c>
      <c r="B1045" s="4">
        <v>8</v>
      </c>
      <c r="C1045" s="4" t="s">
        <v>11</v>
      </c>
      <c r="D1045" s="7">
        <v>30.86</v>
      </c>
      <c r="E1045" s="4" t="s">
        <v>19</v>
      </c>
      <c r="F1045" s="4" t="s">
        <v>13</v>
      </c>
      <c r="G1045" s="4" t="s">
        <v>46</v>
      </c>
      <c r="H1045" s="4" t="s">
        <v>57</v>
      </c>
      <c r="I1045" s="5">
        <v>45587</v>
      </c>
      <c r="J1045" s="4">
        <f t="shared" si="16"/>
        <v>8</v>
      </c>
    </row>
    <row r="1046" spans="1:10" x14ac:dyDescent="0.25">
      <c r="A1046" s="4">
        <f>_xlfn.XLOOKUP(E1046,'Data Validation'!$M$3:$M$10,'Data Validation'!$N$3:$N$10)</f>
        <v>2</v>
      </c>
      <c r="B1046" s="4">
        <v>8</v>
      </c>
      <c r="C1046" s="4" t="s">
        <v>11</v>
      </c>
      <c r="D1046" s="7">
        <v>30.86</v>
      </c>
      <c r="E1046" s="4" t="s">
        <v>19</v>
      </c>
      <c r="F1046" s="4" t="s">
        <v>13</v>
      </c>
      <c r="G1046" s="4" t="s">
        <v>47</v>
      </c>
      <c r="H1046" s="4" t="s">
        <v>57</v>
      </c>
      <c r="I1046" s="5">
        <v>45588</v>
      </c>
      <c r="J1046" s="4">
        <f t="shared" si="16"/>
        <v>8</v>
      </c>
    </row>
    <row r="1047" spans="1:10" x14ac:dyDescent="0.25">
      <c r="A1047" s="4">
        <f>_xlfn.XLOOKUP(E1047,'Data Validation'!$M$3:$M$10,'Data Validation'!$N$3:$N$10)</f>
        <v>2</v>
      </c>
      <c r="B1047" s="4">
        <v>12</v>
      </c>
      <c r="C1047" s="4" t="s">
        <v>11</v>
      </c>
      <c r="D1047" s="7">
        <v>30.86</v>
      </c>
      <c r="E1047" s="4" t="s">
        <v>19</v>
      </c>
      <c r="F1047" s="4" t="s">
        <v>17</v>
      </c>
      <c r="G1047" s="4" t="s">
        <v>47</v>
      </c>
      <c r="H1047" s="4" t="s">
        <v>57</v>
      </c>
      <c r="I1047" s="5">
        <v>45588</v>
      </c>
      <c r="J1047" s="4">
        <f t="shared" si="16"/>
        <v>8</v>
      </c>
    </row>
    <row r="1048" spans="1:10" x14ac:dyDescent="0.25">
      <c r="A1048" s="4">
        <f>_xlfn.XLOOKUP(E1048,'Data Validation'!$M$3:$M$10,'Data Validation'!$N$3:$N$10)</f>
        <v>2</v>
      </c>
      <c r="B1048" s="4">
        <v>16</v>
      </c>
      <c r="C1048" s="4" t="s">
        <v>11</v>
      </c>
      <c r="D1048" s="7">
        <v>30.86</v>
      </c>
      <c r="E1048" s="4" t="s">
        <v>19</v>
      </c>
      <c r="F1048" s="4" t="s">
        <v>17</v>
      </c>
      <c r="G1048" s="4" t="s">
        <v>47</v>
      </c>
      <c r="H1048" s="4" t="s">
        <v>57</v>
      </c>
      <c r="I1048" s="5">
        <v>45588</v>
      </c>
      <c r="J1048" s="4">
        <f t="shared" si="16"/>
        <v>8</v>
      </c>
    </row>
    <row r="1049" spans="1:10" x14ac:dyDescent="0.25">
      <c r="A1049" s="4">
        <f>_xlfn.XLOOKUP(E1049,'Data Validation'!$M$3:$M$10,'Data Validation'!$N$3:$N$10)</f>
        <v>2</v>
      </c>
      <c r="B1049" s="4">
        <v>16</v>
      </c>
      <c r="C1049" s="4" t="s">
        <v>11</v>
      </c>
      <c r="D1049" s="7">
        <v>30.86</v>
      </c>
      <c r="E1049" s="4" t="s">
        <v>19</v>
      </c>
      <c r="F1049" s="4" t="s">
        <v>17</v>
      </c>
      <c r="G1049" s="4" t="s">
        <v>47</v>
      </c>
      <c r="H1049" s="4" t="s">
        <v>57</v>
      </c>
      <c r="I1049" s="5">
        <v>45588</v>
      </c>
      <c r="J1049" s="4">
        <f t="shared" si="16"/>
        <v>8</v>
      </c>
    </row>
    <row r="1050" spans="1:10" x14ac:dyDescent="0.25">
      <c r="A1050" s="4">
        <f>_xlfn.XLOOKUP(E1050,'Data Validation'!$M$3:$M$10,'Data Validation'!$N$3:$N$10)</f>
        <v>2</v>
      </c>
      <c r="B1050" s="4">
        <v>21</v>
      </c>
      <c r="C1050" s="4" t="s">
        <v>11</v>
      </c>
      <c r="D1050" s="7">
        <v>30.86</v>
      </c>
      <c r="E1050" s="4" t="s">
        <v>19</v>
      </c>
      <c r="F1050" s="4" t="s">
        <v>20</v>
      </c>
      <c r="G1050" s="4" t="s">
        <v>47</v>
      </c>
      <c r="H1050" s="4" t="s">
        <v>57</v>
      </c>
      <c r="I1050" s="5">
        <v>45588</v>
      </c>
      <c r="J1050" s="4">
        <f t="shared" si="16"/>
        <v>8</v>
      </c>
    </row>
    <row r="1051" spans="1:10" x14ac:dyDescent="0.25">
      <c r="A1051" s="4">
        <f>_xlfn.XLOOKUP(E1051,'Data Validation'!$M$3:$M$10,'Data Validation'!$N$3:$N$10)</f>
        <v>2</v>
      </c>
      <c r="B1051" s="4">
        <v>10</v>
      </c>
      <c r="C1051" s="4" t="s">
        <v>11</v>
      </c>
      <c r="D1051" s="7">
        <v>30.86</v>
      </c>
      <c r="E1051" s="4" t="s">
        <v>19</v>
      </c>
      <c r="F1051" s="4" t="s">
        <v>13</v>
      </c>
      <c r="G1051" s="4" t="s">
        <v>49</v>
      </c>
      <c r="H1051" s="4" t="s">
        <v>57</v>
      </c>
      <c r="I1051" s="5">
        <v>45590</v>
      </c>
      <c r="J1051" s="4">
        <f t="shared" si="16"/>
        <v>8</v>
      </c>
    </row>
    <row r="1052" spans="1:10" x14ac:dyDescent="0.25">
      <c r="A1052" s="4">
        <f>_xlfn.XLOOKUP(E1052,'Data Validation'!$M$3:$M$10,'Data Validation'!$N$3:$N$10)</f>
        <v>2</v>
      </c>
      <c r="B1052" s="4">
        <v>14</v>
      </c>
      <c r="C1052" s="4" t="s">
        <v>11</v>
      </c>
      <c r="D1052" s="7">
        <v>30.86</v>
      </c>
      <c r="E1052" s="4" t="s">
        <v>19</v>
      </c>
      <c r="F1052" s="4" t="s">
        <v>17</v>
      </c>
      <c r="G1052" s="4" t="s">
        <v>50</v>
      </c>
      <c r="H1052" s="4" t="s">
        <v>57</v>
      </c>
      <c r="I1052" s="5">
        <v>45591</v>
      </c>
      <c r="J1052" s="4">
        <f t="shared" si="16"/>
        <v>8</v>
      </c>
    </row>
    <row r="1053" spans="1:10" x14ac:dyDescent="0.25">
      <c r="A1053" s="4">
        <f>_xlfn.XLOOKUP(E1053,'Data Validation'!$M$3:$M$10,'Data Validation'!$N$3:$N$10)</f>
        <v>2</v>
      </c>
      <c r="B1053" s="4">
        <v>15</v>
      </c>
      <c r="C1053" s="4" t="s">
        <v>11</v>
      </c>
      <c r="D1053" s="7">
        <v>30.86</v>
      </c>
      <c r="E1053" s="4" t="s">
        <v>19</v>
      </c>
      <c r="F1053" s="4" t="s">
        <v>17</v>
      </c>
      <c r="G1053" s="4" t="s">
        <v>50</v>
      </c>
      <c r="H1053" s="4" t="s">
        <v>57</v>
      </c>
      <c r="I1053" s="5">
        <v>45591</v>
      </c>
      <c r="J1053" s="4">
        <f t="shared" si="16"/>
        <v>8</v>
      </c>
    </row>
    <row r="1054" spans="1:10" x14ac:dyDescent="0.25">
      <c r="A1054" s="4">
        <f>_xlfn.XLOOKUP(E1054,'Data Validation'!$M$3:$M$10,'Data Validation'!$N$3:$N$10)</f>
        <v>2</v>
      </c>
      <c r="B1054" s="4">
        <v>15</v>
      </c>
      <c r="C1054" s="4" t="s">
        <v>11</v>
      </c>
      <c r="D1054" s="7">
        <v>30.86</v>
      </c>
      <c r="E1054" s="4" t="s">
        <v>19</v>
      </c>
      <c r="F1054" s="4" t="s">
        <v>17</v>
      </c>
      <c r="G1054" s="4" t="s">
        <v>50</v>
      </c>
      <c r="H1054" s="4" t="s">
        <v>57</v>
      </c>
      <c r="I1054" s="5">
        <v>45591</v>
      </c>
      <c r="J1054" s="4">
        <f t="shared" si="16"/>
        <v>8</v>
      </c>
    </row>
    <row r="1055" spans="1:10" x14ac:dyDescent="0.25">
      <c r="A1055" s="4">
        <f>_xlfn.XLOOKUP(E1055,'Data Validation'!$M$3:$M$10,'Data Validation'!$N$3:$N$10)</f>
        <v>2</v>
      </c>
      <c r="B1055" s="4">
        <v>20</v>
      </c>
      <c r="C1055" s="4" t="s">
        <v>11</v>
      </c>
      <c r="D1055" s="7">
        <v>30.86</v>
      </c>
      <c r="E1055" s="4" t="s">
        <v>19</v>
      </c>
      <c r="F1055" s="4" t="s">
        <v>20</v>
      </c>
      <c r="G1055" s="4" t="s">
        <v>50</v>
      </c>
      <c r="H1055" s="4" t="s">
        <v>57</v>
      </c>
      <c r="I1055" s="5">
        <v>45591</v>
      </c>
      <c r="J1055" s="4">
        <f t="shared" si="16"/>
        <v>8</v>
      </c>
    </row>
    <row r="1056" spans="1:10" x14ac:dyDescent="0.25">
      <c r="A1056" s="4">
        <f>_xlfn.XLOOKUP(E1056,'Data Validation'!$M$3:$M$10,'Data Validation'!$N$3:$N$10)</f>
        <v>2</v>
      </c>
      <c r="B1056" s="4">
        <v>11</v>
      </c>
      <c r="C1056" s="4" t="s">
        <v>11</v>
      </c>
      <c r="D1056" s="7">
        <v>30.86</v>
      </c>
      <c r="E1056" s="4" t="s">
        <v>19</v>
      </c>
      <c r="F1056" s="4" t="s">
        <v>13</v>
      </c>
      <c r="G1056" s="4" t="s">
        <v>51</v>
      </c>
      <c r="H1056" s="4" t="s">
        <v>57</v>
      </c>
      <c r="I1056" s="5">
        <v>45592</v>
      </c>
      <c r="J1056" s="4">
        <f t="shared" si="16"/>
        <v>8</v>
      </c>
    </row>
    <row r="1057" spans="1:10" x14ac:dyDescent="0.25">
      <c r="A1057" s="4">
        <f>_xlfn.XLOOKUP(E1057,'Data Validation'!$M$3:$M$10,'Data Validation'!$N$3:$N$10)</f>
        <v>2</v>
      </c>
      <c r="B1057" s="4">
        <v>12</v>
      </c>
      <c r="C1057" s="4" t="s">
        <v>11</v>
      </c>
      <c r="D1057" s="7">
        <v>30.86</v>
      </c>
      <c r="E1057" s="4" t="s">
        <v>19</v>
      </c>
      <c r="F1057" s="4" t="s">
        <v>17</v>
      </c>
      <c r="G1057" s="4" t="s">
        <v>51</v>
      </c>
      <c r="H1057" s="4" t="s">
        <v>57</v>
      </c>
      <c r="I1057" s="5">
        <v>45592</v>
      </c>
      <c r="J1057" s="4">
        <f t="shared" si="16"/>
        <v>8</v>
      </c>
    </row>
    <row r="1058" spans="1:10" x14ac:dyDescent="0.25">
      <c r="A1058" s="4">
        <f>_xlfn.XLOOKUP(E1058,'Data Validation'!$M$3:$M$10,'Data Validation'!$N$3:$N$10)</f>
        <v>2</v>
      </c>
      <c r="B1058" s="4">
        <v>9</v>
      </c>
      <c r="C1058" s="4" t="s">
        <v>11</v>
      </c>
      <c r="D1058" s="7">
        <v>30.86</v>
      </c>
      <c r="E1058" s="4" t="s">
        <v>19</v>
      </c>
      <c r="F1058" s="4" t="s">
        <v>13</v>
      </c>
      <c r="G1058" s="4" t="s">
        <v>45</v>
      </c>
      <c r="H1058" s="4" t="s">
        <v>57</v>
      </c>
      <c r="I1058" s="5">
        <v>45593</v>
      </c>
      <c r="J1058" s="4">
        <f t="shared" si="16"/>
        <v>8</v>
      </c>
    </row>
    <row r="1059" spans="1:10" x14ac:dyDescent="0.25">
      <c r="A1059" s="4">
        <f>_xlfn.XLOOKUP(E1059,'Data Validation'!$M$3:$M$10,'Data Validation'!$N$3:$N$10)</f>
        <v>2</v>
      </c>
      <c r="B1059" s="4">
        <v>12</v>
      </c>
      <c r="C1059" s="4" t="s">
        <v>11</v>
      </c>
      <c r="D1059" s="7">
        <v>30.86</v>
      </c>
      <c r="E1059" s="4" t="s">
        <v>19</v>
      </c>
      <c r="F1059" s="4" t="s">
        <v>17</v>
      </c>
      <c r="G1059" s="4" t="s">
        <v>45</v>
      </c>
      <c r="H1059" s="4" t="s">
        <v>57</v>
      </c>
      <c r="I1059" s="5">
        <v>45593</v>
      </c>
      <c r="J1059" s="4">
        <f t="shared" si="16"/>
        <v>8</v>
      </c>
    </row>
    <row r="1060" spans="1:10" x14ac:dyDescent="0.25">
      <c r="A1060" s="4">
        <f>_xlfn.XLOOKUP(E1060,'Data Validation'!$M$3:$M$10,'Data Validation'!$N$3:$N$10)</f>
        <v>2</v>
      </c>
      <c r="B1060" s="4">
        <v>14</v>
      </c>
      <c r="C1060" s="4" t="s">
        <v>11</v>
      </c>
      <c r="D1060" s="7">
        <v>30.86</v>
      </c>
      <c r="E1060" s="4" t="s">
        <v>19</v>
      </c>
      <c r="F1060" s="4" t="s">
        <v>17</v>
      </c>
      <c r="G1060" s="4" t="s">
        <v>45</v>
      </c>
      <c r="H1060" s="4" t="s">
        <v>57</v>
      </c>
      <c r="I1060" s="5">
        <v>45593</v>
      </c>
      <c r="J1060" s="4">
        <f t="shared" si="16"/>
        <v>8</v>
      </c>
    </row>
    <row r="1061" spans="1:10" x14ac:dyDescent="0.25">
      <c r="A1061" s="4">
        <f>_xlfn.XLOOKUP(E1061,'Data Validation'!$M$3:$M$10,'Data Validation'!$N$3:$N$10)</f>
        <v>2</v>
      </c>
      <c r="B1061" s="4">
        <v>14</v>
      </c>
      <c r="C1061" s="4" t="s">
        <v>11</v>
      </c>
      <c r="D1061" s="7">
        <v>30.86</v>
      </c>
      <c r="E1061" s="4" t="s">
        <v>19</v>
      </c>
      <c r="F1061" s="4" t="s">
        <v>17</v>
      </c>
      <c r="G1061" s="4" t="s">
        <v>45</v>
      </c>
      <c r="H1061" s="4" t="s">
        <v>57</v>
      </c>
      <c r="I1061" s="5">
        <v>45593</v>
      </c>
      <c r="J1061" s="4">
        <f t="shared" si="16"/>
        <v>8</v>
      </c>
    </row>
    <row r="1062" spans="1:10" x14ac:dyDescent="0.25">
      <c r="A1062" s="4">
        <f>_xlfn.XLOOKUP(E1062,'Data Validation'!$M$3:$M$10,'Data Validation'!$N$3:$N$10)</f>
        <v>2</v>
      </c>
      <c r="B1062" s="4">
        <v>14</v>
      </c>
      <c r="C1062" s="4" t="s">
        <v>11</v>
      </c>
      <c r="D1062" s="7">
        <v>30.86</v>
      </c>
      <c r="E1062" s="4" t="s">
        <v>19</v>
      </c>
      <c r="F1062" s="4" t="s">
        <v>17</v>
      </c>
      <c r="G1062" s="4" t="s">
        <v>45</v>
      </c>
      <c r="H1062" s="4" t="s">
        <v>57</v>
      </c>
      <c r="I1062" s="5">
        <v>45593</v>
      </c>
      <c r="J1062" s="4">
        <f t="shared" si="16"/>
        <v>8</v>
      </c>
    </row>
    <row r="1063" spans="1:10" x14ac:dyDescent="0.25">
      <c r="A1063" s="4">
        <f>_xlfn.XLOOKUP(E1063,'Data Validation'!$M$3:$M$10,'Data Validation'!$N$3:$N$10)</f>
        <v>2</v>
      </c>
      <c r="B1063" s="4">
        <v>21</v>
      </c>
      <c r="C1063" s="4" t="s">
        <v>11</v>
      </c>
      <c r="D1063" s="7">
        <v>30.86</v>
      </c>
      <c r="E1063" s="4" t="s">
        <v>19</v>
      </c>
      <c r="F1063" s="4" t="s">
        <v>20</v>
      </c>
      <c r="G1063" s="4" t="s">
        <v>45</v>
      </c>
      <c r="H1063" s="4" t="s">
        <v>57</v>
      </c>
      <c r="I1063" s="5">
        <v>45593</v>
      </c>
      <c r="J1063" s="4">
        <f t="shared" si="16"/>
        <v>8</v>
      </c>
    </row>
    <row r="1064" spans="1:10" x14ac:dyDescent="0.25">
      <c r="A1064" s="4">
        <f>_xlfn.XLOOKUP(E1064,'Data Validation'!$M$3:$M$10,'Data Validation'!$N$3:$N$10)</f>
        <v>2</v>
      </c>
      <c r="B1064" s="4">
        <v>22</v>
      </c>
      <c r="C1064" s="4" t="s">
        <v>11</v>
      </c>
      <c r="D1064" s="7">
        <v>30.86</v>
      </c>
      <c r="E1064" s="4" t="s">
        <v>19</v>
      </c>
      <c r="F1064" s="4" t="s">
        <v>20</v>
      </c>
      <c r="G1064" s="4" t="s">
        <v>45</v>
      </c>
      <c r="H1064" s="4" t="s">
        <v>57</v>
      </c>
      <c r="I1064" s="5">
        <v>45593</v>
      </c>
      <c r="J1064" s="4">
        <f t="shared" si="16"/>
        <v>8</v>
      </c>
    </row>
    <row r="1065" spans="1:10" x14ac:dyDescent="0.25">
      <c r="A1065" s="4">
        <f>_xlfn.XLOOKUP(E1065,'Data Validation'!$M$3:$M$10,'Data Validation'!$N$3:$N$10)</f>
        <v>2</v>
      </c>
      <c r="B1065" s="4">
        <v>11</v>
      </c>
      <c r="C1065" s="4" t="s">
        <v>11</v>
      </c>
      <c r="D1065" s="7">
        <v>30.86</v>
      </c>
      <c r="E1065" s="4" t="s">
        <v>19</v>
      </c>
      <c r="F1065" s="4" t="s">
        <v>13</v>
      </c>
      <c r="G1065" s="4" t="s">
        <v>46</v>
      </c>
      <c r="H1065" s="4" t="s">
        <v>57</v>
      </c>
      <c r="I1065" s="5">
        <v>45594</v>
      </c>
      <c r="J1065" s="4">
        <f t="shared" si="16"/>
        <v>8</v>
      </c>
    </row>
    <row r="1066" spans="1:10" x14ac:dyDescent="0.25">
      <c r="A1066" s="4">
        <f>_xlfn.XLOOKUP(E1066,'Data Validation'!$M$3:$M$10,'Data Validation'!$N$3:$N$10)</f>
        <v>2</v>
      </c>
      <c r="B1066" s="4">
        <v>18</v>
      </c>
      <c r="C1066" s="4" t="s">
        <v>11</v>
      </c>
      <c r="D1066" s="7">
        <v>30.86</v>
      </c>
      <c r="E1066" s="4" t="s">
        <v>19</v>
      </c>
      <c r="F1066" s="4" t="s">
        <v>20</v>
      </c>
      <c r="G1066" s="4" t="s">
        <v>46</v>
      </c>
      <c r="H1066" s="4" t="s">
        <v>57</v>
      </c>
      <c r="I1066" s="5">
        <v>45594</v>
      </c>
      <c r="J1066" s="4">
        <f t="shared" si="16"/>
        <v>8</v>
      </c>
    </row>
    <row r="1067" spans="1:10" x14ac:dyDescent="0.25">
      <c r="A1067" s="4">
        <f>_xlfn.XLOOKUP(E1067,'Data Validation'!$M$3:$M$10,'Data Validation'!$N$3:$N$10)</f>
        <v>2</v>
      </c>
      <c r="B1067" s="4">
        <v>18</v>
      </c>
      <c r="C1067" s="4" t="s">
        <v>11</v>
      </c>
      <c r="D1067" s="7">
        <v>30.86</v>
      </c>
      <c r="E1067" s="4" t="s">
        <v>19</v>
      </c>
      <c r="F1067" s="4" t="s">
        <v>20</v>
      </c>
      <c r="G1067" s="4" t="s">
        <v>46</v>
      </c>
      <c r="H1067" s="4" t="s">
        <v>57</v>
      </c>
      <c r="I1067" s="5">
        <v>45594</v>
      </c>
      <c r="J1067" s="4">
        <f t="shared" si="16"/>
        <v>8</v>
      </c>
    </row>
    <row r="1068" spans="1:10" x14ac:dyDescent="0.25">
      <c r="A1068" s="4">
        <f>_xlfn.XLOOKUP(E1068,'Data Validation'!$M$3:$M$10,'Data Validation'!$N$3:$N$10)</f>
        <v>2</v>
      </c>
      <c r="B1068" s="4">
        <v>19</v>
      </c>
      <c r="C1068" s="4" t="s">
        <v>11</v>
      </c>
      <c r="D1068" s="7">
        <v>30.86</v>
      </c>
      <c r="E1068" s="4" t="s">
        <v>19</v>
      </c>
      <c r="F1068" s="4" t="s">
        <v>20</v>
      </c>
      <c r="G1068" s="4" t="s">
        <v>46</v>
      </c>
      <c r="H1068" s="4" t="s">
        <v>57</v>
      </c>
      <c r="I1068" s="5">
        <v>45594</v>
      </c>
      <c r="J1068" s="4">
        <f t="shared" si="16"/>
        <v>8</v>
      </c>
    </row>
    <row r="1069" spans="1:10" x14ac:dyDescent="0.25">
      <c r="A1069" s="4">
        <f>_xlfn.XLOOKUP(E1069,'Data Validation'!$M$3:$M$10,'Data Validation'!$N$3:$N$10)</f>
        <v>2</v>
      </c>
      <c r="B1069" s="4">
        <v>8</v>
      </c>
      <c r="C1069" s="4" t="s">
        <v>11</v>
      </c>
      <c r="D1069" s="7">
        <v>30.86</v>
      </c>
      <c r="E1069" s="4" t="s">
        <v>19</v>
      </c>
      <c r="F1069" s="4" t="s">
        <v>13</v>
      </c>
      <c r="G1069" s="4" t="s">
        <v>47</v>
      </c>
      <c r="H1069" s="4" t="s">
        <v>57</v>
      </c>
      <c r="I1069" s="5">
        <v>45595</v>
      </c>
      <c r="J1069" s="4">
        <f t="shared" si="16"/>
        <v>8</v>
      </c>
    </row>
    <row r="1070" spans="1:10" x14ac:dyDescent="0.25">
      <c r="A1070" s="4">
        <f>_xlfn.XLOOKUP(E1070,'Data Validation'!$M$3:$M$10,'Data Validation'!$N$3:$N$10)</f>
        <v>2</v>
      </c>
      <c r="B1070" s="4">
        <v>8</v>
      </c>
      <c r="C1070" s="4" t="s">
        <v>11</v>
      </c>
      <c r="D1070" s="7">
        <v>30.86</v>
      </c>
      <c r="E1070" s="4" t="s">
        <v>19</v>
      </c>
      <c r="F1070" s="4" t="s">
        <v>13</v>
      </c>
      <c r="G1070" s="4" t="s">
        <v>47</v>
      </c>
      <c r="H1070" s="4" t="s">
        <v>57</v>
      </c>
      <c r="I1070" s="5">
        <v>45595</v>
      </c>
      <c r="J1070" s="4">
        <f t="shared" si="16"/>
        <v>8</v>
      </c>
    </row>
    <row r="1071" spans="1:10" x14ac:dyDescent="0.25">
      <c r="A1071" s="4">
        <f>_xlfn.XLOOKUP(E1071,'Data Validation'!$M$3:$M$10,'Data Validation'!$N$3:$N$10)</f>
        <v>2</v>
      </c>
      <c r="B1071" s="4">
        <v>12</v>
      </c>
      <c r="C1071" s="4" t="s">
        <v>11</v>
      </c>
      <c r="D1071" s="7">
        <v>30.86</v>
      </c>
      <c r="E1071" s="4" t="s">
        <v>19</v>
      </c>
      <c r="F1071" s="4" t="s">
        <v>17</v>
      </c>
      <c r="G1071" s="4" t="s">
        <v>47</v>
      </c>
      <c r="H1071" s="4" t="s">
        <v>57</v>
      </c>
      <c r="I1071" s="5">
        <v>45595</v>
      </c>
      <c r="J1071" s="4">
        <f t="shared" si="16"/>
        <v>8</v>
      </c>
    </row>
    <row r="1072" spans="1:10" x14ac:dyDescent="0.25">
      <c r="A1072" s="4">
        <f>_xlfn.XLOOKUP(E1072,'Data Validation'!$M$3:$M$10,'Data Validation'!$N$3:$N$10)</f>
        <v>2</v>
      </c>
      <c r="B1072" s="4">
        <v>16</v>
      </c>
      <c r="C1072" s="4" t="s">
        <v>11</v>
      </c>
      <c r="D1072" s="7">
        <v>30.86</v>
      </c>
      <c r="E1072" s="4" t="s">
        <v>19</v>
      </c>
      <c r="F1072" s="4" t="s">
        <v>17</v>
      </c>
      <c r="G1072" s="4" t="s">
        <v>47</v>
      </c>
      <c r="H1072" s="4" t="s">
        <v>57</v>
      </c>
      <c r="I1072" s="5">
        <v>45595</v>
      </c>
      <c r="J1072" s="4">
        <f t="shared" si="16"/>
        <v>8</v>
      </c>
    </row>
    <row r="1073" spans="1:10" x14ac:dyDescent="0.25">
      <c r="A1073" s="4">
        <f>_xlfn.XLOOKUP(E1073,'Data Validation'!$M$3:$M$10,'Data Validation'!$N$3:$N$10)</f>
        <v>2</v>
      </c>
      <c r="B1073" s="4">
        <v>19</v>
      </c>
      <c r="C1073" s="4" t="s">
        <v>11</v>
      </c>
      <c r="D1073" s="7">
        <v>30.86</v>
      </c>
      <c r="E1073" s="4" t="s">
        <v>19</v>
      </c>
      <c r="F1073" s="4" t="s">
        <v>20</v>
      </c>
      <c r="G1073" s="4" t="s">
        <v>47</v>
      </c>
      <c r="H1073" s="4" t="s">
        <v>57</v>
      </c>
      <c r="I1073" s="5">
        <v>45595</v>
      </c>
      <c r="J1073" s="4">
        <f t="shared" si="16"/>
        <v>8</v>
      </c>
    </row>
    <row r="1074" spans="1:10" x14ac:dyDescent="0.25">
      <c r="A1074" s="4">
        <f>_xlfn.XLOOKUP(E1074,'Data Validation'!$M$3:$M$10,'Data Validation'!$N$3:$N$10)</f>
        <v>2</v>
      </c>
      <c r="B1074" s="4">
        <v>19</v>
      </c>
      <c r="C1074" s="4" t="s">
        <v>11</v>
      </c>
      <c r="D1074" s="7">
        <v>30.86</v>
      </c>
      <c r="E1074" s="4" t="s">
        <v>19</v>
      </c>
      <c r="F1074" s="4" t="s">
        <v>20</v>
      </c>
      <c r="G1074" s="4" t="s">
        <v>47</v>
      </c>
      <c r="H1074" s="4" t="s">
        <v>57</v>
      </c>
      <c r="I1074" s="5">
        <v>45595</v>
      </c>
      <c r="J1074" s="4">
        <f t="shared" si="16"/>
        <v>8</v>
      </c>
    </row>
    <row r="1075" spans="1:10" x14ac:dyDescent="0.25">
      <c r="A1075" s="4">
        <f>_xlfn.XLOOKUP(E1075,'Data Validation'!$M$3:$M$10,'Data Validation'!$N$3:$N$10)</f>
        <v>2</v>
      </c>
      <c r="B1075" s="4">
        <v>9</v>
      </c>
      <c r="C1075" s="4" t="s">
        <v>11</v>
      </c>
      <c r="D1075" s="7">
        <v>30.86</v>
      </c>
      <c r="E1075" s="4" t="s">
        <v>19</v>
      </c>
      <c r="F1075" s="4" t="s">
        <v>13</v>
      </c>
      <c r="G1075" s="4" t="s">
        <v>48</v>
      </c>
      <c r="H1075" s="4" t="s">
        <v>57</v>
      </c>
      <c r="I1075" s="5">
        <v>45596</v>
      </c>
      <c r="J1075" s="4">
        <f t="shared" si="16"/>
        <v>8</v>
      </c>
    </row>
    <row r="1076" spans="1:10" x14ac:dyDescent="0.25">
      <c r="A1076" s="4">
        <f>_xlfn.XLOOKUP(E1076,'Data Validation'!$M$3:$M$10,'Data Validation'!$N$3:$N$10)</f>
        <v>2</v>
      </c>
      <c r="B1076" s="4">
        <v>16</v>
      </c>
      <c r="C1076" s="4" t="s">
        <v>11</v>
      </c>
      <c r="D1076" s="7">
        <v>30.86</v>
      </c>
      <c r="E1076" s="4" t="s">
        <v>19</v>
      </c>
      <c r="F1076" s="4" t="s">
        <v>17</v>
      </c>
      <c r="G1076" s="4" t="s">
        <v>48</v>
      </c>
      <c r="H1076" s="4" t="s">
        <v>57</v>
      </c>
      <c r="I1076" s="5">
        <v>45596</v>
      </c>
      <c r="J1076" s="4">
        <f t="shared" si="16"/>
        <v>8</v>
      </c>
    </row>
    <row r="1077" spans="1:10" x14ac:dyDescent="0.25">
      <c r="A1077" s="4">
        <f>_xlfn.XLOOKUP(E1077,'Data Validation'!$M$3:$M$10,'Data Validation'!$N$3:$N$10)</f>
        <v>2</v>
      </c>
      <c r="B1077" s="4">
        <v>22</v>
      </c>
      <c r="C1077" s="4" t="s">
        <v>11</v>
      </c>
      <c r="D1077" s="7">
        <v>30.86</v>
      </c>
      <c r="E1077" s="4" t="s">
        <v>19</v>
      </c>
      <c r="F1077" s="4" t="s">
        <v>20</v>
      </c>
      <c r="G1077" s="4" t="s">
        <v>49</v>
      </c>
      <c r="H1077" s="4" t="s">
        <v>58</v>
      </c>
      <c r="I1077" s="5">
        <v>45597</v>
      </c>
      <c r="J1077" s="4">
        <f t="shared" si="16"/>
        <v>8</v>
      </c>
    </row>
    <row r="1078" spans="1:10" x14ac:dyDescent="0.25">
      <c r="A1078" s="4">
        <f>_xlfn.XLOOKUP(E1078,'Data Validation'!$M$3:$M$10,'Data Validation'!$N$3:$N$10)</f>
        <v>2</v>
      </c>
      <c r="B1078" s="4">
        <v>10</v>
      </c>
      <c r="C1078" s="4" t="s">
        <v>11</v>
      </c>
      <c r="D1078" s="7">
        <v>30.86</v>
      </c>
      <c r="E1078" s="4" t="s">
        <v>19</v>
      </c>
      <c r="F1078" s="4" t="s">
        <v>13</v>
      </c>
      <c r="G1078" s="4" t="s">
        <v>50</v>
      </c>
      <c r="H1078" s="4" t="s">
        <v>58</v>
      </c>
      <c r="I1078" s="5">
        <v>45598</v>
      </c>
      <c r="J1078" s="4">
        <f t="shared" si="16"/>
        <v>8</v>
      </c>
    </row>
    <row r="1079" spans="1:10" x14ac:dyDescent="0.25">
      <c r="A1079" s="4">
        <f>_xlfn.XLOOKUP(E1079,'Data Validation'!$M$3:$M$10,'Data Validation'!$N$3:$N$10)</f>
        <v>2</v>
      </c>
      <c r="B1079" s="4">
        <v>14</v>
      </c>
      <c r="C1079" s="4" t="s">
        <v>11</v>
      </c>
      <c r="D1079" s="7">
        <v>30.86</v>
      </c>
      <c r="E1079" s="4" t="s">
        <v>19</v>
      </c>
      <c r="F1079" s="4" t="s">
        <v>17</v>
      </c>
      <c r="G1079" s="4" t="s">
        <v>50</v>
      </c>
      <c r="H1079" s="4" t="s">
        <v>58</v>
      </c>
      <c r="I1079" s="5">
        <v>45598</v>
      </c>
      <c r="J1079" s="4">
        <f t="shared" si="16"/>
        <v>8</v>
      </c>
    </row>
    <row r="1080" spans="1:10" x14ac:dyDescent="0.25">
      <c r="A1080" s="4">
        <f>_xlfn.XLOOKUP(E1080,'Data Validation'!$M$3:$M$10,'Data Validation'!$N$3:$N$10)</f>
        <v>2</v>
      </c>
      <c r="B1080" s="4">
        <v>18</v>
      </c>
      <c r="C1080" s="4" t="s">
        <v>11</v>
      </c>
      <c r="D1080" s="7">
        <v>30.86</v>
      </c>
      <c r="E1080" s="4" t="s">
        <v>19</v>
      </c>
      <c r="F1080" s="4" t="s">
        <v>20</v>
      </c>
      <c r="G1080" s="4" t="s">
        <v>50</v>
      </c>
      <c r="H1080" s="4" t="s">
        <v>58</v>
      </c>
      <c r="I1080" s="5">
        <v>45598</v>
      </c>
      <c r="J1080" s="4">
        <f t="shared" si="16"/>
        <v>8</v>
      </c>
    </row>
    <row r="1081" spans="1:10" x14ac:dyDescent="0.25">
      <c r="A1081" s="4">
        <f>_xlfn.XLOOKUP(E1081,'Data Validation'!$M$3:$M$10,'Data Validation'!$N$3:$N$10)</f>
        <v>2</v>
      </c>
      <c r="B1081" s="4">
        <v>9</v>
      </c>
      <c r="C1081" s="4" t="s">
        <v>11</v>
      </c>
      <c r="D1081" s="7">
        <v>30.86</v>
      </c>
      <c r="E1081" s="4" t="s">
        <v>19</v>
      </c>
      <c r="F1081" s="4" t="s">
        <v>13</v>
      </c>
      <c r="G1081" s="4" t="s">
        <v>51</v>
      </c>
      <c r="H1081" s="4" t="s">
        <v>58</v>
      </c>
      <c r="I1081" s="5">
        <v>45599</v>
      </c>
      <c r="J1081" s="4">
        <f t="shared" si="16"/>
        <v>8</v>
      </c>
    </row>
    <row r="1082" spans="1:10" x14ac:dyDescent="0.25">
      <c r="A1082" s="4">
        <f>_xlfn.XLOOKUP(E1082,'Data Validation'!$M$3:$M$10,'Data Validation'!$N$3:$N$10)</f>
        <v>2</v>
      </c>
      <c r="B1082" s="4">
        <v>9</v>
      </c>
      <c r="C1082" s="4" t="s">
        <v>11</v>
      </c>
      <c r="D1082" s="7">
        <v>30.86</v>
      </c>
      <c r="E1082" s="4" t="s">
        <v>19</v>
      </c>
      <c r="F1082" s="4" t="s">
        <v>13</v>
      </c>
      <c r="G1082" s="4" t="s">
        <v>51</v>
      </c>
      <c r="H1082" s="4" t="s">
        <v>58</v>
      </c>
      <c r="I1082" s="5">
        <v>45599</v>
      </c>
      <c r="J1082" s="4">
        <f t="shared" si="16"/>
        <v>8</v>
      </c>
    </row>
    <row r="1083" spans="1:10" x14ac:dyDescent="0.25">
      <c r="A1083" s="4">
        <f>_xlfn.XLOOKUP(E1083,'Data Validation'!$M$3:$M$10,'Data Validation'!$N$3:$N$10)</f>
        <v>2</v>
      </c>
      <c r="B1083" s="4">
        <v>13</v>
      </c>
      <c r="C1083" s="4" t="s">
        <v>11</v>
      </c>
      <c r="D1083" s="7">
        <v>30.86</v>
      </c>
      <c r="E1083" s="4" t="s">
        <v>19</v>
      </c>
      <c r="F1083" s="4" t="s">
        <v>17</v>
      </c>
      <c r="G1083" s="4" t="s">
        <v>51</v>
      </c>
      <c r="H1083" s="4" t="s">
        <v>58</v>
      </c>
      <c r="I1083" s="5">
        <v>45599</v>
      </c>
      <c r="J1083" s="4">
        <f t="shared" si="16"/>
        <v>8</v>
      </c>
    </row>
    <row r="1084" spans="1:10" x14ac:dyDescent="0.25">
      <c r="A1084" s="4">
        <f>_xlfn.XLOOKUP(E1084,'Data Validation'!$M$3:$M$10,'Data Validation'!$N$3:$N$10)</f>
        <v>2</v>
      </c>
      <c r="B1084" s="4">
        <v>13</v>
      </c>
      <c r="C1084" s="4" t="s">
        <v>11</v>
      </c>
      <c r="D1084" s="7">
        <v>30.86</v>
      </c>
      <c r="E1084" s="4" t="s">
        <v>19</v>
      </c>
      <c r="F1084" s="4" t="s">
        <v>17</v>
      </c>
      <c r="G1084" s="4" t="s">
        <v>51</v>
      </c>
      <c r="H1084" s="4" t="s">
        <v>58</v>
      </c>
      <c r="I1084" s="5">
        <v>45599</v>
      </c>
      <c r="J1084" s="4">
        <f t="shared" si="16"/>
        <v>8</v>
      </c>
    </row>
    <row r="1085" spans="1:10" x14ac:dyDescent="0.25">
      <c r="A1085" s="4">
        <f>_xlfn.XLOOKUP(E1085,'Data Validation'!$M$3:$M$10,'Data Validation'!$N$3:$N$10)</f>
        <v>2</v>
      </c>
      <c r="B1085" s="4">
        <v>8</v>
      </c>
      <c r="C1085" s="4" t="s">
        <v>11</v>
      </c>
      <c r="D1085" s="7">
        <v>30.86</v>
      </c>
      <c r="E1085" s="4" t="s">
        <v>19</v>
      </c>
      <c r="F1085" s="4" t="s">
        <v>13</v>
      </c>
      <c r="G1085" s="4" t="s">
        <v>45</v>
      </c>
      <c r="H1085" s="4" t="s">
        <v>58</v>
      </c>
      <c r="I1085" s="5">
        <v>45600</v>
      </c>
      <c r="J1085" s="4">
        <f t="shared" si="16"/>
        <v>8</v>
      </c>
    </row>
    <row r="1086" spans="1:10" x14ac:dyDescent="0.25">
      <c r="A1086" s="4">
        <f>_xlfn.XLOOKUP(E1086,'Data Validation'!$M$3:$M$10,'Data Validation'!$N$3:$N$10)</f>
        <v>2</v>
      </c>
      <c r="B1086" s="4">
        <v>12</v>
      </c>
      <c r="C1086" s="4" t="s">
        <v>11</v>
      </c>
      <c r="D1086" s="7">
        <v>30.86</v>
      </c>
      <c r="E1086" s="4" t="s">
        <v>19</v>
      </c>
      <c r="F1086" s="4" t="s">
        <v>17</v>
      </c>
      <c r="G1086" s="4" t="s">
        <v>45</v>
      </c>
      <c r="H1086" s="4" t="s">
        <v>58</v>
      </c>
      <c r="I1086" s="5">
        <v>45600</v>
      </c>
      <c r="J1086" s="4">
        <f t="shared" si="16"/>
        <v>8</v>
      </c>
    </row>
    <row r="1087" spans="1:10" x14ac:dyDescent="0.25">
      <c r="A1087" s="4">
        <f>_xlfn.XLOOKUP(E1087,'Data Validation'!$M$3:$M$10,'Data Validation'!$N$3:$N$10)</f>
        <v>2</v>
      </c>
      <c r="B1087" s="4">
        <v>9</v>
      </c>
      <c r="C1087" s="4" t="s">
        <v>11</v>
      </c>
      <c r="D1087" s="7">
        <v>30.86</v>
      </c>
      <c r="E1087" s="4" t="s">
        <v>19</v>
      </c>
      <c r="F1087" s="4" t="s">
        <v>13</v>
      </c>
      <c r="G1087" s="4" t="s">
        <v>46</v>
      </c>
      <c r="H1087" s="4" t="s">
        <v>58</v>
      </c>
      <c r="I1087" s="5">
        <v>45601</v>
      </c>
      <c r="J1087" s="4">
        <f t="shared" si="16"/>
        <v>8</v>
      </c>
    </row>
    <row r="1088" spans="1:10" x14ac:dyDescent="0.25">
      <c r="A1088" s="4">
        <f>_xlfn.XLOOKUP(E1088,'Data Validation'!$M$3:$M$10,'Data Validation'!$N$3:$N$10)</f>
        <v>2</v>
      </c>
      <c r="B1088" s="4">
        <v>9</v>
      </c>
      <c r="C1088" s="4" t="s">
        <v>11</v>
      </c>
      <c r="D1088" s="7">
        <v>30.86</v>
      </c>
      <c r="E1088" s="4" t="s">
        <v>19</v>
      </c>
      <c r="F1088" s="4" t="s">
        <v>13</v>
      </c>
      <c r="G1088" s="4" t="s">
        <v>46</v>
      </c>
      <c r="H1088" s="4" t="s">
        <v>58</v>
      </c>
      <c r="I1088" s="5">
        <v>45601</v>
      </c>
      <c r="J1088" s="4">
        <f t="shared" si="16"/>
        <v>8</v>
      </c>
    </row>
    <row r="1089" spans="1:10" x14ac:dyDescent="0.25">
      <c r="A1089" s="4">
        <f>_xlfn.XLOOKUP(E1089,'Data Validation'!$M$3:$M$10,'Data Validation'!$N$3:$N$10)</f>
        <v>2</v>
      </c>
      <c r="B1089" s="4">
        <v>10</v>
      </c>
      <c r="C1089" s="4" t="s">
        <v>11</v>
      </c>
      <c r="D1089" s="7">
        <v>30.86</v>
      </c>
      <c r="E1089" s="4" t="s">
        <v>19</v>
      </c>
      <c r="F1089" s="4" t="s">
        <v>13</v>
      </c>
      <c r="G1089" s="4" t="s">
        <v>46</v>
      </c>
      <c r="H1089" s="4" t="s">
        <v>58</v>
      </c>
      <c r="I1089" s="5">
        <v>45601</v>
      </c>
      <c r="J1089" s="4">
        <f t="shared" si="16"/>
        <v>8</v>
      </c>
    </row>
    <row r="1090" spans="1:10" x14ac:dyDescent="0.25">
      <c r="A1090" s="4">
        <f>_xlfn.XLOOKUP(E1090,'Data Validation'!$M$3:$M$10,'Data Validation'!$N$3:$N$10)</f>
        <v>2</v>
      </c>
      <c r="B1090" s="4">
        <v>22</v>
      </c>
      <c r="C1090" s="4" t="s">
        <v>11</v>
      </c>
      <c r="D1090" s="7">
        <v>30.86</v>
      </c>
      <c r="E1090" s="4" t="s">
        <v>19</v>
      </c>
      <c r="F1090" s="4" t="s">
        <v>20</v>
      </c>
      <c r="G1090" s="4" t="s">
        <v>46</v>
      </c>
      <c r="H1090" s="4" t="s">
        <v>58</v>
      </c>
      <c r="I1090" s="5">
        <v>45601</v>
      </c>
      <c r="J1090" s="4">
        <f t="shared" si="16"/>
        <v>8</v>
      </c>
    </row>
    <row r="1091" spans="1:10" x14ac:dyDescent="0.25">
      <c r="A1091" s="4">
        <f>_xlfn.XLOOKUP(E1091,'Data Validation'!$M$3:$M$10,'Data Validation'!$N$3:$N$10)</f>
        <v>2</v>
      </c>
      <c r="B1091" s="4">
        <v>9</v>
      </c>
      <c r="C1091" s="4" t="s">
        <v>11</v>
      </c>
      <c r="D1091" s="7">
        <v>30.86</v>
      </c>
      <c r="E1091" s="4" t="s">
        <v>19</v>
      </c>
      <c r="F1091" s="4" t="s">
        <v>13</v>
      </c>
      <c r="G1091" s="4" t="s">
        <v>49</v>
      </c>
      <c r="H1091" s="4" t="s">
        <v>58</v>
      </c>
      <c r="I1091" s="5">
        <v>45604</v>
      </c>
      <c r="J1091" s="4">
        <f t="shared" ref="J1091:J1154" si="17">IF(OR(E1091&lt;&gt;E1090,D1091&lt;&gt;D1090),J1090+1,J1090)</f>
        <v>8</v>
      </c>
    </row>
    <row r="1092" spans="1:10" x14ac:dyDescent="0.25">
      <c r="A1092" s="4">
        <f>_xlfn.XLOOKUP(E1092,'Data Validation'!$M$3:$M$10,'Data Validation'!$N$3:$N$10)</f>
        <v>2</v>
      </c>
      <c r="B1092" s="4">
        <v>16</v>
      </c>
      <c r="C1092" s="4" t="s">
        <v>11</v>
      </c>
      <c r="D1092" s="7">
        <v>30.86</v>
      </c>
      <c r="E1092" s="4" t="s">
        <v>19</v>
      </c>
      <c r="F1092" s="4" t="s">
        <v>17</v>
      </c>
      <c r="G1092" s="4" t="s">
        <v>49</v>
      </c>
      <c r="H1092" s="4" t="s">
        <v>58</v>
      </c>
      <c r="I1092" s="5">
        <v>45604</v>
      </c>
      <c r="J1092" s="4">
        <f t="shared" si="17"/>
        <v>8</v>
      </c>
    </row>
    <row r="1093" spans="1:10" x14ac:dyDescent="0.25">
      <c r="A1093" s="4">
        <f>_xlfn.XLOOKUP(E1093,'Data Validation'!$M$3:$M$10,'Data Validation'!$N$3:$N$10)</f>
        <v>2</v>
      </c>
      <c r="B1093" s="4">
        <v>16</v>
      </c>
      <c r="C1093" s="4" t="s">
        <v>11</v>
      </c>
      <c r="D1093" s="7">
        <v>30.86</v>
      </c>
      <c r="E1093" s="4" t="s">
        <v>19</v>
      </c>
      <c r="F1093" s="4" t="s">
        <v>17</v>
      </c>
      <c r="G1093" s="4" t="s">
        <v>49</v>
      </c>
      <c r="H1093" s="4" t="s">
        <v>58</v>
      </c>
      <c r="I1093" s="5">
        <v>45604</v>
      </c>
      <c r="J1093" s="4">
        <f t="shared" si="17"/>
        <v>8</v>
      </c>
    </row>
    <row r="1094" spans="1:10" x14ac:dyDescent="0.25">
      <c r="A1094" s="4">
        <f>_xlfn.XLOOKUP(E1094,'Data Validation'!$M$3:$M$10,'Data Validation'!$N$3:$N$10)</f>
        <v>2</v>
      </c>
      <c r="B1094" s="4">
        <v>10</v>
      </c>
      <c r="C1094" s="4" t="s">
        <v>11</v>
      </c>
      <c r="D1094" s="7">
        <v>30.86</v>
      </c>
      <c r="E1094" s="4" t="s">
        <v>19</v>
      </c>
      <c r="F1094" s="4" t="s">
        <v>13</v>
      </c>
      <c r="G1094" s="4" t="s">
        <v>50</v>
      </c>
      <c r="H1094" s="4" t="s">
        <v>58</v>
      </c>
      <c r="I1094" s="5">
        <v>45605</v>
      </c>
      <c r="J1094" s="4">
        <f t="shared" si="17"/>
        <v>8</v>
      </c>
    </row>
    <row r="1095" spans="1:10" x14ac:dyDescent="0.25">
      <c r="A1095" s="4">
        <f>_xlfn.XLOOKUP(E1095,'Data Validation'!$M$3:$M$10,'Data Validation'!$N$3:$N$10)</f>
        <v>2</v>
      </c>
      <c r="B1095" s="4">
        <v>15</v>
      </c>
      <c r="C1095" s="4" t="s">
        <v>11</v>
      </c>
      <c r="D1095" s="7">
        <v>30.86</v>
      </c>
      <c r="E1095" s="4" t="s">
        <v>19</v>
      </c>
      <c r="F1095" s="4" t="s">
        <v>17</v>
      </c>
      <c r="G1095" s="4" t="s">
        <v>50</v>
      </c>
      <c r="H1095" s="4" t="s">
        <v>58</v>
      </c>
      <c r="I1095" s="5">
        <v>45605</v>
      </c>
      <c r="J1095" s="4">
        <f t="shared" si="17"/>
        <v>8</v>
      </c>
    </row>
    <row r="1096" spans="1:10" x14ac:dyDescent="0.25">
      <c r="A1096" s="4">
        <f>_xlfn.XLOOKUP(E1096,'Data Validation'!$M$3:$M$10,'Data Validation'!$N$3:$N$10)</f>
        <v>2</v>
      </c>
      <c r="B1096" s="4">
        <v>9</v>
      </c>
      <c r="C1096" s="4" t="s">
        <v>11</v>
      </c>
      <c r="D1096" s="7">
        <v>30.86</v>
      </c>
      <c r="E1096" s="4" t="s">
        <v>19</v>
      </c>
      <c r="F1096" s="4" t="s">
        <v>13</v>
      </c>
      <c r="G1096" s="4" t="s">
        <v>45</v>
      </c>
      <c r="H1096" s="4" t="s">
        <v>58</v>
      </c>
      <c r="I1096" s="5">
        <v>45607</v>
      </c>
      <c r="J1096" s="4">
        <f t="shared" si="17"/>
        <v>8</v>
      </c>
    </row>
    <row r="1097" spans="1:10" x14ac:dyDescent="0.25">
      <c r="A1097" s="4">
        <f>_xlfn.XLOOKUP(E1097,'Data Validation'!$M$3:$M$10,'Data Validation'!$N$3:$N$10)</f>
        <v>2</v>
      </c>
      <c r="B1097" s="4">
        <v>8</v>
      </c>
      <c r="C1097" s="4" t="s">
        <v>11</v>
      </c>
      <c r="D1097" s="7">
        <v>30.86</v>
      </c>
      <c r="E1097" s="4" t="s">
        <v>19</v>
      </c>
      <c r="F1097" s="4" t="s">
        <v>13</v>
      </c>
      <c r="G1097" s="4" t="s">
        <v>47</v>
      </c>
      <c r="H1097" s="4" t="s">
        <v>58</v>
      </c>
      <c r="I1097" s="5">
        <v>45609</v>
      </c>
      <c r="J1097" s="4">
        <f t="shared" si="17"/>
        <v>8</v>
      </c>
    </row>
    <row r="1098" spans="1:10" x14ac:dyDescent="0.25">
      <c r="A1098" s="4">
        <f>_xlfn.XLOOKUP(E1098,'Data Validation'!$M$3:$M$10,'Data Validation'!$N$3:$N$10)</f>
        <v>2</v>
      </c>
      <c r="B1098" s="4">
        <v>13</v>
      </c>
      <c r="C1098" s="4" t="s">
        <v>11</v>
      </c>
      <c r="D1098" s="7">
        <v>30.86</v>
      </c>
      <c r="E1098" s="4" t="s">
        <v>19</v>
      </c>
      <c r="F1098" s="4" t="s">
        <v>17</v>
      </c>
      <c r="G1098" s="4" t="s">
        <v>47</v>
      </c>
      <c r="H1098" s="4" t="s">
        <v>58</v>
      </c>
      <c r="I1098" s="5">
        <v>45609</v>
      </c>
      <c r="J1098" s="4">
        <f t="shared" si="17"/>
        <v>8</v>
      </c>
    </row>
    <row r="1099" spans="1:10" x14ac:dyDescent="0.25">
      <c r="A1099" s="4">
        <f>_xlfn.XLOOKUP(E1099,'Data Validation'!$M$3:$M$10,'Data Validation'!$N$3:$N$10)</f>
        <v>2</v>
      </c>
      <c r="B1099" s="4">
        <v>13</v>
      </c>
      <c r="C1099" s="4" t="s">
        <v>11</v>
      </c>
      <c r="D1099" s="7">
        <v>30.86</v>
      </c>
      <c r="E1099" s="4" t="s">
        <v>19</v>
      </c>
      <c r="F1099" s="4" t="s">
        <v>17</v>
      </c>
      <c r="G1099" s="4" t="s">
        <v>47</v>
      </c>
      <c r="H1099" s="4" t="s">
        <v>58</v>
      </c>
      <c r="I1099" s="5">
        <v>45609</v>
      </c>
      <c r="J1099" s="4">
        <f t="shared" si="17"/>
        <v>8</v>
      </c>
    </row>
    <row r="1100" spans="1:10" x14ac:dyDescent="0.25">
      <c r="A1100" s="4">
        <f>_xlfn.XLOOKUP(E1100,'Data Validation'!$M$3:$M$10,'Data Validation'!$N$3:$N$10)</f>
        <v>2</v>
      </c>
      <c r="B1100" s="4">
        <v>14</v>
      </c>
      <c r="C1100" s="4" t="s">
        <v>11</v>
      </c>
      <c r="D1100" s="7">
        <v>30.86</v>
      </c>
      <c r="E1100" s="4" t="s">
        <v>19</v>
      </c>
      <c r="F1100" s="4" t="s">
        <v>17</v>
      </c>
      <c r="G1100" s="4" t="s">
        <v>47</v>
      </c>
      <c r="H1100" s="4" t="s">
        <v>58</v>
      </c>
      <c r="I1100" s="5">
        <v>45609</v>
      </c>
      <c r="J1100" s="4">
        <f t="shared" si="17"/>
        <v>8</v>
      </c>
    </row>
    <row r="1101" spans="1:10" x14ac:dyDescent="0.25">
      <c r="A1101" s="4">
        <f>_xlfn.XLOOKUP(E1101,'Data Validation'!$M$3:$M$10,'Data Validation'!$N$3:$N$10)</f>
        <v>2</v>
      </c>
      <c r="B1101" s="4">
        <v>16</v>
      </c>
      <c r="C1101" s="4" t="s">
        <v>11</v>
      </c>
      <c r="D1101" s="7">
        <v>30.86</v>
      </c>
      <c r="E1101" s="4" t="s">
        <v>19</v>
      </c>
      <c r="F1101" s="4" t="s">
        <v>17</v>
      </c>
      <c r="G1101" s="4" t="s">
        <v>48</v>
      </c>
      <c r="H1101" s="4" t="s">
        <v>58</v>
      </c>
      <c r="I1101" s="5">
        <v>45610</v>
      </c>
      <c r="J1101" s="4">
        <f t="shared" si="17"/>
        <v>8</v>
      </c>
    </row>
    <row r="1102" spans="1:10" x14ac:dyDescent="0.25">
      <c r="A1102" s="4">
        <f>_xlfn.XLOOKUP(E1102,'Data Validation'!$M$3:$M$10,'Data Validation'!$N$3:$N$10)</f>
        <v>2</v>
      </c>
      <c r="B1102" s="4">
        <v>8</v>
      </c>
      <c r="C1102" s="4" t="s">
        <v>11</v>
      </c>
      <c r="D1102" s="7">
        <v>30.86</v>
      </c>
      <c r="E1102" s="4" t="s">
        <v>19</v>
      </c>
      <c r="F1102" s="4" t="s">
        <v>13</v>
      </c>
      <c r="G1102" s="4" t="s">
        <v>49</v>
      </c>
      <c r="H1102" s="4" t="s">
        <v>58</v>
      </c>
      <c r="I1102" s="5">
        <v>45611</v>
      </c>
      <c r="J1102" s="4">
        <f t="shared" si="17"/>
        <v>8</v>
      </c>
    </row>
    <row r="1103" spans="1:10" x14ac:dyDescent="0.25">
      <c r="A1103" s="4">
        <f>_xlfn.XLOOKUP(E1103,'Data Validation'!$M$3:$M$10,'Data Validation'!$N$3:$N$10)</f>
        <v>2</v>
      </c>
      <c r="B1103" s="4">
        <v>11</v>
      </c>
      <c r="C1103" s="4" t="s">
        <v>11</v>
      </c>
      <c r="D1103" s="7">
        <v>30.86</v>
      </c>
      <c r="E1103" s="4" t="s">
        <v>19</v>
      </c>
      <c r="F1103" s="4" t="s">
        <v>13</v>
      </c>
      <c r="G1103" s="4" t="s">
        <v>49</v>
      </c>
      <c r="H1103" s="4" t="s">
        <v>58</v>
      </c>
      <c r="I1103" s="5">
        <v>45611</v>
      </c>
      <c r="J1103" s="4">
        <f t="shared" si="17"/>
        <v>8</v>
      </c>
    </row>
    <row r="1104" spans="1:10" x14ac:dyDescent="0.25">
      <c r="A1104" s="4">
        <f>_xlfn.XLOOKUP(E1104,'Data Validation'!$M$3:$M$10,'Data Validation'!$N$3:$N$10)</f>
        <v>2</v>
      </c>
      <c r="B1104" s="4">
        <v>17</v>
      </c>
      <c r="C1104" s="4" t="s">
        <v>11</v>
      </c>
      <c r="D1104" s="7">
        <v>30.86</v>
      </c>
      <c r="E1104" s="4" t="s">
        <v>19</v>
      </c>
      <c r="F1104" s="4" t="s">
        <v>20</v>
      </c>
      <c r="G1104" s="4" t="s">
        <v>49</v>
      </c>
      <c r="H1104" s="4" t="s">
        <v>58</v>
      </c>
      <c r="I1104" s="5">
        <v>45611</v>
      </c>
      <c r="J1104" s="4">
        <f t="shared" si="17"/>
        <v>8</v>
      </c>
    </row>
    <row r="1105" spans="1:10" x14ac:dyDescent="0.25">
      <c r="A1105" s="4">
        <f>_xlfn.XLOOKUP(E1105,'Data Validation'!$M$3:$M$10,'Data Validation'!$N$3:$N$10)</f>
        <v>2</v>
      </c>
      <c r="B1105" s="4">
        <v>18</v>
      </c>
      <c r="C1105" s="4" t="s">
        <v>11</v>
      </c>
      <c r="D1105" s="7">
        <v>30.86</v>
      </c>
      <c r="E1105" s="4" t="s">
        <v>19</v>
      </c>
      <c r="F1105" s="4" t="s">
        <v>20</v>
      </c>
      <c r="G1105" s="4" t="s">
        <v>49</v>
      </c>
      <c r="H1105" s="4" t="s">
        <v>58</v>
      </c>
      <c r="I1105" s="5">
        <v>45611</v>
      </c>
      <c r="J1105" s="4">
        <f t="shared" si="17"/>
        <v>8</v>
      </c>
    </row>
    <row r="1106" spans="1:10" x14ac:dyDescent="0.25">
      <c r="A1106" s="4">
        <f>_xlfn.XLOOKUP(E1106,'Data Validation'!$M$3:$M$10,'Data Validation'!$N$3:$N$10)</f>
        <v>2</v>
      </c>
      <c r="B1106" s="4">
        <v>18</v>
      </c>
      <c r="C1106" s="4" t="s">
        <v>11</v>
      </c>
      <c r="D1106" s="7">
        <v>30.86</v>
      </c>
      <c r="E1106" s="4" t="s">
        <v>19</v>
      </c>
      <c r="F1106" s="4" t="s">
        <v>20</v>
      </c>
      <c r="G1106" s="4" t="s">
        <v>49</v>
      </c>
      <c r="H1106" s="4" t="s">
        <v>58</v>
      </c>
      <c r="I1106" s="5">
        <v>45611</v>
      </c>
      <c r="J1106" s="4">
        <f t="shared" si="17"/>
        <v>8</v>
      </c>
    </row>
    <row r="1107" spans="1:10" x14ac:dyDescent="0.25">
      <c r="A1107" s="4">
        <f>_xlfn.XLOOKUP(E1107,'Data Validation'!$M$3:$M$10,'Data Validation'!$N$3:$N$10)</f>
        <v>2</v>
      </c>
      <c r="B1107" s="4">
        <v>12</v>
      </c>
      <c r="C1107" s="4" t="s">
        <v>11</v>
      </c>
      <c r="D1107" s="7">
        <v>30.86</v>
      </c>
      <c r="E1107" s="4" t="s">
        <v>19</v>
      </c>
      <c r="F1107" s="4" t="s">
        <v>17</v>
      </c>
      <c r="G1107" s="4" t="s">
        <v>50</v>
      </c>
      <c r="H1107" s="4" t="s">
        <v>58</v>
      </c>
      <c r="I1107" s="5">
        <v>45612</v>
      </c>
      <c r="J1107" s="4">
        <f t="shared" si="17"/>
        <v>8</v>
      </c>
    </row>
    <row r="1108" spans="1:10" x14ac:dyDescent="0.25">
      <c r="A1108" s="4">
        <f>_xlfn.XLOOKUP(E1108,'Data Validation'!$M$3:$M$10,'Data Validation'!$N$3:$N$10)</f>
        <v>2</v>
      </c>
      <c r="B1108" s="4">
        <v>13</v>
      </c>
      <c r="C1108" s="4" t="s">
        <v>11</v>
      </c>
      <c r="D1108" s="7">
        <v>30.86</v>
      </c>
      <c r="E1108" s="4" t="s">
        <v>19</v>
      </c>
      <c r="F1108" s="4" t="s">
        <v>17</v>
      </c>
      <c r="G1108" s="4" t="s">
        <v>50</v>
      </c>
      <c r="H1108" s="4" t="s">
        <v>58</v>
      </c>
      <c r="I1108" s="5">
        <v>45612</v>
      </c>
      <c r="J1108" s="4">
        <f t="shared" si="17"/>
        <v>8</v>
      </c>
    </row>
    <row r="1109" spans="1:10" x14ac:dyDescent="0.25">
      <c r="A1109" s="4">
        <f>_xlfn.XLOOKUP(E1109,'Data Validation'!$M$3:$M$10,'Data Validation'!$N$3:$N$10)</f>
        <v>2</v>
      </c>
      <c r="B1109" s="4">
        <v>14</v>
      </c>
      <c r="C1109" s="4" t="s">
        <v>11</v>
      </c>
      <c r="D1109" s="7">
        <v>30.86</v>
      </c>
      <c r="E1109" s="4" t="s">
        <v>19</v>
      </c>
      <c r="F1109" s="4" t="s">
        <v>17</v>
      </c>
      <c r="G1109" s="4" t="s">
        <v>50</v>
      </c>
      <c r="H1109" s="4" t="s">
        <v>58</v>
      </c>
      <c r="I1109" s="5">
        <v>45612</v>
      </c>
      <c r="J1109" s="4">
        <f t="shared" si="17"/>
        <v>8</v>
      </c>
    </row>
    <row r="1110" spans="1:10" x14ac:dyDescent="0.25">
      <c r="A1110" s="4">
        <f>_xlfn.XLOOKUP(E1110,'Data Validation'!$M$3:$M$10,'Data Validation'!$N$3:$N$10)</f>
        <v>2</v>
      </c>
      <c r="B1110" s="4">
        <v>10</v>
      </c>
      <c r="C1110" s="4" t="s">
        <v>11</v>
      </c>
      <c r="D1110" s="7">
        <v>30.86</v>
      </c>
      <c r="E1110" s="4" t="s">
        <v>19</v>
      </c>
      <c r="F1110" s="4" t="s">
        <v>13</v>
      </c>
      <c r="G1110" s="4" t="s">
        <v>51</v>
      </c>
      <c r="H1110" s="4" t="s">
        <v>58</v>
      </c>
      <c r="I1110" s="5">
        <v>45613</v>
      </c>
      <c r="J1110" s="4">
        <f t="shared" si="17"/>
        <v>8</v>
      </c>
    </row>
    <row r="1111" spans="1:10" x14ac:dyDescent="0.25">
      <c r="A1111" s="4">
        <f>_xlfn.XLOOKUP(E1111,'Data Validation'!$M$3:$M$10,'Data Validation'!$N$3:$N$10)</f>
        <v>2</v>
      </c>
      <c r="B1111" s="4">
        <v>13</v>
      </c>
      <c r="C1111" s="4" t="s">
        <v>11</v>
      </c>
      <c r="D1111" s="7">
        <v>30.86</v>
      </c>
      <c r="E1111" s="4" t="s">
        <v>19</v>
      </c>
      <c r="F1111" s="4" t="s">
        <v>17</v>
      </c>
      <c r="G1111" s="4" t="s">
        <v>51</v>
      </c>
      <c r="H1111" s="4" t="s">
        <v>58</v>
      </c>
      <c r="I1111" s="5">
        <v>45613</v>
      </c>
      <c r="J1111" s="4">
        <f t="shared" si="17"/>
        <v>8</v>
      </c>
    </row>
    <row r="1112" spans="1:10" x14ac:dyDescent="0.25">
      <c r="A1112" s="4">
        <f>_xlfn.XLOOKUP(E1112,'Data Validation'!$M$3:$M$10,'Data Validation'!$N$3:$N$10)</f>
        <v>2</v>
      </c>
      <c r="B1112" s="4">
        <v>14</v>
      </c>
      <c r="C1112" s="4" t="s">
        <v>11</v>
      </c>
      <c r="D1112" s="7">
        <v>30.86</v>
      </c>
      <c r="E1112" s="4" t="s">
        <v>19</v>
      </c>
      <c r="F1112" s="4" t="s">
        <v>17</v>
      </c>
      <c r="G1112" s="4" t="s">
        <v>51</v>
      </c>
      <c r="H1112" s="4" t="s">
        <v>58</v>
      </c>
      <c r="I1112" s="5">
        <v>45613</v>
      </c>
      <c r="J1112" s="4">
        <f t="shared" si="17"/>
        <v>8</v>
      </c>
    </row>
    <row r="1113" spans="1:10" x14ac:dyDescent="0.25">
      <c r="A1113" s="4">
        <f>_xlfn.XLOOKUP(E1113,'Data Validation'!$M$3:$M$10,'Data Validation'!$N$3:$N$10)</f>
        <v>2</v>
      </c>
      <c r="B1113" s="4">
        <v>7</v>
      </c>
      <c r="C1113" s="4" t="s">
        <v>11</v>
      </c>
      <c r="D1113" s="7">
        <v>30.86</v>
      </c>
      <c r="E1113" s="4" t="s">
        <v>19</v>
      </c>
      <c r="F1113" s="4" t="s">
        <v>13</v>
      </c>
      <c r="G1113" s="4" t="s">
        <v>45</v>
      </c>
      <c r="H1113" s="4" t="s">
        <v>58</v>
      </c>
      <c r="I1113" s="5">
        <v>45614</v>
      </c>
      <c r="J1113" s="4">
        <f t="shared" si="17"/>
        <v>8</v>
      </c>
    </row>
    <row r="1114" spans="1:10" x14ac:dyDescent="0.25">
      <c r="A1114" s="4">
        <f>_xlfn.XLOOKUP(E1114,'Data Validation'!$M$3:$M$10,'Data Validation'!$N$3:$N$10)</f>
        <v>2</v>
      </c>
      <c r="B1114" s="4">
        <v>7</v>
      </c>
      <c r="C1114" s="4" t="s">
        <v>11</v>
      </c>
      <c r="D1114" s="7">
        <v>30.86</v>
      </c>
      <c r="E1114" s="4" t="s">
        <v>19</v>
      </c>
      <c r="F1114" s="4" t="s">
        <v>13</v>
      </c>
      <c r="G1114" s="4" t="s">
        <v>45</v>
      </c>
      <c r="H1114" s="4" t="s">
        <v>58</v>
      </c>
      <c r="I1114" s="5">
        <v>45614</v>
      </c>
      <c r="J1114" s="4">
        <f t="shared" si="17"/>
        <v>8</v>
      </c>
    </row>
    <row r="1115" spans="1:10" x14ac:dyDescent="0.25">
      <c r="A1115" s="4">
        <f>_xlfn.XLOOKUP(E1115,'Data Validation'!$M$3:$M$10,'Data Validation'!$N$3:$N$10)</f>
        <v>2</v>
      </c>
      <c r="B1115" s="4">
        <v>7</v>
      </c>
      <c r="C1115" s="4" t="s">
        <v>11</v>
      </c>
      <c r="D1115" s="7">
        <v>30.86</v>
      </c>
      <c r="E1115" s="4" t="s">
        <v>19</v>
      </c>
      <c r="F1115" s="4" t="s">
        <v>13</v>
      </c>
      <c r="G1115" s="4" t="s">
        <v>46</v>
      </c>
      <c r="H1115" s="4" t="s">
        <v>58</v>
      </c>
      <c r="I1115" s="5">
        <v>45615</v>
      </c>
      <c r="J1115" s="4">
        <f t="shared" si="17"/>
        <v>8</v>
      </c>
    </row>
    <row r="1116" spans="1:10" x14ac:dyDescent="0.25">
      <c r="A1116" s="4">
        <f>_xlfn.XLOOKUP(E1116,'Data Validation'!$M$3:$M$10,'Data Validation'!$N$3:$N$10)</f>
        <v>2</v>
      </c>
      <c r="B1116" s="4">
        <v>10</v>
      </c>
      <c r="C1116" s="4" t="s">
        <v>11</v>
      </c>
      <c r="D1116" s="7">
        <v>30.86</v>
      </c>
      <c r="E1116" s="4" t="s">
        <v>19</v>
      </c>
      <c r="F1116" s="4" t="s">
        <v>13</v>
      </c>
      <c r="G1116" s="4" t="s">
        <v>46</v>
      </c>
      <c r="H1116" s="4" t="s">
        <v>58</v>
      </c>
      <c r="I1116" s="5">
        <v>45615</v>
      </c>
      <c r="J1116" s="4">
        <f t="shared" si="17"/>
        <v>8</v>
      </c>
    </row>
    <row r="1117" spans="1:10" x14ac:dyDescent="0.25">
      <c r="A1117" s="4">
        <f>_xlfn.XLOOKUP(E1117,'Data Validation'!$M$3:$M$10,'Data Validation'!$N$3:$N$10)</f>
        <v>2</v>
      </c>
      <c r="B1117" s="4">
        <v>13</v>
      </c>
      <c r="C1117" s="4" t="s">
        <v>11</v>
      </c>
      <c r="D1117" s="7">
        <v>30.86</v>
      </c>
      <c r="E1117" s="4" t="s">
        <v>19</v>
      </c>
      <c r="F1117" s="4" t="s">
        <v>17</v>
      </c>
      <c r="G1117" s="4" t="s">
        <v>47</v>
      </c>
      <c r="H1117" s="4" t="s">
        <v>58</v>
      </c>
      <c r="I1117" s="5">
        <v>45616</v>
      </c>
      <c r="J1117" s="4">
        <f t="shared" si="17"/>
        <v>8</v>
      </c>
    </row>
    <row r="1118" spans="1:10" x14ac:dyDescent="0.25">
      <c r="A1118" s="4">
        <f>_xlfn.XLOOKUP(E1118,'Data Validation'!$M$3:$M$10,'Data Validation'!$N$3:$N$10)</f>
        <v>2</v>
      </c>
      <c r="B1118" s="4">
        <v>17</v>
      </c>
      <c r="C1118" s="4" t="s">
        <v>11</v>
      </c>
      <c r="D1118" s="7">
        <v>30.86</v>
      </c>
      <c r="E1118" s="4" t="s">
        <v>19</v>
      </c>
      <c r="F1118" s="4" t="s">
        <v>20</v>
      </c>
      <c r="G1118" s="4" t="s">
        <v>48</v>
      </c>
      <c r="H1118" s="4" t="s">
        <v>58</v>
      </c>
      <c r="I1118" s="5">
        <v>45617</v>
      </c>
      <c r="J1118" s="4">
        <f t="shared" si="17"/>
        <v>8</v>
      </c>
    </row>
    <row r="1119" spans="1:10" x14ac:dyDescent="0.25">
      <c r="A1119" s="4">
        <f>_xlfn.XLOOKUP(E1119,'Data Validation'!$M$3:$M$10,'Data Validation'!$N$3:$N$10)</f>
        <v>2</v>
      </c>
      <c r="B1119" s="4">
        <v>9</v>
      </c>
      <c r="C1119" s="4" t="s">
        <v>11</v>
      </c>
      <c r="D1119" s="7">
        <v>30.86</v>
      </c>
      <c r="E1119" s="4" t="s">
        <v>19</v>
      </c>
      <c r="F1119" s="4" t="s">
        <v>13</v>
      </c>
      <c r="G1119" s="4" t="s">
        <v>45</v>
      </c>
      <c r="H1119" s="4" t="s">
        <v>58</v>
      </c>
      <c r="I1119" s="5">
        <v>45621</v>
      </c>
      <c r="J1119" s="4">
        <f t="shared" si="17"/>
        <v>8</v>
      </c>
    </row>
    <row r="1120" spans="1:10" x14ac:dyDescent="0.25">
      <c r="A1120" s="4">
        <f>_xlfn.XLOOKUP(E1120,'Data Validation'!$M$3:$M$10,'Data Validation'!$N$3:$N$10)</f>
        <v>2</v>
      </c>
      <c r="B1120" s="4">
        <v>19</v>
      </c>
      <c r="C1120" s="4" t="s">
        <v>11</v>
      </c>
      <c r="D1120" s="7">
        <v>30.86</v>
      </c>
      <c r="E1120" s="4" t="s">
        <v>19</v>
      </c>
      <c r="F1120" s="4" t="s">
        <v>20</v>
      </c>
      <c r="G1120" s="4" t="s">
        <v>45</v>
      </c>
      <c r="H1120" s="4" t="s">
        <v>58</v>
      </c>
      <c r="I1120" s="5">
        <v>45621</v>
      </c>
      <c r="J1120" s="4">
        <f t="shared" si="17"/>
        <v>8</v>
      </c>
    </row>
    <row r="1121" spans="1:10" x14ac:dyDescent="0.25">
      <c r="A1121" s="4">
        <f>_xlfn.XLOOKUP(E1121,'Data Validation'!$M$3:$M$10,'Data Validation'!$N$3:$N$10)</f>
        <v>2</v>
      </c>
      <c r="B1121" s="4">
        <v>17</v>
      </c>
      <c r="C1121" s="4" t="s">
        <v>11</v>
      </c>
      <c r="D1121" s="7">
        <v>30.86</v>
      </c>
      <c r="E1121" s="4" t="s">
        <v>19</v>
      </c>
      <c r="F1121" s="4" t="s">
        <v>20</v>
      </c>
      <c r="G1121" s="4" t="s">
        <v>46</v>
      </c>
      <c r="H1121" s="4" t="s">
        <v>58</v>
      </c>
      <c r="I1121" s="5">
        <v>45622</v>
      </c>
      <c r="J1121" s="4">
        <f t="shared" si="17"/>
        <v>8</v>
      </c>
    </row>
    <row r="1122" spans="1:10" x14ac:dyDescent="0.25">
      <c r="A1122" s="4">
        <f>_xlfn.XLOOKUP(E1122,'Data Validation'!$M$3:$M$10,'Data Validation'!$N$3:$N$10)</f>
        <v>2</v>
      </c>
      <c r="B1122" s="4">
        <v>9</v>
      </c>
      <c r="C1122" s="4" t="s">
        <v>11</v>
      </c>
      <c r="D1122" s="7">
        <v>30.86</v>
      </c>
      <c r="E1122" s="4" t="s">
        <v>19</v>
      </c>
      <c r="F1122" s="4" t="s">
        <v>13</v>
      </c>
      <c r="G1122" s="4" t="s">
        <v>48</v>
      </c>
      <c r="H1122" s="4" t="s">
        <v>58</v>
      </c>
      <c r="I1122" s="5">
        <v>45624</v>
      </c>
      <c r="J1122" s="4">
        <f t="shared" si="17"/>
        <v>8</v>
      </c>
    </row>
    <row r="1123" spans="1:10" x14ac:dyDescent="0.25">
      <c r="A1123" s="4">
        <f>_xlfn.XLOOKUP(E1123,'Data Validation'!$M$3:$M$10,'Data Validation'!$N$3:$N$10)</f>
        <v>2</v>
      </c>
      <c r="B1123" s="4">
        <v>20</v>
      </c>
      <c r="C1123" s="4" t="s">
        <v>11</v>
      </c>
      <c r="D1123" s="7">
        <v>30.86</v>
      </c>
      <c r="E1123" s="4" t="s">
        <v>19</v>
      </c>
      <c r="F1123" s="4" t="s">
        <v>20</v>
      </c>
      <c r="G1123" s="4" t="s">
        <v>48</v>
      </c>
      <c r="H1123" s="4" t="s">
        <v>58</v>
      </c>
      <c r="I1123" s="5">
        <v>45624</v>
      </c>
      <c r="J1123" s="4">
        <f t="shared" si="17"/>
        <v>8</v>
      </c>
    </row>
    <row r="1124" spans="1:10" x14ac:dyDescent="0.25">
      <c r="A1124" s="4">
        <f>_xlfn.XLOOKUP(E1124,'Data Validation'!$M$3:$M$10,'Data Validation'!$N$3:$N$10)</f>
        <v>2</v>
      </c>
      <c r="B1124" s="4">
        <v>9</v>
      </c>
      <c r="C1124" s="4" t="s">
        <v>11</v>
      </c>
      <c r="D1124" s="7">
        <v>30.86</v>
      </c>
      <c r="E1124" s="4" t="s">
        <v>19</v>
      </c>
      <c r="F1124" s="4" t="s">
        <v>13</v>
      </c>
      <c r="G1124" s="4" t="s">
        <v>49</v>
      </c>
      <c r="H1124" s="4" t="s">
        <v>58</v>
      </c>
      <c r="I1124" s="5">
        <v>45625</v>
      </c>
      <c r="J1124" s="4">
        <f t="shared" si="17"/>
        <v>8</v>
      </c>
    </row>
    <row r="1125" spans="1:10" x14ac:dyDescent="0.25">
      <c r="A1125" s="4">
        <f>_xlfn.XLOOKUP(E1125,'Data Validation'!$M$3:$M$10,'Data Validation'!$N$3:$N$10)</f>
        <v>2</v>
      </c>
      <c r="B1125" s="4">
        <v>9</v>
      </c>
      <c r="C1125" s="4" t="s">
        <v>11</v>
      </c>
      <c r="D1125" s="7">
        <v>30.86</v>
      </c>
      <c r="E1125" s="4" t="s">
        <v>19</v>
      </c>
      <c r="F1125" s="4" t="s">
        <v>13</v>
      </c>
      <c r="G1125" s="4" t="s">
        <v>49</v>
      </c>
      <c r="H1125" s="4" t="s">
        <v>58</v>
      </c>
      <c r="I1125" s="5">
        <v>45625</v>
      </c>
      <c r="J1125" s="4">
        <f t="shared" si="17"/>
        <v>8</v>
      </c>
    </row>
    <row r="1126" spans="1:10" x14ac:dyDescent="0.25">
      <c r="A1126" s="4">
        <f>_xlfn.XLOOKUP(E1126,'Data Validation'!$M$3:$M$10,'Data Validation'!$N$3:$N$10)</f>
        <v>2</v>
      </c>
      <c r="B1126" s="4">
        <v>15</v>
      </c>
      <c r="C1126" s="4" t="s">
        <v>11</v>
      </c>
      <c r="D1126" s="7">
        <v>30.86</v>
      </c>
      <c r="E1126" s="4" t="s">
        <v>19</v>
      </c>
      <c r="F1126" s="4" t="s">
        <v>17</v>
      </c>
      <c r="G1126" s="4" t="s">
        <v>49</v>
      </c>
      <c r="H1126" s="4" t="s">
        <v>58</v>
      </c>
      <c r="I1126" s="5">
        <v>45625</v>
      </c>
      <c r="J1126" s="4">
        <f t="shared" si="17"/>
        <v>8</v>
      </c>
    </row>
    <row r="1127" spans="1:10" x14ac:dyDescent="0.25">
      <c r="A1127" s="4">
        <f>_xlfn.XLOOKUP(E1127,'Data Validation'!$M$3:$M$10,'Data Validation'!$N$3:$N$10)</f>
        <v>2</v>
      </c>
      <c r="B1127" s="4">
        <v>15</v>
      </c>
      <c r="C1127" s="4" t="s">
        <v>11</v>
      </c>
      <c r="D1127" s="7">
        <v>30.86</v>
      </c>
      <c r="E1127" s="4" t="s">
        <v>19</v>
      </c>
      <c r="F1127" s="4" t="s">
        <v>17</v>
      </c>
      <c r="G1127" s="4" t="s">
        <v>50</v>
      </c>
      <c r="H1127" s="4" t="s">
        <v>58</v>
      </c>
      <c r="I1127" s="5">
        <v>45626</v>
      </c>
      <c r="J1127" s="4">
        <f t="shared" si="17"/>
        <v>8</v>
      </c>
    </row>
    <row r="1128" spans="1:10" x14ac:dyDescent="0.25">
      <c r="A1128" s="4">
        <f>_xlfn.XLOOKUP(E1128,'Data Validation'!$M$3:$M$10,'Data Validation'!$N$3:$N$10)</f>
        <v>2</v>
      </c>
      <c r="B1128" s="4">
        <v>22</v>
      </c>
      <c r="C1128" s="4" t="s">
        <v>11</v>
      </c>
      <c r="D1128" s="7">
        <v>30.86</v>
      </c>
      <c r="E1128" s="4" t="s">
        <v>19</v>
      </c>
      <c r="F1128" s="4" t="s">
        <v>20</v>
      </c>
      <c r="G1128" s="4" t="s">
        <v>50</v>
      </c>
      <c r="H1128" s="4" t="s">
        <v>58</v>
      </c>
      <c r="I1128" s="5">
        <v>45626</v>
      </c>
      <c r="J1128" s="4">
        <f t="shared" si="17"/>
        <v>8</v>
      </c>
    </row>
    <row r="1129" spans="1:10" x14ac:dyDescent="0.25">
      <c r="A1129" s="4">
        <f>_xlfn.XLOOKUP(E1129,'Data Validation'!$M$3:$M$10,'Data Validation'!$N$3:$N$10)</f>
        <v>2</v>
      </c>
      <c r="B1129" s="4">
        <v>10</v>
      </c>
      <c r="C1129" s="4" t="s">
        <v>11</v>
      </c>
      <c r="D1129" s="7">
        <v>30.86</v>
      </c>
      <c r="E1129" s="4" t="s">
        <v>19</v>
      </c>
      <c r="F1129" s="4" t="s">
        <v>13</v>
      </c>
      <c r="G1129" s="4" t="s">
        <v>51</v>
      </c>
      <c r="H1129" s="4" t="s">
        <v>59</v>
      </c>
      <c r="I1129" s="5">
        <v>45627</v>
      </c>
      <c r="J1129" s="4">
        <f t="shared" si="17"/>
        <v>8</v>
      </c>
    </row>
    <row r="1130" spans="1:10" x14ac:dyDescent="0.25">
      <c r="A1130" s="4">
        <f>_xlfn.XLOOKUP(E1130,'Data Validation'!$M$3:$M$10,'Data Validation'!$N$3:$N$10)</f>
        <v>2</v>
      </c>
      <c r="B1130" s="4">
        <v>10</v>
      </c>
      <c r="C1130" s="4" t="s">
        <v>11</v>
      </c>
      <c r="D1130" s="7">
        <v>30.86</v>
      </c>
      <c r="E1130" s="4" t="s">
        <v>19</v>
      </c>
      <c r="F1130" s="4" t="s">
        <v>13</v>
      </c>
      <c r="G1130" s="4" t="s">
        <v>51</v>
      </c>
      <c r="H1130" s="4" t="s">
        <v>59</v>
      </c>
      <c r="I1130" s="5">
        <v>45627</v>
      </c>
      <c r="J1130" s="4">
        <f t="shared" si="17"/>
        <v>8</v>
      </c>
    </row>
    <row r="1131" spans="1:10" x14ac:dyDescent="0.25">
      <c r="A1131" s="4">
        <f>_xlfn.XLOOKUP(E1131,'Data Validation'!$M$3:$M$10,'Data Validation'!$N$3:$N$10)</f>
        <v>2</v>
      </c>
      <c r="B1131" s="4">
        <v>10</v>
      </c>
      <c r="C1131" s="4" t="s">
        <v>11</v>
      </c>
      <c r="D1131" s="7">
        <v>30.86</v>
      </c>
      <c r="E1131" s="4" t="s">
        <v>19</v>
      </c>
      <c r="F1131" s="4" t="s">
        <v>13</v>
      </c>
      <c r="G1131" s="4" t="s">
        <v>51</v>
      </c>
      <c r="H1131" s="4" t="s">
        <v>59</v>
      </c>
      <c r="I1131" s="5">
        <v>45627</v>
      </c>
      <c r="J1131" s="4">
        <f t="shared" si="17"/>
        <v>8</v>
      </c>
    </row>
    <row r="1132" spans="1:10" x14ac:dyDescent="0.25">
      <c r="A1132" s="4">
        <f>_xlfn.XLOOKUP(E1132,'Data Validation'!$M$3:$M$10,'Data Validation'!$N$3:$N$10)</f>
        <v>2</v>
      </c>
      <c r="B1132" s="4">
        <v>14</v>
      </c>
      <c r="C1132" s="4" t="s">
        <v>11</v>
      </c>
      <c r="D1132" s="7">
        <v>30.86</v>
      </c>
      <c r="E1132" s="4" t="s">
        <v>19</v>
      </c>
      <c r="F1132" s="4" t="s">
        <v>17</v>
      </c>
      <c r="G1132" s="4" t="s">
        <v>51</v>
      </c>
      <c r="H1132" s="4" t="s">
        <v>59</v>
      </c>
      <c r="I1132" s="5">
        <v>45627</v>
      </c>
      <c r="J1132" s="4">
        <f t="shared" si="17"/>
        <v>8</v>
      </c>
    </row>
    <row r="1133" spans="1:10" x14ac:dyDescent="0.25">
      <c r="A1133" s="4">
        <f>_xlfn.XLOOKUP(E1133,'Data Validation'!$M$3:$M$10,'Data Validation'!$N$3:$N$10)</f>
        <v>2</v>
      </c>
      <c r="B1133" s="4">
        <v>17</v>
      </c>
      <c r="C1133" s="4" t="s">
        <v>11</v>
      </c>
      <c r="D1133" s="7">
        <v>30.86</v>
      </c>
      <c r="E1133" s="4" t="s">
        <v>19</v>
      </c>
      <c r="F1133" s="4" t="s">
        <v>20</v>
      </c>
      <c r="G1133" s="4" t="s">
        <v>51</v>
      </c>
      <c r="H1133" s="4" t="s">
        <v>59</v>
      </c>
      <c r="I1133" s="5">
        <v>45627</v>
      </c>
      <c r="J1133" s="4">
        <f t="shared" si="17"/>
        <v>8</v>
      </c>
    </row>
    <row r="1134" spans="1:10" x14ac:dyDescent="0.25">
      <c r="A1134" s="4">
        <f>_xlfn.XLOOKUP(E1134,'Data Validation'!$M$3:$M$10,'Data Validation'!$N$3:$N$10)</f>
        <v>2</v>
      </c>
      <c r="B1134" s="4">
        <v>17</v>
      </c>
      <c r="C1134" s="4" t="s">
        <v>11</v>
      </c>
      <c r="D1134" s="7">
        <v>30.86</v>
      </c>
      <c r="E1134" s="4" t="s">
        <v>19</v>
      </c>
      <c r="F1134" s="4" t="s">
        <v>20</v>
      </c>
      <c r="G1134" s="4" t="s">
        <v>51</v>
      </c>
      <c r="H1134" s="4" t="s">
        <v>59</v>
      </c>
      <c r="I1134" s="5">
        <v>45627</v>
      </c>
      <c r="J1134" s="4">
        <f t="shared" si="17"/>
        <v>8</v>
      </c>
    </row>
    <row r="1135" spans="1:10" x14ac:dyDescent="0.25">
      <c r="A1135" s="4">
        <f>_xlfn.XLOOKUP(E1135,'Data Validation'!$M$3:$M$10,'Data Validation'!$N$3:$N$10)</f>
        <v>2</v>
      </c>
      <c r="B1135" s="4">
        <v>18</v>
      </c>
      <c r="C1135" s="4" t="s">
        <v>11</v>
      </c>
      <c r="D1135" s="7">
        <v>30.86</v>
      </c>
      <c r="E1135" s="4" t="s">
        <v>19</v>
      </c>
      <c r="F1135" s="4" t="s">
        <v>20</v>
      </c>
      <c r="G1135" s="4" t="s">
        <v>51</v>
      </c>
      <c r="H1135" s="4" t="s">
        <v>59</v>
      </c>
      <c r="I1135" s="5">
        <v>45627</v>
      </c>
      <c r="J1135" s="4">
        <f t="shared" si="17"/>
        <v>8</v>
      </c>
    </row>
    <row r="1136" spans="1:10" x14ac:dyDescent="0.25">
      <c r="A1136" s="4">
        <f>_xlfn.XLOOKUP(E1136,'Data Validation'!$M$3:$M$10,'Data Validation'!$N$3:$N$10)</f>
        <v>2</v>
      </c>
      <c r="B1136" s="4">
        <v>8</v>
      </c>
      <c r="C1136" s="4" t="s">
        <v>11</v>
      </c>
      <c r="D1136" s="7">
        <v>30.86</v>
      </c>
      <c r="E1136" s="4" t="s">
        <v>19</v>
      </c>
      <c r="F1136" s="4" t="s">
        <v>13</v>
      </c>
      <c r="G1136" s="4" t="s">
        <v>45</v>
      </c>
      <c r="H1136" s="4" t="s">
        <v>59</v>
      </c>
      <c r="I1136" s="5">
        <v>45628</v>
      </c>
      <c r="J1136" s="4">
        <f t="shared" si="17"/>
        <v>8</v>
      </c>
    </row>
    <row r="1137" spans="1:10" x14ac:dyDescent="0.25">
      <c r="A1137" s="4">
        <f>_xlfn.XLOOKUP(E1137,'Data Validation'!$M$3:$M$10,'Data Validation'!$N$3:$N$10)</f>
        <v>2</v>
      </c>
      <c r="B1137" s="4">
        <v>9</v>
      </c>
      <c r="C1137" s="4" t="s">
        <v>11</v>
      </c>
      <c r="D1137" s="7">
        <v>30.86</v>
      </c>
      <c r="E1137" s="4" t="s">
        <v>19</v>
      </c>
      <c r="F1137" s="4" t="s">
        <v>13</v>
      </c>
      <c r="G1137" s="4" t="s">
        <v>46</v>
      </c>
      <c r="H1137" s="4" t="s">
        <v>59</v>
      </c>
      <c r="I1137" s="5">
        <v>45629</v>
      </c>
      <c r="J1137" s="4">
        <f t="shared" si="17"/>
        <v>8</v>
      </c>
    </row>
    <row r="1138" spans="1:10" x14ac:dyDescent="0.25">
      <c r="A1138" s="4">
        <f>_xlfn.XLOOKUP(E1138,'Data Validation'!$M$3:$M$10,'Data Validation'!$N$3:$N$10)</f>
        <v>2</v>
      </c>
      <c r="B1138" s="4">
        <v>9</v>
      </c>
      <c r="C1138" s="4" t="s">
        <v>11</v>
      </c>
      <c r="D1138" s="7">
        <v>30.86</v>
      </c>
      <c r="E1138" s="4" t="s">
        <v>19</v>
      </c>
      <c r="F1138" s="4" t="s">
        <v>13</v>
      </c>
      <c r="G1138" s="4" t="s">
        <v>46</v>
      </c>
      <c r="H1138" s="4" t="s">
        <v>59</v>
      </c>
      <c r="I1138" s="5">
        <v>45629</v>
      </c>
      <c r="J1138" s="4">
        <f t="shared" si="17"/>
        <v>8</v>
      </c>
    </row>
    <row r="1139" spans="1:10" x14ac:dyDescent="0.25">
      <c r="A1139" s="4">
        <f>_xlfn.XLOOKUP(E1139,'Data Validation'!$M$3:$M$10,'Data Validation'!$N$3:$N$10)</f>
        <v>2</v>
      </c>
      <c r="B1139" s="4">
        <v>11</v>
      </c>
      <c r="C1139" s="4" t="s">
        <v>11</v>
      </c>
      <c r="D1139" s="7">
        <v>30.86</v>
      </c>
      <c r="E1139" s="4" t="s">
        <v>19</v>
      </c>
      <c r="F1139" s="4" t="s">
        <v>13</v>
      </c>
      <c r="G1139" s="4" t="s">
        <v>46</v>
      </c>
      <c r="H1139" s="4" t="s">
        <v>59</v>
      </c>
      <c r="I1139" s="5">
        <v>45629</v>
      </c>
      <c r="J1139" s="4">
        <f t="shared" si="17"/>
        <v>8</v>
      </c>
    </row>
    <row r="1140" spans="1:10" x14ac:dyDescent="0.25">
      <c r="A1140" s="4">
        <f>_xlfn.XLOOKUP(E1140,'Data Validation'!$M$3:$M$10,'Data Validation'!$N$3:$N$10)</f>
        <v>2</v>
      </c>
      <c r="B1140" s="4">
        <v>11</v>
      </c>
      <c r="C1140" s="4" t="s">
        <v>11</v>
      </c>
      <c r="D1140" s="7">
        <v>30.86</v>
      </c>
      <c r="E1140" s="4" t="s">
        <v>19</v>
      </c>
      <c r="F1140" s="4" t="s">
        <v>13</v>
      </c>
      <c r="G1140" s="4" t="s">
        <v>46</v>
      </c>
      <c r="H1140" s="4" t="s">
        <v>59</v>
      </c>
      <c r="I1140" s="5">
        <v>45629</v>
      </c>
      <c r="J1140" s="4">
        <f t="shared" si="17"/>
        <v>8</v>
      </c>
    </row>
    <row r="1141" spans="1:10" x14ac:dyDescent="0.25">
      <c r="A1141" s="4">
        <f>_xlfn.XLOOKUP(E1141,'Data Validation'!$M$3:$M$10,'Data Validation'!$N$3:$N$10)</f>
        <v>2</v>
      </c>
      <c r="B1141" s="4">
        <v>11</v>
      </c>
      <c r="C1141" s="4" t="s">
        <v>11</v>
      </c>
      <c r="D1141" s="7">
        <v>30.86</v>
      </c>
      <c r="E1141" s="4" t="s">
        <v>19</v>
      </c>
      <c r="F1141" s="4" t="s">
        <v>13</v>
      </c>
      <c r="G1141" s="4" t="s">
        <v>46</v>
      </c>
      <c r="H1141" s="4" t="s">
        <v>59</v>
      </c>
      <c r="I1141" s="5">
        <v>45629</v>
      </c>
      <c r="J1141" s="4">
        <f t="shared" si="17"/>
        <v>8</v>
      </c>
    </row>
    <row r="1142" spans="1:10" x14ac:dyDescent="0.25">
      <c r="A1142" s="4">
        <f>_xlfn.XLOOKUP(E1142,'Data Validation'!$M$3:$M$10,'Data Validation'!$N$3:$N$10)</f>
        <v>2</v>
      </c>
      <c r="B1142" s="4">
        <v>22</v>
      </c>
      <c r="C1142" s="4" t="s">
        <v>11</v>
      </c>
      <c r="D1142" s="7">
        <v>30.86</v>
      </c>
      <c r="E1142" s="4" t="s">
        <v>19</v>
      </c>
      <c r="F1142" s="4" t="s">
        <v>20</v>
      </c>
      <c r="G1142" s="4" t="s">
        <v>46</v>
      </c>
      <c r="H1142" s="4" t="s">
        <v>59</v>
      </c>
      <c r="I1142" s="5">
        <v>45629</v>
      </c>
      <c r="J1142" s="4">
        <f t="shared" si="17"/>
        <v>8</v>
      </c>
    </row>
    <row r="1143" spans="1:10" x14ac:dyDescent="0.25">
      <c r="A1143" s="4">
        <f>_xlfn.XLOOKUP(E1143,'Data Validation'!$M$3:$M$10,'Data Validation'!$N$3:$N$10)</f>
        <v>2</v>
      </c>
      <c r="B1143" s="4">
        <v>10</v>
      </c>
      <c r="C1143" s="4" t="s">
        <v>11</v>
      </c>
      <c r="D1143" s="7">
        <v>30.86</v>
      </c>
      <c r="E1143" s="4" t="s">
        <v>19</v>
      </c>
      <c r="F1143" s="4" t="s">
        <v>13</v>
      </c>
      <c r="G1143" s="4" t="s">
        <v>47</v>
      </c>
      <c r="H1143" s="4" t="s">
        <v>59</v>
      </c>
      <c r="I1143" s="5">
        <v>45630</v>
      </c>
      <c r="J1143" s="4">
        <f t="shared" si="17"/>
        <v>8</v>
      </c>
    </row>
    <row r="1144" spans="1:10" x14ac:dyDescent="0.25">
      <c r="A1144" s="4">
        <f>_xlfn.XLOOKUP(E1144,'Data Validation'!$M$3:$M$10,'Data Validation'!$N$3:$N$10)</f>
        <v>2</v>
      </c>
      <c r="B1144" s="4">
        <v>10</v>
      </c>
      <c r="C1144" s="4" t="s">
        <v>11</v>
      </c>
      <c r="D1144" s="7">
        <v>30.86</v>
      </c>
      <c r="E1144" s="4" t="s">
        <v>19</v>
      </c>
      <c r="F1144" s="4" t="s">
        <v>13</v>
      </c>
      <c r="G1144" s="4" t="s">
        <v>47</v>
      </c>
      <c r="H1144" s="4" t="s">
        <v>59</v>
      </c>
      <c r="I1144" s="5">
        <v>45630</v>
      </c>
      <c r="J1144" s="4">
        <f t="shared" si="17"/>
        <v>8</v>
      </c>
    </row>
    <row r="1145" spans="1:10" x14ac:dyDescent="0.25">
      <c r="A1145" s="4">
        <f>_xlfn.XLOOKUP(E1145,'Data Validation'!$M$3:$M$10,'Data Validation'!$N$3:$N$10)</f>
        <v>2</v>
      </c>
      <c r="B1145" s="4">
        <v>10</v>
      </c>
      <c r="C1145" s="4" t="s">
        <v>11</v>
      </c>
      <c r="D1145" s="7">
        <v>30.86</v>
      </c>
      <c r="E1145" s="4" t="s">
        <v>19</v>
      </c>
      <c r="F1145" s="4" t="s">
        <v>13</v>
      </c>
      <c r="G1145" s="4" t="s">
        <v>47</v>
      </c>
      <c r="H1145" s="4" t="s">
        <v>59</v>
      </c>
      <c r="I1145" s="5">
        <v>45630</v>
      </c>
      <c r="J1145" s="4">
        <f t="shared" si="17"/>
        <v>8</v>
      </c>
    </row>
    <row r="1146" spans="1:10" x14ac:dyDescent="0.25">
      <c r="A1146" s="4">
        <f>_xlfn.XLOOKUP(E1146,'Data Validation'!$M$3:$M$10,'Data Validation'!$N$3:$N$10)</f>
        <v>2</v>
      </c>
      <c r="B1146" s="4">
        <v>11</v>
      </c>
      <c r="C1146" s="4" t="s">
        <v>11</v>
      </c>
      <c r="D1146" s="7">
        <v>30.86</v>
      </c>
      <c r="E1146" s="4" t="s">
        <v>19</v>
      </c>
      <c r="F1146" s="4" t="s">
        <v>13</v>
      </c>
      <c r="G1146" s="4" t="s">
        <v>47</v>
      </c>
      <c r="H1146" s="4" t="s">
        <v>59</v>
      </c>
      <c r="I1146" s="5">
        <v>45630</v>
      </c>
      <c r="J1146" s="4">
        <f t="shared" si="17"/>
        <v>8</v>
      </c>
    </row>
    <row r="1147" spans="1:10" x14ac:dyDescent="0.25">
      <c r="A1147" s="4">
        <f>_xlfn.XLOOKUP(E1147,'Data Validation'!$M$3:$M$10,'Data Validation'!$N$3:$N$10)</f>
        <v>2</v>
      </c>
      <c r="B1147" s="4">
        <v>10</v>
      </c>
      <c r="C1147" s="4" t="s">
        <v>11</v>
      </c>
      <c r="D1147" s="7">
        <v>30.86</v>
      </c>
      <c r="E1147" s="4" t="s">
        <v>19</v>
      </c>
      <c r="F1147" s="4" t="s">
        <v>13</v>
      </c>
      <c r="G1147" s="4" t="s">
        <v>48</v>
      </c>
      <c r="H1147" s="4" t="s">
        <v>59</v>
      </c>
      <c r="I1147" s="5">
        <v>45631</v>
      </c>
      <c r="J1147" s="4">
        <f t="shared" si="17"/>
        <v>8</v>
      </c>
    </row>
    <row r="1148" spans="1:10" x14ac:dyDescent="0.25">
      <c r="A1148" s="4">
        <f>_xlfn.XLOOKUP(E1148,'Data Validation'!$M$3:$M$10,'Data Validation'!$N$3:$N$10)</f>
        <v>2</v>
      </c>
      <c r="B1148" s="4">
        <v>10</v>
      </c>
      <c r="C1148" s="4" t="s">
        <v>11</v>
      </c>
      <c r="D1148" s="7">
        <v>30.86</v>
      </c>
      <c r="E1148" s="4" t="s">
        <v>19</v>
      </c>
      <c r="F1148" s="4" t="s">
        <v>13</v>
      </c>
      <c r="G1148" s="4" t="s">
        <v>48</v>
      </c>
      <c r="H1148" s="4" t="s">
        <v>59</v>
      </c>
      <c r="I1148" s="5">
        <v>45631</v>
      </c>
      <c r="J1148" s="4">
        <f t="shared" si="17"/>
        <v>8</v>
      </c>
    </row>
    <row r="1149" spans="1:10" x14ac:dyDescent="0.25">
      <c r="A1149" s="4">
        <f>_xlfn.XLOOKUP(E1149,'Data Validation'!$M$3:$M$10,'Data Validation'!$N$3:$N$10)</f>
        <v>2</v>
      </c>
      <c r="B1149" s="4">
        <v>11</v>
      </c>
      <c r="C1149" s="4" t="s">
        <v>11</v>
      </c>
      <c r="D1149" s="7">
        <v>30.86</v>
      </c>
      <c r="E1149" s="4" t="s">
        <v>19</v>
      </c>
      <c r="F1149" s="4" t="s">
        <v>13</v>
      </c>
      <c r="G1149" s="4" t="s">
        <v>50</v>
      </c>
      <c r="H1149" s="4" t="s">
        <v>59</v>
      </c>
      <c r="I1149" s="5">
        <v>45633</v>
      </c>
      <c r="J1149" s="4">
        <f t="shared" si="17"/>
        <v>8</v>
      </c>
    </row>
    <row r="1150" spans="1:10" x14ac:dyDescent="0.25">
      <c r="A1150" s="4">
        <f>_xlfn.XLOOKUP(E1150,'Data Validation'!$M$3:$M$10,'Data Validation'!$N$3:$N$10)</f>
        <v>2</v>
      </c>
      <c r="B1150" s="4">
        <v>22</v>
      </c>
      <c r="C1150" s="4" t="s">
        <v>11</v>
      </c>
      <c r="D1150" s="7">
        <v>30.86</v>
      </c>
      <c r="E1150" s="4" t="s">
        <v>19</v>
      </c>
      <c r="F1150" s="4" t="s">
        <v>20</v>
      </c>
      <c r="G1150" s="4" t="s">
        <v>50</v>
      </c>
      <c r="H1150" s="4" t="s">
        <v>59</v>
      </c>
      <c r="I1150" s="5">
        <v>45633</v>
      </c>
      <c r="J1150" s="4">
        <f t="shared" si="17"/>
        <v>8</v>
      </c>
    </row>
    <row r="1151" spans="1:10" x14ac:dyDescent="0.25">
      <c r="A1151" s="4">
        <f>_xlfn.XLOOKUP(E1151,'Data Validation'!$M$3:$M$10,'Data Validation'!$N$3:$N$10)</f>
        <v>2</v>
      </c>
      <c r="B1151" s="4">
        <v>13</v>
      </c>
      <c r="C1151" s="4" t="s">
        <v>11</v>
      </c>
      <c r="D1151" s="7">
        <v>30.86</v>
      </c>
      <c r="E1151" s="4" t="s">
        <v>19</v>
      </c>
      <c r="F1151" s="4" t="s">
        <v>17</v>
      </c>
      <c r="G1151" s="4" t="s">
        <v>51</v>
      </c>
      <c r="H1151" s="4" t="s">
        <v>59</v>
      </c>
      <c r="I1151" s="5">
        <v>45634</v>
      </c>
      <c r="J1151" s="4">
        <f t="shared" si="17"/>
        <v>8</v>
      </c>
    </row>
    <row r="1152" spans="1:10" x14ac:dyDescent="0.25">
      <c r="A1152" s="4">
        <f>_xlfn.XLOOKUP(E1152,'Data Validation'!$M$3:$M$10,'Data Validation'!$N$3:$N$10)</f>
        <v>2</v>
      </c>
      <c r="B1152" s="4">
        <v>13</v>
      </c>
      <c r="C1152" s="4" t="s">
        <v>11</v>
      </c>
      <c r="D1152" s="7">
        <v>30.86</v>
      </c>
      <c r="E1152" s="4" t="s">
        <v>19</v>
      </c>
      <c r="F1152" s="4" t="s">
        <v>17</v>
      </c>
      <c r="G1152" s="4" t="s">
        <v>51</v>
      </c>
      <c r="H1152" s="4" t="s">
        <v>59</v>
      </c>
      <c r="I1152" s="5">
        <v>45634</v>
      </c>
      <c r="J1152" s="4">
        <f t="shared" si="17"/>
        <v>8</v>
      </c>
    </row>
    <row r="1153" spans="1:10" x14ac:dyDescent="0.25">
      <c r="A1153" s="4">
        <f>_xlfn.XLOOKUP(E1153,'Data Validation'!$M$3:$M$10,'Data Validation'!$N$3:$N$10)</f>
        <v>2</v>
      </c>
      <c r="B1153" s="4">
        <v>21</v>
      </c>
      <c r="C1153" s="4" t="s">
        <v>11</v>
      </c>
      <c r="D1153" s="7">
        <v>30.86</v>
      </c>
      <c r="E1153" s="4" t="s">
        <v>19</v>
      </c>
      <c r="F1153" s="4" t="s">
        <v>20</v>
      </c>
      <c r="G1153" s="4" t="s">
        <v>51</v>
      </c>
      <c r="H1153" s="4" t="s">
        <v>59</v>
      </c>
      <c r="I1153" s="5">
        <v>45634</v>
      </c>
      <c r="J1153" s="4">
        <f t="shared" si="17"/>
        <v>8</v>
      </c>
    </row>
    <row r="1154" spans="1:10" x14ac:dyDescent="0.25">
      <c r="A1154" s="4">
        <f>_xlfn.XLOOKUP(E1154,'Data Validation'!$M$3:$M$10,'Data Validation'!$N$3:$N$10)</f>
        <v>2</v>
      </c>
      <c r="B1154" s="4">
        <v>21</v>
      </c>
      <c r="C1154" s="4" t="s">
        <v>11</v>
      </c>
      <c r="D1154" s="7">
        <v>30.86</v>
      </c>
      <c r="E1154" s="4" t="s">
        <v>19</v>
      </c>
      <c r="F1154" s="4" t="s">
        <v>20</v>
      </c>
      <c r="G1154" s="4" t="s">
        <v>51</v>
      </c>
      <c r="H1154" s="4" t="s">
        <v>59</v>
      </c>
      <c r="I1154" s="5">
        <v>45634</v>
      </c>
      <c r="J1154" s="4">
        <f t="shared" si="17"/>
        <v>8</v>
      </c>
    </row>
    <row r="1155" spans="1:10" x14ac:dyDescent="0.25">
      <c r="A1155" s="4">
        <f>_xlfn.XLOOKUP(E1155,'Data Validation'!$M$3:$M$10,'Data Validation'!$N$3:$N$10)</f>
        <v>2</v>
      </c>
      <c r="B1155" s="4">
        <v>9</v>
      </c>
      <c r="C1155" s="4" t="s">
        <v>11</v>
      </c>
      <c r="D1155" s="7">
        <v>30.86</v>
      </c>
      <c r="E1155" s="4" t="s">
        <v>19</v>
      </c>
      <c r="F1155" s="4" t="s">
        <v>13</v>
      </c>
      <c r="G1155" s="4" t="s">
        <v>45</v>
      </c>
      <c r="H1155" s="4" t="s">
        <v>59</v>
      </c>
      <c r="I1155" s="5">
        <v>45635</v>
      </c>
      <c r="J1155" s="4">
        <f t="shared" ref="J1155:J1218" si="18">IF(OR(E1155&lt;&gt;E1154,D1155&lt;&gt;D1154),J1154+1,J1154)</f>
        <v>8</v>
      </c>
    </row>
    <row r="1156" spans="1:10" x14ac:dyDescent="0.25">
      <c r="A1156" s="4">
        <f>_xlfn.XLOOKUP(E1156,'Data Validation'!$M$3:$M$10,'Data Validation'!$N$3:$N$10)</f>
        <v>2</v>
      </c>
      <c r="B1156" s="4">
        <v>7</v>
      </c>
      <c r="C1156" s="4" t="s">
        <v>11</v>
      </c>
      <c r="D1156" s="7">
        <v>30.86</v>
      </c>
      <c r="E1156" s="4" t="s">
        <v>19</v>
      </c>
      <c r="F1156" s="4" t="s">
        <v>13</v>
      </c>
      <c r="G1156" s="4" t="s">
        <v>48</v>
      </c>
      <c r="H1156" s="4" t="s">
        <v>59</v>
      </c>
      <c r="I1156" s="5">
        <v>45638</v>
      </c>
      <c r="J1156" s="4">
        <f t="shared" si="18"/>
        <v>8</v>
      </c>
    </row>
    <row r="1157" spans="1:10" x14ac:dyDescent="0.25">
      <c r="A1157" s="4">
        <f>_xlfn.XLOOKUP(E1157,'Data Validation'!$M$3:$M$10,'Data Validation'!$N$3:$N$10)</f>
        <v>2</v>
      </c>
      <c r="B1157" s="4">
        <v>8</v>
      </c>
      <c r="C1157" s="4" t="s">
        <v>11</v>
      </c>
      <c r="D1157" s="7">
        <v>30.86</v>
      </c>
      <c r="E1157" s="4" t="s">
        <v>19</v>
      </c>
      <c r="F1157" s="4" t="s">
        <v>13</v>
      </c>
      <c r="G1157" s="4" t="s">
        <v>50</v>
      </c>
      <c r="H1157" s="4" t="s">
        <v>59</v>
      </c>
      <c r="I1157" s="5">
        <v>45640</v>
      </c>
      <c r="J1157" s="4">
        <f t="shared" si="18"/>
        <v>8</v>
      </c>
    </row>
    <row r="1158" spans="1:10" x14ac:dyDescent="0.25">
      <c r="A1158" s="4">
        <f>_xlfn.XLOOKUP(E1158,'Data Validation'!$M$3:$M$10,'Data Validation'!$N$3:$N$10)</f>
        <v>2</v>
      </c>
      <c r="B1158" s="4">
        <v>18</v>
      </c>
      <c r="C1158" s="4" t="s">
        <v>11</v>
      </c>
      <c r="D1158" s="7">
        <v>30.86</v>
      </c>
      <c r="E1158" s="4" t="s">
        <v>19</v>
      </c>
      <c r="F1158" s="4" t="s">
        <v>20</v>
      </c>
      <c r="G1158" s="4" t="s">
        <v>50</v>
      </c>
      <c r="H1158" s="4" t="s">
        <v>59</v>
      </c>
      <c r="I1158" s="5">
        <v>45640</v>
      </c>
      <c r="J1158" s="4">
        <f t="shared" si="18"/>
        <v>8</v>
      </c>
    </row>
    <row r="1159" spans="1:10" x14ac:dyDescent="0.25">
      <c r="A1159" s="4">
        <f>_xlfn.XLOOKUP(E1159,'Data Validation'!$M$3:$M$10,'Data Validation'!$N$3:$N$10)</f>
        <v>2</v>
      </c>
      <c r="B1159" s="4">
        <v>12</v>
      </c>
      <c r="C1159" s="4" t="s">
        <v>11</v>
      </c>
      <c r="D1159" s="7">
        <v>30.86</v>
      </c>
      <c r="E1159" s="4" t="s">
        <v>19</v>
      </c>
      <c r="F1159" s="4" t="s">
        <v>17</v>
      </c>
      <c r="G1159" s="4" t="s">
        <v>45</v>
      </c>
      <c r="H1159" s="4" t="s">
        <v>59</v>
      </c>
      <c r="I1159" s="5">
        <v>45642</v>
      </c>
      <c r="J1159" s="4">
        <f t="shared" si="18"/>
        <v>8</v>
      </c>
    </row>
    <row r="1160" spans="1:10" x14ac:dyDescent="0.25">
      <c r="A1160" s="4">
        <f>_xlfn.XLOOKUP(E1160,'Data Validation'!$M$3:$M$10,'Data Validation'!$N$3:$N$10)</f>
        <v>2</v>
      </c>
      <c r="B1160" s="4">
        <v>18</v>
      </c>
      <c r="C1160" s="4" t="s">
        <v>11</v>
      </c>
      <c r="D1160" s="7">
        <v>30.86</v>
      </c>
      <c r="E1160" s="4" t="s">
        <v>19</v>
      </c>
      <c r="F1160" s="4" t="s">
        <v>20</v>
      </c>
      <c r="G1160" s="4" t="s">
        <v>45</v>
      </c>
      <c r="H1160" s="4" t="s">
        <v>59</v>
      </c>
      <c r="I1160" s="5">
        <v>45642</v>
      </c>
      <c r="J1160" s="4">
        <f t="shared" si="18"/>
        <v>8</v>
      </c>
    </row>
    <row r="1161" spans="1:10" x14ac:dyDescent="0.25">
      <c r="A1161" s="4">
        <f>_xlfn.XLOOKUP(E1161,'Data Validation'!$M$3:$M$10,'Data Validation'!$N$3:$N$10)</f>
        <v>2</v>
      </c>
      <c r="B1161" s="4">
        <v>10</v>
      </c>
      <c r="C1161" s="4" t="s">
        <v>11</v>
      </c>
      <c r="D1161" s="7">
        <v>30.86</v>
      </c>
      <c r="E1161" s="4" t="s">
        <v>19</v>
      </c>
      <c r="F1161" s="4" t="s">
        <v>13</v>
      </c>
      <c r="G1161" s="4" t="s">
        <v>46</v>
      </c>
      <c r="H1161" s="4" t="s">
        <v>59</v>
      </c>
      <c r="I1161" s="5">
        <v>45643</v>
      </c>
      <c r="J1161" s="4">
        <f t="shared" si="18"/>
        <v>8</v>
      </c>
    </row>
    <row r="1162" spans="1:10" x14ac:dyDescent="0.25">
      <c r="A1162" s="4">
        <f>_xlfn.XLOOKUP(E1162,'Data Validation'!$M$3:$M$10,'Data Validation'!$N$3:$N$10)</f>
        <v>2</v>
      </c>
      <c r="B1162" s="4">
        <v>10</v>
      </c>
      <c r="C1162" s="4" t="s">
        <v>11</v>
      </c>
      <c r="D1162" s="7">
        <v>30.86</v>
      </c>
      <c r="E1162" s="4" t="s">
        <v>19</v>
      </c>
      <c r="F1162" s="4" t="s">
        <v>13</v>
      </c>
      <c r="G1162" s="4" t="s">
        <v>47</v>
      </c>
      <c r="H1162" s="4" t="s">
        <v>59</v>
      </c>
      <c r="I1162" s="5">
        <v>45644</v>
      </c>
      <c r="J1162" s="4">
        <f t="shared" si="18"/>
        <v>8</v>
      </c>
    </row>
    <row r="1163" spans="1:10" x14ac:dyDescent="0.25">
      <c r="A1163" s="4">
        <f>_xlfn.XLOOKUP(E1163,'Data Validation'!$M$3:$M$10,'Data Validation'!$N$3:$N$10)</f>
        <v>2</v>
      </c>
      <c r="B1163" s="4">
        <v>11</v>
      </c>
      <c r="C1163" s="4" t="s">
        <v>11</v>
      </c>
      <c r="D1163" s="7">
        <v>30.86</v>
      </c>
      <c r="E1163" s="4" t="s">
        <v>19</v>
      </c>
      <c r="F1163" s="4" t="s">
        <v>13</v>
      </c>
      <c r="G1163" s="4" t="s">
        <v>48</v>
      </c>
      <c r="H1163" s="4" t="s">
        <v>59</v>
      </c>
      <c r="I1163" s="5">
        <v>45645</v>
      </c>
      <c r="J1163" s="4">
        <f t="shared" si="18"/>
        <v>8</v>
      </c>
    </row>
    <row r="1164" spans="1:10" x14ac:dyDescent="0.25">
      <c r="A1164" s="4">
        <f>_xlfn.XLOOKUP(E1164,'Data Validation'!$M$3:$M$10,'Data Validation'!$N$3:$N$10)</f>
        <v>2</v>
      </c>
      <c r="B1164" s="4">
        <v>19</v>
      </c>
      <c r="C1164" s="4" t="s">
        <v>11</v>
      </c>
      <c r="D1164" s="7">
        <v>30.86</v>
      </c>
      <c r="E1164" s="4" t="s">
        <v>19</v>
      </c>
      <c r="F1164" s="4" t="s">
        <v>20</v>
      </c>
      <c r="G1164" s="4" t="s">
        <v>48</v>
      </c>
      <c r="H1164" s="4" t="s">
        <v>59</v>
      </c>
      <c r="I1164" s="5">
        <v>45645</v>
      </c>
      <c r="J1164" s="4">
        <f t="shared" si="18"/>
        <v>8</v>
      </c>
    </row>
    <row r="1165" spans="1:10" x14ac:dyDescent="0.25">
      <c r="A1165" s="4">
        <f>_xlfn.XLOOKUP(E1165,'Data Validation'!$M$3:$M$10,'Data Validation'!$N$3:$N$10)</f>
        <v>2</v>
      </c>
      <c r="B1165" s="4">
        <v>9</v>
      </c>
      <c r="C1165" s="4" t="s">
        <v>11</v>
      </c>
      <c r="D1165" s="7">
        <v>30.86</v>
      </c>
      <c r="E1165" s="4" t="s">
        <v>19</v>
      </c>
      <c r="F1165" s="4" t="s">
        <v>13</v>
      </c>
      <c r="G1165" s="4" t="s">
        <v>49</v>
      </c>
      <c r="H1165" s="4" t="s">
        <v>59</v>
      </c>
      <c r="I1165" s="5">
        <v>45646</v>
      </c>
      <c r="J1165" s="4">
        <f t="shared" si="18"/>
        <v>8</v>
      </c>
    </row>
    <row r="1166" spans="1:10" x14ac:dyDescent="0.25">
      <c r="A1166" s="4">
        <f>_xlfn.XLOOKUP(E1166,'Data Validation'!$M$3:$M$10,'Data Validation'!$N$3:$N$10)</f>
        <v>2</v>
      </c>
      <c r="B1166" s="4">
        <v>12</v>
      </c>
      <c r="C1166" s="4" t="s">
        <v>11</v>
      </c>
      <c r="D1166" s="7">
        <v>30.86</v>
      </c>
      <c r="E1166" s="4" t="s">
        <v>19</v>
      </c>
      <c r="F1166" s="4" t="s">
        <v>17</v>
      </c>
      <c r="G1166" s="4" t="s">
        <v>49</v>
      </c>
      <c r="H1166" s="4" t="s">
        <v>59</v>
      </c>
      <c r="I1166" s="5">
        <v>45646</v>
      </c>
      <c r="J1166" s="4">
        <f t="shared" si="18"/>
        <v>8</v>
      </c>
    </row>
    <row r="1167" spans="1:10" x14ac:dyDescent="0.25">
      <c r="A1167" s="4">
        <f>_xlfn.XLOOKUP(E1167,'Data Validation'!$M$3:$M$10,'Data Validation'!$N$3:$N$10)</f>
        <v>2</v>
      </c>
      <c r="B1167" s="4">
        <v>15</v>
      </c>
      <c r="C1167" s="4" t="s">
        <v>11</v>
      </c>
      <c r="D1167" s="7">
        <v>30.86</v>
      </c>
      <c r="E1167" s="4" t="s">
        <v>19</v>
      </c>
      <c r="F1167" s="4" t="s">
        <v>17</v>
      </c>
      <c r="G1167" s="4" t="s">
        <v>50</v>
      </c>
      <c r="H1167" s="4" t="s">
        <v>59</v>
      </c>
      <c r="I1167" s="5">
        <v>45647</v>
      </c>
      <c r="J1167" s="4">
        <f t="shared" si="18"/>
        <v>8</v>
      </c>
    </row>
    <row r="1168" spans="1:10" x14ac:dyDescent="0.25">
      <c r="A1168" s="4">
        <f>_xlfn.XLOOKUP(E1168,'Data Validation'!$M$3:$M$10,'Data Validation'!$N$3:$N$10)</f>
        <v>2</v>
      </c>
      <c r="B1168" s="4">
        <v>19</v>
      </c>
      <c r="C1168" s="4" t="s">
        <v>11</v>
      </c>
      <c r="D1168" s="7">
        <v>30.86</v>
      </c>
      <c r="E1168" s="4" t="s">
        <v>19</v>
      </c>
      <c r="F1168" s="4" t="s">
        <v>20</v>
      </c>
      <c r="G1168" s="4" t="s">
        <v>50</v>
      </c>
      <c r="H1168" s="4" t="s">
        <v>59</v>
      </c>
      <c r="I1168" s="5">
        <v>45647</v>
      </c>
      <c r="J1168" s="4">
        <f t="shared" si="18"/>
        <v>8</v>
      </c>
    </row>
    <row r="1169" spans="1:10" x14ac:dyDescent="0.25">
      <c r="A1169" s="4">
        <f>_xlfn.XLOOKUP(E1169,'Data Validation'!$M$3:$M$10,'Data Validation'!$N$3:$N$10)</f>
        <v>2</v>
      </c>
      <c r="B1169" s="4">
        <v>9</v>
      </c>
      <c r="C1169" s="4" t="s">
        <v>11</v>
      </c>
      <c r="D1169" s="7">
        <v>30.86</v>
      </c>
      <c r="E1169" s="4" t="s">
        <v>19</v>
      </c>
      <c r="F1169" s="4" t="s">
        <v>13</v>
      </c>
      <c r="G1169" s="4" t="s">
        <v>45</v>
      </c>
      <c r="H1169" s="4" t="s">
        <v>59</v>
      </c>
      <c r="I1169" s="5">
        <v>45649</v>
      </c>
      <c r="J1169" s="4">
        <f t="shared" si="18"/>
        <v>8</v>
      </c>
    </row>
    <row r="1170" spans="1:10" x14ac:dyDescent="0.25">
      <c r="A1170" s="4">
        <f>_xlfn.XLOOKUP(E1170,'Data Validation'!$M$3:$M$10,'Data Validation'!$N$3:$N$10)</f>
        <v>2</v>
      </c>
      <c r="B1170" s="4">
        <v>10</v>
      </c>
      <c r="C1170" s="4" t="s">
        <v>11</v>
      </c>
      <c r="D1170" s="7">
        <v>30.86</v>
      </c>
      <c r="E1170" s="4" t="s">
        <v>19</v>
      </c>
      <c r="F1170" s="4" t="s">
        <v>13</v>
      </c>
      <c r="G1170" s="4" t="s">
        <v>45</v>
      </c>
      <c r="H1170" s="4" t="s">
        <v>59</v>
      </c>
      <c r="I1170" s="5">
        <v>45649</v>
      </c>
      <c r="J1170" s="4">
        <f t="shared" si="18"/>
        <v>8</v>
      </c>
    </row>
    <row r="1171" spans="1:10" x14ac:dyDescent="0.25">
      <c r="A1171" s="4">
        <f>_xlfn.XLOOKUP(E1171,'Data Validation'!$M$3:$M$10,'Data Validation'!$N$3:$N$10)</f>
        <v>2</v>
      </c>
      <c r="B1171" s="4">
        <v>15</v>
      </c>
      <c r="C1171" s="4" t="s">
        <v>11</v>
      </c>
      <c r="D1171" s="7">
        <v>30.86</v>
      </c>
      <c r="E1171" s="4" t="s">
        <v>19</v>
      </c>
      <c r="F1171" s="4" t="s">
        <v>17</v>
      </c>
      <c r="G1171" s="4" t="s">
        <v>45</v>
      </c>
      <c r="H1171" s="4" t="s">
        <v>59</v>
      </c>
      <c r="I1171" s="5">
        <v>45649</v>
      </c>
      <c r="J1171" s="4">
        <f t="shared" si="18"/>
        <v>8</v>
      </c>
    </row>
    <row r="1172" spans="1:10" x14ac:dyDescent="0.25">
      <c r="A1172" s="4">
        <f>_xlfn.XLOOKUP(E1172,'Data Validation'!$M$3:$M$10,'Data Validation'!$N$3:$N$10)</f>
        <v>2</v>
      </c>
      <c r="B1172" s="4">
        <v>15</v>
      </c>
      <c r="C1172" s="4" t="s">
        <v>11</v>
      </c>
      <c r="D1172" s="7">
        <v>30.86</v>
      </c>
      <c r="E1172" s="4" t="s">
        <v>19</v>
      </c>
      <c r="F1172" s="4" t="s">
        <v>17</v>
      </c>
      <c r="G1172" s="4" t="s">
        <v>46</v>
      </c>
      <c r="H1172" s="4" t="s">
        <v>59</v>
      </c>
      <c r="I1172" s="5">
        <v>45650</v>
      </c>
      <c r="J1172" s="4">
        <f t="shared" si="18"/>
        <v>8</v>
      </c>
    </row>
    <row r="1173" spans="1:10" x14ac:dyDescent="0.25">
      <c r="A1173" s="4">
        <f>_xlfn.XLOOKUP(E1173,'Data Validation'!$M$3:$M$10,'Data Validation'!$N$3:$N$10)</f>
        <v>2</v>
      </c>
      <c r="B1173" s="4">
        <v>12</v>
      </c>
      <c r="C1173" s="4" t="s">
        <v>11</v>
      </c>
      <c r="D1173" s="7">
        <v>30.86</v>
      </c>
      <c r="E1173" s="4" t="s">
        <v>19</v>
      </c>
      <c r="F1173" s="4" t="s">
        <v>17</v>
      </c>
      <c r="G1173" s="4" t="s">
        <v>47</v>
      </c>
      <c r="H1173" s="4" t="s">
        <v>59</v>
      </c>
      <c r="I1173" s="5">
        <v>45651</v>
      </c>
      <c r="J1173" s="4">
        <f t="shared" si="18"/>
        <v>8</v>
      </c>
    </row>
    <row r="1174" spans="1:10" x14ac:dyDescent="0.25">
      <c r="A1174" s="4">
        <f>_xlfn.XLOOKUP(E1174,'Data Validation'!$M$3:$M$10,'Data Validation'!$N$3:$N$10)</f>
        <v>2</v>
      </c>
      <c r="B1174" s="4">
        <v>13</v>
      </c>
      <c r="C1174" s="4" t="s">
        <v>11</v>
      </c>
      <c r="D1174" s="7">
        <v>30.86</v>
      </c>
      <c r="E1174" s="4" t="s">
        <v>19</v>
      </c>
      <c r="F1174" s="4" t="s">
        <v>17</v>
      </c>
      <c r="G1174" s="4" t="s">
        <v>47</v>
      </c>
      <c r="H1174" s="4" t="s">
        <v>59</v>
      </c>
      <c r="I1174" s="5">
        <v>45651</v>
      </c>
      <c r="J1174" s="4">
        <f t="shared" si="18"/>
        <v>8</v>
      </c>
    </row>
    <row r="1175" spans="1:10" x14ac:dyDescent="0.25">
      <c r="A1175" s="4">
        <f>_xlfn.XLOOKUP(E1175,'Data Validation'!$M$3:$M$10,'Data Validation'!$N$3:$N$10)</f>
        <v>2</v>
      </c>
      <c r="B1175" s="4">
        <v>22</v>
      </c>
      <c r="C1175" s="4" t="s">
        <v>11</v>
      </c>
      <c r="D1175" s="7">
        <v>30.86</v>
      </c>
      <c r="E1175" s="4" t="s">
        <v>19</v>
      </c>
      <c r="F1175" s="4" t="s">
        <v>20</v>
      </c>
      <c r="G1175" s="4" t="s">
        <v>47</v>
      </c>
      <c r="H1175" s="4" t="s">
        <v>59</v>
      </c>
      <c r="I1175" s="5">
        <v>45651</v>
      </c>
      <c r="J1175" s="4">
        <f t="shared" si="18"/>
        <v>8</v>
      </c>
    </row>
    <row r="1176" spans="1:10" x14ac:dyDescent="0.25">
      <c r="A1176" s="4">
        <f>_xlfn.XLOOKUP(E1176,'Data Validation'!$M$3:$M$10,'Data Validation'!$N$3:$N$10)</f>
        <v>2</v>
      </c>
      <c r="B1176" s="4">
        <v>10</v>
      </c>
      <c r="C1176" s="4" t="s">
        <v>11</v>
      </c>
      <c r="D1176" s="7">
        <v>30.86</v>
      </c>
      <c r="E1176" s="4" t="s">
        <v>19</v>
      </c>
      <c r="F1176" s="4" t="s">
        <v>13</v>
      </c>
      <c r="G1176" s="4" t="s">
        <v>49</v>
      </c>
      <c r="H1176" s="4" t="s">
        <v>59</v>
      </c>
      <c r="I1176" s="5">
        <v>45653</v>
      </c>
      <c r="J1176" s="4">
        <f t="shared" si="18"/>
        <v>8</v>
      </c>
    </row>
    <row r="1177" spans="1:10" x14ac:dyDescent="0.25">
      <c r="A1177" s="4">
        <f>_xlfn.XLOOKUP(E1177,'Data Validation'!$M$3:$M$10,'Data Validation'!$N$3:$N$10)</f>
        <v>2</v>
      </c>
      <c r="B1177" s="4">
        <v>19</v>
      </c>
      <c r="C1177" s="4" t="s">
        <v>11</v>
      </c>
      <c r="D1177" s="7">
        <v>30.86</v>
      </c>
      <c r="E1177" s="4" t="s">
        <v>19</v>
      </c>
      <c r="F1177" s="4" t="s">
        <v>20</v>
      </c>
      <c r="G1177" s="4" t="s">
        <v>49</v>
      </c>
      <c r="H1177" s="4" t="s">
        <v>59</v>
      </c>
      <c r="I1177" s="5">
        <v>45653</v>
      </c>
      <c r="J1177" s="4">
        <f t="shared" si="18"/>
        <v>8</v>
      </c>
    </row>
    <row r="1178" spans="1:10" x14ac:dyDescent="0.25">
      <c r="A1178" s="4">
        <f>_xlfn.XLOOKUP(E1178,'Data Validation'!$M$3:$M$10,'Data Validation'!$N$3:$N$10)</f>
        <v>2</v>
      </c>
      <c r="B1178" s="4">
        <v>10</v>
      </c>
      <c r="C1178" s="4" t="s">
        <v>11</v>
      </c>
      <c r="D1178" s="7">
        <v>30.86</v>
      </c>
      <c r="E1178" s="4" t="s">
        <v>19</v>
      </c>
      <c r="F1178" s="4" t="s">
        <v>13</v>
      </c>
      <c r="G1178" s="4" t="s">
        <v>50</v>
      </c>
      <c r="H1178" s="4" t="s">
        <v>59</v>
      </c>
      <c r="I1178" s="5">
        <v>45654</v>
      </c>
      <c r="J1178" s="4">
        <f t="shared" si="18"/>
        <v>8</v>
      </c>
    </row>
    <row r="1179" spans="1:10" x14ac:dyDescent="0.25">
      <c r="A1179" s="4">
        <f>_xlfn.XLOOKUP(E1179,'Data Validation'!$M$3:$M$10,'Data Validation'!$N$3:$N$10)</f>
        <v>2</v>
      </c>
      <c r="B1179" s="4">
        <v>9</v>
      </c>
      <c r="C1179" s="4" t="s">
        <v>11</v>
      </c>
      <c r="D1179" s="7">
        <v>30.86</v>
      </c>
      <c r="E1179" s="4" t="s">
        <v>19</v>
      </c>
      <c r="F1179" s="4" t="s">
        <v>13</v>
      </c>
      <c r="G1179" s="4" t="s">
        <v>45</v>
      </c>
      <c r="H1179" s="4" t="s">
        <v>59</v>
      </c>
      <c r="I1179" s="5">
        <v>45656</v>
      </c>
      <c r="J1179" s="4">
        <f t="shared" si="18"/>
        <v>8</v>
      </c>
    </row>
    <row r="1180" spans="1:10" x14ac:dyDescent="0.25">
      <c r="A1180" s="4">
        <f>_xlfn.XLOOKUP(E1180,'Data Validation'!$M$3:$M$10,'Data Validation'!$N$3:$N$10)</f>
        <v>2</v>
      </c>
      <c r="B1180" s="4">
        <v>15</v>
      </c>
      <c r="C1180" s="4" t="s">
        <v>11</v>
      </c>
      <c r="D1180" s="7">
        <v>30.86</v>
      </c>
      <c r="E1180" s="4" t="s">
        <v>19</v>
      </c>
      <c r="F1180" s="4" t="s">
        <v>17</v>
      </c>
      <c r="G1180" s="4" t="s">
        <v>45</v>
      </c>
      <c r="H1180" s="4" t="s">
        <v>59</v>
      </c>
      <c r="I1180" s="5">
        <v>45656</v>
      </c>
      <c r="J1180" s="4">
        <f t="shared" si="18"/>
        <v>8</v>
      </c>
    </row>
    <row r="1181" spans="1:10" x14ac:dyDescent="0.25">
      <c r="A1181" s="4">
        <f>_xlfn.XLOOKUP(E1181,'Data Validation'!$M$3:$M$10,'Data Validation'!$N$3:$N$10)</f>
        <v>2</v>
      </c>
      <c r="B1181" s="4">
        <v>16</v>
      </c>
      <c r="C1181" s="4" t="s">
        <v>11</v>
      </c>
      <c r="D1181" s="7">
        <v>30.86</v>
      </c>
      <c r="E1181" s="4" t="s">
        <v>19</v>
      </c>
      <c r="F1181" s="4" t="s">
        <v>17</v>
      </c>
      <c r="G1181" s="4" t="s">
        <v>45</v>
      </c>
      <c r="H1181" s="4" t="s">
        <v>59</v>
      </c>
      <c r="I1181" s="5">
        <v>45656</v>
      </c>
      <c r="J1181" s="4">
        <f t="shared" si="18"/>
        <v>8</v>
      </c>
    </row>
    <row r="1182" spans="1:10" x14ac:dyDescent="0.25">
      <c r="A1182" s="4">
        <f>_xlfn.XLOOKUP(E1182,'Data Validation'!$M$3:$M$10,'Data Validation'!$N$3:$N$10)</f>
        <v>2</v>
      </c>
      <c r="B1182" s="4">
        <v>10</v>
      </c>
      <c r="C1182" s="4" t="s">
        <v>11</v>
      </c>
      <c r="D1182" s="7">
        <v>30.86</v>
      </c>
      <c r="E1182" s="4" t="s">
        <v>19</v>
      </c>
      <c r="F1182" s="4" t="s">
        <v>13</v>
      </c>
      <c r="G1182" s="4" t="s">
        <v>46</v>
      </c>
      <c r="H1182" s="4" t="s">
        <v>59</v>
      </c>
      <c r="I1182" s="5">
        <v>45657</v>
      </c>
      <c r="J1182" s="4">
        <f t="shared" si="18"/>
        <v>8</v>
      </c>
    </row>
    <row r="1183" spans="1:10" x14ac:dyDescent="0.25">
      <c r="A1183" s="4">
        <f>_xlfn.XLOOKUP(E1183,'Data Validation'!$M$3:$M$10,'Data Validation'!$N$3:$N$10)</f>
        <v>2</v>
      </c>
      <c r="B1183" s="4">
        <v>10</v>
      </c>
      <c r="C1183" s="4" t="s">
        <v>11</v>
      </c>
      <c r="D1183" s="7">
        <v>30.86</v>
      </c>
      <c r="E1183" s="4" t="s">
        <v>19</v>
      </c>
      <c r="F1183" s="4" t="s">
        <v>13</v>
      </c>
      <c r="G1183" s="4" t="s">
        <v>46</v>
      </c>
      <c r="H1183" s="4" t="s">
        <v>59</v>
      </c>
      <c r="I1183" s="5">
        <v>45657</v>
      </c>
      <c r="J1183" s="4">
        <f t="shared" si="18"/>
        <v>8</v>
      </c>
    </row>
    <row r="1184" spans="1:10" x14ac:dyDescent="0.25">
      <c r="A1184" s="4">
        <f>_xlfn.XLOOKUP(E1184,'Data Validation'!$M$3:$M$10,'Data Validation'!$N$3:$N$10)</f>
        <v>2</v>
      </c>
      <c r="B1184" s="4">
        <v>11</v>
      </c>
      <c r="C1184" s="4" t="s">
        <v>11</v>
      </c>
      <c r="D1184" s="7">
        <v>30.86</v>
      </c>
      <c r="E1184" s="4" t="s">
        <v>19</v>
      </c>
      <c r="F1184" s="4" t="s">
        <v>13</v>
      </c>
      <c r="G1184" s="4" t="s">
        <v>46</v>
      </c>
      <c r="H1184" s="4" t="s">
        <v>59</v>
      </c>
      <c r="I1184" s="5">
        <v>45657</v>
      </c>
      <c r="J1184" s="4">
        <f t="shared" si="18"/>
        <v>8</v>
      </c>
    </row>
    <row r="1185" spans="1:10" x14ac:dyDescent="0.25">
      <c r="A1185" s="4">
        <f>_xlfn.XLOOKUP(E1185,'Data Validation'!$M$3:$M$10,'Data Validation'!$N$3:$N$10)</f>
        <v>2</v>
      </c>
      <c r="B1185" s="4">
        <v>17</v>
      </c>
      <c r="C1185" s="4" t="s">
        <v>11</v>
      </c>
      <c r="D1185" s="7">
        <v>30.86</v>
      </c>
      <c r="E1185" s="4" t="s">
        <v>19</v>
      </c>
      <c r="F1185" s="4" t="s">
        <v>20</v>
      </c>
      <c r="G1185" s="4" t="s">
        <v>46</v>
      </c>
      <c r="H1185" s="4" t="s">
        <v>59</v>
      </c>
      <c r="I1185" s="5">
        <v>45657</v>
      </c>
      <c r="J1185" s="4">
        <f t="shared" si="18"/>
        <v>8</v>
      </c>
    </row>
    <row r="1186" spans="1:10" x14ac:dyDescent="0.25">
      <c r="A1186" s="4">
        <f>_xlfn.XLOOKUP(E1186,'Data Validation'!$M$3:$M$10,'Data Validation'!$N$3:$N$10)</f>
        <v>2</v>
      </c>
      <c r="B1186" s="4">
        <v>9</v>
      </c>
      <c r="C1186" s="4" t="s">
        <v>11</v>
      </c>
      <c r="D1186" s="7">
        <v>30.86</v>
      </c>
      <c r="E1186" s="4" t="s">
        <v>19</v>
      </c>
      <c r="F1186" s="4" t="s">
        <v>13</v>
      </c>
      <c r="G1186" s="4" t="s">
        <v>48</v>
      </c>
      <c r="H1186" s="4" t="s">
        <v>42</v>
      </c>
      <c r="I1186" s="5">
        <v>45659</v>
      </c>
      <c r="J1186" s="4">
        <f t="shared" si="18"/>
        <v>8</v>
      </c>
    </row>
    <row r="1187" spans="1:10" x14ac:dyDescent="0.25">
      <c r="A1187" s="4">
        <f>_xlfn.XLOOKUP(E1187,'Data Validation'!$M$3:$M$10,'Data Validation'!$N$3:$N$10)</f>
        <v>2</v>
      </c>
      <c r="B1187" s="4">
        <v>16</v>
      </c>
      <c r="C1187" s="4" t="s">
        <v>11</v>
      </c>
      <c r="D1187" s="7">
        <v>30.86</v>
      </c>
      <c r="E1187" s="4" t="s">
        <v>19</v>
      </c>
      <c r="F1187" s="4" t="s">
        <v>17</v>
      </c>
      <c r="G1187" s="4" t="s">
        <v>48</v>
      </c>
      <c r="H1187" s="4" t="s">
        <v>42</v>
      </c>
      <c r="I1187" s="5">
        <v>45659</v>
      </c>
      <c r="J1187" s="4">
        <f t="shared" si="18"/>
        <v>8</v>
      </c>
    </row>
    <row r="1188" spans="1:10" x14ac:dyDescent="0.25">
      <c r="A1188" s="4">
        <f>_xlfn.XLOOKUP(E1188,'Data Validation'!$M$3:$M$10,'Data Validation'!$N$3:$N$10)</f>
        <v>2</v>
      </c>
      <c r="B1188" s="4">
        <v>10</v>
      </c>
      <c r="C1188" s="4" t="s">
        <v>11</v>
      </c>
      <c r="D1188" s="7">
        <v>30.86</v>
      </c>
      <c r="E1188" s="4" t="s">
        <v>19</v>
      </c>
      <c r="F1188" s="4" t="s">
        <v>13</v>
      </c>
      <c r="G1188" s="4" t="s">
        <v>49</v>
      </c>
      <c r="H1188" s="4" t="s">
        <v>42</v>
      </c>
      <c r="I1188" s="5">
        <v>45660</v>
      </c>
      <c r="J1188" s="4">
        <f t="shared" si="18"/>
        <v>8</v>
      </c>
    </row>
    <row r="1189" spans="1:10" x14ac:dyDescent="0.25">
      <c r="A1189" s="4">
        <f>_xlfn.XLOOKUP(E1189,'Data Validation'!$M$3:$M$10,'Data Validation'!$N$3:$N$10)</f>
        <v>2</v>
      </c>
      <c r="B1189" s="4">
        <v>16</v>
      </c>
      <c r="C1189" s="4" t="s">
        <v>11</v>
      </c>
      <c r="D1189" s="7">
        <v>30.86</v>
      </c>
      <c r="E1189" s="4" t="s">
        <v>19</v>
      </c>
      <c r="F1189" s="4" t="s">
        <v>17</v>
      </c>
      <c r="G1189" s="4" t="s">
        <v>49</v>
      </c>
      <c r="H1189" s="4" t="s">
        <v>42</v>
      </c>
      <c r="I1189" s="5">
        <v>45660</v>
      </c>
      <c r="J1189" s="4">
        <f t="shared" si="18"/>
        <v>8</v>
      </c>
    </row>
    <row r="1190" spans="1:10" x14ac:dyDescent="0.25">
      <c r="A1190" s="4">
        <f>_xlfn.XLOOKUP(E1190,'Data Validation'!$M$3:$M$10,'Data Validation'!$N$3:$N$10)</f>
        <v>2</v>
      </c>
      <c r="B1190" s="4">
        <v>16</v>
      </c>
      <c r="C1190" s="4" t="s">
        <v>11</v>
      </c>
      <c r="D1190" s="7">
        <v>30.86</v>
      </c>
      <c r="E1190" s="4" t="s">
        <v>19</v>
      </c>
      <c r="F1190" s="4" t="s">
        <v>17</v>
      </c>
      <c r="G1190" s="4" t="s">
        <v>50</v>
      </c>
      <c r="H1190" s="4" t="s">
        <v>42</v>
      </c>
      <c r="I1190" s="5">
        <v>45661</v>
      </c>
      <c r="J1190" s="4">
        <f t="shared" si="18"/>
        <v>8</v>
      </c>
    </row>
    <row r="1191" spans="1:10" x14ac:dyDescent="0.25">
      <c r="A1191" s="4">
        <f>_xlfn.XLOOKUP(E1191,'Data Validation'!$M$3:$M$10,'Data Validation'!$N$3:$N$10)</f>
        <v>2</v>
      </c>
      <c r="B1191" s="4">
        <v>9</v>
      </c>
      <c r="C1191" s="4" t="s">
        <v>11</v>
      </c>
      <c r="D1191" s="7">
        <v>30.86</v>
      </c>
      <c r="E1191" s="4" t="s">
        <v>19</v>
      </c>
      <c r="F1191" s="4" t="s">
        <v>13</v>
      </c>
      <c r="G1191" s="4" t="s">
        <v>51</v>
      </c>
      <c r="H1191" s="4" t="s">
        <v>42</v>
      </c>
      <c r="I1191" s="5">
        <v>45662</v>
      </c>
      <c r="J1191" s="4">
        <f t="shared" si="18"/>
        <v>8</v>
      </c>
    </row>
    <row r="1192" spans="1:10" x14ac:dyDescent="0.25">
      <c r="A1192" s="4">
        <f>_xlfn.XLOOKUP(E1192,'Data Validation'!$M$3:$M$10,'Data Validation'!$N$3:$N$10)</f>
        <v>2</v>
      </c>
      <c r="B1192" s="4">
        <v>22</v>
      </c>
      <c r="C1192" s="4" t="s">
        <v>11</v>
      </c>
      <c r="D1192" s="7">
        <v>30.86</v>
      </c>
      <c r="E1192" s="4" t="s">
        <v>19</v>
      </c>
      <c r="F1192" s="4" t="s">
        <v>20</v>
      </c>
      <c r="G1192" s="4" t="s">
        <v>51</v>
      </c>
      <c r="H1192" s="4" t="s">
        <v>42</v>
      </c>
      <c r="I1192" s="5">
        <v>45662</v>
      </c>
      <c r="J1192" s="4">
        <f t="shared" si="18"/>
        <v>8</v>
      </c>
    </row>
    <row r="1193" spans="1:10" x14ac:dyDescent="0.25">
      <c r="A1193" s="4">
        <f>_xlfn.XLOOKUP(E1193,'Data Validation'!$M$3:$M$10,'Data Validation'!$N$3:$N$10)</f>
        <v>2</v>
      </c>
      <c r="B1193" s="4">
        <v>7</v>
      </c>
      <c r="C1193" s="4" t="s">
        <v>11</v>
      </c>
      <c r="D1193" s="7">
        <v>30.86</v>
      </c>
      <c r="E1193" s="4" t="s">
        <v>19</v>
      </c>
      <c r="F1193" s="4" t="s">
        <v>13</v>
      </c>
      <c r="G1193" s="4" t="s">
        <v>47</v>
      </c>
      <c r="H1193" s="4" t="s">
        <v>42</v>
      </c>
      <c r="I1193" s="5">
        <v>45665</v>
      </c>
      <c r="J1193" s="4">
        <f t="shared" si="18"/>
        <v>8</v>
      </c>
    </row>
    <row r="1194" spans="1:10" x14ac:dyDescent="0.25">
      <c r="A1194" s="4">
        <f>_xlfn.XLOOKUP(E1194,'Data Validation'!$M$3:$M$10,'Data Validation'!$N$3:$N$10)</f>
        <v>2</v>
      </c>
      <c r="B1194" s="4">
        <v>9</v>
      </c>
      <c r="C1194" s="4" t="s">
        <v>11</v>
      </c>
      <c r="D1194" s="7">
        <v>30.86</v>
      </c>
      <c r="E1194" s="4" t="s">
        <v>19</v>
      </c>
      <c r="F1194" s="4" t="s">
        <v>13</v>
      </c>
      <c r="G1194" s="4" t="s">
        <v>48</v>
      </c>
      <c r="H1194" s="4" t="s">
        <v>42</v>
      </c>
      <c r="I1194" s="5">
        <v>45666</v>
      </c>
      <c r="J1194" s="4">
        <f t="shared" si="18"/>
        <v>8</v>
      </c>
    </row>
    <row r="1195" spans="1:10" x14ac:dyDescent="0.25">
      <c r="A1195" s="4">
        <f>_xlfn.XLOOKUP(E1195,'Data Validation'!$M$3:$M$10,'Data Validation'!$N$3:$N$10)</f>
        <v>2</v>
      </c>
      <c r="B1195" s="4">
        <v>15</v>
      </c>
      <c r="C1195" s="4" t="s">
        <v>11</v>
      </c>
      <c r="D1195" s="7">
        <v>30.86</v>
      </c>
      <c r="E1195" s="4" t="s">
        <v>19</v>
      </c>
      <c r="F1195" s="4" t="s">
        <v>17</v>
      </c>
      <c r="G1195" s="4" t="s">
        <v>48</v>
      </c>
      <c r="H1195" s="4" t="s">
        <v>42</v>
      </c>
      <c r="I1195" s="5">
        <v>45666</v>
      </c>
      <c r="J1195" s="4">
        <f t="shared" si="18"/>
        <v>8</v>
      </c>
    </row>
    <row r="1196" spans="1:10" x14ac:dyDescent="0.25">
      <c r="A1196" s="4">
        <f>_xlfn.XLOOKUP(E1196,'Data Validation'!$M$3:$M$10,'Data Validation'!$N$3:$N$10)</f>
        <v>2</v>
      </c>
      <c r="B1196" s="4">
        <v>20</v>
      </c>
      <c r="C1196" s="4" t="s">
        <v>11</v>
      </c>
      <c r="D1196" s="7">
        <v>30.86</v>
      </c>
      <c r="E1196" s="4" t="s">
        <v>19</v>
      </c>
      <c r="F1196" s="4" t="s">
        <v>20</v>
      </c>
      <c r="G1196" s="4" t="s">
        <v>48</v>
      </c>
      <c r="H1196" s="4" t="s">
        <v>42</v>
      </c>
      <c r="I1196" s="5">
        <v>45666</v>
      </c>
      <c r="J1196" s="4">
        <f t="shared" si="18"/>
        <v>8</v>
      </c>
    </row>
    <row r="1197" spans="1:10" x14ac:dyDescent="0.25">
      <c r="A1197" s="4">
        <f>_xlfn.XLOOKUP(E1197,'Data Validation'!$M$3:$M$10,'Data Validation'!$N$3:$N$10)</f>
        <v>2</v>
      </c>
      <c r="B1197" s="4">
        <v>8</v>
      </c>
      <c r="C1197" s="4" t="s">
        <v>11</v>
      </c>
      <c r="D1197" s="7">
        <v>30.86</v>
      </c>
      <c r="E1197" s="4" t="s">
        <v>19</v>
      </c>
      <c r="F1197" s="4" t="s">
        <v>13</v>
      </c>
      <c r="G1197" s="4" t="s">
        <v>49</v>
      </c>
      <c r="H1197" s="4" t="s">
        <v>42</v>
      </c>
      <c r="I1197" s="5">
        <v>45667</v>
      </c>
      <c r="J1197" s="4">
        <f t="shared" si="18"/>
        <v>8</v>
      </c>
    </row>
    <row r="1198" spans="1:10" x14ac:dyDescent="0.25">
      <c r="A1198" s="4">
        <f>_xlfn.XLOOKUP(E1198,'Data Validation'!$M$3:$M$10,'Data Validation'!$N$3:$N$10)</f>
        <v>2</v>
      </c>
      <c r="B1198" s="4">
        <v>9</v>
      </c>
      <c r="C1198" s="4" t="s">
        <v>11</v>
      </c>
      <c r="D1198" s="7">
        <v>30.86</v>
      </c>
      <c r="E1198" s="4" t="s">
        <v>19</v>
      </c>
      <c r="F1198" s="4" t="s">
        <v>13</v>
      </c>
      <c r="G1198" s="4" t="s">
        <v>49</v>
      </c>
      <c r="H1198" s="4" t="s">
        <v>42</v>
      </c>
      <c r="I1198" s="5">
        <v>45667</v>
      </c>
      <c r="J1198" s="4">
        <f t="shared" si="18"/>
        <v>8</v>
      </c>
    </row>
    <row r="1199" spans="1:10" x14ac:dyDescent="0.25">
      <c r="A1199" s="4">
        <f>_xlfn.XLOOKUP(E1199,'Data Validation'!$M$3:$M$10,'Data Validation'!$N$3:$N$10)</f>
        <v>2</v>
      </c>
      <c r="B1199" s="4">
        <v>17</v>
      </c>
      <c r="C1199" s="4" t="s">
        <v>11</v>
      </c>
      <c r="D1199" s="7">
        <v>30.86</v>
      </c>
      <c r="E1199" s="4" t="s">
        <v>19</v>
      </c>
      <c r="F1199" s="4" t="s">
        <v>20</v>
      </c>
      <c r="G1199" s="4" t="s">
        <v>49</v>
      </c>
      <c r="H1199" s="4" t="s">
        <v>42</v>
      </c>
      <c r="I1199" s="5">
        <v>45667</v>
      </c>
      <c r="J1199" s="4">
        <f t="shared" si="18"/>
        <v>8</v>
      </c>
    </row>
    <row r="1200" spans="1:10" x14ac:dyDescent="0.25">
      <c r="A1200" s="4">
        <f>_xlfn.XLOOKUP(E1200,'Data Validation'!$M$3:$M$10,'Data Validation'!$N$3:$N$10)</f>
        <v>2</v>
      </c>
      <c r="B1200" s="4">
        <v>7</v>
      </c>
      <c r="C1200" s="4" t="s">
        <v>11</v>
      </c>
      <c r="D1200" s="7">
        <v>30.86</v>
      </c>
      <c r="E1200" s="4" t="s">
        <v>19</v>
      </c>
      <c r="F1200" s="4" t="s">
        <v>13</v>
      </c>
      <c r="G1200" s="4" t="s">
        <v>50</v>
      </c>
      <c r="H1200" s="4" t="s">
        <v>42</v>
      </c>
      <c r="I1200" s="5">
        <v>45668</v>
      </c>
      <c r="J1200" s="4">
        <f t="shared" si="18"/>
        <v>8</v>
      </c>
    </row>
    <row r="1201" spans="1:10" x14ac:dyDescent="0.25">
      <c r="A1201" s="4">
        <f>_xlfn.XLOOKUP(E1201,'Data Validation'!$M$3:$M$10,'Data Validation'!$N$3:$N$10)</f>
        <v>2</v>
      </c>
      <c r="B1201" s="4">
        <v>14</v>
      </c>
      <c r="C1201" s="4" t="s">
        <v>11</v>
      </c>
      <c r="D1201" s="7">
        <v>30.86</v>
      </c>
      <c r="E1201" s="4" t="s">
        <v>19</v>
      </c>
      <c r="F1201" s="4" t="s">
        <v>17</v>
      </c>
      <c r="G1201" s="4" t="s">
        <v>50</v>
      </c>
      <c r="H1201" s="4" t="s">
        <v>42</v>
      </c>
      <c r="I1201" s="5">
        <v>45668</v>
      </c>
      <c r="J1201" s="4">
        <f t="shared" si="18"/>
        <v>8</v>
      </c>
    </row>
    <row r="1202" spans="1:10" x14ac:dyDescent="0.25">
      <c r="A1202" s="4">
        <f>_xlfn.XLOOKUP(E1202,'Data Validation'!$M$3:$M$10,'Data Validation'!$N$3:$N$10)</f>
        <v>2</v>
      </c>
      <c r="B1202" s="4">
        <v>14</v>
      </c>
      <c r="C1202" s="4" t="s">
        <v>11</v>
      </c>
      <c r="D1202" s="7">
        <v>30.86</v>
      </c>
      <c r="E1202" s="4" t="s">
        <v>19</v>
      </c>
      <c r="F1202" s="4" t="s">
        <v>17</v>
      </c>
      <c r="G1202" s="4" t="s">
        <v>50</v>
      </c>
      <c r="H1202" s="4" t="s">
        <v>42</v>
      </c>
      <c r="I1202" s="5">
        <v>45668</v>
      </c>
      <c r="J1202" s="4">
        <f t="shared" si="18"/>
        <v>8</v>
      </c>
    </row>
    <row r="1203" spans="1:10" x14ac:dyDescent="0.25">
      <c r="A1203" s="4">
        <f>_xlfn.XLOOKUP(E1203,'Data Validation'!$M$3:$M$10,'Data Validation'!$N$3:$N$10)</f>
        <v>2</v>
      </c>
      <c r="B1203" s="4">
        <v>18</v>
      </c>
      <c r="C1203" s="4" t="s">
        <v>11</v>
      </c>
      <c r="D1203" s="7">
        <v>30.86</v>
      </c>
      <c r="E1203" s="4" t="s">
        <v>19</v>
      </c>
      <c r="F1203" s="4" t="s">
        <v>20</v>
      </c>
      <c r="G1203" s="4" t="s">
        <v>50</v>
      </c>
      <c r="H1203" s="4" t="s">
        <v>42</v>
      </c>
      <c r="I1203" s="5">
        <v>45668</v>
      </c>
      <c r="J1203" s="4">
        <f t="shared" si="18"/>
        <v>8</v>
      </c>
    </row>
    <row r="1204" spans="1:10" x14ac:dyDescent="0.25">
      <c r="A1204" s="4">
        <f>_xlfn.XLOOKUP(E1204,'Data Validation'!$M$3:$M$10,'Data Validation'!$N$3:$N$10)</f>
        <v>2</v>
      </c>
      <c r="B1204" s="4">
        <v>11</v>
      </c>
      <c r="C1204" s="4" t="s">
        <v>11</v>
      </c>
      <c r="D1204" s="7">
        <v>30.86</v>
      </c>
      <c r="E1204" s="4" t="s">
        <v>19</v>
      </c>
      <c r="F1204" s="4" t="s">
        <v>13</v>
      </c>
      <c r="G1204" s="4" t="s">
        <v>51</v>
      </c>
      <c r="H1204" s="4" t="s">
        <v>42</v>
      </c>
      <c r="I1204" s="5">
        <v>45669</v>
      </c>
      <c r="J1204" s="4">
        <f t="shared" si="18"/>
        <v>8</v>
      </c>
    </row>
    <row r="1205" spans="1:10" x14ac:dyDescent="0.25">
      <c r="A1205" s="4">
        <f>_xlfn.XLOOKUP(E1205,'Data Validation'!$M$3:$M$10,'Data Validation'!$N$3:$N$10)</f>
        <v>2</v>
      </c>
      <c r="B1205" s="4">
        <v>11</v>
      </c>
      <c r="C1205" s="4" t="s">
        <v>11</v>
      </c>
      <c r="D1205" s="7">
        <v>30.86</v>
      </c>
      <c r="E1205" s="4" t="s">
        <v>19</v>
      </c>
      <c r="F1205" s="4" t="s">
        <v>13</v>
      </c>
      <c r="G1205" s="4" t="s">
        <v>51</v>
      </c>
      <c r="H1205" s="4" t="s">
        <v>42</v>
      </c>
      <c r="I1205" s="5">
        <v>45669</v>
      </c>
      <c r="J1205" s="4">
        <f t="shared" si="18"/>
        <v>8</v>
      </c>
    </row>
    <row r="1206" spans="1:10" x14ac:dyDescent="0.25">
      <c r="A1206" s="4">
        <f>_xlfn.XLOOKUP(E1206,'Data Validation'!$M$3:$M$10,'Data Validation'!$N$3:$N$10)</f>
        <v>2</v>
      </c>
      <c r="B1206" s="4">
        <v>20</v>
      </c>
      <c r="C1206" s="4" t="s">
        <v>11</v>
      </c>
      <c r="D1206" s="7">
        <v>30.86</v>
      </c>
      <c r="E1206" s="4" t="s">
        <v>19</v>
      </c>
      <c r="F1206" s="4" t="s">
        <v>20</v>
      </c>
      <c r="G1206" s="4" t="s">
        <v>51</v>
      </c>
      <c r="H1206" s="4" t="s">
        <v>42</v>
      </c>
      <c r="I1206" s="5">
        <v>45669</v>
      </c>
      <c r="J1206" s="4">
        <f t="shared" si="18"/>
        <v>8</v>
      </c>
    </row>
    <row r="1207" spans="1:10" x14ac:dyDescent="0.25">
      <c r="A1207" s="4">
        <f>_xlfn.XLOOKUP(E1207,'Data Validation'!$M$3:$M$10,'Data Validation'!$N$3:$N$10)</f>
        <v>2</v>
      </c>
      <c r="B1207" s="4">
        <v>8</v>
      </c>
      <c r="C1207" s="4" t="s">
        <v>11</v>
      </c>
      <c r="D1207" s="7">
        <v>30.86</v>
      </c>
      <c r="E1207" s="4" t="s">
        <v>19</v>
      </c>
      <c r="F1207" s="4" t="s">
        <v>13</v>
      </c>
      <c r="G1207" s="4" t="s">
        <v>45</v>
      </c>
      <c r="H1207" s="4" t="s">
        <v>42</v>
      </c>
      <c r="I1207" s="5">
        <v>45670</v>
      </c>
      <c r="J1207" s="4">
        <f t="shared" si="18"/>
        <v>8</v>
      </c>
    </row>
    <row r="1208" spans="1:10" x14ac:dyDescent="0.25">
      <c r="A1208" s="4">
        <f>_xlfn.XLOOKUP(E1208,'Data Validation'!$M$3:$M$10,'Data Validation'!$N$3:$N$10)</f>
        <v>2</v>
      </c>
      <c r="B1208" s="4">
        <v>9</v>
      </c>
      <c r="C1208" s="4" t="s">
        <v>11</v>
      </c>
      <c r="D1208" s="7">
        <v>30.86</v>
      </c>
      <c r="E1208" s="4" t="s">
        <v>19</v>
      </c>
      <c r="F1208" s="4" t="s">
        <v>13</v>
      </c>
      <c r="G1208" s="4" t="s">
        <v>45</v>
      </c>
      <c r="H1208" s="4" t="s">
        <v>42</v>
      </c>
      <c r="I1208" s="5">
        <v>45670</v>
      </c>
      <c r="J1208" s="4">
        <f t="shared" si="18"/>
        <v>8</v>
      </c>
    </row>
    <row r="1209" spans="1:10" x14ac:dyDescent="0.25">
      <c r="A1209" s="4">
        <f>_xlfn.XLOOKUP(E1209,'Data Validation'!$M$3:$M$10,'Data Validation'!$N$3:$N$10)</f>
        <v>2</v>
      </c>
      <c r="B1209" s="4">
        <v>10</v>
      </c>
      <c r="C1209" s="4" t="s">
        <v>11</v>
      </c>
      <c r="D1209" s="7">
        <v>30.86</v>
      </c>
      <c r="E1209" s="4" t="s">
        <v>19</v>
      </c>
      <c r="F1209" s="4" t="s">
        <v>13</v>
      </c>
      <c r="G1209" s="4" t="s">
        <v>46</v>
      </c>
      <c r="H1209" s="4" t="s">
        <v>42</v>
      </c>
      <c r="I1209" s="5">
        <v>45671</v>
      </c>
      <c r="J1209" s="4">
        <f t="shared" si="18"/>
        <v>8</v>
      </c>
    </row>
    <row r="1210" spans="1:10" x14ac:dyDescent="0.25">
      <c r="A1210" s="4">
        <f>_xlfn.XLOOKUP(E1210,'Data Validation'!$M$3:$M$10,'Data Validation'!$N$3:$N$10)</f>
        <v>2</v>
      </c>
      <c r="B1210" s="4">
        <v>16</v>
      </c>
      <c r="C1210" s="4" t="s">
        <v>11</v>
      </c>
      <c r="D1210" s="7">
        <v>30.86</v>
      </c>
      <c r="E1210" s="4" t="s">
        <v>19</v>
      </c>
      <c r="F1210" s="4" t="s">
        <v>17</v>
      </c>
      <c r="G1210" s="4" t="s">
        <v>46</v>
      </c>
      <c r="H1210" s="4" t="s">
        <v>42</v>
      </c>
      <c r="I1210" s="5">
        <v>45671</v>
      </c>
      <c r="J1210" s="4">
        <f t="shared" si="18"/>
        <v>8</v>
      </c>
    </row>
    <row r="1211" spans="1:10" x14ac:dyDescent="0.25">
      <c r="A1211" s="4">
        <f>_xlfn.XLOOKUP(E1211,'Data Validation'!$M$3:$M$10,'Data Validation'!$N$3:$N$10)</f>
        <v>2</v>
      </c>
      <c r="B1211" s="4">
        <v>16</v>
      </c>
      <c r="C1211" s="4" t="s">
        <v>11</v>
      </c>
      <c r="D1211" s="7">
        <v>30.86</v>
      </c>
      <c r="E1211" s="4" t="s">
        <v>19</v>
      </c>
      <c r="F1211" s="4" t="s">
        <v>17</v>
      </c>
      <c r="G1211" s="4" t="s">
        <v>46</v>
      </c>
      <c r="H1211" s="4" t="s">
        <v>42</v>
      </c>
      <c r="I1211" s="5">
        <v>45671</v>
      </c>
      <c r="J1211" s="4">
        <f t="shared" si="18"/>
        <v>8</v>
      </c>
    </row>
    <row r="1212" spans="1:10" x14ac:dyDescent="0.25">
      <c r="A1212" s="4">
        <f>_xlfn.XLOOKUP(E1212,'Data Validation'!$M$3:$M$10,'Data Validation'!$N$3:$N$10)</f>
        <v>2</v>
      </c>
      <c r="B1212" s="4">
        <v>9</v>
      </c>
      <c r="C1212" s="4" t="s">
        <v>11</v>
      </c>
      <c r="D1212" s="7">
        <v>30.86</v>
      </c>
      <c r="E1212" s="4" t="s">
        <v>19</v>
      </c>
      <c r="F1212" s="4" t="s">
        <v>13</v>
      </c>
      <c r="G1212" s="4" t="s">
        <v>47</v>
      </c>
      <c r="H1212" s="4" t="s">
        <v>42</v>
      </c>
      <c r="I1212" s="5">
        <v>45672</v>
      </c>
      <c r="J1212" s="4">
        <f t="shared" si="18"/>
        <v>8</v>
      </c>
    </row>
    <row r="1213" spans="1:10" x14ac:dyDescent="0.25">
      <c r="A1213" s="4">
        <f>_xlfn.XLOOKUP(E1213,'Data Validation'!$M$3:$M$10,'Data Validation'!$N$3:$N$10)</f>
        <v>2</v>
      </c>
      <c r="B1213" s="4">
        <v>9</v>
      </c>
      <c r="C1213" s="4" t="s">
        <v>11</v>
      </c>
      <c r="D1213" s="7">
        <v>30.86</v>
      </c>
      <c r="E1213" s="4" t="s">
        <v>19</v>
      </c>
      <c r="F1213" s="4" t="s">
        <v>13</v>
      </c>
      <c r="G1213" s="4" t="s">
        <v>48</v>
      </c>
      <c r="H1213" s="4" t="s">
        <v>42</v>
      </c>
      <c r="I1213" s="5">
        <v>45673</v>
      </c>
      <c r="J1213" s="4">
        <f t="shared" si="18"/>
        <v>8</v>
      </c>
    </row>
    <row r="1214" spans="1:10" x14ac:dyDescent="0.25">
      <c r="A1214" s="4">
        <f>_xlfn.XLOOKUP(E1214,'Data Validation'!$M$3:$M$10,'Data Validation'!$N$3:$N$10)</f>
        <v>2</v>
      </c>
      <c r="B1214" s="4">
        <v>10</v>
      </c>
      <c r="C1214" s="4" t="s">
        <v>11</v>
      </c>
      <c r="D1214" s="7">
        <v>30.86</v>
      </c>
      <c r="E1214" s="4" t="s">
        <v>19</v>
      </c>
      <c r="F1214" s="4" t="s">
        <v>13</v>
      </c>
      <c r="G1214" s="4" t="s">
        <v>48</v>
      </c>
      <c r="H1214" s="4" t="s">
        <v>42</v>
      </c>
      <c r="I1214" s="5">
        <v>45673</v>
      </c>
      <c r="J1214" s="4">
        <f t="shared" si="18"/>
        <v>8</v>
      </c>
    </row>
    <row r="1215" spans="1:10" x14ac:dyDescent="0.25">
      <c r="A1215" s="4">
        <f>_xlfn.XLOOKUP(E1215,'Data Validation'!$M$3:$M$10,'Data Validation'!$N$3:$N$10)</f>
        <v>2</v>
      </c>
      <c r="B1215" s="4">
        <v>8</v>
      </c>
      <c r="C1215" s="4" t="s">
        <v>11</v>
      </c>
      <c r="D1215" s="7">
        <v>30.86</v>
      </c>
      <c r="E1215" s="4" t="s">
        <v>19</v>
      </c>
      <c r="F1215" s="4" t="s">
        <v>13</v>
      </c>
      <c r="G1215" s="4" t="s">
        <v>49</v>
      </c>
      <c r="H1215" s="4" t="s">
        <v>42</v>
      </c>
      <c r="I1215" s="5">
        <v>45674</v>
      </c>
      <c r="J1215" s="4">
        <f t="shared" si="18"/>
        <v>8</v>
      </c>
    </row>
    <row r="1216" spans="1:10" x14ac:dyDescent="0.25">
      <c r="A1216" s="4">
        <f>_xlfn.XLOOKUP(E1216,'Data Validation'!$M$3:$M$10,'Data Validation'!$N$3:$N$10)</f>
        <v>2</v>
      </c>
      <c r="B1216" s="4">
        <v>9</v>
      </c>
      <c r="C1216" s="4" t="s">
        <v>11</v>
      </c>
      <c r="D1216" s="7">
        <v>30.86</v>
      </c>
      <c r="E1216" s="4" t="s">
        <v>19</v>
      </c>
      <c r="F1216" s="4" t="s">
        <v>13</v>
      </c>
      <c r="G1216" s="4" t="s">
        <v>49</v>
      </c>
      <c r="H1216" s="4" t="s">
        <v>42</v>
      </c>
      <c r="I1216" s="5">
        <v>45674</v>
      </c>
      <c r="J1216" s="4">
        <f t="shared" si="18"/>
        <v>8</v>
      </c>
    </row>
    <row r="1217" spans="1:10" x14ac:dyDescent="0.25">
      <c r="A1217" s="4">
        <f>_xlfn.XLOOKUP(E1217,'Data Validation'!$M$3:$M$10,'Data Validation'!$N$3:$N$10)</f>
        <v>2</v>
      </c>
      <c r="B1217" s="4">
        <v>10</v>
      </c>
      <c r="C1217" s="4" t="s">
        <v>11</v>
      </c>
      <c r="D1217" s="7">
        <v>30.86</v>
      </c>
      <c r="E1217" s="4" t="s">
        <v>19</v>
      </c>
      <c r="F1217" s="4" t="s">
        <v>13</v>
      </c>
      <c r="G1217" s="4" t="s">
        <v>50</v>
      </c>
      <c r="H1217" s="4" t="s">
        <v>42</v>
      </c>
      <c r="I1217" s="5">
        <v>45675</v>
      </c>
      <c r="J1217" s="4">
        <f t="shared" si="18"/>
        <v>8</v>
      </c>
    </row>
    <row r="1218" spans="1:10" x14ac:dyDescent="0.25">
      <c r="A1218" s="4">
        <f>_xlfn.XLOOKUP(E1218,'Data Validation'!$M$3:$M$10,'Data Validation'!$N$3:$N$10)</f>
        <v>2</v>
      </c>
      <c r="B1218" s="4">
        <v>8</v>
      </c>
      <c r="C1218" s="4" t="s">
        <v>11</v>
      </c>
      <c r="D1218" s="7">
        <v>30.86</v>
      </c>
      <c r="E1218" s="4" t="s">
        <v>19</v>
      </c>
      <c r="F1218" s="4" t="s">
        <v>13</v>
      </c>
      <c r="G1218" s="4" t="s">
        <v>45</v>
      </c>
      <c r="H1218" s="4" t="s">
        <v>42</v>
      </c>
      <c r="I1218" s="5">
        <v>45677</v>
      </c>
      <c r="J1218" s="4">
        <f t="shared" si="18"/>
        <v>8</v>
      </c>
    </row>
    <row r="1219" spans="1:10" x14ac:dyDescent="0.25">
      <c r="A1219" s="4">
        <f>_xlfn.XLOOKUP(E1219,'Data Validation'!$M$3:$M$10,'Data Validation'!$N$3:$N$10)</f>
        <v>2</v>
      </c>
      <c r="B1219" s="4">
        <v>10</v>
      </c>
      <c r="C1219" s="4" t="s">
        <v>11</v>
      </c>
      <c r="D1219" s="7">
        <v>30.86</v>
      </c>
      <c r="E1219" s="4" t="s">
        <v>19</v>
      </c>
      <c r="F1219" s="4" t="s">
        <v>13</v>
      </c>
      <c r="G1219" s="4" t="s">
        <v>45</v>
      </c>
      <c r="H1219" s="4" t="s">
        <v>42</v>
      </c>
      <c r="I1219" s="5">
        <v>45677</v>
      </c>
      <c r="J1219" s="4">
        <f t="shared" ref="J1219:J1282" si="19">IF(OR(E1219&lt;&gt;E1218,D1219&lt;&gt;D1218),J1218+1,J1218)</f>
        <v>8</v>
      </c>
    </row>
    <row r="1220" spans="1:10" x14ac:dyDescent="0.25">
      <c r="A1220" s="4">
        <f>_xlfn.XLOOKUP(E1220,'Data Validation'!$M$3:$M$10,'Data Validation'!$N$3:$N$10)</f>
        <v>2</v>
      </c>
      <c r="B1220" s="4">
        <v>13</v>
      </c>
      <c r="C1220" s="4" t="s">
        <v>11</v>
      </c>
      <c r="D1220" s="7">
        <v>30.86</v>
      </c>
      <c r="E1220" s="4" t="s">
        <v>19</v>
      </c>
      <c r="F1220" s="4" t="s">
        <v>17</v>
      </c>
      <c r="G1220" s="4" t="s">
        <v>45</v>
      </c>
      <c r="H1220" s="4" t="s">
        <v>42</v>
      </c>
      <c r="I1220" s="5">
        <v>45677</v>
      </c>
      <c r="J1220" s="4">
        <f t="shared" si="19"/>
        <v>8</v>
      </c>
    </row>
    <row r="1221" spans="1:10" x14ac:dyDescent="0.25">
      <c r="A1221" s="4">
        <f>_xlfn.XLOOKUP(E1221,'Data Validation'!$M$3:$M$10,'Data Validation'!$N$3:$N$10)</f>
        <v>2</v>
      </c>
      <c r="B1221" s="4">
        <v>8</v>
      </c>
      <c r="C1221" s="4" t="s">
        <v>11</v>
      </c>
      <c r="D1221" s="7">
        <v>30.86</v>
      </c>
      <c r="E1221" s="4" t="s">
        <v>19</v>
      </c>
      <c r="F1221" s="4" t="s">
        <v>13</v>
      </c>
      <c r="G1221" s="4" t="s">
        <v>46</v>
      </c>
      <c r="H1221" s="4" t="s">
        <v>42</v>
      </c>
      <c r="I1221" s="5">
        <v>45678</v>
      </c>
      <c r="J1221" s="4">
        <f t="shared" si="19"/>
        <v>8</v>
      </c>
    </row>
    <row r="1222" spans="1:10" x14ac:dyDescent="0.25">
      <c r="A1222" s="4">
        <f>_xlfn.XLOOKUP(E1222,'Data Validation'!$M$3:$M$10,'Data Validation'!$N$3:$N$10)</f>
        <v>2</v>
      </c>
      <c r="B1222" s="4">
        <v>17</v>
      </c>
      <c r="C1222" s="4" t="s">
        <v>11</v>
      </c>
      <c r="D1222" s="7">
        <v>30.86</v>
      </c>
      <c r="E1222" s="4" t="s">
        <v>19</v>
      </c>
      <c r="F1222" s="4" t="s">
        <v>20</v>
      </c>
      <c r="G1222" s="4" t="s">
        <v>47</v>
      </c>
      <c r="H1222" s="4" t="s">
        <v>42</v>
      </c>
      <c r="I1222" s="5">
        <v>45679</v>
      </c>
      <c r="J1222" s="4">
        <f t="shared" si="19"/>
        <v>8</v>
      </c>
    </row>
    <row r="1223" spans="1:10" x14ac:dyDescent="0.25">
      <c r="A1223" s="4">
        <f>_xlfn.XLOOKUP(E1223,'Data Validation'!$M$3:$M$10,'Data Validation'!$N$3:$N$10)</f>
        <v>2</v>
      </c>
      <c r="B1223" s="4">
        <v>19</v>
      </c>
      <c r="C1223" s="4" t="s">
        <v>11</v>
      </c>
      <c r="D1223" s="7">
        <v>30.86</v>
      </c>
      <c r="E1223" s="4" t="s">
        <v>19</v>
      </c>
      <c r="F1223" s="4" t="s">
        <v>20</v>
      </c>
      <c r="G1223" s="4" t="s">
        <v>47</v>
      </c>
      <c r="H1223" s="4" t="s">
        <v>42</v>
      </c>
      <c r="I1223" s="5">
        <v>45679</v>
      </c>
      <c r="J1223" s="4">
        <f t="shared" si="19"/>
        <v>8</v>
      </c>
    </row>
    <row r="1224" spans="1:10" x14ac:dyDescent="0.25">
      <c r="A1224" s="4">
        <f>_xlfn.XLOOKUP(E1224,'Data Validation'!$M$3:$M$10,'Data Validation'!$N$3:$N$10)</f>
        <v>2</v>
      </c>
      <c r="B1224" s="4">
        <v>20</v>
      </c>
      <c r="C1224" s="4" t="s">
        <v>11</v>
      </c>
      <c r="D1224" s="7">
        <v>30.86</v>
      </c>
      <c r="E1224" s="4" t="s">
        <v>19</v>
      </c>
      <c r="F1224" s="4" t="s">
        <v>20</v>
      </c>
      <c r="G1224" s="4" t="s">
        <v>47</v>
      </c>
      <c r="H1224" s="4" t="s">
        <v>42</v>
      </c>
      <c r="I1224" s="5">
        <v>45679</v>
      </c>
      <c r="J1224" s="4">
        <f t="shared" si="19"/>
        <v>8</v>
      </c>
    </row>
    <row r="1225" spans="1:10" x14ac:dyDescent="0.25">
      <c r="A1225" s="4">
        <f>_xlfn.XLOOKUP(E1225,'Data Validation'!$M$3:$M$10,'Data Validation'!$N$3:$N$10)</f>
        <v>2</v>
      </c>
      <c r="B1225" s="4">
        <v>13</v>
      </c>
      <c r="C1225" s="4" t="s">
        <v>11</v>
      </c>
      <c r="D1225" s="7">
        <v>30.86</v>
      </c>
      <c r="E1225" s="4" t="s">
        <v>19</v>
      </c>
      <c r="F1225" s="4" t="s">
        <v>17</v>
      </c>
      <c r="G1225" s="4" t="s">
        <v>45</v>
      </c>
      <c r="H1225" s="4" t="s">
        <v>42</v>
      </c>
      <c r="I1225" s="5">
        <v>45684</v>
      </c>
      <c r="J1225" s="4">
        <f t="shared" si="19"/>
        <v>8</v>
      </c>
    </row>
    <row r="1226" spans="1:10" x14ac:dyDescent="0.25">
      <c r="A1226" s="4">
        <f>_xlfn.XLOOKUP(E1226,'Data Validation'!$M$3:$M$10,'Data Validation'!$N$3:$N$10)</f>
        <v>2</v>
      </c>
      <c r="B1226" s="4">
        <v>15</v>
      </c>
      <c r="C1226" s="4" t="s">
        <v>11</v>
      </c>
      <c r="D1226" s="7">
        <v>30.86</v>
      </c>
      <c r="E1226" s="4" t="s">
        <v>19</v>
      </c>
      <c r="F1226" s="4" t="s">
        <v>17</v>
      </c>
      <c r="G1226" s="4" t="s">
        <v>45</v>
      </c>
      <c r="H1226" s="4" t="s">
        <v>42</v>
      </c>
      <c r="I1226" s="5">
        <v>45684</v>
      </c>
      <c r="J1226" s="4">
        <f t="shared" si="19"/>
        <v>8</v>
      </c>
    </row>
    <row r="1227" spans="1:10" x14ac:dyDescent="0.25">
      <c r="A1227" s="4">
        <f>_xlfn.XLOOKUP(E1227,'Data Validation'!$M$3:$M$10,'Data Validation'!$N$3:$N$10)</f>
        <v>2</v>
      </c>
      <c r="B1227" s="4">
        <v>15</v>
      </c>
      <c r="C1227" s="4" t="s">
        <v>11</v>
      </c>
      <c r="D1227" s="7">
        <v>30.86</v>
      </c>
      <c r="E1227" s="4" t="s">
        <v>19</v>
      </c>
      <c r="F1227" s="4" t="s">
        <v>17</v>
      </c>
      <c r="G1227" s="4" t="s">
        <v>45</v>
      </c>
      <c r="H1227" s="4" t="s">
        <v>42</v>
      </c>
      <c r="I1227" s="5">
        <v>45684</v>
      </c>
      <c r="J1227" s="4">
        <f t="shared" si="19"/>
        <v>8</v>
      </c>
    </row>
    <row r="1228" spans="1:10" x14ac:dyDescent="0.25">
      <c r="A1228" s="4">
        <f>_xlfn.XLOOKUP(E1228,'Data Validation'!$M$3:$M$10,'Data Validation'!$N$3:$N$10)</f>
        <v>2</v>
      </c>
      <c r="B1228" s="4">
        <v>11</v>
      </c>
      <c r="C1228" s="4" t="s">
        <v>11</v>
      </c>
      <c r="D1228" s="7">
        <v>30.86</v>
      </c>
      <c r="E1228" s="4" t="s">
        <v>19</v>
      </c>
      <c r="F1228" s="4" t="s">
        <v>13</v>
      </c>
      <c r="G1228" s="4" t="s">
        <v>46</v>
      </c>
      <c r="H1228" s="4" t="s">
        <v>42</v>
      </c>
      <c r="I1228" s="5">
        <v>45685</v>
      </c>
      <c r="J1228" s="4">
        <f t="shared" si="19"/>
        <v>8</v>
      </c>
    </row>
    <row r="1229" spans="1:10" x14ac:dyDescent="0.25">
      <c r="A1229" s="4">
        <f>_xlfn.XLOOKUP(E1229,'Data Validation'!$M$3:$M$10,'Data Validation'!$N$3:$N$10)</f>
        <v>2</v>
      </c>
      <c r="B1229" s="4">
        <v>19</v>
      </c>
      <c r="C1229" s="4" t="s">
        <v>11</v>
      </c>
      <c r="D1229" s="7">
        <v>30.86</v>
      </c>
      <c r="E1229" s="4" t="s">
        <v>19</v>
      </c>
      <c r="F1229" s="4" t="s">
        <v>20</v>
      </c>
      <c r="G1229" s="4" t="s">
        <v>47</v>
      </c>
      <c r="H1229" s="4" t="s">
        <v>42</v>
      </c>
      <c r="I1229" s="5">
        <v>45686</v>
      </c>
      <c r="J1229" s="4">
        <f t="shared" si="19"/>
        <v>8</v>
      </c>
    </row>
    <row r="1230" spans="1:10" x14ac:dyDescent="0.25">
      <c r="A1230" s="4">
        <f>_xlfn.XLOOKUP(E1230,'Data Validation'!$M$3:$M$10,'Data Validation'!$N$3:$N$10)</f>
        <v>2</v>
      </c>
      <c r="B1230" s="4">
        <v>9</v>
      </c>
      <c r="C1230" s="4" t="s">
        <v>11</v>
      </c>
      <c r="D1230" s="7">
        <v>30.86</v>
      </c>
      <c r="E1230" s="4" t="s">
        <v>19</v>
      </c>
      <c r="F1230" s="4" t="s">
        <v>13</v>
      </c>
      <c r="G1230" s="4" t="s">
        <v>48</v>
      </c>
      <c r="H1230" s="4" t="s">
        <v>42</v>
      </c>
      <c r="I1230" s="5">
        <v>45687</v>
      </c>
      <c r="J1230" s="4">
        <f t="shared" si="19"/>
        <v>8</v>
      </c>
    </row>
    <row r="1231" spans="1:10" x14ac:dyDescent="0.25">
      <c r="A1231" s="4">
        <f>_xlfn.XLOOKUP(E1231,'Data Validation'!$M$3:$M$10,'Data Validation'!$N$3:$N$10)</f>
        <v>2</v>
      </c>
      <c r="B1231" s="4">
        <v>10</v>
      </c>
      <c r="C1231" s="4" t="s">
        <v>11</v>
      </c>
      <c r="D1231" s="7">
        <v>30.86</v>
      </c>
      <c r="E1231" s="4" t="s">
        <v>19</v>
      </c>
      <c r="F1231" s="4" t="s">
        <v>13</v>
      </c>
      <c r="G1231" s="4" t="s">
        <v>48</v>
      </c>
      <c r="H1231" s="4" t="s">
        <v>42</v>
      </c>
      <c r="I1231" s="5">
        <v>45687</v>
      </c>
      <c r="J1231" s="4">
        <f t="shared" si="19"/>
        <v>8</v>
      </c>
    </row>
    <row r="1232" spans="1:10" x14ac:dyDescent="0.25">
      <c r="A1232" s="4">
        <f>_xlfn.XLOOKUP(E1232,'Data Validation'!$M$3:$M$10,'Data Validation'!$N$3:$N$10)</f>
        <v>2</v>
      </c>
      <c r="B1232" s="4">
        <v>14</v>
      </c>
      <c r="C1232" s="4" t="s">
        <v>11</v>
      </c>
      <c r="D1232" s="7">
        <v>30.86</v>
      </c>
      <c r="E1232" s="4" t="s">
        <v>19</v>
      </c>
      <c r="F1232" s="4" t="s">
        <v>17</v>
      </c>
      <c r="G1232" s="4" t="s">
        <v>48</v>
      </c>
      <c r="H1232" s="4" t="s">
        <v>42</v>
      </c>
      <c r="I1232" s="5">
        <v>45687</v>
      </c>
      <c r="J1232" s="4">
        <f t="shared" si="19"/>
        <v>8</v>
      </c>
    </row>
    <row r="1233" spans="1:10" x14ac:dyDescent="0.25">
      <c r="A1233" s="4">
        <f>_xlfn.XLOOKUP(E1233,'Data Validation'!$M$3:$M$10,'Data Validation'!$N$3:$N$10)</f>
        <v>2</v>
      </c>
      <c r="B1233" s="4">
        <v>18</v>
      </c>
      <c r="C1233" s="4" t="s">
        <v>11</v>
      </c>
      <c r="D1233" s="7">
        <v>30.86</v>
      </c>
      <c r="E1233" s="4" t="s">
        <v>19</v>
      </c>
      <c r="F1233" s="4" t="s">
        <v>20</v>
      </c>
      <c r="G1233" s="4" t="s">
        <v>48</v>
      </c>
      <c r="H1233" s="4" t="s">
        <v>42</v>
      </c>
      <c r="I1233" s="5">
        <v>45687</v>
      </c>
      <c r="J1233" s="4">
        <f t="shared" si="19"/>
        <v>8</v>
      </c>
    </row>
    <row r="1234" spans="1:10" x14ac:dyDescent="0.25">
      <c r="A1234" s="4">
        <f>_xlfn.XLOOKUP(E1234,'Data Validation'!$M$3:$M$10,'Data Validation'!$N$3:$N$10)</f>
        <v>2</v>
      </c>
      <c r="B1234" s="4">
        <v>8</v>
      </c>
      <c r="C1234" s="4" t="s">
        <v>11</v>
      </c>
      <c r="D1234" s="7">
        <v>30.86</v>
      </c>
      <c r="E1234" s="4" t="s">
        <v>19</v>
      </c>
      <c r="F1234" s="4" t="s">
        <v>13</v>
      </c>
      <c r="G1234" s="4" t="s">
        <v>49</v>
      </c>
      <c r="H1234" s="4" t="s">
        <v>42</v>
      </c>
      <c r="I1234" s="5">
        <v>45688</v>
      </c>
      <c r="J1234" s="4">
        <f t="shared" si="19"/>
        <v>8</v>
      </c>
    </row>
    <row r="1235" spans="1:10" x14ac:dyDescent="0.25">
      <c r="A1235" s="4">
        <f>_xlfn.XLOOKUP(E1235,'Data Validation'!$M$3:$M$10,'Data Validation'!$N$3:$N$10)</f>
        <v>2</v>
      </c>
      <c r="B1235" s="4">
        <v>9</v>
      </c>
      <c r="C1235" s="4" t="s">
        <v>11</v>
      </c>
      <c r="D1235" s="7">
        <v>30.86</v>
      </c>
      <c r="E1235" s="4" t="s">
        <v>19</v>
      </c>
      <c r="F1235" s="4" t="s">
        <v>13</v>
      </c>
      <c r="G1235" s="4" t="s">
        <v>49</v>
      </c>
      <c r="H1235" s="4" t="s">
        <v>42</v>
      </c>
      <c r="I1235" s="5">
        <v>45688</v>
      </c>
      <c r="J1235" s="4">
        <f t="shared" si="19"/>
        <v>8</v>
      </c>
    </row>
    <row r="1236" spans="1:10" x14ac:dyDescent="0.25">
      <c r="A1236" s="4">
        <f>_xlfn.XLOOKUP(E1236,'Data Validation'!$M$3:$M$10,'Data Validation'!$N$3:$N$10)</f>
        <v>2</v>
      </c>
      <c r="B1236" s="4">
        <v>16</v>
      </c>
      <c r="C1236" s="4" t="s">
        <v>11</v>
      </c>
      <c r="D1236" s="7">
        <v>30.86</v>
      </c>
      <c r="E1236" s="4" t="s">
        <v>19</v>
      </c>
      <c r="F1236" s="4" t="s">
        <v>17</v>
      </c>
      <c r="G1236" s="4" t="s">
        <v>49</v>
      </c>
      <c r="H1236" s="4" t="s">
        <v>42</v>
      </c>
      <c r="I1236" s="5">
        <v>45688</v>
      </c>
      <c r="J1236" s="4">
        <f t="shared" si="19"/>
        <v>8</v>
      </c>
    </row>
    <row r="1237" spans="1:10" x14ac:dyDescent="0.25">
      <c r="A1237" s="4">
        <f>_xlfn.XLOOKUP(E1237,'Data Validation'!$M$3:$M$10,'Data Validation'!$N$3:$N$10)</f>
        <v>2</v>
      </c>
      <c r="B1237" s="4">
        <v>22</v>
      </c>
      <c r="C1237" s="4" t="s">
        <v>11</v>
      </c>
      <c r="D1237" s="7">
        <v>30.86</v>
      </c>
      <c r="E1237" s="4" t="s">
        <v>19</v>
      </c>
      <c r="F1237" s="4" t="s">
        <v>20</v>
      </c>
      <c r="G1237" s="4" t="s">
        <v>49</v>
      </c>
      <c r="H1237" s="4" t="s">
        <v>42</v>
      </c>
      <c r="I1237" s="5">
        <v>45688</v>
      </c>
      <c r="J1237" s="4">
        <f t="shared" si="19"/>
        <v>8</v>
      </c>
    </row>
    <row r="1238" spans="1:10" x14ac:dyDescent="0.25">
      <c r="A1238" s="4">
        <f>_xlfn.XLOOKUP(E1238,'Data Validation'!$M$3:$M$10,'Data Validation'!$N$3:$N$10)</f>
        <v>2</v>
      </c>
      <c r="B1238" s="4">
        <v>8</v>
      </c>
      <c r="C1238" s="4" t="s">
        <v>11</v>
      </c>
      <c r="D1238" s="7">
        <v>30.86</v>
      </c>
      <c r="E1238" s="4" t="s">
        <v>19</v>
      </c>
      <c r="F1238" s="4" t="s">
        <v>13</v>
      </c>
      <c r="G1238" s="4" t="s">
        <v>50</v>
      </c>
      <c r="H1238" s="4" t="s">
        <v>43</v>
      </c>
      <c r="I1238" s="5">
        <v>45689</v>
      </c>
      <c r="J1238" s="4">
        <f t="shared" si="19"/>
        <v>8</v>
      </c>
    </row>
    <row r="1239" spans="1:10" x14ac:dyDescent="0.25">
      <c r="A1239" s="4">
        <f>_xlfn.XLOOKUP(E1239,'Data Validation'!$M$3:$M$10,'Data Validation'!$N$3:$N$10)</f>
        <v>2</v>
      </c>
      <c r="B1239" s="4">
        <v>10</v>
      </c>
      <c r="C1239" s="4" t="s">
        <v>11</v>
      </c>
      <c r="D1239" s="7">
        <v>30.86</v>
      </c>
      <c r="E1239" s="4" t="s">
        <v>19</v>
      </c>
      <c r="F1239" s="4" t="s">
        <v>13</v>
      </c>
      <c r="G1239" s="4" t="s">
        <v>50</v>
      </c>
      <c r="H1239" s="4" t="s">
        <v>43</v>
      </c>
      <c r="I1239" s="5">
        <v>45689</v>
      </c>
      <c r="J1239" s="4">
        <f t="shared" si="19"/>
        <v>8</v>
      </c>
    </row>
    <row r="1240" spans="1:10" x14ac:dyDescent="0.25">
      <c r="A1240" s="4">
        <f>_xlfn.XLOOKUP(E1240,'Data Validation'!$M$3:$M$10,'Data Validation'!$N$3:$N$10)</f>
        <v>2</v>
      </c>
      <c r="B1240" s="4">
        <v>19</v>
      </c>
      <c r="C1240" s="4" t="s">
        <v>11</v>
      </c>
      <c r="D1240" s="7">
        <v>30.86</v>
      </c>
      <c r="E1240" s="4" t="s">
        <v>19</v>
      </c>
      <c r="F1240" s="4" t="s">
        <v>20</v>
      </c>
      <c r="G1240" s="4" t="s">
        <v>50</v>
      </c>
      <c r="H1240" s="4" t="s">
        <v>43</v>
      </c>
      <c r="I1240" s="5">
        <v>45689</v>
      </c>
      <c r="J1240" s="4">
        <f t="shared" si="19"/>
        <v>8</v>
      </c>
    </row>
    <row r="1241" spans="1:10" x14ac:dyDescent="0.25">
      <c r="A1241" s="4">
        <f>_xlfn.XLOOKUP(E1241,'Data Validation'!$M$3:$M$10,'Data Validation'!$N$3:$N$10)</f>
        <v>2</v>
      </c>
      <c r="B1241" s="4">
        <v>19</v>
      </c>
      <c r="C1241" s="4" t="s">
        <v>11</v>
      </c>
      <c r="D1241" s="7">
        <v>30.86</v>
      </c>
      <c r="E1241" s="4" t="s">
        <v>19</v>
      </c>
      <c r="F1241" s="4" t="s">
        <v>20</v>
      </c>
      <c r="G1241" s="4" t="s">
        <v>50</v>
      </c>
      <c r="H1241" s="4" t="s">
        <v>43</v>
      </c>
      <c r="I1241" s="5">
        <v>45689</v>
      </c>
      <c r="J1241" s="4">
        <f t="shared" si="19"/>
        <v>8</v>
      </c>
    </row>
    <row r="1242" spans="1:10" x14ac:dyDescent="0.25">
      <c r="A1242" s="4">
        <f>_xlfn.XLOOKUP(E1242,'Data Validation'!$M$3:$M$10,'Data Validation'!$N$3:$N$10)</f>
        <v>2</v>
      </c>
      <c r="B1242" s="4">
        <v>21</v>
      </c>
      <c r="C1242" s="4" t="s">
        <v>11</v>
      </c>
      <c r="D1242" s="7">
        <v>30.86</v>
      </c>
      <c r="E1242" s="4" t="s">
        <v>19</v>
      </c>
      <c r="F1242" s="4" t="s">
        <v>20</v>
      </c>
      <c r="G1242" s="4" t="s">
        <v>50</v>
      </c>
      <c r="H1242" s="4" t="s">
        <v>43</v>
      </c>
      <c r="I1242" s="5">
        <v>45689</v>
      </c>
      <c r="J1242" s="4">
        <f t="shared" si="19"/>
        <v>8</v>
      </c>
    </row>
    <row r="1243" spans="1:10" x14ac:dyDescent="0.25">
      <c r="A1243" s="4">
        <f>_xlfn.XLOOKUP(E1243,'Data Validation'!$M$3:$M$10,'Data Validation'!$N$3:$N$10)</f>
        <v>2</v>
      </c>
      <c r="B1243" s="4">
        <v>14</v>
      </c>
      <c r="C1243" s="4" t="s">
        <v>11</v>
      </c>
      <c r="D1243" s="7">
        <v>30.86</v>
      </c>
      <c r="E1243" s="4" t="s">
        <v>19</v>
      </c>
      <c r="F1243" s="4" t="s">
        <v>17</v>
      </c>
      <c r="G1243" s="4" t="s">
        <v>51</v>
      </c>
      <c r="H1243" s="4" t="s">
        <v>43</v>
      </c>
      <c r="I1243" s="5">
        <v>45690</v>
      </c>
      <c r="J1243" s="4">
        <f t="shared" si="19"/>
        <v>8</v>
      </c>
    </row>
    <row r="1244" spans="1:10" x14ac:dyDescent="0.25">
      <c r="A1244" s="4">
        <f>_xlfn.XLOOKUP(E1244,'Data Validation'!$M$3:$M$10,'Data Validation'!$N$3:$N$10)</f>
        <v>2</v>
      </c>
      <c r="B1244" s="4">
        <v>7</v>
      </c>
      <c r="C1244" s="4" t="s">
        <v>11</v>
      </c>
      <c r="D1244" s="7">
        <v>30.86</v>
      </c>
      <c r="E1244" s="4" t="s">
        <v>19</v>
      </c>
      <c r="F1244" s="4" t="s">
        <v>13</v>
      </c>
      <c r="G1244" s="4" t="s">
        <v>45</v>
      </c>
      <c r="H1244" s="4" t="s">
        <v>43</v>
      </c>
      <c r="I1244" s="5">
        <v>45691</v>
      </c>
      <c r="J1244" s="4">
        <f t="shared" si="19"/>
        <v>8</v>
      </c>
    </row>
    <row r="1245" spans="1:10" x14ac:dyDescent="0.25">
      <c r="A1245" s="4">
        <f>_xlfn.XLOOKUP(E1245,'Data Validation'!$M$3:$M$10,'Data Validation'!$N$3:$N$10)</f>
        <v>2</v>
      </c>
      <c r="B1245" s="4">
        <v>8</v>
      </c>
      <c r="C1245" s="4" t="s">
        <v>11</v>
      </c>
      <c r="D1245" s="7">
        <v>30.86</v>
      </c>
      <c r="E1245" s="4" t="s">
        <v>19</v>
      </c>
      <c r="F1245" s="4" t="s">
        <v>13</v>
      </c>
      <c r="G1245" s="4" t="s">
        <v>45</v>
      </c>
      <c r="H1245" s="4" t="s">
        <v>43</v>
      </c>
      <c r="I1245" s="5">
        <v>45691</v>
      </c>
      <c r="J1245" s="4">
        <f t="shared" si="19"/>
        <v>8</v>
      </c>
    </row>
    <row r="1246" spans="1:10" x14ac:dyDescent="0.25">
      <c r="A1246" s="4">
        <f>_xlfn.XLOOKUP(E1246,'Data Validation'!$M$3:$M$10,'Data Validation'!$N$3:$N$10)</f>
        <v>2</v>
      </c>
      <c r="B1246" s="4">
        <v>10</v>
      </c>
      <c r="C1246" s="4" t="s">
        <v>11</v>
      </c>
      <c r="D1246" s="7">
        <v>30.86</v>
      </c>
      <c r="E1246" s="4" t="s">
        <v>19</v>
      </c>
      <c r="F1246" s="4" t="s">
        <v>13</v>
      </c>
      <c r="G1246" s="4" t="s">
        <v>45</v>
      </c>
      <c r="H1246" s="4" t="s">
        <v>43</v>
      </c>
      <c r="I1246" s="5">
        <v>45691</v>
      </c>
      <c r="J1246" s="4">
        <f t="shared" si="19"/>
        <v>8</v>
      </c>
    </row>
    <row r="1247" spans="1:10" x14ac:dyDescent="0.25">
      <c r="A1247" s="4">
        <f>_xlfn.XLOOKUP(E1247,'Data Validation'!$M$3:$M$10,'Data Validation'!$N$3:$N$10)</f>
        <v>2</v>
      </c>
      <c r="B1247" s="4">
        <v>17</v>
      </c>
      <c r="C1247" s="4" t="s">
        <v>11</v>
      </c>
      <c r="D1247" s="7">
        <v>30.86</v>
      </c>
      <c r="E1247" s="4" t="s">
        <v>19</v>
      </c>
      <c r="F1247" s="4" t="s">
        <v>20</v>
      </c>
      <c r="G1247" s="4" t="s">
        <v>45</v>
      </c>
      <c r="H1247" s="4" t="s">
        <v>43</v>
      </c>
      <c r="I1247" s="5">
        <v>45691</v>
      </c>
      <c r="J1247" s="4">
        <f t="shared" si="19"/>
        <v>8</v>
      </c>
    </row>
    <row r="1248" spans="1:10" x14ac:dyDescent="0.25">
      <c r="A1248" s="4">
        <f>_xlfn.XLOOKUP(E1248,'Data Validation'!$M$3:$M$10,'Data Validation'!$N$3:$N$10)</f>
        <v>2</v>
      </c>
      <c r="B1248" s="4">
        <v>17</v>
      </c>
      <c r="C1248" s="4" t="s">
        <v>11</v>
      </c>
      <c r="D1248" s="7">
        <v>30.86</v>
      </c>
      <c r="E1248" s="4" t="s">
        <v>19</v>
      </c>
      <c r="F1248" s="4" t="s">
        <v>20</v>
      </c>
      <c r="G1248" s="4" t="s">
        <v>45</v>
      </c>
      <c r="H1248" s="4" t="s">
        <v>43</v>
      </c>
      <c r="I1248" s="5">
        <v>45691</v>
      </c>
      <c r="J1248" s="4">
        <f t="shared" si="19"/>
        <v>8</v>
      </c>
    </row>
    <row r="1249" spans="1:10" x14ac:dyDescent="0.25">
      <c r="A1249" s="4">
        <f>_xlfn.XLOOKUP(E1249,'Data Validation'!$M$3:$M$10,'Data Validation'!$N$3:$N$10)</f>
        <v>2</v>
      </c>
      <c r="B1249" s="4">
        <v>17</v>
      </c>
      <c r="C1249" s="4" t="s">
        <v>11</v>
      </c>
      <c r="D1249" s="7">
        <v>30.86</v>
      </c>
      <c r="E1249" s="4" t="s">
        <v>19</v>
      </c>
      <c r="F1249" s="4" t="s">
        <v>20</v>
      </c>
      <c r="G1249" s="4" t="s">
        <v>45</v>
      </c>
      <c r="H1249" s="4" t="s">
        <v>43</v>
      </c>
      <c r="I1249" s="5">
        <v>45691</v>
      </c>
      <c r="J1249" s="4">
        <f t="shared" si="19"/>
        <v>8</v>
      </c>
    </row>
    <row r="1250" spans="1:10" x14ac:dyDescent="0.25">
      <c r="A1250" s="4">
        <f>_xlfn.XLOOKUP(E1250,'Data Validation'!$M$3:$M$10,'Data Validation'!$N$3:$N$10)</f>
        <v>2</v>
      </c>
      <c r="B1250" s="4">
        <v>17</v>
      </c>
      <c r="C1250" s="4" t="s">
        <v>11</v>
      </c>
      <c r="D1250" s="7">
        <v>30.86</v>
      </c>
      <c r="E1250" s="4" t="s">
        <v>19</v>
      </c>
      <c r="F1250" s="4" t="s">
        <v>20</v>
      </c>
      <c r="G1250" s="4" t="s">
        <v>45</v>
      </c>
      <c r="H1250" s="4" t="s">
        <v>43</v>
      </c>
      <c r="I1250" s="5">
        <v>45691</v>
      </c>
      <c r="J1250" s="4">
        <f t="shared" si="19"/>
        <v>8</v>
      </c>
    </row>
    <row r="1251" spans="1:10" x14ac:dyDescent="0.25">
      <c r="A1251" s="4">
        <f>_xlfn.XLOOKUP(E1251,'Data Validation'!$M$3:$M$10,'Data Validation'!$N$3:$N$10)</f>
        <v>2</v>
      </c>
      <c r="B1251" s="4">
        <v>10</v>
      </c>
      <c r="C1251" s="4" t="s">
        <v>11</v>
      </c>
      <c r="D1251" s="7">
        <v>30.86</v>
      </c>
      <c r="E1251" s="4" t="s">
        <v>19</v>
      </c>
      <c r="F1251" s="4" t="s">
        <v>13</v>
      </c>
      <c r="G1251" s="4" t="s">
        <v>46</v>
      </c>
      <c r="H1251" s="4" t="s">
        <v>43</v>
      </c>
      <c r="I1251" s="5">
        <v>45692</v>
      </c>
      <c r="J1251" s="4">
        <f t="shared" si="19"/>
        <v>8</v>
      </c>
    </row>
    <row r="1252" spans="1:10" x14ac:dyDescent="0.25">
      <c r="A1252" s="4">
        <f>_xlfn.XLOOKUP(E1252,'Data Validation'!$M$3:$M$10,'Data Validation'!$N$3:$N$10)</f>
        <v>2</v>
      </c>
      <c r="B1252" s="4">
        <v>12</v>
      </c>
      <c r="C1252" s="4" t="s">
        <v>11</v>
      </c>
      <c r="D1252" s="7">
        <v>30.86</v>
      </c>
      <c r="E1252" s="4" t="s">
        <v>19</v>
      </c>
      <c r="F1252" s="4" t="s">
        <v>17</v>
      </c>
      <c r="G1252" s="4" t="s">
        <v>46</v>
      </c>
      <c r="H1252" s="4" t="s">
        <v>43</v>
      </c>
      <c r="I1252" s="5">
        <v>45692</v>
      </c>
      <c r="J1252" s="4">
        <f t="shared" si="19"/>
        <v>8</v>
      </c>
    </row>
    <row r="1253" spans="1:10" x14ac:dyDescent="0.25">
      <c r="A1253" s="4">
        <f>_xlfn.XLOOKUP(E1253,'Data Validation'!$M$3:$M$10,'Data Validation'!$N$3:$N$10)</f>
        <v>2</v>
      </c>
      <c r="B1253" s="4">
        <v>14</v>
      </c>
      <c r="C1253" s="4" t="s">
        <v>11</v>
      </c>
      <c r="D1253" s="7">
        <v>30.86</v>
      </c>
      <c r="E1253" s="4" t="s">
        <v>19</v>
      </c>
      <c r="F1253" s="4" t="s">
        <v>17</v>
      </c>
      <c r="G1253" s="4" t="s">
        <v>46</v>
      </c>
      <c r="H1253" s="4" t="s">
        <v>43</v>
      </c>
      <c r="I1253" s="5">
        <v>45692</v>
      </c>
      <c r="J1253" s="4">
        <f t="shared" si="19"/>
        <v>8</v>
      </c>
    </row>
    <row r="1254" spans="1:10" x14ac:dyDescent="0.25">
      <c r="A1254" s="4">
        <f>_xlfn.XLOOKUP(E1254,'Data Validation'!$M$3:$M$10,'Data Validation'!$N$3:$N$10)</f>
        <v>2</v>
      </c>
      <c r="B1254" s="4">
        <v>18</v>
      </c>
      <c r="C1254" s="4" t="s">
        <v>11</v>
      </c>
      <c r="D1254" s="7">
        <v>30.86</v>
      </c>
      <c r="E1254" s="4" t="s">
        <v>19</v>
      </c>
      <c r="F1254" s="4" t="s">
        <v>20</v>
      </c>
      <c r="G1254" s="4" t="s">
        <v>46</v>
      </c>
      <c r="H1254" s="4" t="s">
        <v>43</v>
      </c>
      <c r="I1254" s="5">
        <v>45692</v>
      </c>
      <c r="J1254" s="4">
        <f t="shared" si="19"/>
        <v>8</v>
      </c>
    </row>
    <row r="1255" spans="1:10" x14ac:dyDescent="0.25">
      <c r="A1255" s="4">
        <f>_xlfn.XLOOKUP(E1255,'Data Validation'!$M$3:$M$10,'Data Validation'!$N$3:$N$10)</f>
        <v>2</v>
      </c>
      <c r="B1255" s="4">
        <v>8</v>
      </c>
      <c r="C1255" s="4" t="s">
        <v>11</v>
      </c>
      <c r="D1255" s="7">
        <v>30.86</v>
      </c>
      <c r="E1255" s="4" t="s">
        <v>19</v>
      </c>
      <c r="F1255" s="4" t="s">
        <v>13</v>
      </c>
      <c r="G1255" s="4" t="s">
        <v>47</v>
      </c>
      <c r="H1255" s="4" t="s">
        <v>43</v>
      </c>
      <c r="I1255" s="5">
        <v>45693</v>
      </c>
      <c r="J1255" s="4">
        <f t="shared" si="19"/>
        <v>8</v>
      </c>
    </row>
    <row r="1256" spans="1:10" x14ac:dyDescent="0.25">
      <c r="A1256" s="4">
        <f>_xlfn.XLOOKUP(E1256,'Data Validation'!$M$3:$M$10,'Data Validation'!$N$3:$N$10)</f>
        <v>2</v>
      </c>
      <c r="B1256" s="4">
        <v>9</v>
      </c>
      <c r="C1256" s="4" t="s">
        <v>11</v>
      </c>
      <c r="D1256" s="7">
        <v>30.86</v>
      </c>
      <c r="E1256" s="4" t="s">
        <v>19</v>
      </c>
      <c r="F1256" s="4" t="s">
        <v>13</v>
      </c>
      <c r="G1256" s="4" t="s">
        <v>47</v>
      </c>
      <c r="H1256" s="4" t="s">
        <v>43</v>
      </c>
      <c r="I1256" s="5">
        <v>45693</v>
      </c>
      <c r="J1256" s="4">
        <f t="shared" si="19"/>
        <v>8</v>
      </c>
    </row>
    <row r="1257" spans="1:10" x14ac:dyDescent="0.25">
      <c r="A1257" s="4">
        <f>_xlfn.XLOOKUP(E1257,'Data Validation'!$M$3:$M$10,'Data Validation'!$N$3:$N$10)</f>
        <v>2</v>
      </c>
      <c r="B1257" s="4">
        <v>11</v>
      </c>
      <c r="C1257" s="4" t="s">
        <v>11</v>
      </c>
      <c r="D1257" s="7">
        <v>30.86</v>
      </c>
      <c r="E1257" s="4" t="s">
        <v>19</v>
      </c>
      <c r="F1257" s="4" t="s">
        <v>13</v>
      </c>
      <c r="G1257" s="4" t="s">
        <v>47</v>
      </c>
      <c r="H1257" s="4" t="s">
        <v>43</v>
      </c>
      <c r="I1257" s="5">
        <v>45693</v>
      </c>
      <c r="J1257" s="4">
        <f t="shared" si="19"/>
        <v>8</v>
      </c>
    </row>
    <row r="1258" spans="1:10" x14ac:dyDescent="0.25">
      <c r="A1258" s="4">
        <f>_xlfn.XLOOKUP(E1258,'Data Validation'!$M$3:$M$10,'Data Validation'!$N$3:$N$10)</f>
        <v>2</v>
      </c>
      <c r="B1258" s="4">
        <v>18</v>
      </c>
      <c r="C1258" s="4" t="s">
        <v>11</v>
      </c>
      <c r="D1258" s="7">
        <v>30.86</v>
      </c>
      <c r="E1258" s="4" t="s">
        <v>19</v>
      </c>
      <c r="F1258" s="4" t="s">
        <v>20</v>
      </c>
      <c r="G1258" s="4" t="s">
        <v>47</v>
      </c>
      <c r="H1258" s="4" t="s">
        <v>43</v>
      </c>
      <c r="I1258" s="5">
        <v>45693</v>
      </c>
      <c r="J1258" s="4">
        <f t="shared" si="19"/>
        <v>8</v>
      </c>
    </row>
    <row r="1259" spans="1:10" x14ac:dyDescent="0.25">
      <c r="A1259" s="4">
        <f>_xlfn.XLOOKUP(E1259,'Data Validation'!$M$3:$M$10,'Data Validation'!$N$3:$N$10)</f>
        <v>2</v>
      </c>
      <c r="B1259" s="4">
        <v>7</v>
      </c>
      <c r="C1259" s="4" t="s">
        <v>11</v>
      </c>
      <c r="D1259" s="7">
        <v>30.86</v>
      </c>
      <c r="E1259" s="4" t="s">
        <v>19</v>
      </c>
      <c r="F1259" s="4" t="s">
        <v>13</v>
      </c>
      <c r="G1259" s="4" t="s">
        <v>48</v>
      </c>
      <c r="H1259" s="4" t="s">
        <v>43</v>
      </c>
      <c r="I1259" s="5">
        <v>45694</v>
      </c>
      <c r="J1259" s="4">
        <f t="shared" si="19"/>
        <v>8</v>
      </c>
    </row>
    <row r="1260" spans="1:10" x14ac:dyDescent="0.25">
      <c r="A1260" s="4">
        <f>_xlfn.XLOOKUP(E1260,'Data Validation'!$M$3:$M$10,'Data Validation'!$N$3:$N$10)</f>
        <v>2</v>
      </c>
      <c r="B1260" s="4">
        <v>14</v>
      </c>
      <c r="C1260" s="4" t="s">
        <v>11</v>
      </c>
      <c r="D1260" s="7">
        <v>30.86</v>
      </c>
      <c r="E1260" s="4" t="s">
        <v>19</v>
      </c>
      <c r="F1260" s="4" t="s">
        <v>17</v>
      </c>
      <c r="G1260" s="4" t="s">
        <v>48</v>
      </c>
      <c r="H1260" s="4" t="s">
        <v>43</v>
      </c>
      <c r="I1260" s="5">
        <v>45694</v>
      </c>
      <c r="J1260" s="4">
        <f t="shared" si="19"/>
        <v>8</v>
      </c>
    </row>
    <row r="1261" spans="1:10" x14ac:dyDescent="0.25">
      <c r="A1261" s="4">
        <f>_xlfn.XLOOKUP(E1261,'Data Validation'!$M$3:$M$10,'Data Validation'!$N$3:$N$10)</f>
        <v>2</v>
      </c>
      <c r="B1261" s="4">
        <v>8</v>
      </c>
      <c r="C1261" s="4" t="s">
        <v>11</v>
      </c>
      <c r="D1261" s="7">
        <v>30.86</v>
      </c>
      <c r="E1261" s="4" t="s">
        <v>19</v>
      </c>
      <c r="F1261" s="4" t="s">
        <v>13</v>
      </c>
      <c r="G1261" s="4" t="s">
        <v>49</v>
      </c>
      <c r="H1261" s="4" t="s">
        <v>43</v>
      </c>
      <c r="I1261" s="5">
        <v>45695</v>
      </c>
      <c r="J1261" s="4">
        <f t="shared" si="19"/>
        <v>8</v>
      </c>
    </row>
    <row r="1262" spans="1:10" x14ac:dyDescent="0.25">
      <c r="A1262" s="4">
        <f>_xlfn.XLOOKUP(E1262,'Data Validation'!$M$3:$M$10,'Data Validation'!$N$3:$N$10)</f>
        <v>2</v>
      </c>
      <c r="B1262" s="4">
        <v>9</v>
      </c>
      <c r="C1262" s="4" t="s">
        <v>11</v>
      </c>
      <c r="D1262" s="7">
        <v>30.86</v>
      </c>
      <c r="E1262" s="4" t="s">
        <v>19</v>
      </c>
      <c r="F1262" s="4" t="s">
        <v>13</v>
      </c>
      <c r="G1262" s="4" t="s">
        <v>49</v>
      </c>
      <c r="H1262" s="4" t="s">
        <v>43</v>
      </c>
      <c r="I1262" s="5">
        <v>45695</v>
      </c>
      <c r="J1262" s="4">
        <f t="shared" si="19"/>
        <v>8</v>
      </c>
    </row>
    <row r="1263" spans="1:10" x14ac:dyDescent="0.25">
      <c r="A1263" s="4">
        <f>_xlfn.XLOOKUP(E1263,'Data Validation'!$M$3:$M$10,'Data Validation'!$N$3:$N$10)</f>
        <v>2</v>
      </c>
      <c r="B1263" s="4">
        <v>12</v>
      </c>
      <c r="C1263" s="4" t="s">
        <v>11</v>
      </c>
      <c r="D1263" s="7">
        <v>30.86</v>
      </c>
      <c r="E1263" s="4" t="s">
        <v>19</v>
      </c>
      <c r="F1263" s="4" t="s">
        <v>17</v>
      </c>
      <c r="G1263" s="4" t="s">
        <v>49</v>
      </c>
      <c r="H1263" s="4" t="s">
        <v>43</v>
      </c>
      <c r="I1263" s="5">
        <v>45695</v>
      </c>
      <c r="J1263" s="4">
        <f t="shared" si="19"/>
        <v>8</v>
      </c>
    </row>
    <row r="1264" spans="1:10" x14ac:dyDescent="0.25">
      <c r="A1264" s="4">
        <f>_xlfn.XLOOKUP(E1264,'Data Validation'!$M$3:$M$10,'Data Validation'!$N$3:$N$10)</f>
        <v>2</v>
      </c>
      <c r="B1264" s="4">
        <v>10</v>
      </c>
      <c r="C1264" s="4" t="s">
        <v>11</v>
      </c>
      <c r="D1264" s="7">
        <v>30.86</v>
      </c>
      <c r="E1264" s="4" t="s">
        <v>19</v>
      </c>
      <c r="F1264" s="4" t="s">
        <v>13</v>
      </c>
      <c r="G1264" s="4" t="s">
        <v>50</v>
      </c>
      <c r="H1264" s="4" t="s">
        <v>43</v>
      </c>
      <c r="I1264" s="5">
        <v>45696</v>
      </c>
      <c r="J1264" s="4">
        <f t="shared" si="19"/>
        <v>8</v>
      </c>
    </row>
    <row r="1265" spans="1:10" x14ac:dyDescent="0.25">
      <c r="A1265" s="4">
        <f>_xlfn.XLOOKUP(E1265,'Data Validation'!$M$3:$M$10,'Data Validation'!$N$3:$N$10)</f>
        <v>2</v>
      </c>
      <c r="B1265" s="4">
        <v>10</v>
      </c>
      <c r="C1265" s="4" t="s">
        <v>11</v>
      </c>
      <c r="D1265" s="7">
        <v>30.86</v>
      </c>
      <c r="E1265" s="4" t="s">
        <v>19</v>
      </c>
      <c r="F1265" s="4" t="s">
        <v>13</v>
      </c>
      <c r="G1265" s="4" t="s">
        <v>51</v>
      </c>
      <c r="H1265" s="4" t="s">
        <v>43</v>
      </c>
      <c r="I1265" s="5">
        <v>45697</v>
      </c>
      <c r="J1265" s="4">
        <f t="shared" si="19"/>
        <v>8</v>
      </c>
    </row>
    <row r="1266" spans="1:10" x14ac:dyDescent="0.25">
      <c r="A1266" s="4">
        <f>_xlfn.XLOOKUP(E1266,'Data Validation'!$M$3:$M$10,'Data Validation'!$N$3:$N$10)</f>
        <v>2</v>
      </c>
      <c r="B1266" s="4">
        <v>11</v>
      </c>
      <c r="C1266" s="4" t="s">
        <v>11</v>
      </c>
      <c r="D1266" s="7">
        <v>30.86</v>
      </c>
      <c r="E1266" s="4" t="s">
        <v>19</v>
      </c>
      <c r="F1266" s="4" t="s">
        <v>13</v>
      </c>
      <c r="G1266" s="4" t="s">
        <v>45</v>
      </c>
      <c r="H1266" s="4" t="s">
        <v>43</v>
      </c>
      <c r="I1266" s="5">
        <v>45698</v>
      </c>
      <c r="J1266" s="4">
        <f t="shared" si="19"/>
        <v>8</v>
      </c>
    </row>
    <row r="1267" spans="1:10" x14ac:dyDescent="0.25">
      <c r="A1267" s="4">
        <f>_xlfn.XLOOKUP(E1267,'Data Validation'!$M$3:$M$10,'Data Validation'!$N$3:$N$10)</f>
        <v>2</v>
      </c>
      <c r="B1267" s="4">
        <v>13</v>
      </c>
      <c r="C1267" s="4" t="s">
        <v>11</v>
      </c>
      <c r="D1267" s="7">
        <v>30.86</v>
      </c>
      <c r="E1267" s="4" t="s">
        <v>19</v>
      </c>
      <c r="F1267" s="4" t="s">
        <v>17</v>
      </c>
      <c r="G1267" s="4" t="s">
        <v>45</v>
      </c>
      <c r="H1267" s="4" t="s">
        <v>43</v>
      </c>
      <c r="I1267" s="5">
        <v>45698</v>
      </c>
      <c r="J1267" s="4">
        <f t="shared" si="19"/>
        <v>8</v>
      </c>
    </row>
    <row r="1268" spans="1:10" x14ac:dyDescent="0.25">
      <c r="A1268" s="4">
        <f>_xlfn.XLOOKUP(E1268,'Data Validation'!$M$3:$M$10,'Data Validation'!$N$3:$N$10)</f>
        <v>2</v>
      </c>
      <c r="B1268" s="4">
        <v>15</v>
      </c>
      <c r="C1268" s="4" t="s">
        <v>11</v>
      </c>
      <c r="D1268" s="7">
        <v>30.86</v>
      </c>
      <c r="E1268" s="4" t="s">
        <v>19</v>
      </c>
      <c r="F1268" s="4" t="s">
        <v>17</v>
      </c>
      <c r="G1268" s="4" t="s">
        <v>45</v>
      </c>
      <c r="H1268" s="4" t="s">
        <v>43</v>
      </c>
      <c r="I1268" s="5">
        <v>45698</v>
      </c>
      <c r="J1268" s="4">
        <f t="shared" si="19"/>
        <v>8</v>
      </c>
    </row>
    <row r="1269" spans="1:10" x14ac:dyDescent="0.25">
      <c r="A1269" s="4">
        <f>_xlfn.XLOOKUP(E1269,'Data Validation'!$M$3:$M$10,'Data Validation'!$N$3:$N$10)</f>
        <v>2</v>
      </c>
      <c r="B1269" s="4">
        <v>18</v>
      </c>
      <c r="C1269" s="4" t="s">
        <v>11</v>
      </c>
      <c r="D1269" s="7">
        <v>30.86</v>
      </c>
      <c r="E1269" s="4" t="s">
        <v>19</v>
      </c>
      <c r="F1269" s="4" t="s">
        <v>20</v>
      </c>
      <c r="G1269" s="4" t="s">
        <v>45</v>
      </c>
      <c r="H1269" s="4" t="s">
        <v>43</v>
      </c>
      <c r="I1269" s="5">
        <v>45698</v>
      </c>
      <c r="J1269" s="4">
        <f t="shared" si="19"/>
        <v>8</v>
      </c>
    </row>
    <row r="1270" spans="1:10" x14ac:dyDescent="0.25">
      <c r="A1270" s="4">
        <f>_xlfn.XLOOKUP(E1270,'Data Validation'!$M$3:$M$10,'Data Validation'!$N$3:$N$10)</f>
        <v>2</v>
      </c>
      <c r="B1270" s="4">
        <v>11</v>
      </c>
      <c r="C1270" s="4" t="s">
        <v>11</v>
      </c>
      <c r="D1270" s="7">
        <v>30.86</v>
      </c>
      <c r="E1270" s="4" t="s">
        <v>19</v>
      </c>
      <c r="F1270" s="4" t="s">
        <v>13</v>
      </c>
      <c r="G1270" s="4" t="s">
        <v>46</v>
      </c>
      <c r="H1270" s="4" t="s">
        <v>43</v>
      </c>
      <c r="I1270" s="5">
        <v>45699</v>
      </c>
      <c r="J1270" s="4">
        <f t="shared" si="19"/>
        <v>8</v>
      </c>
    </row>
    <row r="1271" spans="1:10" x14ac:dyDescent="0.25">
      <c r="A1271" s="4">
        <f>_xlfn.XLOOKUP(E1271,'Data Validation'!$M$3:$M$10,'Data Validation'!$N$3:$N$10)</f>
        <v>2</v>
      </c>
      <c r="B1271" s="4">
        <v>16</v>
      </c>
      <c r="C1271" s="4" t="s">
        <v>11</v>
      </c>
      <c r="D1271" s="7">
        <v>30.86</v>
      </c>
      <c r="E1271" s="4" t="s">
        <v>19</v>
      </c>
      <c r="F1271" s="4" t="s">
        <v>17</v>
      </c>
      <c r="G1271" s="4" t="s">
        <v>46</v>
      </c>
      <c r="H1271" s="4" t="s">
        <v>43</v>
      </c>
      <c r="I1271" s="5">
        <v>45699</v>
      </c>
      <c r="J1271" s="4">
        <f t="shared" si="19"/>
        <v>8</v>
      </c>
    </row>
    <row r="1272" spans="1:10" x14ac:dyDescent="0.25">
      <c r="A1272" s="4">
        <f>_xlfn.XLOOKUP(E1272,'Data Validation'!$M$3:$M$10,'Data Validation'!$N$3:$N$10)</f>
        <v>2</v>
      </c>
      <c r="B1272" s="4">
        <v>17</v>
      </c>
      <c r="C1272" s="4" t="s">
        <v>11</v>
      </c>
      <c r="D1272" s="7">
        <v>30.86</v>
      </c>
      <c r="E1272" s="4" t="s">
        <v>19</v>
      </c>
      <c r="F1272" s="4" t="s">
        <v>20</v>
      </c>
      <c r="G1272" s="4" t="s">
        <v>46</v>
      </c>
      <c r="H1272" s="4" t="s">
        <v>43</v>
      </c>
      <c r="I1272" s="5">
        <v>45699</v>
      </c>
      <c r="J1272" s="4">
        <f t="shared" si="19"/>
        <v>8</v>
      </c>
    </row>
    <row r="1273" spans="1:10" x14ac:dyDescent="0.25">
      <c r="A1273" s="4">
        <f>_xlfn.XLOOKUP(E1273,'Data Validation'!$M$3:$M$10,'Data Validation'!$N$3:$N$10)</f>
        <v>2</v>
      </c>
      <c r="B1273" s="4">
        <v>17</v>
      </c>
      <c r="C1273" s="4" t="s">
        <v>11</v>
      </c>
      <c r="D1273" s="7">
        <v>30.86</v>
      </c>
      <c r="E1273" s="4" t="s">
        <v>19</v>
      </c>
      <c r="F1273" s="4" t="s">
        <v>20</v>
      </c>
      <c r="G1273" s="4" t="s">
        <v>46</v>
      </c>
      <c r="H1273" s="4" t="s">
        <v>43</v>
      </c>
      <c r="I1273" s="5">
        <v>45699</v>
      </c>
      <c r="J1273" s="4">
        <f t="shared" si="19"/>
        <v>8</v>
      </c>
    </row>
    <row r="1274" spans="1:10" x14ac:dyDescent="0.25">
      <c r="A1274" s="4">
        <f>_xlfn.XLOOKUP(E1274,'Data Validation'!$M$3:$M$10,'Data Validation'!$N$3:$N$10)</f>
        <v>2</v>
      </c>
      <c r="B1274" s="4">
        <v>17</v>
      </c>
      <c r="C1274" s="4" t="s">
        <v>11</v>
      </c>
      <c r="D1274" s="7">
        <v>30.86</v>
      </c>
      <c r="E1274" s="4" t="s">
        <v>19</v>
      </c>
      <c r="F1274" s="4" t="s">
        <v>20</v>
      </c>
      <c r="G1274" s="4" t="s">
        <v>46</v>
      </c>
      <c r="H1274" s="4" t="s">
        <v>43</v>
      </c>
      <c r="I1274" s="5">
        <v>45699</v>
      </c>
      <c r="J1274" s="4">
        <f t="shared" si="19"/>
        <v>8</v>
      </c>
    </row>
    <row r="1275" spans="1:10" x14ac:dyDescent="0.25">
      <c r="A1275" s="4">
        <f>_xlfn.XLOOKUP(E1275,'Data Validation'!$M$3:$M$10,'Data Validation'!$N$3:$N$10)</f>
        <v>2</v>
      </c>
      <c r="B1275" s="4">
        <v>9</v>
      </c>
      <c r="C1275" s="4" t="s">
        <v>11</v>
      </c>
      <c r="D1275" s="7">
        <v>30.86</v>
      </c>
      <c r="E1275" s="4" t="s">
        <v>19</v>
      </c>
      <c r="F1275" s="4" t="s">
        <v>13</v>
      </c>
      <c r="G1275" s="4" t="s">
        <v>47</v>
      </c>
      <c r="H1275" s="4" t="s">
        <v>43</v>
      </c>
      <c r="I1275" s="5">
        <v>45700</v>
      </c>
      <c r="J1275" s="4">
        <f t="shared" si="19"/>
        <v>8</v>
      </c>
    </row>
    <row r="1276" spans="1:10" x14ac:dyDescent="0.25">
      <c r="A1276" s="4">
        <f>_xlfn.XLOOKUP(E1276,'Data Validation'!$M$3:$M$10,'Data Validation'!$N$3:$N$10)</f>
        <v>2</v>
      </c>
      <c r="B1276" s="4">
        <v>7</v>
      </c>
      <c r="C1276" s="4" t="s">
        <v>11</v>
      </c>
      <c r="D1276" s="7">
        <v>30.86</v>
      </c>
      <c r="E1276" s="4" t="s">
        <v>19</v>
      </c>
      <c r="F1276" s="4" t="s">
        <v>13</v>
      </c>
      <c r="G1276" s="4" t="s">
        <v>48</v>
      </c>
      <c r="H1276" s="4" t="s">
        <v>43</v>
      </c>
      <c r="I1276" s="5">
        <v>45701</v>
      </c>
      <c r="J1276" s="4">
        <f t="shared" si="19"/>
        <v>8</v>
      </c>
    </row>
    <row r="1277" spans="1:10" x14ac:dyDescent="0.25">
      <c r="A1277" s="4">
        <f>_xlfn.XLOOKUP(E1277,'Data Validation'!$M$3:$M$10,'Data Validation'!$N$3:$N$10)</f>
        <v>2</v>
      </c>
      <c r="B1277" s="4">
        <v>10</v>
      </c>
      <c r="C1277" s="4" t="s">
        <v>11</v>
      </c>
      <c r="D1277" s="7">
        <v>30.86</v>
      </c>
      <c r="E1277" s="4" t="s">
        <v>19</v>
      </c>
      <c r="F1277" s="4" t="s">
        <v>13</v>
      </c>
      <c r="G1277" s="4" t="s">
        <v>48</v>
      </c>
      <c r="H1277" s="4" t="s">
        <v>43</v>
      </c>
      <c r="I1277" s="5">
        <v>45701</v>
      </c>
      <c r="J1277" s="4">
        <f t="shared" si="19"/>
        <v>8</v>
      </c>
    </row>
    <row r="1278" spans="1:10" x14ac:dyDescent="0.25">
      <c r="A1278" s="4">
        <f>_xlfn.XLOOKUP(E1278,'Data Validation'!$M$3:$M$10,'Data Validation'!$N$3:$N$10)</f>
        <v>2</v>
      </c>
      <c r="B1278" s="4">
        <v>10</v>
      </c>
      <c r="C1278" s="4" t="s">
        <v>11</v>
      </c>
      <c r="D1278" s="7">
        <v>30.86</v>
      </c>
      <c r="E1278" s="4" t="s">
        <v>19</v>
      </c>
      <c r="F1278" s="4" t="s">
        <v>13</v>
      </c>
      <c r="G1278" s="4" t="s">
        <v>48</v>
      </c>
      <c r="H1278" s="4" t="s">
        <v>43</v>
      </c>
      <c r="I1278" s="5">
        <v>45701</v>
      </c>
      <c r="J1278" s="4">
        <f t="shared" si="19"/>
        <v>8</v>
      </c>
    </row>
    <row r="1279" spans="1:10" x14ac:dyDescent="0.25">
      <c r="A1279" s="4">
        <f>_xlfn.XLOOKUP(E1279,'Data Validation'!$M$3:$M$10,'Data Validation'!$N$3:$N$10)</f>
        <v>2</v>
      </c>
      <c r="B1279" s="4">
        <v>17</v>
      </c>
      <c r="C1279" s="4" t="s">
        <v>11</v>
      </c>
      <c r="D1279" s="7">
        <v>30.86</v>
      </c>
      <c r="E1279" s="4" t="s">
        <v>19</v>
      </c>
      <c r="F1279" s="4" t="s">
        <v>20</v>
      </c>
      <c r="G1279" s="4" t="s">
        <v>48</v>
      </c>
      <c r="H1279" s="4" t="s">
        <v>43</v>
      </c>
      <c r="I1279" s="5">
        <v>45701</v>
      </c>
      <c r="J1279" s="4">
        <f t="shared" si="19"/>
        <v>8</v>
      </c>
    </row>
    <row r="1280" spans="1:10" x14ac:dyDescent="0.25">
      <c r="A1280" s="4">
        <f>_xlfn.XLOOKUP(E1280,'Data Validation'!$M$3:$M$10,'Data Validation'!$N$3:$N$10)</f>
        <v>2</v>
      </c>
      <c r="B1280" s="4">
        <v>17</v>
      </c>
      <c r="C1280" s="4" t="s">
        <v>11</v>
      </c>
      <c r="D1280" s="7">
        <v>30.86</v>
      </c>
      <c r="E1280" s="4" t="s">
        <v>19</v>
      </c>
      <c r="F1280" s="4" t="s">
        <v>20</v>
      </c>
      <c r="G1280" s="4" t="s">
        <v>48</v>
      </c>
      <c r="H1280" s="4" t="s">
        <v>43</v>
      </c>
      <c r="I1280" s="5">
        <v>45701</v>
      </c>
      <c r="J1280" s="4">
        <f t="shared" si="19"/>
        <v>8</v>
      </c>
    </row>
    <row r="1281" spans="1:10" x14ac:dyDescent="0.25">
      <c r="A1281" s="4">
        <f>_xlfn.XLOOKUP(E1281,'Data Validation'!$M$3:$M$10,'Data Validation'!$N$3:$N$10)</f>
        <v>2</v>
      </c>
      <c r="B1281" s="4">
        <v>14</v>
      </c>
      <c r="C1281" s="4" t="s">
        <v>11</v>
      </c>
      <c r="D1281" s="7">
        <v>30.86</v>
      </c>
      <c r="E1281" s="4" t="s">
        <v>19</v>
      </c>
      <c r="F1281" s="4" t="s">
        <v>17</v>
      </c>
      <c r="G1281" s="4" t="s">
        <v>49</v>
      </c>
      <c r="H1281" s="4" t="s">
        <v>43</v>
      </c>
      <c r="I1281" s="5">
        <v>45702</v>
      </c>
      <c r="J1281" s="4">
        <f t="shared" si="19"/>
        <v>8</v>
      </c>
    </row>
    <row r="1282" spans="1:10" x14ac:dyDescent="0.25">
      <c r="A1282" s="4">
        <f>_xlfn.XLOOKUP(E1282,'Data Validation'!$M$3:$M$10,'Data Validation'!$N$3:$N$10)</f>
        <v>2</v>
      </c>
      <c r="B1282" s="4">
        <v>17</v>
      </c>
      <c r="C1282" s="4" t="s">
        <v>11</v>
      </c>
      <c r="D1282" s="7">
        <v>30.86</v>
      </c>
      <c r="E1282" s="4" t="s">
        <v>19</v>
      </c>
      <c r="F1282" s="4" t="s">
        <v>20</v>
      </c>
      <c r="G1282" s="4" t="s">
        <v>49</v>
      </c>
      <c r="H1282" s="4" t="s">
        <v>43</v>
      </c>
      <c r="I1282" s="5">
        <v>45702</v>
      </c>
      <c r="J1282" s="4">
        <f t="shared" si="19"/>
        <v>8</v>
      </c>
    </row>
    <row r="1283" spans="1:10" x14ac:dyDescent="0.25">
      <c r="A1283" s="4">
        <f>_xlfn.XLOOKUP(E1283,'Data Validation'!$M$3:$M$10,'Data Validation'!$N$3:$N$10)</f>
        <v>2</v>
      </c>
      <c r="B1283" s="4">
        <v>13</v>
      </c>
      <c r="C1283" s="4" t="s">
        <v>11</v>
      </c>
      <c r="D1283" s="7">
        <v>30.86</v>
      </c>
      <c r="E1283" s="4" t="s">
        <v>19</v>
      </c>
      <c r="F1283" s="4" t="s">
        <v>17</v>
      </c>
      <c r="G1283" s="4" t="s">
        <v>50</v>
      </c>
      <c r="H1283" s="4" t="s">
        <v>43</v>
      </c>
      <c r="I1283" s="5">
        <v>45703</v>
      </c>
      <c r="J1283" s="4">
        <f t="shared" ref="J1283:J1346" si="20">IF(OR(E1283&lt;&gt;E1282,D1283&lt;&gt;D1282),J1282+1,J1282)</f>
        <v>8</v>
      </c>
    </row>
    <row r="1284" spans="1:10" x14ac:dyDescent="0.25">
      <c r="A1284" s="4">
        <f>_xlfn.XLOOKUP(E1284,'Data Validation'!$M$3:$M$10,'Data Validation'!$N$3:$N$10)</f>
        <v>2</v>
      </c>
      <c r="B1284" s="4">
        <v>13</v>
      </c>
      <c r="C1284" s="4" t="s">
        <v>11</v>
      </c>
      <c r="D1284" s="7">
        <v>30.86</v>
      </c>
      <c r="E1284" s="4" t="s">
        <v>19</v>
      </c>
      <c r="F1284" s="4" t="s">
        <v>17</v>
      </c>
      <c r="G1284" s="4" t="s">
        <v>50</v>
      </c>
      <c r="H1284" s="4" t="s">
        <v>43</v>
      </c>
      <c r="I1284" s="5">
        <v>45703</v>
      </c>
      <c r="J1284" s="4">
        <f t="shared" si="20"/>
        <v>8</v>
      </c>
    </row>
    <row r="1285" spans="1:10" x14ac:dyDescent="0.25">
      <c r="A1285" s="4">
        <f>_xlfn.XLOOKUP(E1285,'Data Validation'!$M$3:$M$10,'Data Validation'!$N$3:$N$10)</f>
        <v>2</v>
      </c>
      <c r="B1285" s="4">
        <v>10</v>
      </c>
      <c r="C1285" s="4" t="s">
        <v>11</v>
      </c>
      <c r="D1285" s="7">
        <v>30.86</v>
      </c>
      <c r="E1285" s="4" t="s">
        <v>19</v>
      </c>
      <c r="F1285" s="4" t="s">
        <v>13</v>
      </c>
      <c r="G1285" s="4" t="s">
        <v>51</v>
      </c>
      <c r="H1285" s="4" t="s">
        <v>43</v>
      </c>
      <c r="I1285" s="5">
        <v>45704</v>
      </c>
      <c r="J1285" s="4">
        <f t="shared" si="20"/>
        <v>8</v>
      </c>
    </row>
    <row r="1286" spans="1:10" x14ac:dyDescent="0.25">
      <c r="A1286" s="4">
        <f>_xlfn.XLOOKUP(E1286,'Data Validation'!$M$3:$M$10,'Data Validation'!$N$3:$N$10)</f>
        <v>2</v>
      </c>
      <c r="B1286" s="4">
        <v>17</v>
      </c>
      <c r="C1286" s="4" t="s">
        <v>11</v>
      </c>
      <c r="D1286" s="7">
        <v>30.86</v>
      </c>
      <c r="E1286" s="4" t="s">
        <v>19</v>
      </c>
      <c r="F1286" s="4" t="s">
        <v>20</v>
      </c>
      <c r="G1286" s="4" t="s">
        <v>51</v>
      </c>
      <c r="H1286" s="4" t="s">
        <v>43</v>
      </c>
      <c r="I1286" s="5">
        <v>45704</v>
      </c>
      <c r="J1286" s="4">
        <f t="shared" si="20"/>
        <v>8</v>
      </c>
    </row>
    <row r="1287" spans="1:10" x14ac:dyDescent="0.25">
      <c r="A1287" s="4">
        <f>_xlfn.XLOOKUP(E1287,'Data Validation'!$M$3:$M$10,'Data Validation'!$N$3:$N$10)</f>
        <v>2</v>
      </c>
      <c r="B1287" s="4">
        <v>17</v>
      </c>
      <c r="C1287" s="4" t="s">
        <v>11</v>
      </c>
      <c r="D1287" s="7">
        <v>30.86</v>
      </c>
      <c r="E1287" s="4" t="s">
        <v>19</v>
      </c>
      <c r="F1287" s="4" t="s">
        <v>20</v>
      </c>
      <c r="G1287" s="4" t="s">
        <v>51</v>
      </c>
      <c r="H1287" s="4" t="s">
        <v>43</v>
      </c>
      <c r="I1287" s="5">
        <v>45704</v>
      </c>
      <c r="J1287" s="4">
        <f t="shared" si="20"/>
        <v>8</v>
      </c>
    </row>
    <row r="1288" spans="1:10" x14ac:dyDescent="0.25">
      <c r="A1288" s="4">
        <f>_xlfn.XLOOKUP(E1288,'Data Validation'!$M$3:$M$10,'Data Validation'!$N$3:$N$10)</f>
        <v>2</v>
      </c>
      <c r="B1288" s="4">
        <v>9</v>
      </c>
      <c r="C1288" s="4" t="s">
        <v>11</v>
      </c>
      <c r="D1288" s="7">
        <v>30.86</v>
      </c>
      <c r="E1288" s="4" t="s">
        <v>19</v>
      </c>
      <c r="F1288" s="4" t="s">
        <v>13</v>
      </c>
      <c r="G1288" s="4" t="s">
        <v>45</v>
      </c>
      <c r="H1288" s="4" t="s">
        <v>43</v>
      </c>
      <c r="I1288" s="5">
        <v>45705</v>
      </c>
      <c r="J1288" s="4">
        <f t="shared" si="20"/>
        <v>8</v>
      </c>
    </row>
    <row r="1289" spans="1:10" x14ac:dyDescent="0.25">
      <c r="A1289" s="4">
        <f>_xlfn.XLOOKUP(E1289,'Data Validation'!$M$3:$M$10,'Data Validation'!$N$3:$N$10)</f>
        <v>2</v>
      </c>
      <c r="B1289" s="4">
        <v>10</v>
      </c>
      <c r="C1289" s="4" t="s">
        <v>11</v>
      </c>
      <c r="D1289" s="7">
        <v>30.86</v>
      </c>
      <c r="E1289" s="4" t="s">
        <v>19</v>
      </c>
      <c r="F1289" s="4" t="s">
        <v>13</v>
      </c>
      <c r="G1289" s="4" t="s">
        <v>45</v>
      </c>
      <c r="H1289" s="4" t="s">
        <v>43</v>
      </c>
      <c r="I1289" s="5">
        <v>45705</v>
      </c>
      <c r="J1289" s="4">
        <f t="shared" si="20"/>
        <v>8</v>
      </c>
    </row>
    <row r="1290" spans="1:10" x14ac:dyDescent="0.25">
      <c r="A1290" s="4">
        <f>_xlfn.XLOOKUP(E1290,'Data Validation'!$M$3:$M$10,'Data Validation'!$N$3:$N$10)</f>
        <v>2</v>
      </c>
      <c r="B1290" s="4">
        <v>11</v>
      </c>
      <c r="C1290" s="4" t="s">
        <v>11</v>
      </c>
      <c r="D1290" s="7">
        <v>30.86</v>
      </c>
      <c r="E1290" s="4" t="s">
        <v>19</v>
      </c>
      <c r="F1290" s="4" t="s">
        <v>13</v>
      </c>
      <c r="G1290" s="4" t="s">
        <v>45</v>
      </c>
      <c r="H1290" s="4" t="s">
        <v>43</v>
      </c>
      <c r="I1290" s="5">
        <v>45705</v>
      </c>
      <c r="J1290" s="4">
        <f t="shared" si="20"/>
        <v>8</v>
      </c>
    </row>
    <row r="1291" spans="1:10" x14ac:dyDescent="0.25">
      <c r="A1291" s="4">
        <f>_xlfn.XLOOKUP(E1291,'Data Validation'!$M$3:$M$10,'Data Validation'!$N$3:$N$10)</f>
        <v>2</v>
      </c>
      <c r="B1291" s="4">
        <v>15</v>
      </c>
      <c r="C1291" s="4" t="s">
        <v>11</v>
      </c>
      <c r="D1291" s="7">
        <v>30.86</v>
      </c>
      <c r="E1291" s="4" t="s">
        <v>19</v>
      </c>
      <c r="F1291" s="4" t="s">
        <v>17</v>
      </c>
      <c r="G1291" s="4" t="s">
        <v>45</v>
      </c>
      <c r="H1291" s="4" t="s">
        <v>43</v>
      </c>
      <c r="I1291" s="5">
        <v>45705</v>
      </c>
      <c r="J1291" s="4">
        <f t="shared" si="20"/>
        <v>8</v>
      </c>
    </row>
    <row r="1292" spans="1:10" x14ac:dyDescent="0.25">
      <c r="A1292" s="4">
        <f>_xlfn.XLOOKUP(E1292,'Data Validation'!$M$3:$M$10,'Data Validation'!$N$3:$N$10)</f>
        <v>2</v>
      </c>
      <c r="B1292" s="4">
        <v>17</v>
      </c>
      <c r="C1292" s="4" t="s">
        <v>11</v>
      </c>
      <c r="D1292" s="7">
        <v>30.86</v>
      </c>
      <c r="E1292" s="4" t="s">
        <v>19</v>
      </c>
      <c r="F1292" s="4" t="s">
        <v>20</v>
      </c>
      <c r="G1292" s="4" t="s">
        <v>45</v>
      </c>
      <c r="H1292" s="4" t="s">
        <v>43</v>
      </c>
      <c r="I1292" s="5">
        <v>45705</v>
      </c>
      <c r="J1292" s="4">
        <f t="shared" si="20"/>
        <v>8</v>
      </c>
    </row>
    <row r="1293" spans="1:10" x14ac:dyDescent="0.25">
      <c r="A1293" s="4">
        <f>_xlfn.XLOOKUP(E1293,'Data Validation'!$M$3:$M$10,'Data Validation'!$N$3:$N$10)</f>
        <v>2</v>
      </c>
      <c r="B1293" s="4">
        <v>11</v>
      </c>
      <c r="C1293" s="4" t="s">
        <v>11</v>
      </c>
      <c r="D1293" s="7">
        <v>30.86</v>
      </c>
      <c r="E1293" s="4" t="s">
        <v>19</v>
      </c>
      <c r="F1293" s="4" t="s">
        <v>13</v>
      </c>
      <c r="G1293" s="4" t="s">
        <v>46</v>
      </c>
      <c r="H1293" s="4" t="s">
        <v>43</v>
      </c>
      <c r="I1293" s="5">
        <v>45706</v>
      </c>
      <c r="J1293" s="4">
        <f t="shared" si="20"/>
        <v>8</v>
      </c>
    </row>
    <row r="1294" spans="1:10" x14ac:dyDescent="0.25">
      <c r="A1294" s="4">
        <f>_xlfn.XLOOKUP(E1294,'Data Validation'!$M$3:$M$10,'Data Validation'!$N$3:$N$10)</f>
        <v>2</v>
      </c>
      <c r="B1294" s="4">
        <v>12</v>
      </c>
      <c r="C1294" s="4" t="s">
        <v>11</v>
      </c>
      <c r="D1294" s="7">
        <v>30.86</v>
      </c>
      <c r="E1294" s="4" t="s">
        <v>19</v>
      </c>
      <c r="F1294" s="4" t="s">
        <v>17</v>
      </c>
      <c r="G1294" s="4" t="s">
        <v>46</v>
      </c>
      <c r="H1294" s="4" t="s">
        <v>43</v>
      </c>
      <c r="I1294" s="5">
        <v>45706</v>
      </c>
      <c r="J1294" s="4">
        <f t="shared" si="20"/>
        <v>8</v>
      </c>
    </row>
    <row r="1295" spans="1:10" x14ac:dyDescent="0.25">
      <c r="A1295" s="4">
        <f>_xlfn.XLOOKUP(E1295,'Data Validation'!$M$3:$M$10,'Data Validation'!$N$3:$N$10)</f>
        <v>2</v>
      </c>
      <c r="B1295" s="4">
        <v>13</v>
      </c>
      <c r="C1295" s="4" t="s">
        <v>11</v>
      </c>
      <c r="D1295" s="7">
        <v>30.86</v>
      </c>
      <c r="E1295" s="4" t="s">
        <v>19</v>
      </c>
      <c r="F1295" s="4" t="s">
        <v>17</v>
      </c>
      <c r="G1295" s="4" t="s">
        <v>46</v>
      </c>
      <c r="H1295" s="4" t="s">
        <v>43</v>
      </c>
      <c r="I1295" s="5">
        <v>45706</v>
      </c>
      <c r="J1295" s="4">
        <f t="shared" si="20"/>
        <v>8</v>
      </c>
    </row>
    <row r="1296" spans="1:10" x14ac:dyDescent="0.25">
      <c r="A1296" s="4">
        <f>_xlfn.XLOOKUP(E1296,'Data Validation'!$M$3:$M$10,'Data Validation'!$N$3:$N$10)</f>
        <v>2</v>
      </c>
      <c r="B1296" s="4">
        <v>17</v>
      </c>
      <c r="C1296" s="4" t="s">
        <v>11</v>
      </c>
      <c r="D1296" s="7">
        <v>30.86</v>
      </c>
      <c r="E1296" s="4" t="s">
        <v>19</v>
      </c>
      <c r="F1296" s="4" t="s">
        <v>20</v>
      </c>
      <c r="G1296" s="4" t="s">
        <v>46</v>
      </c>
      <c r="H1296" s="4" t="s">
        <v>43</v>
      </c>
      <c r="I1296" s="5">
        <v>45706</v>
      </c>
      <c r="J1296" s="4">
        <f t="shared" si="20"/>
        <v>8</v>
      </c>
    </row>
    <row r="1297" spans="1:10" x14ac:dyDescent="0.25">
      <c r="A1297" s="4">
        <f>_xlfn.XLOOKUP(E1297,'Data Validation'!$M$3:$M$10,'Data Validation'!$N$3:$N$10)</f>
        <v>2</v>
      </c>
      <c r="B1297" s="4">
        <v>21</v>
      </c>
      <c r="C1297" s="4" t="s">
        <v>11</v>
      </c>
      <c r="D1297" s="7">
        <v>30.86</v>
      </c>
      <c r="E1297" s="4" t="s">
        <v>19</v>
      </c>
      <c r="F1297" s="4" t="s">
        <v>20</v>
      </c>
      <c r="G1297" s="4" t="s">
        <v>46</v>
      </c>
      <c r="H1297" s="4" t="s">
        <v>43</v>
      </c>
      <c r="I1297" s="5">
        <v>45706</v>
      </c>
      <c r="J1297" s="4">
        <f t="shared" si="20"/>
        <v>8</v>
      </c>
    </row>
    <row r="1298" spans="1:10" x14ac:dyDescent="0.25">
      <c r="A1298" s="4">
        <f>_xlfn.XLOOKUP(E1298,'Data Validation'!$M$3:$M$10,'Data Validation'!$N$3:$N$10)</f>
        <v>2</v>
      </c>
      <c r="B1298" s="4">
        <v>10</v>
      </c>
      <c r="C1298" s="4" t="s">
        <v>11</v>
      </c>
      <c r="D1298" s="7">
        <v>30.86</v>
      </c>
      <c r="E1298" s="4" t="s">
        <v>19</v>
      </c>
      <c r="F1298" s="4" t="s">
        <v>13</v>
      </c>
      <c r="G1298" s="4" t="s">
        <v>47</v>
      </c>
      <c r="H1298" s="4" t="s">
        <v>43</v>
      </c>
      <c r="I1298" s="5">
        <v>45707</v>
      </c>
      <c r="J1298" s="4">
        <f t="shared" si="20"/>
        <v>8</v>
      </c>
    </row>
    <row r="1299" spans="1:10" x14ac:dyDescent="0.25">
      <c r="A1299" s="4">
        <f>_xlfn.XLOOKUP(E1299,'Data Validation'!$M$3:$M$10,'Data Validation'!$N$3:$N$10)</f>
        <v>2</v>
      </c>
      <c r="B1299" s="4">
        <v>17</v>
      </c>
      <c r="C1299" s="4" t="s">
        <v>11</v>
      </c>
      <c r="D1299" s="7">
        <v>30.86</v>
      </c>
      <c r="E1299" s="4" t="s">
        <v>19</v>
      </c>
      <c r="F1299" s="4" t="s">
        <v>20</v>
      </c>
      <c r="G1299" s="4" t="s">
        <v>47</v>
      </c>
      <c r="H1299" s="4" t="s">
        <v>43</v>
      </c>
      <c r="I1299" s="5">
        <v>45707</v>
      </c>
      <c r="J1299" s="4">
        <f t="shared" si="20"/>
        <v>8</v>
      </c>
    </row>
    <row r="1300" spans="1:10" x14ac:dyDescent="0.25">
      <c r="A1300" s="4">
        <f>_xlfn.XLOOKUP(E1300,'Data Validation'!$M$3:$M$10,'Data Validation'!$N$3:$N$10)</f>
        <v>2</v>
      </c>
      <c r="B1300" s="4">
        <v>13</v>
      </c>
      <c r="C1300" s="4" t="s">
        <v>11</v>
      </c>
      <c r="D1300" s="7">
        <v>30.86</v>
      </c>
      <c r="E1300" s="4" t="s">
        <v>19</v>
      </c>
      <c r="F1300" s="4" t="s">
        <v>17</v>
      </c>
      <c r="G1300" s="4" t="s">
        <v>48</v>
      </c>
      <c r="H1300" s="4" t="s">
        <v>43</v>
      </c>
      <c r="I1300" s="5">
        <v>45708</v>
      </c>
      <c r="J1300" s="4">
        <f t="shared" si="20"/>
        <v>8</v>
      </c>
    </row>
    <row r="1301" spans="1:10" x14ac:dyDescent="0.25">
      <c r="A1301" s="4">
        <f>_xlfn.XLOOKUP(E1301,'Data Validation'!$M$3:$M$10,'Data Validation'!$N$3:$N$10)</f>
        <v>2</v>
      </c>
      <c r="B1301" s="4">
        <v>11</v>
      </c>
      <c r="C1301" s="4" t="s">
        <v>11</v>
      </c>
      <c r="D1301" s="7">
        <v>30.86</v>
      </c>
      <c r="E1301" s="4" t="s">
        <v>19</v>
      </c>
      <c r="F1301" s="4" t="s">
        <v>13</v>
      </c>
      <c r="G1301" s="4" t="s">
        <v>49</v>
      </c>
      <c r="H1301" s="4" t="s">
        <v>43</v>
      </c>
      <c r="I1301" s="5">
        <v>45709</v>
      </c>
      <c r="J1301" s="4">
        <f t="shared" si="20"/>
        <v>8</v>
      </c>
    </row>
    <row r="1302" spans="1:10" x14ac:dyDescent="0.25">
      <c r="A1302" s="4">
        <f>_xlfn.XLOOKUP(E1302,'Data Validation'!$M$3:$M$10,'Data Validation'!$N$3:$N$10)</f>
        <v>2</v>
      </c>
      <c r="B1302" s="4">
        <v>15</v>
      </c>
      <c r="C1302" s="4" t="s">
        <v>11</v>
      </c>
      <c r="D1302" s="7">
        <v>30.86</v>
      </c>
      <c r="E1302" s="4" t="s">
        <v>19</v>
      </c>
      <c r="F1302" s="4" t="s">
        <v>17</v>
      </c>
      <c r="G1302" s="4" t="s">
        <v>50</v>
      </c>
      <c r="H1302" s="4" t="s">
        <v>43</v>
      </c>
      <c r="I1302" s="5">
        <v>45710</v>
      </c>
      <c r="J1302" s="4">
        <f t="shared" si="20"/>
        <v>8</v>
      </c>
    </row>
    <row r="1303" spans="1:10" x14ac:dyDescent="0.25">
      <c r="A1303" s="4">
        <f>_xlfn.XLOOKUP(E1303,'Data Validation'!$M$3:$M$10,'Data Validation'!$N$3:$N$10)</f>
        <v>2</v>
      </c>
      <c r="B1303" s="4">
        <v>10</v>
      </c>
      <c r="C1303" s="4" t="s">
        <v>11</v>
      </c>
      <c r="D1303" s="7">
        <v>30.86</v>
      </c>
      <c r="E1303" s="4" t="s">
        <v>19</v>
      </c>
      <c r="F1303" s="4" t="s">
        <v>13</v>
      </c>
      <c r="G1303" s="4" t="s">
        <v>51</v>
      </c>
      <c r="H1303" s="4" t="s">
        <v>43</v>
      </c>
      <c r="I1303" s="5">
        <v>45711</v>
      </c>
      <c r="J1303" s="4">
        <f t="shared" si="20"/>
        <v>8</v>
      </c>
    </row>
    <row r="1304" spans="1:10" x14ac:dyDescent="0.25">
      <c r="A1304" s="4">
        <f>_xlfn.XLOOKUP(E1304,'Data Validation'!$M$3:$M$10,'Data Validation'!$N$3:$N$10)</f>
        <v>2</v>
      </c>
      <c r="B1304" s="4">
        <v>12</v>
      </c>
      <c r="C1304" s="4" t="s">
        <v>11</v>
      </c>
      <c r="D1304" s="7">
        <v>30.86</v>
      </c>
      <c r="E1304" s="4" t="s">
        <v>19</v>
      </c>
      <c r="F1304" s="4" t="s">
        <v>17</v>
      </c>
      <c r="G1304" s="4" t="s">
        <v>51</v>
      </c>
      <c r="H1304" s="4" t="s">
        <v>43</v>
      </c>
      <c r="I1304" s="5">
        <v>45711</v>
      </c>
      <c r="J1304" s="4">
        <f t="shared" si="20"/>
        <v>8</v>
      </c>
    </row>
    <row r="1305" spans="1:10" x14ac:dyDescent="0.25">
      <c r="A1305" s="4">
        <f>_xlfn.XLOOKUP(E1305,'Data Validation'!$M$3:$M$10,'Data Validation'!$N$3:$N$10)</f>
        <v>2</v>
      </c>
      <c r="B1305" s="4">
        <v>12</v>
      </c>
      <c r="C1305" s="4" t="s">
        <v>11</v>
      </c>
      <c r="D1305" s="7">
        <v>30.86</v>
      </c>
      <c r="E1305" s="4" t="s">
        <v>19</v>
      </c>
      <c r="F1305" s="4" t="s">
        <v>17</v>
      </c>
      <c r="G1305" s="4" t="s">
        <v>51</v>
      </c>
      <c r="H1305" s="4" t="s">
        <v>43</v>
      </c>
      <c r="I1305" s="5">
        <v>45711</v>
      </c>
      <c r="J1305" s="4">
        <f t="shared" si="20"/>
        <v>8</v>
      </c>
    </row>
    <row r="1306" spans="1:10" x14ac:dyDescent="0.25">
      <c r="A1306" s="4">
        <f>_xlfn.XLOOKUP(E1306,'Data Validation'!$M$3:$M$10,'Data Validation'!$N$3:$N$10)</f>
        <v>2</v>
      </c>
      <c r="B1306" s="4">
        <v>9</v>
      </c>
      <c r="C1306" s="4" t="s">
        <v>11</v>
      </c>
      <c r="D1306" s="7">
        <v>30.86</v>
      </c>
      <c r="E1306" s="4" t="s">
        <v>19</v>
      </c>
      <c r="F1306" s="4" t="s">
        <v>13</v>
      </c>
      <c r="G1306" s="4" t="s">
        <v>45</v>
      </c>
      <c r="H1306" s="4" t="s">
        <v>43</v>
      </c>
      <c r="I1306" s="5">
        <v>45712</v>
      </c>
      <c r="J1306" s="4">
        <f t="shared" si="20"/>
        <v>8</v>
      </c>
    </row>
    <row r="1307" spans="1:10" x14ac:dyDescent="0.25">
      <c r="A1307" s="4">
        <f>_xlfn.XLOOKUP(E1307,'Data Validation'!$M$3:$M$10,'Data Validation'!$N$3:$N$10)</f>
        <v>2</v>
      </c>
      <c r="B1307" s="4">
        <v>10</v>
      </c>
      <c r="C1307" s="4" t="s">
        <v>11</v>
      </c>
      <c r="D1307" s="7">
        <v>30.86</v>
      </c>
      <c r="E1307" s="4" t="s">
        <v>19</v>
      </c>
      <c r="F1307" s="4" t="s">
        <v>13</v>
      </c>
      <c r="G1307" s="4" t="s">
        <v>45</v>
      </c>
      <c r="H1307" s="4" t="s">
        <v>43</v>
      </c>
      <c r="I1307" s="5">
        <v>45712</v>
      </c>
      <c r="J1307" s="4">
        <f t="shared" si="20"/>
        <v>8</v>
      </c>
    </row>
    <row r="1308" spans="1:10" x14ac:dyDescent="0.25">
      <c r="A1308" s="4">
        <f>_xlfn.XLOOKUP(E1308,'Data Validation'!$M$3:$M$10,'Data Validation'!$N$3:$N$10)</f>
        <v>2</v>
      </c>
      <c r="B1308" s="4">
        <v>10</v>
      </c>
      <c r="C1308" s="4" t="s">
        <v>11</v>
      </c>
      <c r="D1308" s="7">
        <v>30.86</v>
      </c>
      <c r="E1308" s="4" t="s">
        <v>19</v>
      </c>
      <c r="F1308" s="4" t="s">
        <v>13</v>
      </c>
      <c r="G1308" s="4" t="s">
        <v>45</v>
      </c>
      <c r="H1308" s="4" t="s">
        <v>43</v>
      </c>
      <c r="I1308" s="5">
        <v>45712</v>
      </c>
      <c r="J1308" s="4">
        <f t="shared" si="20"/>
        <v>8</v>
      </c>
    </row>
    <row r="1309" spans="1:10" x14ac:dyDescent="0.25">
      <c r="A1309" s="4">
        <f>_xlfn.XLOOKUP(E1309,'Data Validation'!$M$3:$M$10,'Data Validation'!$N$3:$N$10)</f>
        <v>2</v>
      </c>
      <c r="B1309" s="4">
        <v>15</v>
      </c>
      <c r="C1309" s="4" t="s">
        <v>11</v>
      </c>
      <c r="D1309" s="7">
        <v>30.86</v>
      </c>
      <c r="E1309" s="4" t="s">
        <v>19</v>
      </c>
      <c r="F1309" s="4" t="s">
        <v>17</v>
      </c>
      <c r="G1309" s="4" t="s">
        <v>45</v>
      </c>
      <c r="H1309" s="4" t="s">
        <v>43</v>
      </c>
      <c r="I1309" s="5">
        <v>45712</v>
      </c>
      <c r="J1309" s="4">
        <f t="shared" si="20"/>
        <v>8</v>
      </c>
    </row>
    <row r="1310" spans="1:10" x14ac:dyDescent="0.25">
      <c r="A1310" s="4">
        <f>_xlfn.XLOOKUP(E1310,'Data Validation'!$M$3:$M$10,'Data Validation'!$N$3:$N$10)</f>
        <v>2</v>
      </c>
      <c r="B1310" s="4">
        <v>17</v>
      </c>
      <c r="C1310" s="4" t="s">
        <v>11</v>
      </c>
      <c r="D1310" s="7">
        <v>30.86</v>
      </c>
      <c r="E1310" s="4" t="s">
        <v>19</v>
      </c>
      <c r="F1310" s="4" t="s">
        <v>20</v>
      </c>
      <c r="G1310" s="4" t="s">
        <v>45</v>
      </c>
      <c r="H1310" s="4" t="s">
        <v>43</v>
      </c>
      <c r="I1310" s="5">
        <v>45712</v>
      </c>
      <c r="J1310" s="4">
        <f t="shared" si="20"/>
        <v>8</v>
      </c>
    </row>
    <row r="1311" spans="1:10" x14ac:dyDescent="0.25">
      <c r="A1311" s="4">
        <f>_xlfn.XLOOKUP(E1311,'Data Validation'!$M$3:$M$10,'Data Validation'!$N$3:$N$10)</f>
        <v>2</v>
      </c>
      <c r="B1311" s="4">
        <v>18</v>
      </c>
      <c r="C1311" s="4" t="s">
        <v>11</v>
      </c>
      <c r="D1311" s="7">
        <v>30.86</v>
      </c>
      <c r="E1311" s="4" t="s">
        <v>19</v>
      </c>
      <c r="F1311" s="4" t="s">
        <v>20</v>
      </c>
      <c r="G1311" s="4" t="s">
        <v>45</v>
      </c>
      <c r="H1311" s="4" t="s">
        <v>43</v>
      </c>
      <c r="I1311" s="5">
        <v>45712</v>
      </c>
      <c r="J1311" s="4">
        <f t="shared" si="20"/>
        <v>8</v>
      </c>
    </row>
    <row r="1312" spans="1:10" x14ac:dyDescent="0.25">
      <c r="A1312" s="4">
        <f>_xlfn.XLOOKUP(E1312,'Data Validation'!$M$3:$M$10,'Data Validation'!$N$3:$N$10)</f>
        <v>2</v>
      </c>
      <c r="B1312" s="4">
        <v>19</v>
      </c>
      <c r="C1312" s="4" t="s">
        <v>11</v>
      </c>
      <c r="D1312" s="7">
        <v>30.86</v>
      </c>
      <c r="E1312" s="4" t="s">
        <v>19</v>
      </c>
      <c r="F1312" s="4" t="s">
        <v>20</v>
      </c>
      <c r="G1312" s="4" t="s">
        <v>45</v>
      </c>
      <c r="H1312" s="4" t="s">
        <v>43</v>
      </c>
      <c r="I1312" s="5">
        <v>45712</v>
      </c>
      <c r="J1312" s="4">
        <f t="shared" si="20"/>
        <v>8</v>
      </c>
    </row>
    <row r="1313" spans="1:10" x14ac:dyDescent="0.25">
      <c r="A1313" s="4">
        <f>_xlfn.XLOOKUP(E1313,'Data Validation'!$M$3:$M$10,'Data Validation'!$N$3:$N$10)</f>
        <v>2</v>
      </c>
      <c r="B1313" s="4">
        <v>8</v>
      </c>
      <c r="C1313" s="4" t="s">
        <v>11</v>
      </c>
      <c r="D1313" s="7">
        <v>30.86</v>
      </c>
      <c r="E1313" s="4" t="s">
        <v>19</v>
      </c>
      <c r="F1313" s="4" t="s">
        <v>13</v>
      </c>
      <c r="G1313" s="4" t="s">
        <v>46</v>
      </c>
      <c r="H1313" s="4" t="s">
        <v>43</v>
      </c>
      <c r="I1313" s="5">
        <v>45713</v>
      </c>
      <c r="J1313" s="4">
        <f t="shared" si="20"/>
        <v>8</v>
      </c>
    </row>
    <row r="1314" spans="1:10" x14ac:dyDescent="0.25">
      <c r="A1314" s="4">
        <f>_xlfn.XLOOKUP(E1314,'Data Validation'!$M$3:$M$10,'Data Validation'!$N$3:$N$10)</f>
        <v>2</v>
      </c>
      <c r="B1314" s="4">
        <v>8</v>
      </c>
      <c r="C1314" s="4" t="s">
        <v>11</v>
      </c>
      <c r="D1314" s="7">
        <v>30.86</v>
      </c>
      <c r="E1314" s="4" t="s">
        <v>19</v>
      </c>
      <c r="F1314" s="4" t="s">
        <v>13</v>
      </c>
      <c r="G1314" s="4" t="s">
        <v>46</v>
      </c>
      <c r="H1314" s="4" t="s">
        <v>43</v>
      </c>
      <c r="I1314" s="5">
        <v>45713</v>
      </c>
      <c r="J1314" s="4">
        <f t="shared" si="20"/>
        <v>8</v>
      </c>
    </row>
    <row r="1315" spans="1:10" x14ac:dyDescent="0.25">
      <c r="A1315" s="4">
        <f>_xlfn.XLOOKUP(E1315,'Data Validation'!$M$3:$M$10,'Data Validation'!$N$3:$N$10)</f>
        <v>2</v>
      </c>
      <c r="B1315" s="4">
        <v>10</v>
      </c>
      <c r="C1315" s="4" t="s">
        <v>11</v>
      </c>
      <c r="D1315" s="7">
        <v>30.86</v>
      </c>
      <c r="E1315" s="4" t="s">
        <v>19</v>
      </c>
      <c r="F1315" s="4" t="s">
        <v>13</v>
      </c>
      <c r="G1315" s="4" t="s">
        <v>47</v>
      </c>
      <c r="H1315" s="4" t="s">
        <v>43</v>
      </c>
      <c r="I1315" s="5">
        <v>45714</v>
      </c>
      <c r="J1315" s="4">
        <f t="shared" si="20"/>
        <v>8</v>
      </c>
    </row>
    <row r="1316" spans="1:10" x14ac:dyDescent="0.25">
      <c r="A1316" s="4">
        <f>_xlfn.XLOOKUP(E1316,'Data Validation'!$M$3:$M$10,'Data Validation'!$N$3:$N$10)</f>
        <v>2</v>
      </c>
      <c r="B1316" s="4">
        <v>10</v>
      </c>
      <c r="C1316" s="4" t="s">
        <v>11</v>
      </c>
      <c r="D1316" s="7">
        <v>30.86</v>
      </c>
      <c r="E1316" s="4" t="s">
        <v>19</v>
      </c>
      <c r="F1316" s="4" t="s">
        <v>13</v>
      </c>
      <c r="G1316" s="4" t="s">
        <v>47</v>
      </c>
      <c r="H1316" s="4" t="s">
        <v>43</v>
      </c>
      <c r="I1316" s="5">
        <v>45714</v>
      </c>
      <c r="J1316" s="4">
        <f t="shared" si="20"/>
        <v>8</v>
      </c>
    </row>
    <row r="1317" spans="1:10" x14ac:dyDescent="0.25">
      <c r="A1317" s="4">
        <f>_xlfn.XLOOKUP(E1317,'Data Validation'!$M$3:$M$10,'Data Validation'!$N$3:$N$10)</f>
        <v>2</v>
      </c>
      <c r="B1317" s="4">
        <v>17</v>
      </c>
      <c r="C1317" s="4" t="s">
        <v>11</v>
      </c>
      <c r="D1317" s="7">
        <v>30.86</v>
      </c>
      <c r="E1317" s="4" t="s">
        <v>19</v>
      </c>
      <c r="F1317" s="4" t="s">
        <v>20</v>
      </c>
      <c r="G1317" s="4" t="s">
        <v>47</v>
      </c>
      <c r="H1317" s="4" t="s">
        <v>43</v>
      </c>
      <c r="I1317" s="5">
        <v>45714</v>
      </c>
      <c r="J1317" s="4">
        <f t="shared" si="20"/>
        <v>8</v>
      </c>
    </row>
    <row r="1318" spans="1:10" x14ac:dyDescent="0.25">
      <c r="A1318" s="4">
        <f>_xlfn.XLOOKUP(E1318,'Data Validation'!$M$3:$M$10,'Data Validation'!$N$3:$N$10)</f>
        <v>2</v>
      </c>
      <c r="B1318" s="4">
        <v>13</v>
      </c>
      <c r="C1318" s="4" t="s">
        <v>11</v>
      </c>
      <c r="D1318" s="7">
        <v>30.86</v>
      </c>
      <c r="E1318" s="4" t="s">
        <v>19</v>
      </c>
      <c r="F1318" s="4" t="s">
        <v>17</v>
      </c>
      <c r="G1318" s="4" t="s">
        <v>48</v>
      </c>
      <c r="H1318" s="4" t="s">
        <v>43</v>
      </c>
      <c r="I1318" s="5">
        <v>45715</v>
      </c>
      <c r="J1318" s="4">
        <f t="shared" si="20"/>
        <v>8</v>
      </c>
    </row>
    <row r="1319" spans="1:10" x14ac:dyDescent="0.25">
      <c r="A1319" s="4">
        <f>_xlfn.XLOOKUP(E1319,'Data Validation'!$M$3:$M$10,'Data Validation'!$N$3:$N$10)</f>
        <v>2</v>
      </c>
      <c r="B1319" s="4">
        <v>6</v>
      </c>
      <c r="C1319" s="4" t="s">
        <v>11</v>
      </c>
      <c r="D1319" s="7">
        <v>30.86</v>
      </c>
      <c r="E1319" s="4" t="s">
        <v>19</v>
      </c>
      <c r="F1319" s="4" t="s">
        <v>13</v>
      </c>
      <c r="G1319" s="4" t="s">
        <v>49</v>
      </c>
      <c r="H1319" s="4" t="s">
        <v>43</v>
      </c>
      <c r="I1319" s="5">
        <v>45716</v>
      </c>
      <c r="J1319" s="4">
        <f t="shared" si="20"/>
        <v>8</v>
      </c>
    </row>
    <row r="1320" spans="1:10" x14ac:dyDescent="0.25">
      <c r="A1320" s="4">
        <f>_xlfn.XLOOKUP(E1320,'Data Validation'!$M$3:$M$10,'Data Validation'!$N$3:$N$10)</f>
        <v>2</v>
      </c>
      <c r="B1320" s="4">
        <v>6</v>
      </c>
      <c r="C1320" s="4" t="s">
        <v>11</v>
      </c>
      <c r="D1320" s="7">
        <v>30.86</v>
      </c>
      <c r="E1320" s="4" t="s">
        <v>19</v>
      </c>
      <c r="F1320" s="4" t="s">
        <v>13</v>
      </c>
      <c r="G1320" s="4" t="s">
        <v>49</v>
      </c>
      <c r="H1320" s="4" t="s">
        <v>43</v>
      </c>
      <c r="I1320" s="5">
        <v>45716</v>
      </c>
      <c r="J1320" s="4">
        <f t="shared" si="20"/>
        <v>8</v>
      </c>
    </row>
    <row r="1321" spans="1:10" x14ac:dyDescent="0.25">
      <c r="A1321" s="4">
        <f>_xlfn.XLOOKUP(E1321,'Data Validation'!$M$3:$M$10,'Data Validation'!$N$3:$N$10)</f>
        <v>2</v>
      </c>
      <c r="B1321" s="4">
        <v>9</v>
      </c>
      <c r="C1321" s="4" t="s">
        <v>11</v>
      </c>
      <c r="D1321" s="7">
        <v>30.86</v>
      </c>
      <c r="E1321" s="4" t="s">
        <v>19</v>
      </c>
      <c r="F1321" s="4" t="s">
        <v>13</v>
      </c>
      <c r="G1321" s="4" t="s">
        <v>49</v>
      </c>
      <c r="H1321" s="4" t="s">
        <v>43</v>
      </c>
      <c r="I1321" s="5">
        <v>45716</v>
      </c>
      <c r="J1321" s="4">
        <f t="shared" si="20"/>
        <v>8</v>
      </c>
    </row>
    <row r="1322" spans="1:10" x14ac:dyDescent="0.25">
      <c r="A1322" s="4">
        <f>_xlfn.XLOOKUP(E1322,'Data Validation'!$M$3:$M$10,'Data Validation'!$N$3:$N$10)</f>
        <v>2</v>
      </c>
      <c r="B1322" s="4">
        <v>17</v>
      </c>
      <c r="C1322" s="4" t="s">
        <v>11</v>
      </c>
      <c r="D1322" s="7">
        <v>30.86</v>
      </c>
      <c r="E1322" s="4" t="s">
        <v>19</v>
      </c>
      <c r="F1322" s="4" t="s">
        <v>20</v>
      </c>
      <c r="G1322" s="4" t="s">
        <v>49</v>
      </c>
      <c r="H1322" s="4" t="s">
        <v>43</v>
      </c>
      <c r="I1322" s="5">
        <v>45716</v>
      </c>
      <c r="J1322" s="4">
        <f t="shared" si="20"/>
        <v>8</v>
      </c>
    </row>
    <row r="1323" spans="1:10" x14ac:dyDescent="0.25">
      <c r="A1323" s="4">
        <f>_xlfn.XLOOKUP(E1323,'Data Validation'!$M$3:$M$10,'Data Validation'!$N$3:$N$10)</f>
        <v>2</v>
      </c>
      <c r="B1323" s="4">
        <v>15</v>
      </c>
      <c r="C1323" s="4" t="s">
        <v>11</v>
      </c>
      <c r="D1323" s="7">
        <v>30.86</v>
      </c>
      <c r="E1323" s="4" t="s">
        <v>19</v>
      </c>
      <c r="F1323" s="4" t="s">
        <v>17</v>
      </c>
      <c r="G1323" s="4" t="s">
        <v>50</v>
      </c>
      <c r="H1323" s="4" t="s">
        <v>44</v>
      </c>
      <c r="I1323" s="5">
        <v>45717</v>
      </c>
      <c r="J1323" s="4">
        <f t="shared" si="20"/>
        <v>8</v>
      </c>
    </row>
    <row r="1324" spans="1:10" x14ac:dyDescent="0.25">
      <c r="A1324" s="4">
        <f>_xlfn.XLOOKUP(E1324,'Data Validation'!$M$3:$M$10,'Data Validation'!$N$3:$N$10)</f>
        <v>2</v>
      </c>
      <c r="B1324" s="4">
        <v>13</v>
      </c>
      <c r="C1324" s="4" t="s">
        <v>11</v>
      </c>
      <c r="D1324" s="7">
        <v>30.86</v>
      </c>
      <c r="E1324" s="4" t="s">
        <v>19</v>
      </c>
      <c r="F1324" s="4" t="s">
        <v>17</v>
      </c>
      <c r="G1324" s="4" t="s">
        <v>51</v>
      </c>
      <c r="H1324" s="4" t="s">
        <v>44</v>
      </c>
      <c r="I1324" s="5">
        <v>45718</v>
      </c>
      <c r="J1324" s="4">
        <f t="shared" si="20"/>
        <v>8</v>
      </c>
    </row>
    <row r="1325" spans="1:10" x14ac:dyDescent="0.25">
      <c r="A1325" s="4">
        <f>_xlfn.XLOOKUP(E1325,'Data Validation'!$M$3:$M$10,'Data Validation'!$N$3:$N$10)</f>
        <v>2</v>
      </c>
      <c r="B1325" s="4">
        <v>15</v>
      </c>
      <c r="C1325" s="4" t="s">
        <v>11</v>
      </c>
      <c r="D1325" s="7">
        <v>30.86</v>
      </c>
      <c r="E1325" s="4" t="s">
        <v>19</v>
      </c>
      <c r="F1325" s="4" t="s">
        <v>17</v>
      </c>
      <c r="G1325" s="4" t="s">
        <v>51</v>
      </c>
      <c r="H1325" s="4" t="s">
        <v>44</v>
      </c>
      <c r="I1325" s="5">
        <v>45718</v>
      </c>
      <c r="J1325" s="4">
        <f t="shared" si="20"/>
        <v>8</v>
      </c>
    </row>
    <row r="1326" spans="1:10" x14ac:dyDescent="0.25">
      <c r="A1326" s="4">
        <f>_xlfn.XLOOKUP(E1326,'Data Validation'!$M$3:$M$10,'Data Validation'!$N$3:$N$10)</f>
        <v>2</v>
      </c>
      <c r="B1326" s="4">
        <v>17</v>
      </c>
      <c r="C1326" s="4" t="s">
        <v>11</v>
      </c>
      <c r="D1326" s="7">
        <v>30.86</v>
      </c>
      <c r="E1326" s="4" t="s">
        <v>19</v>
      </c>
      <c r="F1326" s="4" t="s">
        <v>20</v>
      </c>
      <c r="G1326" s="4" t="s">
        <v>45</v>
      </c>
      <c r="H1326" s="4" t="s">
        <v>44</v>
      </c>
      <c r="I1326" s="5">
        <v>45719</v>
      </c>
      <c r="J1326" s="4">
        <f t="shared" si="20"/>
        <v>8</v>
      </c>
    </row>
    <row r="1327" spans="1:10" x14ac:dyDescent="0.25">
      <c r="A1327" s="4">
        <f>_xlfn.XLOOKUP(E1327,'Data Validation'!$M$3:$M$10,'Data Validation'!$N$3:$N$10)</f>
        <v>2</v>
      </c>
      <c r="B1327" s="4">
        <v>18</v>
      </c>
      <c r="C1327" s="4" t="s">
        <v>11</v>
      </c>
      <c r="D1327" s="7">
        <v>30.86</v>
      </c>
      <c r="E1327" s="4" t="s">
        <v>19</v>
      </c>
      <c r="F1327" s="4" t="s">
        <v>20</v>
      </c>
      <c r="G1327" s="4" t="s">
        <v>45</v>
      </c>
      <c r="H1327" s="4" t="s">
        <v>44</v>
      </c>
      <c r="I1327" s="5">
        <v>45719</v>
      </c>
      <c r="J1327" s="4">
        <f t="shared" si="20"/>
        <v>8</v>
      </c>
    </row>
    <row r="1328" spans="1:10" x14ac:dyDescent="0.25">
      <c r="A1328" s="4">
        <f>_xlfn.XLOOKUP(E1328,'Data Validation'!$M$3:$M$10,'Data Validation'!$N$3:$N$10)</f>
        <v>2</v>
      </c>
      <c r="B1328" s="4">
        <v>8</v>
      </c>
      <c r="C1328" s="4" t="s">
        <v>11</v>
      </c>
      <c r="D1328" s="7">
        <v>30.86</v>
      </c>
      <c r="E1328" s="4" t="s">
        <v>19</v>
      </c>
      <c r="F1328" s="4" t="s">
        <v>13</v>
      </c>
      <c r="G1328" s="4" t="s">
        <v>46</v>
      </c>
      <c r="H1328" s="4" t="s">
        <v>44</v>
      </c>
      <c r="I1328" s="5">
        <v>45720</v>
      </c>
      <c r="J1328" s="4">
        <f t="shared" si="20"/>
        <v>8</v>
      </c>
    </row>
    <row r="1329" spans="1:10" x14ac:dyDescent="0.25">
      <c r="A1329" s="4">
        <f>_xlfn.XLOOKUP(E1329,'Data Validation'!$M$3:$M$10,'Data Validation'!$N$3:$N$10)</f>
        <v>2</v>
      </c>
      <c r="B1329" s="4">
        <v>11</v>
      </c>
      <c r="C1329" s="4" t="s">
        <v>11</v>
      </c>
      <c r="D1329" s="7">
        <v>30.86</v>
      </c>
      <c r="E1329" s="4" t="s">
        <v>19</v>
      </c>
      <c r="F1329" s="4" t="s">
        <v>13</v>
      </c>
      <c r="G1329" s="4" t="s">
        <v>46</v>
      </c>
      <c r="H1329" s="4" t="s">
        <v>44</v>
      </c>
      <c r="I1329" s="5">
        <v>45720</v>
      </c>
      <c r="J1329" s="4">
        <f t="shared" si="20"/>
        <v>8</v>
      </c>
    </row>
    <row r="1330" spans="1:10" x14ac:dyDescent="0.25">
      <c r="A1330" s="4">
        <f>_xlfn.XLOOKUP(E1330,'Data Validation'!$M$3:$M$10,'Data Validation'!$N$3:$N$10)</f>
        <v>2</v>
      </c>
      <c r="B1330" s="4">
        <v>8</v>
      </c>
      <c r="C1330" s="4" t="s">
        <v>11</v>
      </c>
      <c r="D1330" s="7">
        <v>30.86</v>
      </c>
      <c r="E1330" s="4" t="s">
        <v>19</v>
      </c>
      <c r="F1330" s="4" t="s">
        <v>13</v>
      </c>
      <c r="G1330" s="4" t="s">
        <v>47</v>
      </c>
      <c r="H1330" s="4" t="s">
        <v>44</v>
      </c>
      <c r="I1330" s="5">
        <v>45721</v>
      </c>
      <c r="J1330" s="4">
        <f t="shared" si="20"/>
        <v>8</v>
      </c>
    </row>
    <row r="1331" spans="1:10" x14ac:dyDescent="0.25">
      <c r="A1331" s="4">
        <f>_xlfn.XLOOKUP(E1331,'Data Validation'!$M$3:$M$10,'Data Validation'!$N$3:$N$10)</f>
        <v>2</v>
      </c>
      <c r="B1331" s="4">
        <v>10</v>
      </c>
      <c r="C1331" s="4" t="s">
        <v>11</v>
      </c>
      <c r="D1331" s="7">
        <v>30.86</v>
      </c>
      <c r="E1331" s="4" t="s">
        <v>19</v>
      </c>
      <c r="F1331" s="4" t="s">
        <v>13</v>
      </c>
      <c r="G1331" s="4" t="s">
        <v>47</v>
      </c>
      <c r="H1331" s="4" t="s">
        <v>44</v>
      </c>
      <c r="I1331" s="5">
        <v>45721</v>
      </c>
      <c r="J1331" s="4">
        <f t="shared" si="20"/>
        <v>8</v>
      </c>
    </row>
    <row r="1332" spans="1:10" x14ac:dyDescent="0.25">
      <c r="A1332" s="4">
        <f>_xlfn.XLOOKUP(E1332,'Data Validation'!$M$3:$M$10,'Data Validation'!$N$3:$N$10)</f>
        <v>2</v>
      </c>
      <c r="B1332" s="4">
        <v>17</v>
      </c>
      <c r="C1332" s="4" t="s">
        <v>11</v>
      </c>
      <c r="D1332" s="7">
        <v>30.86</v>
      </c>
      <c r="E1332" s="4" t="s">
        <v>19</v>
      </c>
      <c r="F1332" s="4" t="s">
        <v>20</v>
      </c>
      <c r="G1332" s="4" t="s">
        <v>47</v>
      </c>
      <c r="H1332" s="4" t="s">
        <v>44</v>
      </c>
      <c r="I1332" s="5">
        <v>45721</v>
      </c>
      <c r="J1332" s="4">
        <f t="shared" si="20"/>
        <v>8</v>
      </c>
    </row>
    <row r="1333" spans="1:10" x14ac:dyDescent="0.25">
      <c r="A1333" s="4">
        <f>_xlfn.XLOOKUP(E1333,'Data Validation'!$M$3:$M$10,'Data Validation'!$N$3:$N$10)</f>
        <v>2</v>
      </c>
      <c r="B1333" s="4">
        <v>10</v>
      </c>
      <c r="C1333" s="4" t="s">
        <v>11</v>
      </c>
      <c r="D1333" s="7">
        <v>30.86</v>
      </c>
      <c r="E1333" s="4" t="s">
        <v>19</v>
      </c>
      <c r="F1333" s="4" t="s">
        <v>13</v>
      </c>
      <c r="G1333" s="4" t="s">
        <v>48</v>
      </c>
      <c r="H1333" s="4" t="s">
        <v>44</v>
      </c>
      <c r="I1333" s="5">
        <v>45722</v>
      </c>
      <c r="J1333" s="4">
        <f t="shared" si="20"/>
        <v>8</v>
      </c>
    </row>
    <row r="1334" spans="1:10" x14ac:dyDescent="0.25">
      <c r="A1334" s="4">
        <f>_xlfn.XLOOKUP(E1334,'Data Validation'!$M$3:$M$10,'Data Validation'!$N$3:$N$10)</f>
        <v>2</v>
      </c>
      <c r="B1334" s="4">
        <v>16</v>
      </c>
      <c r="C1334" s="4" t="s">
        <v>11</v>
      </c>
      <c r="D1334" s="7">
        <v>30.86</v>
      </c>
      <c r="E1334" s="4" t="s">
        <v>19</v>
      </c>
      <c r="F1334" s="4" t="s">
        <v>17</v>
      </c>
      <c r="G1334" s="4" t="s">
        <v>48</v>
      </c>
      <c r="H1334" s="4" t="s">
        <v>44</v>
      </c>
      <c r="I1334" s="5">
        <v>45722</v>
      </c>
      <c r="J1334" s="4">
        <f t="shared" si="20"/>
        <v>8</v>
      </c>
    </row>
    <row r="1335" spans="1:10" x14ac:dyDescent="0.25">
      <c r="A1335" s="4">
        <f>_xlfn.XLOOKUP(E1335,'Data Validation'!$M$3:$M$10,'Data Validation'!$N$3:$N$10)</f>
        <v>2</v>
      </c>
      <c r="B1335" s="4">
        <v>19</v>
      </c>
      <c r="C1335" s="4" t="s">
        <v>11</v>
      </c>
      <c r="D1335" s="7">
        <v>30.86</v>
      </c>
      <c r="E1335" s="4" t="s">
        <v>19</v>
      </c>
      <c r="F1335" s="4" t="s">
        <v>20</v>
      </c>
      <c r="G1335" s="4" t="s">
        <v>48</v>
      </c>
      <c r="H1335" s="4" t="s">
        <v>44</v>
      </c>
      <c r="I1335" s="5">
        <v>45722</v>
      </c>
      <c r="J1335" s="4">
        <f t="shared" si="20"/>
        <v>8</v>
      </c>
    </row>
    <row r="1336" spans="1:10" x14ac:dyDescent="0.25">
      <c r="A1336" s="4">
        <f>_xlfn.XLOOKUP(E1336,'Data Validation'!$M$3:$M$10,'Data Validation'!$N$3:$N$10)</f>
        <v>2</v>
      </c>
      <c r="B1336" s="4">
        <v>10</v>
      </c>
      <c r="C1336" s="4" t="s">
        <v>11</v>
      </c>
      <c r="D1336" s="7">
        <v>30.86</v>
      </c>
      <c r="E1336" s="4" t="s">
        <v>19</v>
      </c>
      <c r="F1336" s="4" t="s">
        <v>13</v>
      </c>
      <c r="G1336" s="4" t="s">
        <v>49</v>
      </c>
      <c r="H1336" s="4" t="s">
        <v>44</v>
      </c>
      <c r="I1336" s="5">
        <v>45723</v>
      </c>
      <c r="J1336" s="4">
        <f t="shared" si="20"/>
        <v>8</v>
      </c>
    </row>
    <row r="1337" spans="1:10" x14ac:dyDescent="0.25">
      <c r="A1337" s="4">
        <f>_xlfn.XLOOKUP(E1337,'Data Validation'!$M$3:$M$10,'Data Validation'!$N$3:$N$10)</f>
        <v>2</v>
      </c>
      <c r="B1337" s="4">
        <v>10</v>
      </c>
      <c r="C1337" s="4" t="s">
        <v>11</v>
      </c>
      <c r="D1337" s="7">
        <v>30.86</v>
      </c>
      <c r="E1337" s="4" t="s">
        <v>19</v>
      </c>
      <c r="F1337" s="4" t="s">
        <v>13</v>
      </c>
      <c r="G1337" s="4" t="s">
        <v>49</v>
      </c>
      <c r="H1337" s="4" t="s">
        <v>44</v>
      </c>
      <c r="I1337" s="5">
        <v>45723</v>
      </c>
      <c r="J1337" s="4">
        <f t="shared" si="20"/>
        <v>8</v>
      </c>
    </row>
    <row r="1338" spans="1:10" x14ac:dyDescent="0.25">
      <c r="A1338" s="4">
        <f>_xlfn.XLOOKUP(E1338,'Data Validation'!$M$3:$M$10,'Data Validation'!$N$3:$N$10)</f>
        <v>2</v>
      </c>
      <c r="B1338" s="4">
        <v>12</v>
      </c>
      <c r="C1338" s="4" t="s">
        <v>11</v>
      </c>
      <c r="D1338" s="7">
        <v>30.86</v>
      </c>
      <c r="E1338" s="4" t="s">
        <v>19</v>
      </c>
      <c r="F1338" s="4" t="s">
        <v>17</v>
      </c>
      <c r="G1338" s="4" t="s">
        <v>49</v>
      </c>
      <c r="H1338" s="4" t="s">
        <v>44</v>
      </c>
      <c r="I1338" s="5">
        <v>45723</v>
      </c>
      <c r="J1338" s="4">
        <f t="shared" si="20"/>
        <v>8</v>
      </c>
    </row>
    <row r="1339" spans="1:10" x14ac:dyDescent="0.25">
      <c r="A1339" s="4">
        <f>_xlfn.XLOOKUP(E1339,'Data Validation'!$M$3:$M$10,'Data Validation'!$N$3:$N$10)</f>
        <v>2</v>
      </c>
      <c r="B1339" s="4">
        <v>9</v>
      </c>
      <c r="C1339" s="4" t="s">
        <v>11</v>
      </c>
      <c r="D1339" s="7">
        <v>30.86</v>
      </c>
      <c r="E1339" s="4" t="s">
        <v>19</v>
      </c>
      <c r="F1339" s="4" t="s">
        <v>13</v>
      </c>
      <c r="G1339" s="4" t="s">
        <v>50</v>
      </c>
      <c r="H1339" s="4" t="s">
        <v>44</v>
      </c>
      <c r="I1339" s="5">
        <v>45724</v>
      </c>
      <c r="J1339" s="4">
        <f t="shared" si="20"/>
        <v>8</v>
      </c>
    </row>
    <row r="1340" spans="1:10" x14ac:dyDescent="0.25">
      <c r="A1340" s="4">
        <f>_xlfn.XLOOKUP(E1340,'Data Validation'!$M$3:$M$10,'Data Validation'!$N$3:$N$10)</f>
        <v>2</v>
      </c>
      <c r="B1340" s="4">
        <v>9</v>
      </c>
      <c r="C1340" s="4" t="s">
        <v>11</v>
      </c>
      <c r="D1340" s="7">
        <v>30.86</v>
      </c>
      <c r="E1340" s="4" t="s">
        <v>19</v>
      </c>
      <c r="F1340" s="4" t="s">
        <v>13</v>
      </c>
      <c r="G1340" s="4" t="s">
        <v>50</v>
      </c>
      <c r="H1340" s="4" t="s">
        <v>44</v>
      </c>
      <c r="I1340" s="5">
        <v>45724</v>
      </c>
      <c r="J1340" s="4">
        <f t="shared" si="20"/>
        <v>8</v>
      </c>
    </row>
    <row r="1341" spans="1:10" x14ac:dyDescent="0.25">
      <c r="A1341" s="4">
        <f>_xlfn.XLOOKUP(E1341,'Data Validation'!$M$3:$M$10,'Data Validation'!$N$3:$N$10)</f>
        <v>2</v>
      </c>
      <c r="B1341" s="4">
        <v>12</v>
      </c>
      <c r="C1341" s="4" t="s">
        <v>11</v>
      </c>
      <c r="D1341" s="7">
        <v>30.86</v>
      </c>
      <c r="E1341" s="4" t="s">
        <v>19</v>
      </c>
      <c r="F1341" s="4" t="s">
        <v>17</v>
      </c>
      <c r="G1341" s="4" t="s">
        <v>50</v>
      </c>
      <c r="H1341" s="4" t="s">
        <v>44</v>
      </c>
      <c r="I1341" s="5">
        <v>45724</v>
      </c>
      <c r="J1341" s="4">
        <f t="shared" si="20"/>
        <v>8</v>
      </c>
    </row>
    <row r="1342" spans="1:10" x14ac:dyDescent="0.25">
      <c r="A1342" s="4">
        <f>_xlfn.XLOOKUP(E1342,'Data Validation'!$M$3:$M$10,'Data Validation'!$N$3:$N$10)</f>
        <v>2</v>
      </c>
      <c r="B1342" s="4">
        <v>11</v>
      </c>
      <c r="C1342" s="4" t="s">
        <v>11</v>
      </c>
      <c r="D1342" s="7">
        <v>30.86</v>
      </c>
      <c r="E1342" s="4" t="s">
        <v>19</v>
      </c>
      <c r="F1342" s="4" t="s">
        <v>13</v>
      </c>
      <c r="G1342" s="4" t="s">
        <v>51</v>
      </c>
      <c r="H1342" s="4" t="s">
        <v>44</v>
      </c>
      <c r="I1342" s="5">
        <v>45725</v>
      </c>
      <c r="J1342" s="4">
        <f t="shared" si="20"/>
        <v>8</v>
      </c>
    </row>
    <row r="1343" spans="1:10" x14ac:dyDescent="0.25">
      <c r="A1343" s="4">
        <f>_xlfn.XLOOKUP(E1343,'Data Validation'!$M$3:$M$10,'Data Validation'!$N$3:$N$10)</f>
        <v>2</v>
      </c>
      <c r="B1343" s="4">
        <v>15</v>
      </c>
      <c r="C1343" s="4" t="s">
        <v>11</v>
      </c>
      <c r="D1343" s="7">
        <v>30.86</v>
      </c>
      <c r="E1343" s="4" t="s">
        <v>19</v>
      </c>
      <c r="F1343" s="4" t="s">
        <v>17</v>
      </c>
      <c r="G1343" s="4" t="s">
        <v>51</v>
      </c>
      <c r="H1343" s="4" t="s">
        <v>44</v>
      </c>
      <c r="I1343" s="5">
        <v>45725</v>
      </c>
      <c r="J1343" s="4">
        <f t="shared" si="20"/>
        <v>8</v>
      </c>
    </row>
    <row r="1344" spans="1:10" x14ac:dyDescent="0.25">
      <c r="A1344" s="4">
        <f>_xlfn.XLOOKUP(E1344,'Data Validation'!$M$3:$M$10,'Data Validation'!$N$3:$N$10)</f>
        <v>2</v>
      </c>
      <c r="B1344" s="4">
        <v>9</v>
      </c>
      <c r="C1344" s="4" t="s">
        <v>11</v>
      </c>
      <c r="D1344" s="7">
        <v>30.86</v>
      </c>
      <c r="E1344" s="4" t="s">
        <v>19</v>
      </c>
      <c r="F1344" s="4" t="s">
        <v>13</v>
      </c>
      <c r="G1344" s="4" t="s">
        <v>45</v>
      </c>
      <c r="H1344" s="4" t="s">
        <v>44</v>
      </c>
      <c r="I1344" s="5">
        <v>45726</v>
      </c>
      <c r="J1344" s="4">
        <f t="shared" si="20"/>
        <v>8</v>
      </c>
    </row>
    <row r="1345" spans="1:10" x14ac:dyDescent="0.25">
      <c r="A1345" s="4">
        <f>_xlfn.XLOOKUP(E1345,'Data Validation'!$M$3:$M$10,'Data Validation'!$N$3:$N$10)</f>
        <v>2</v>
      </c>
      <c r="B1345" s="4">
        <v>16</v>
      </c>
      <c r="C1345" s="4" t="s">
        <v>11</v>
      </c>
      <c r="D1345" s="7">
        <v>30.86</v>
      </c>
      <c r="E1345" s="4" t="s">
        <v>19</v>
      </c>
      <c r="F1345" s="4" t="s">
        <v>17</v>
      </c>
      <c r="G1345" s="4" t="s">
        <v>45</v>
      </c>
      <c r="H1345" s="4" t="s">
        <v>44</v>
      </c>
      <c r="I1345" s="5">
        <v>45726</v>
      </c>
      <c r="J1345" s="4">
        <f t="shared" si="20"/>
        <v>8</v>
      </c>
    </row>
    <row r="1346" spans="1:10" x14ac:dyDescent="0.25">
      <c r="A1346" s="4">
        <f>_xlfn.XLOOKUP(E1346,'Data Validation'!$M$3:$M$10,'Data Validation'!$N$3:$N$10)</f>
        <v>2</v>
      </c>
      <c r="B1346" s="4">
        <v>19</v>
      </c>
      <c r="C1346" s="4" t="s">
        <v>11</v>
      </c>
      <c r="D1346" s="7">
        <v>30.86</v>
      </c>
      <c r="E1346" s="4" t="s">
        <v>19</v>
      </c>
      <c r="F1346" s="4" t="s">
        <v>20</v>
      </c>
      <c r="G1346" s="4" t="s">
        <v>45</v>
      </c>
      <c r="H1346" s="4" t="s">
        <v>44</v>
      </c>
      <c r="I1346" s="5">
        <v>45726</v>
      </c>
      <c r="J1346" s="4">
        <f t="shared" si="20"/>
        <v>8</v>
      </c>
    </row>
    <row r="1347" spans="1:10" x14ac:dyDescent="0.25">
      <c r="A1347" s="4">
        <f>_xlfn.XLOOKUP(E1347,'Data Validation'!$M$3:$M$10,'Data Validation'!$N$3:$N$10)</f>
        <v>2</v>
      </c>
      <c r="B1347" s="4">
        <v>18</v>
      </c>
      <c r="C1347" s="4" t="s">
        <v>11</v>
      </c>
      <c r="D1347" s="7">
        <v>30.86</v>
      </c>
      <c r="E1347" s="4" t="s">
        <v>19</v>
      </c>
      <c r="F1347" s="4" t="s">
        <v>20</v>
      </c>
      <c r="G1347" s="4" t="s">
        <v>46</v>
      </c>
      <c r="H1347" s="4" t="s">
        <v>44</v>
      </c>
      <c r="I1347" s="5">
        <v>45727</v>
      </c>
      <c r="J1347" s="4">
        <f t="shared" ref="J1347:J1410" si="21">IF(OR(E1347&lt;&gt;E1346,D1347&lt;&gt;D1346),J1346+1,J1346)</f>
        <v>8</v>
      </c>
    </row>
    <row r="1348" spans="1:10" x14ac:dyDescent="0.25">
      <c r="A1348" s="4">
        <f>_xlfn.XLOOKUP(E1348,'Data Validation'!$M$3:$M$10,'Data Validation'!$N$3:$N$10)</f>
        <v>2</v>
      </c>
      <c r="B1348" s="4">
        <v>11</v>
      </c>
      <c r="C1348" s="4" t="s">
        <v>11</v>
      </c>
      <c r="D1348" s="7">
        <v>30.86</v>
      </c>
      <c r="E1348" s="4" t="s">
        <v>19</v>
      </c>
      <c r="F1348" s="4" t="s">
        <v>13</v>
      </c>
      <c r="G1348" s="4" t="s">
        <v>47</v>
      </c>
      <c r="H1348" s="4" t="s">
        <v>44</v>
      </c>
      <c r="I1348" s="5">
        <v>45728</v>
      </c>
      <c r="J1348" s="4">
        <f t="shared" si="21"/>
        <v>8</v>
      </c>
    </row>
    <row r="1349" spans="1:10" x14ac:dyDescent="0.25">
      <c r="A1349" s="4">
        <f>_xlfn.XLOOKUP(E1349,'Data Validation'!$M$3:$M$10,'Data Validation'!$N$3:$N$10)</f>
        <v>2</v>
      </c>
      <c r="B1349" s="4">
        <v>8</v>
      </c>
      <c r="C1349" s="4" t="s">
        <v>11</v>
      </c>
      <c r="D1349" s="7">
        <v>30.86</v>
      </c>
      <c r="E1349" s="4" t="s">
        <v>19</v>
      </c>
      <c r="F1349" s="4" t="s">
        <v>13</v>
      </c>
      <c r="G1349" s="4" t="s">
        <v>48</v>
      </c>
      <c r="H1349" s="4" t="s">
        <v>44</v>
      </c>
      <c r="I1349" s="5">
        <v>45729</v>
      </c>
      <c r="J1349" s="4">
        <f t="shared" si="21"/>
        <v>8</v>
      </c>
    </row>
    <row r="1350" spans="1:10" x14ac:dyDescent="0.25">
      <c r="A1350" s="4">
        <f>_xlfn.XLOOKUP(E1350,'Data Validation'!$M$3:$M$10,'Data Validation'!$N$3:$N$10)</f>
        <v>2</v>
      </c>
      <c r="B1350" s="4">
        <v>9</v>
      </c>
      <c r="C1350" s="4" t="s">
        <v>11</v>
      </c>
      <c r="D1350" s="7">
        <v>30.86</v>
      </c>
      <c r="E1350" s="4" t="s">
        <v>19</v>
      </c>
      <c r="F1350" s="4" t="s">
        <v>13</v>
      </c>
      <c r="G1350" s="4" t="s">
        <v>48</v>
      </c>
      <c r="H1350" s="4" t="s">
        <v>44</v>
      </c>
      <c r="I1350" s="5">
        <v>45729</v>
      </c>
      <c r="J1350" s="4">
        <f t="shared" si="21"/>
        <v>8</v>
      </c>
    </row>
    <row r="1351" spans="1:10" x14ac:dyDescent="0.25">
      <c r="A1351" s="4">
        <f>_xlfn.XLOOKUP(E1351,'Data Validation'!$M$3:$M$10,'Data Validation'!$N$3:$N$10)</f>
        <v>2</v>
      </c>
      <c r="B1351" s="4">
        <v>9</v>
      </c>
      <c r="C1351" s="4" t="s">
        <v>11</v>
      </c>
      <c r="D1351" s="7">
        <v>30.86</v>
      </c>
      <c r="E1351" s="4" t="s">
        <v>19</v>
      </c>
      <c r="F1351" s="4" t="s">
        <v>13</v>
      </c>
      <c r="G1351" s="4" t="s">
        <v>48</v>
      </c>
      <c r="H1351" s="4" t="s">
        <v>44</v>
      </c>
      <c r="I1351" s="5">
        <v>45729</v>
      </c>
      <c r="J1351" s="4">
        <f t="shared" si="21"/>
        <v>8</v>
      </c>
    </row>
    <row r="1352" spans="1:10" x14ac:dyDescent="0.25">
      <c r="A1352" s="4">
        <f>_xlfn.XLOOKUP(E1352,'Data Validation'!$M$3:$M$10,'Data Validation'!$N$3:$N$10)</f>
        <v>2</v>
      </c>
      <c r="B1352" s="4">
        <v>14</v>
      </c>
      <c r="C1352" s="4" t="s">
        <v>11</v>
      </c>
      <c r="D1352" s="7">
        <v>30.86</v>
      </c>
      <c r="E1352" s="4" t="s">
        <v>19</v>
      </c>
      <c r="F1352" s="4" t="s">
        <v>17</v>
      </c>
      <c r="G1352" s="4" t="s">
        <v>48</v>
      </c>
      <c r="H1352" s="4" t="s">
        <v>44</v>
      </c>
      <c r="I1352" s="5">
        <v>45729</v>
      </c>
      <c r="J1352" s="4">
        <f t="shared" si="21"/>
        <v>8</v>
      </c>
    </row>
    <row r="1353" spans="1:10" x14ac:dyDescent="0.25">
      <c r="A1353" s="4">
        <f>_xlfn.XLOOKUP(E1353,'Data Validation'!$M$3:$M$10,'Data Validation'!$N$3:$N$10)</f>
        <v>2</v>
      </c>
      <c r="B1353" s="4">
        <v>8</v>
      </c>
      <c r="C1353" s="4" t="s">
        <v>11</v>
      </c>
      <c r="D1353" s="7">
        <v>30.86</v>
      </c>
      <c r="E1353" s="4" t="s">
        <v>19</v>
      </c>
      <c r="F1353" s="4" t="s">
        <v>13</v>
      </c>
      <c r="G1353" s="4" t="s">
        <v>49</v>
      </c>
      <c r="H1353" s="4" t="s">
        <v>44</v>
      </c>
      <c r="I1353" s="5">
        <v>45730</v>
      </c>
      <c r="J1353" s="4">
        <f t="shared" si="21"/>
        <v>8</v>
      </c>
    </row>
    <row r="1354" spans="1:10" x14ac:dyDescent="0.25">
      <c r="A1354" s="4">
        <f>_xlfn.XLOOKUP(E1354,'Data Validation'!$M$3:$M$10,'Data Validation'!$N$3:$N$10)</f>
        <v>2</v>
      </c>
      <c r="B1354" s="4">
        <v>9</v>
      </c>
      <c r="C1354" s="4" t="s">
        <v>11</v>
      </c>
      <c r="D1354" s="7">
        <v>30.86</v>
      </c>
      <c r="E1354" s="4" t="s">
        <v>19</v>
      </c>
      <c r="F1354" s="4" t="s">
        <v>13</v>
      </c>
      <c r="G1354" s="4" t="s">
        <v>50</v>
      </c>
      <c r="H1354" s="4" t="s">
        <v>44</v>
      </c>
      <c r="I1354" s="5">
        <v>45731</v>
      </c>
      <c r="J1354" s="4">
        <f t="shared" si="21"/>
        <v>8</v>
      </c>
    </row>
    <row r="1355" spans="1:10" x14ac:dyDescent="0.25">
      <c r="A1355" s="4">
        <f>_xlfn.XLOOKUP(E1355,'Data Validation'!$M$3:$M$10,'Data Validation'!$N$3:$N$10)</f>
        <v>2</v>
      </c>
      <c r="B1355" s="4">
        <v>17</v>
      </c>
      <c r="C1355" s="4" t="s">
        <v>11</v>
      </c>
      <c r="D1355" s="7">
        <v>30.86</v>
      </c>
      <c r="E1355" s="4" t="s">
        <v>19</v>
      </c>
      <c r="F1355" s="4" t="s">
        <v>20</v>
      </c>
      <c r="G1355" s="4" t="s">
        <v>50</v>
      </c>
      <c r="H1355" s="4" t="s">
        <v>44</v>
      </c>
      <c r="I1355" s="5">
        <v>45731</v>
      </c>
      <c r="J1355" s="4">
        <f t="shared" si="21"/>
        <v>8</v>
      </c>
    </row>
    <row r="1356" spans="1:10" x14ac:dyDescent="0.25">
      <c r="A1356" s="4">
        <f>_xlfn.XLOOKUP(E1356,'Data Validation'!$M$3:$M$10,'Data Validation'!$N$3:$N$10)</f>
        <v>2</v>
      </c>
      <c r="B1356" s="4">
        <v>19</v>
      </c>
      <c r="C1356" s="4" t="s">
        <v>11</v>
      </c>
      <c r="D1356" s="7">
        <v>30.86</v>
      </c>
      <c r="E1356" s="4" t="s">
        <v>19</v>
      </c>
      <c r="F1356" s="4" t="s">
        <v>20</v>
      </c>
      <c r="G1356" s="4" t="s">
        <v>50</v>
      </c>
      <c r="H1356" s="4" t="s">
        <v>44</v>
      </c>
      <c r="I1356" s="5">
        <v>45731</v>
      </c>
      <c r="J1356" s="4">
        <f t="shared" si="21"/>
        <v>8</v>
      </c>
    </row>
    <row r="1357" spans="1:10" x14ac:dyDescent="0.25">
      <c r="A1357" s="4">
        <f>_xlfn.XLOOKUP(E1357,'Data Validation'!$M$3:$M$10,'Data Validation'!$N$3:$N$10)</f>
        <v>2</v>
      </c>
      <c r="B1357" s="4">
        <v>9</v>
      </c>
      <c r="C1357" s="4" t="s">
        <v>11</v>
      </c>
      <c r="D1357" s="7">
        <v>30.86</v>
      </c>
      <c r="E1357" s="4" t="s">
        <v>19</v>
      </c>
      <c r="F1357" s="4" t="s">
        <v>13</v>
      </c>
      <c r="G1357" s="4" t="s">
        <v>51</v>
      </c>
      <c r="H1357" s="4" t="s">
        <v>44</v>
      </c>
      <c r="I1357" s="5">
        <v>45732</v>
      </c>
      <c r="J1357" s="4">
        <f t="shared" si="21"/>
        <v>8</v>
      </c>
    </row>
    <row r="1358" spans="1:10" x14ac:dyDescent="0.25">
      <c r="A1358" s="4">
        <f>_xlfn.XLOOKUP(E1358,'Data Validation'!$M$3:$M$10,'Data Validation'!$N$3:$N$10)</f>
        <v>2</v>
      </c>
      <c r="B1358" s="4">
        <v>9</v>
      </c>
      <c r="C1358" s="4" t="s">
        <v>11</v>
      </c>
      <c r="D1358" s="7">
        <v>30.86</v>
      </c>
      <c r="E1358" s="4" t="s">
        <v>19</v>
      </c>
      <c r="F1358" s="4" t="s">
        <v>13</v>
      </c>
      <c r="G1358" s="4" t="s">
        <v>45</v>
      </c>
      <c r="H1358" s="4" t="s">
        <v>44</v>
      </c>
      <c r="I1358" s="5">
        <v>45733</v>
      </c>
      <c r="J1358" s="4">
        <f t="shared" si="21"/>
        <v>8</v>
      </c>
    </row>
    <row r="1359" spans="1:10" x14ac:dyDescent="0.25">
      <c r="A1359" s="4">
        <f>_xlfn.XLOOKUP(E1359,'Data Validation'!$M$3:$M$10,'Data Validation'!$N$3:$N$10)</f>
        <v>2</v>
      </c>
      <c r="B1359" s="4">
        <v>8</v>
      </c>
      <c r="C1359" s="4" t="s">
        <v>11</v>
      </c>
      <c r="D1359" s="7">
        <v>30.86</v>
      </c>
      <c r="E1359" s="4" t="s">
        <v>19</v>
      </c>
      <c r="F1359" s="4" t="s">
        <v>13</v>
      </c>
      <c r="G1359" s="4" t="s">
        <v>46</v>
      </c>
      <c r="H1359" s="4" t="s">
        <v>44</v>
      </c>
      <c r="I1359" s="5">
        <v>45734</v>
      </c>
      <c r="J1359" s="4">
        <f t="shared" si="21"/>
        <v>8</v>
      </c>
    </row>
    <row r="1360" spans="1:10" x14ac:dyDescent="0.25">
      <c r="A1360" s="4">
        <f>_xlfn.XLOOKUP(E1360,'Data Validation'!$M$3:$M$10,'Data Validation'!$N$3:$N$10)</f>
        <v>2</v>
      </c>
      <c r="B1360" s="4">
        <v>14</v>
      </c>
      <c r="C1360" s="4" t="s">
        <v>11</v>
      </c>
      <c r="D1360" s="7">
        <v>30.86</v>
      </c>
      <c r="E1360" s="4" t="s">
        <v>19</v>
      </c>
      <c r="F1360" s="4" t="s">
        <v>17</v>
      </c>
      <c r="G1360" s="4" t="s">
        <v>46</v>
      </c>
      <c r="H1360" s="4" t="s">
        <v>44</v>
      </c>
      <c r="I1360" s="5">
        <v>45734</v>
      </c>
      <c r="J1360" s="4">
        <f t="shared" si="21"/>
        <v>8</v>
      </c>
    </row>
    <row r="1361" spans="1:10" x14ac:dyDescent="0.25">
      <c r="A1361" s="4">
        <f>_xlfn.XLOOKUP(E1361,'Data Validation'!$M$3:$M$10,'Data Validation'!$N$3:$N$10)</f>
        <v>2</v>
      </c>
      <c r="B1361" s="4">
        <v>15</v>
      </c>
      <c r="C1361" s="4" t="s">
        <v>11</v>
      </c>
      <c r="D1361" s="7">
        <v>30.86</v>
      </c>
      <c r="E1361" s="4" t="s">
        <v>19</v>
      </c>
      <c r="F1361" s="4" t="s">
        <v>17</v>
      </c>
      <c r="G1361" s="4" t="s">
        <v>46</v>
      </c>
      <c r="H1361" s="4" t="s">
        <v>44</v>
      </c>
      <c r="I1361" s="5">
        <v>45734</v>
      </c>
      <c r="J1361" s="4">
        <f t="shared" si="21"/>
        <v>8</v>
      </c>
    </row>
    <row r="1362" spans="1:10" x14ac:dyDescent="0.25">
      <c r="A1362" s="4">
        <f>_xlfn.XLOOKUP(E1362,'Data Validation'!$M$3:$M$10,'Data Validation'!$N$3:$N$10)</f>
        <v>2</v>
      </c>
      <c r="B1362" s="4">
        <v>17</v>
      </c>
      <c r="C1362" s="4" t="s">
        <v>11</v>
      </c>
      <c r="D1362" s="7">
        <v>30.86</v>
      </c>
      <c r="E1362" s="4" t="s">
        <v>19</v>
      </c>
      <c r="F1362" s="4" t="s">
        <v>20</v>
      </c>
      <c r="G1362" s="4" t="s">
        <v>47</v>
      </c>
      <c r="H1362" s="4" t="s">
        <v>44</v>
      </c>
      <c r="I1362" s="5">
        <v>45735</v>
      </c>
      <c r="J1362" s="4">
        <f t="shared" si="21"/>
        <v>8</v>
      </c>
    </row>
    <row r="1363" spans="1:10" x14ac:dyDescent="0.25">
      <c r="A1363" s="4">
        <f>_xlfn.XLOOKUP(E1363,'Data Validation'!$M$3:$M$10,'Data Validation'!$N$3:$N$10)</f>
        <v>2</v>
      </c>
      <c r="B1363" s="4">
        <v>17</v>
      </c>
      <c r="C1363" s="4" t="s">
        <v>11</v>
      </c>
      <c r="D1363" s="7">
        <v>30.86</v>
      </c>
      <c r="E1363" s="4" t="s">
        <v>19</v>
      </c>
      <c r="F1363" s="4" t="s">
        <v>20</v>
      </c>
      <c r="G1363" s="4" t="s">
        <v>47</v>
      </c>
      <c r="H1363" s="4" t="s">
        <v>44</v>
      </c>
      <c r="I1363" s="5">
        <v>45735</v>
      </c>
      <c r="J1363" s="4">
        <f t="shared" si="21"/>
        <v>8</v>
      </c>
    </row>
    <row r="1364" spans="1:10" x14ac:dyDescent="0.25">
      <c r="A1364" s="4">
        <f>_xlfn.XLOOKUP(E1364,'Data Validation'!$M$3:$M$10,'Data Validation'!$N$3:$N$10)</f>
        <v>2</v>
      </c>
      <c r="B1364" s="4">
        <v>8</v>
      </c>
      <c r="C1364" s="4" t="s">
        <v>11</v>
      </c>
      <c r="D1364" s="7">
        <v>30.86</v>
      </c>
      <c r="E1364" s="4" t="s">
        <v>19</v>
      </c>
      <c r="F1364" s="4" t="s">
        <v>13</v>
      </c>
      <c r="G1364" s="4" t="s">
        <v>48</v>
      </c>
      <c r="H1364" s="4" t="s">
        <v>44</v>
      </c>
      <c r="I1364" s="5">
        <v>45736</v>
      </c>
      <c r="J1364" s="4">
        <f t="shared" si="21"/>
        <v>8</v>
      </c>
    </row>
    <row r="1365" spans="1:10" x14ac:dyDescent="0.25">
      <c r="A1365" s="4">
        <f>_xlfn.XLOOKUP(E1365,'Data Validation'!$M$3:$M$10,'Data Validation'!$N$3:$N$10)</f>
        <v>2</v>
      </c>
      <c r="B1365" s="4">
        <v>9</v>
      </c>
      <c r="C1365" s="4" t="s">
        <v>11</v>
      </c>
      <c r="D1365" s="7">
        <v>30.86</v>
      </c>
      <c r="E1365" s="4" t="s">
        <v>19</v>
      </c>
      <c r="F1365" s="4" t="s">
        <v>13</v>
      </c>
      <c r="G1365" s="4" t="s">
        <v>48</v>
      </c>
      <c r="H1365" s="4" t="s">
        <v>44</v>
      </c>
      <c r="I1365" s="5">
        <v>45736</v>
      </c>
      <c r="J1365" s="4">
        <f t="shared" si="21"/>
        <v>8</v>
      </c>
    </row>
    <row r="1366" spans="1:10" x14ac:dyDescent="0.25">
      <c r="A1366" s="4">
        <f>_xlfn.XLOOKUP(E1366,'Data Validation'!$M$3:$M$10,'Data Validation'!$N$3:$N$10)</f>
        <v>2</v>
      </c>
      <c r="B1366" s="4">
        <v>10</v>
      </c>
      <c r="C1366" s="4" t="s">
        <v>11</v>
      </c>
      <c r="D1366" s="7">
        <v>30.86</v>
      </c>
      <c r="E1366" s="4" t="s">
        <v>19</v>
      </c>
      <c r="F1366" s="4" t="s">
        <v>13</v>
      </c>
      <c r="G1366" s="4" t="s">
        <v>48</v>
      </c>
      <c r="H1366" s="4" t="s">
        <v>44</v>
      </c>
      <c r="I1366" s="5">
        <v>45736</v>
      </c>
      <c r="J1366" s="4">
        <f t="shared" si="21"/>
        <v>8</v>
      </c>
    </row>
    <row r="1367" spans="1:10" x14ac:dyDescent="0.25">
      <c r="A1367" s="4">
        <f>_xlfn.XLOOKUP(E1367,'Data Validation'!$M$3:$M$10,'Data Validation'!$N$3:$N$10)</f>
        <v>2</v>
      </c>
      <c r="B1367" s="4">
        <v>7</v>
      </c>
      <c r="C1367" s="4" t="s">
        <v>11</v>
      </c>
      <c r="D1367" s="7">
        <v>30.86</v>
      </c>
      <c r="E1367" s="4" t="s">
        <v>19</v>
      </c>
      <c r="F1367" s="4" t="s">
        <v>13</v>
      </c>
      <c r="G1367" s="4" t="s">
        <v>49</v>
      </c>
      <c r="H1367" s="4" t="s">
        <v>44</v>
      </c>
      <c r="I1367" s="5">
        <v>45737</v>
      </c>
      <c r="J1367" s="4">
        <f t="shared" si="21"/>
        <v>8</v>
      </c>
    </row>
    <row r="1368" spans="1:10" x14ac:dyDescent="0.25">
      <c r="A1368" s="4">
        <f>_xlfn.XLOOKUP(E1368,'Data Validation'!$M$3:$M$10,'Data Validation'!$N$3:$N$10)</f>
        <v>2</v>
      </c>
      <c r="B1368" s="4">
        <v>7</v>
      </c>
      <c r="C1368" s="4" t="s">
        <v>11</v>
      </c>
      <c r="D1368" s="7">
        <v>30.86</v>
      </c>
      <c r="E1368" s="4" t="s">
        <v>19</v>
      </c>
      <c r="F1368" s="4" t="s">
        <v>13</v>
      </c>
      <c r="G1368" s="4" t="s">
        <v>49</v>
      </c>
      <c r="H1368" s="4" t="s">
        <v>44</v>
      </c>
      <c r="I1368" s="5">
        <v>45737</v>
      </c>
      <c r="J1368" s="4">
        <f t="shared" si="21"/>
        <v>8</v>
      </c>
    </row>
    <row r="1369" spans="1:10" x14ac:dyDescent="0.25">
      <c r="A1369" s="4">
        <f>_xlfn.XLOOKUP(E1369,'Data Validation'!$M$3:$M$10,'Data Validation'!$N$3:$N$10)</f>
        <v>2</v>
      </c>
      <c r="B1369" s="4">
        <v>9</v>
      </c>
      <c r="C1369" s="4" t="s">
        <v>11</v>
      </c>
      <c r="D1369" s="7">
        <v>30.86</v>
      </c>
      <c r="E1369" s="4" t="s">
        <v>19</v>
      </c>
      <c r="F1369" s="4" t="s">
        <v>13</v>
      </c>
      <c r="G1369" s="4" t="s">
        <v>50</v>
      </c>
      <c r="H1369" s="4" t="s">
        <v>44</v>
      </c>
      <c r="I1369" s="5">
        <v>45738</v>
      </c>
      <c r="J1369" s="4">
        <f t="shared" si="21"/>
        <v>8</v>
      </c>
    </row>
    <row r="1370" spans="1:10" x14ac:dyDescent="0.25">
      <c r="A1370" s="4">
        <f>_xlfn.XLOOKUP(E1370,'Data Validation'!$M$3:$M$10,'Data Validation'!$N$3:$N$10)</f>
        <v>2</v>
      </c>
      <c r="B1370" s="4">
        <v>10</v>
      </c>
      <c r="C1370" s="4" t="s">
        <v>11</v>
      </c>
      <c r="D1370" s="7">
        <v>30.86</v>
      </c>
      <c r="E1370" s="4" t="s">
        <v>19</v>
      </c>
      <c r="F1370" s="4" t="s">
        <v>13</v>
      </c>
      <c r="G1370" s="4" t="s">
        <v>50</v>
      </c>
      <c r="H1370" s="4" t="s">
        <v>44</v>
      </c>
      <c r="I1370" s="5">
        <v>45738</v>
      </c>
      <c r="J1370" s="4">
        <f t="shared" si="21"/>
        <v>8</v>
      </c>
    </row>
    <row r="1371" spans="1:10" x14ac:dyDescent="0.25">
      <c r="A1371" s="4">
        <f>_xlfn.XLOOKUP(E1371,'Data Validation'!$M$3:$M$10,'Data Validation'!$N$3:$N$10)</f>
        <v>2</v>
      </c>
      <c r="B1371" s="4">
        <v>12</v>
      </c>
      <c r="C1371" s="4" t="s">
        <v>11</v>
      </c>
      <c r="D1371" s="7">
        <v>30.86</v>
      </c>
      <c r="E1371" s="4" t="s">
        <v>19</v>
      </c>
      <c r="F1371" s="4" t="s">
        <v>17</v>
      </c>
      <c r="G1371" s="4" t="s">
        <v>50</v>
      </c>
      <c r="H1371" s="4" t="s">
        <v>44</v>
      </c>
      <c r="I1371" s="5">
        <v>45738</v>
      </c>
      <c r="J1371" s="4">
        <f t="shared" si="21"/>
        <v>8</v>
      </c>
    </row>
    <row r="1372" spans="1:10" x14ac:dyDescent="0.25">
      <c r="A1372" s="4">
        <f>_xlfn.XLOOKUP(E1372,'Data Validation'!$M$3:$M$10,'Data Validation'!$N$3:$N$10)</f>
        <v>2</v>
      </c>
      <c r="B1372" s="4">
        <v>13</v>
      </c>
      <c r="C1372" s="4" t="s">
        <v>11</v>
      </c>
      <c r="D1372" s="7">
        <v>30.86</v>
      </c>
      <c r="E1372" s="4" t="s">
        <v>19</v>
      </c>
      <c r="F1372" s="4" t="s">
        <v>17</v>
      </c>
      <c r="G1372" s="4" t="s">
        <v>50</v>
      </c>
      <c r="H1372" s="4" t="s">
        <v>44</v>
      </c>
      <c r="I1372" s="5">
        <v>45738</v>
      </c>
      <c r="J1372" s="4">
        <f t="shared" si="21"/>
        <v>8</v>
      </c>
    </row>
    <row r="1373" spans="1:10" x14ac:dyDescent="0.25">
      <c r="A1373" s="4">
        <f>_xlfn.XLOOKUP(E1373,'Data Validation'!$M$3:$M$10,'Data Validation'!$N$3:$N$10)</f>
        <v>2</v>
      </c>
      <c r="B1373" s="4">
        <v>17</v>
      </c>
      <c r="C1373" s="4" t="s">
        <v>11</v>
      </c>
      <c r="D1373" s="7">
        <v>30.86</v>
      </c>
      <c r="E1373" s="4" t="s">
        <v>19</v>
      </c>
      <c r="F1373" s="4" t="s">
        <v>20</v>
      </c>
      <c r="G1373" s="4" t="s">
        <v>50</v>
      </c>
      <c r="H1373" s="4" t="s">
        <v>44</v>
      </c>
      <c r="I1373" s="5">
        <v>45738</v>
      </c>
      <c r="J1373" s="4">
        <f t="shared" si="21"/>
        <v>8</v>
      </c>
    </row>
    <row r="1374" spans="1:10" x14ac:dyDescent="0.25">
      <c r="A1374" s="4">
        <f>_xlfn.XLOOKUP(E1374,'Data Validation'!$M$3:$M$10,'Data Validation'!$N$3:$N$10)</f>
        <v>2</v>
      </c>
      <c r="B1374" s="4">
        <v>19</v>
      </c>
      <c r="C1374" s="4" t="s">
        <v>11</v>
      </c>
      <c r="D1374" s="7">
        <v>30.86</v>
      </c>
      <c r="E1374" s="4" t="s">
        <v>19</v>
      </c>
      <c r="F1374" s="4" t="s">
        <v>20</v>
      </c>
      <c r="G1374" s="4" t="s">
        <v>50</v>
      </c>
      <c r="H1374" s="4" t="s">
        <v>44</v>
      </c>
      <c r="I1374" s="5">
        <v>45738</v>
      </c>
      <c r="J1374" s="4">
        <f t="shared" si="21"/>
        <v>8</v>
      </c>
    </row>
    <row r="1375" spans="1:10" x14ac:dyDescent="0.25">
      <c r="A1375" s="4">
        <f>_xlfn.XLOOKUP(E1375,'Data Validation'!$M$3:$M$10,'Data Validation'!$N$3:$N$10)</f>
        <v>3</v>
      </c>
      <c r="B1375" s="4">
        <v>14</v>
      </c>
      <c r="C1375" s="4" t="s">
        <v>11</v>
      </c>
      <c r="D1375" s="7">
        <v>38.700000000000003</v>
      </c>
      <c r="E1375" s="4" t="s">
        <v>29</v>
      </c>
      <c r="F1375" s="4" t="s">
        <v>17</v>
      </c>
      <c r="G1375" s="4" t="s">
        <v>47</v>
      </c>
      <c r="H1375" s="4" t="s">
        <v>44</v>
      </c>
      <c r="I1375" s="5">
        <v>45357</v>
      </c>
      <c r="J1375" s="4">
        <f t="shared" si="21"/>
        <v>9</v>
      </c>
    </row>
    <row r="1376" spans="1:10" x14ac:dyDescent="0.25">
      <c r="A1376" s="4">
        <f>_xlfn.XLOOKUP(E1376,'Data Validation'!$M$3:$M$10,'Data Validation'!$N$3:$N$10)</f>
        <v>3</v>
      </c>
      <c r="B1376" s="4">
        <v>14</v>
      </c>
      <c r="C1376" s="4" t="s">
        <v>11</v>
      </c>
      <c r="D1376" s="7">
        <v>38.700000000000003</v>
      </c>
      <c r="E1376" s="4" t="s">
        <v>29</v>
      </c>
      <c r="F1376" s="4" t="s">
        <v>17</v>
      </c>
      <c r="G1376" s="4" t="s">
        <v>47</v>
      </c>
      <c r="H1376" s="4" t="s">
        <v>44</v>
      </c>
      <c r="I1376" s="5">
        <v>45357</v>
      </c>
      <c r="J1376" s="4">
        <f t="shared" si="21"/>
        <v>9</v>
      </c>
    </row>
    <row r="1377" spans="1:10" x14ac:dyDescent="0.25">
      <c r="A1377" s="4">
        <f>_xlfn.XLOOKUP(E1377,'Data Validation'!$M$3:$M$10,'Data Validation'!$N$3:$N$10)</f>
        <v>3</v>
      </c>
      <c r="B1377" s="4">
        <v>12</v>
      </c>
      <c r="C1377" s="4" t="s">
        <v>11</v>
      </c>
      <c r="D1377" s="7">
        <v>38.700000000000003</v>
      </c>
      <c r="E1377" s="4" t="s">
        <v>29</v>
      </c>
      <c r="F1377" s="4" t="s">
        <v>17</v>
      </c>
      <c r="G1377" s="4" t="s">
        <v>49</v>
      </c>
      <c r="H1377" s="4" t="s">
        <v>44</v>
      </c>
      <c r="I1377" s="5">
        <v>45359</v>
      </c>
      <c r="J1377" s="4">
        <f t="shared" si="21"/>
        <v>9</v>
      </c>
    </row>
    <row r="1378" spans="1:10" x14ac:dyDescent="0.25">
      <c r="A1378" s="4">
        <f>_xlfn.XLOOKUP(E1378,'Data Validation'!$M$3:$M$10,'Data Validation'!$N$3:$N$10)</f>
        <v>3</v>
      </c>
      <c r="B1378" s="4">
        <v>12</v>
      </c>
      <c r="C1378" s="4" t="s">
        <v>11</v>
      </c>
      <c r="D1378" s="7">
        <v>38.700000000000003</v>
      </c>
      <c r="E1378" s="4" t="s">
        <v>29</v>
      </c>
      <c r="F1378" s="4" t="s">
        <v>17</v>
      </c>
      <c r="G1378" s="4" t="s">
        <v>50</v>
      </c>
      <c r="H1378" s="4" t="s">
        <v>44</v>
      </c>
      <c r="I1378" s="5">
        <v>45360</v>
      </c>
      <c r="J1378" s="4">
        <f t="shared" si="21"/>
        <v>9</v>
      </c>
    </row>
    <row r="1379" spans="1:10" x14ac:dyDescent="0.25">
      <c r="A1379" s="4">
        <f>_xlfn.XLOOKUP(E1379,'Data Validation'!$M$3:$M$10,'Data Validation'!$N$3:$N$10)</f>
        <v>3</v>
      </c>
      <c r="B1379" s="4">
        <v>13</v>
      </c>
      <c r="C1379" s="4" t="s">
        <v>11</v>
      </c>
      <c r="D1379" s="7">
        <v>38.700000000000003</v>
      </c>
      <c r="E1379" s="4" t="s">
        <v>29</v>
      </c>
      <c r="F1379" s="4" t="s">
        <v>17</v>
      </c>
      <c r="G1379" s="4" t="s">
        <v>50</v>
      </c>
      <c r="H1379" s="4" t="s">
        <v>44</v>
      </c>
      <c r="I1379" s="5">
        <v>45360</v>
      </c>
      <c r="J1379" s="4">
        <f t="shared" si="21"/>
        <v>9</v>
      </c>
    </row>
    <row r="1380" spans="1:10" x14ac:dyDescent="0.25">
      <c r="A1380" s="4">
        <f>_xlfn.XLOOKUP(E1380,'Data Validation'!$M$3:$M$10,'Data Validation'!$N$3:$N$10)</f>
        <v>3</v>
      </c>
      <c r="B1380" s="4">
        <v>19</v>
      </c>
      <c r="C1380" s="4" t="s">
        <v>11</v>
      </c>
      <c r="D1380" s="7">
        <v>38.700000000000003</v>
      </c>
      <c r="E1380" s="4" t="s">
        <v>29</v>
      </c>
      <c r="F1380" s="4" t="s">
        <v>20</v>
      </c>
      <c r="G1380" s="4" t="s">
        <v>50</v>
      </c>
      <c r="H1380" s="4" t="s">
        <v>44</v>
      </c>
      <c r="I1380" s="5">
        <v>45360</v>
      </c>
      <c r="J1380" s="4">
        <f t="shared" si="21"/>
        <v>9</v>
      </c>
    </row>
    <row r="1381" spans="1:10" x14ac:dyDescent="0.25">
      <c r="A1381" s="4">
        <f>_xlfn.XLOOKUP(E1381,'Data Validation'!$M$3:$M$10,'Data Validation'!$N$3:$N$10)</f>
        <v>3</v>
      </c>
      <c r="B1381" s="4">
        <v>11</v>
      </c>
      <c r="C1381" s="4" t="s">
        <v>11</v>
      </c>
      <c r="D1381" s="7">
        <v>38.700000000000003</v>
      </c>
      <c r="E1381" s="4" t="s">
        <v>29</v>
      </c>
      <c r="F1381" s="4" t="s">
        <v>13</v>
      </c>
      <c r="G1381" s="4" t="s">
        <v>45</v>
      </c>
      <c r="H1381" s="4" t="s">
        <v>44</v>
      </c>
      <c r="I1381" s="5">
        <v>45362</v>
      </c>
      <c r="J1381" s="4">
        <f t="shared" si="21"/>
        <v>9</v>
      </c>
    </row>
    <row r="1382" spans="1:10" x14ac:dyDescent="0.25">
      <c r="A1382" s="4">
        <f>_xlfn.XLOOKUP(E1382,'Data Validation'!$M$3:$M$10,'Data Validation'!$N$3:$N$10)</f>
        <v>3</v>
      </c>
      <c r="B1382" s="4">
        <v>13</v>
      </c>
      <c r="C1382" s="4" t="s">
        <v>11</v>
      </c>
      <c r="D1382" s="7">
        <v>38.700000000000003</v>
      </c>
      <c r="E1382" s="4" t="s">
        <v>29</v>
      </c>
      <c r="F1382" s="4" t="s">
        <v>17</v>
      </c>
      <c r="G1382" s="4" t="s">
        <v>47</v>
      </c>
      <c r="H1382" s="4" t="s">
        <v>44</v>
      </c>
      <c r="I1382" s="5">
        <v>45371</v>
      </c>
      <c r="J1382" s="4">
        <f t="shared" si="21"/>
        <v>9</v>
      </c>
    </row>
    <row r="1383" spans="1:10" x14ac:dyDescent="0.25">
      <c r="A1383" s="4">
        <f>_xlfn.XLOOKUP(E1383,'Data Validation'!$M$3:$M$10,'Data Validation'!$N$3:$N$10)</f>
        <v>3</v>
      </c>
      <c r="B1383" s="4">
        <v>12</v>
      </c>
      <c r="C1383" s="4" t="s">
        <v>11</v>
      </c>
      <c r="D1383" s="7">
        <v>38.700000000000003</v>
      </c>
      <c r="E1383" s="4" t="s">
        <v>29</v>
      </c>
      <c r="F1383" s="4" t="s">
        <v>17</v>
      </c>
      <c r="G1383" s="4" t="s">
        <v>48</v>
      </c>
      <c r="H1383" s="4" t="s">
        <v>44</v>
      </c>
      <c r="I1383" s="5">
        <v>45372</v>
      </c>
      <c r="J1383" s="4">
        <f t="shared" si="21"/>
        <v>9</v>
      </c>
    </row>
    <row r="1384" spans="1:10" x14ac:dyDescent="0.25">
      <c r="A1384" s="4">
        <f>_xlfn.XLOOKUP(E1384,'Data Validation'!$M$3:$M$10,'Data Validation'!$N$3:$N$10)</f>
        <v>3</v>
      </c>
      <c r="B1384" s="4">
        <v>13</v>
      </c>
      <c r="C1384" s="4" t="s">
        <v>11</v>
      </c>
      <c r="D1384" s="7">
        <v>38.700000000000003</v>
      </c>
      <c r="E1384" s="4" t="s">
        <v>29</v>
      </c>
      <c r="F1384" s="4" t="s">
        <v>17</v>
      </c>
      <c r="G1384" s="4" t="s">
        <v>50</v>
      </c>
      <c r="H1384" s="4" t="s">
        <v>44</v>
      </c>
      <c r="I1384" s="5">
        <v>45374</v>
      </c>
      <c r="J1384" s="4">
        <f t="shared" si="21"/>
        <v>9</v>
      </c>
    </row>
    <row r="1385" spans="1:10" x14ac:dyDescent="0.25">
      <c r="A1385" s="4">
        <f>_xlfn.XLOOKUP(E1385,'Data Validation'!$M$3:$M$10,'Data Validation'!$N$3:$N$10)</f>
        <v>3</v>
      </c>
      <c r="B1385" s="4">
        <v>19</v>
      </c>
      <c r="C1385" s="4" t="s">
        <v>11</v>
      </c>
      <c r="D1385" s="7">
        <v>38.700000000000003</v>
      </c>
      <c r="E1385" s="4" t="s">
        <v>29</v>
      </c>
      <c r="F1385" s="4" t="s">
        <v>20</v>
      </c>
      <c r="G1385" s="4" t="s">
        <v>45</v>
      </c>
      <c r="H1385" s="4" t="s">
        <v>44</v>
      </c>
      <c r="I1385" s="5">
        <v>45376</v>
      </c>
      <c r="J1385" s="4">
        <f t="shared" si="21"/>
        <v>9</v>
      </c>
    </row>
    <row r="1386" spans="1:10" x14ac:dyDescent="0.25">
      <c r="A1386" s="4">
        <f>_xlfn.XLOOKUP(E1386,'Data Validation'!$M$3:$M$10,'Data Validation'!$N$3:$N$10)</f>
        <v>3</v>
      </c>
      <c r="B1386" s="4">
        <v>14</v>
      </c>
      <c r="C1386" s="4" t="s">
        <v>11</v>
      </c>
      <c r="D1386" s="7">
        <v>38.700000000000003</v>
      </c>
      <c r="E1386" s="4" t="s">
        <v>29</v>
      </c>
      <c r="F1386" s="4" t="s">
        <v>17</v>
      </c>
      <c r="G1386" s="4" t="s">
        <v>47</v>
      </c>
      <c r="H1386" s="4" t="s">
        <v>44</v>
      </c>
      <c r="I1386" s="5">
        <v>45378</v>
      </c>
      <c r="J1386" s="4">
        <f t="shared" si="21"/>
        <v>9</v>
      </c>
    </row>
    <row r="1387" spans="1:10" x14ac:dyDescent="0.25">
      <c r="A1387" s="4">
        <f>_xlfn.XLOOKUP(E1387,'Data Validation'!$M$3:$M$10,'Data Validation'!$N$3:$N$10)</f>
        <v>3</v>
      </c>
      <c r="B1387" s="4">
        <v>12</v>
      </c>
      <c r="C1387" s="4" t="s">
        <v>11</v>
      </c>
      <c r="D1387" s="7">
        <v>38.700000000000003</v>
      </c>
      <c r="E1387" s="4" t="s">
        <v>29</v>
      </c>
      <c r="F1387" s="4" t="s">
        <v>17</v>
      </c>
      <c r="G1387" s="4" t="s">
        <v>49</v>
      </c>
      <c r="H1387" s="4" t="s">
        <v>44</v>
      </c>
      <c r="I1387" s="5">
        <v>45380</v>
      </c>
      <c r="J1387" s="4">
        <f t="shared" si="21"/>
        <v>9</v>
      </c>
    </row>
    <row r="1388" spans="1:10" x14ac:dyDescent="0.25">
      <c r="A1388" s="4">
        <f>_xlfn.XLOOKUP(E1388,'Data Validation'!$M$3:$M$10,'Data Validation'!$N$3:$N$10)</f>
        <v>3</v>
      </c>
      <c r="B1388" s="4">
        <v>12</v>
      </c>
      <c r="C1388" s="4" t="s">
        <v>11</v>
      </c>
      <c r="D1388" s="7">
        <v>38.700000000000003</v>
      </c>
      <c r="E1388" s="4" t="s">
        <v>29</v>
      </c>
      <c r="F1388" s="4" t="s">
        <v>17</v>
      </c>
      <c r="G1388" s="4" t="s">
        <v>49</v>
      </c>
      <c r="H1388" s="4" t="s">
        <v>44</v>
      </c>
      <c r="I1388" s="5">
        <v>45380</v>
      </c>
      <c r="J1388" s="4">
        <f t="shared" si="21"/>
        <v>9</v>
      </c>
    </row>
    <row r="1389" spans="1:10" x14ac:dyDescent="0.25">
      <c r="A1389" s="4">
        <f>_xlfn.XLOOKUP(E1389,'Data Validation'!$M$3:$M$10,'Data Validation'!$N$3:$N$10)</f>
        <v>3</v>
      </c>
      <c r="B1389" s="4">
        <v>10</v>
      </c>
      <c r="C1389" s="4" t="s">
        <v>11</v>
      </c>
      <c r="D1389" s="7">
        <v>38.700000000000003</v>
      </c>
      <c r="E1389" s="4" t="s">
        <v>29</v>
      </c>
      <c r="F1389" s="4" t="s">
        <v>13</v>
      </c>
      <c r="G1389" s="4" t="s">
        <v>51</v>
      </c>
      <c r="H1389" s="4" t="s">
        <v>44</v>
      </c>
      <c r="I1389" s="5">
        <v>45382</v>
      </c>
      <c r="J1389" s="4">
        <f t="shared" si="21"/>
        <v>9</v>
      </c>
    </row>
    <row r="1390" spans="1:10" x14ac:dyDescent="0.25">
      <c r="A1390" s="4">
        <f>_xlfn.XLOOKUP(E1390,'Data Validation'!$M$3:$M$10,'Data Validation'!$N$3:$N$10)</f>
        <v>3</v>
      </c>
      <c r="B1390" s="4">
        <v>13</v>
      </c>
      <c r="C1390" s="4" t="s">
        <v>11</v>
      </c>
      <c r="D1390" s="7">
        <v>38.700000000000003</v>
      </c>
      <c r="E1390" s="4" t="s">
        <v>29</v>
      </c>
      <c r="F1390" s="4" t="s">
        <v>17</v>
      </c>
      <c r="G1390" s="4" t="s">
        <v>47</v>
      </c>
      <c r="H1390" s="4" t="s">
        <v>52</v>
      </c>
      <c r="I1390" s="5">
        <v>45385</v>
      </c>
      <c r="J1390" s="4">
        <f t="shared" si="21"/>
        <v>9</v>
      </c>
    </row>
    <row r="1391" spans="1:10" x14ac:dyDescent="0.25">
      <c r="A1391" s="4">
        <f>_xlfn.XLOOKUP(E1391,'Data Validation'!$M$3:$M$10,'Data Validation'!$N$3:$N$10)</f>
        <v>3</v>
      </c>
      <c r="B1391" s="4">
        <v>11</v>
      </c>
      <c r="C1391" s="4" t="s">
        <v>11</v>
      </c>
      <c r="D1391" s="7">
        <v>38.700000000000003</v>
      </c>
      <c r="E1391" s="4" t="s">
        <v>29</v>
      </c>
      <c r="F1391" s="4" t="s">
        <v>13</v>
      </c>
      <c r="G1391" s="4" t="s">
        <v>48</v>
      </c>
      <c r="H1391" s="4" t="s">
        <v>52</v>
      </c>
      <c r="I1391" s="5">
        <v>45386</v>
      </c>
      <c r="J1391" s="4">
        <f t="shared" si="21"/>
        <v>9</v>
      </c>
    </row>
    <row r="1392" spans="1:10" x14ac:dyDescent="0.25">
      <c r="A1392" s="4">
        <f>_xlfn.XLOOKUP(E1392,'Data Validation'!$M$3:$M$10,'Data Validation'!$N$3:$N$10)</f>
        <v>3</v>
      </c>
      <c r="B1392" s="4">
        <v>14</v>
      </c>
      <c r="C1392" s="4" t="s">
        <v>11</v>
      </c>
      <c r="D1392" s="7">
        <v>38.700000000000003</v>
      </c>
      <c r="E1392" s="4" t="s">
        <v>29</v>
      </c>
      <c r="F1392" s="4" t="s">
        <v>17</v>
      </c>
      <c r="G1392" s="4" t="s">
        <v>50</v>
      </c>
      <c r="H1392" s="4" t="s">
        <v>52</v>
      </c>
      <c r="I1392" s="5">
        <v>45388</v>
      </c>
      <c r="J1392" s="4">
        <f t="shared" si="21"/>
        <v>9</v>
      </c>
    </row>
    <row r="1393" spans="1:10" x14ac:dyDescent="0.25">
      <c r="A1393" s="4">
        <f>_xlfn.XLOOKUP(E1393,'Data Validation'!$M$3:$M$10,'Data Validation'!$N$3:$N$10)</f>
        <v>3</v>
      </c>
      <c r="B1393" s="4">
        <v>12</v>
      </c>
      <c r="C1393" s="4" t="s">
        <v>11</v>
      </c>
      <c r="D1393" s="7">
        <v>38.700000000000003</v>
      </c>
      <c r="E1393" s="4" t="s">
        <v>29</v>
      </c>
      <c r="F1393" s="4" t="s">
        <v>17</v>
      </c>
      <c r="G1393" s="4" t="s">
        <v>51</v>
      </c>
      <c r="H1393" s="4" t="s">
        <v>52</v>
      </c>
      <c r="I1393" s="5">
        <v>45389</v>
      </c>
      <c r="J1393" s="4">
        <f t="shared" si="21"/>
        <v>9</v>
      </c>
    </row>
    <row r="1394" spans="1:10" x14ac:dyDescent="0.25">
      <c r="A1394" s="4">
        <f>_xlfn.XLOOKUP(E1394,'Data Validation'!$M$3:$M$10,'Data Validation'!$N$3:$N$10)</f>
        <v>3</v>
      </c>
      <c r="B1394" s="4">
        <v>12</v>
      </c>
      <c r="C1394" s="4" t="s">
        <v>11</v>
      </c>
      <c r="D1394" s="7">
        <v>38.700000000000003</v>
      </c>
      <c r="E1394" s="4" t="s">
        <v>29</v>
      </c>
      <c r="F1394" s="4" t="s">
        <v>17</v>
      </c>
      <c r="G1394" s="4" t="s">
        <v>51</v>
      </c>
      <c r="H1394" s="4" t="s">
        <v>52</v>
      </c>
      <c r="I1394" s="5">
        <v>45389</v>
      </c>
      <c r="J1394" s="4">
        <f t="shared" si="21"/>
        <v>9</v>
      </c>
    </row>
    <row r="1395" spans="1:10" x14ac:dyDescent="0.25">
      <c r="A1395" s="4">
        <f>_xlfn.XLOOKUP(E1395,'Data Validation'!$M$3:$M$10,'Data Validation'!$N$3:$N$10)</f>
        <v>3</v>
      </c>
      <c r="B1395" s="4">
        <v>10</v>
      </c>
      <c r="C1395" s="4" t="s">
        <v>11</v>
      </c>
      <c r="D1395" s="7">
        <v>38.700000000000003</v>
      </c>
      <c r="E1395" s="4" t="s">
        <v>29</v>
      </c>
      <c r="F1395" s="4" t="s">
        <v>13</v>
      </c>
      <c r="G1395" s="4" t="s">
        <v>45</v>
      </c>
      <c r="H1395" s="4" t="s">
        <v>52</v>
      </c>
      <c r="I1395" s="5">
        <v>45390</v>
      </c>
      <c r="J1395" s="4">
        <f t="shared" si="21"/>
        <v>9</v>
      </c>
    </row>
    <row r="1396" spans="1:10" x14ac:dyDescent="0.25">
      <c r="A1396" s="4">
        <f>_xlfn.XLOOKUP(E1396,'Data Validation'!$M$3:$M$10,'Data Validation'!$N$3:$N$10)</f>
        <v>3</v>
      </c>
      <c r="B1396" s="4">
        <v>11</v>
      </c>
      <c r="C1396" s="4" t="s">
        <v>11</v>
      </c>
      <c r="D1396" s="7">
        <v>38.700000000000003</v>
      </c>
      <c r="E1396" s="4" t="s">
        <v>29</v>
      </c>
      <c r="F1396" s="4" t="s">
        <v>13</v>
      </c>
      <c r="G1396" s="4" t="s">
        <v>45</v>
      </c>
      <c r="H1396" s="4" t="s">
        <v>52</v>
      </c>
      <c r="I1396" s="5">
        <v>45390</v>
      </c>
      <c r="J1396" s="4">
        <f t="shared" si="21"/>
        <v>9</v>
      </c>
    </row>
    <row r="1397" spans="1:10" x14ac:dyDescent="0.25">
      <c r="A1397" s="4">
        <f>_xlfn.XLOOKUP(E1397,'Data Validation'!$M$3:$M$10,'Data Validation'!$N$3:$N$10)</f>
        <v>3</v>
      </c>
      <c r="B1397" s="4">
        <v>19</v>
      </c>
      <c r="C1397" s="4" t="s">
        <v>11</v>
      </c>
      <c r="D1397" s="7">
        <v>38.700000000000003</v>
      </c>
      <c r="E1397" s="4" t="s">
        <v>29</v>
      </c>
      <c r="F1397" s="4" t="s">
        <v>20</v>
      </c>
      <c r="G1397" s="4" t="s">
        <v>45</v>
      </c>
      <c r="H1397" s="4" t="s">
        <v>52</v>
      </c>
      <c r="I1397" s="5">
        <v>45390</v>
      </c>
      <c r="J1397" s="4">
        <f t="shared" si="21"/>
        <v>9</v>
      </c>
    </row>
    <row r="1398" spans="1:10" x14ac:dyDescent="0.25">
      <c r="A1398" s="4">
        <f>_xlfn.XLOOKUP(E1398,'Data Validation'!$M$3:$M$10,'Data Validation'!$N$3:$N$10)</f>
        <v>3</v>
      </c>
      <c r="B1398" s="4">
        <v>18</v>
      </c>
      <c r="C1398" s="4" t="s">
        <v>11</v>
      </c>
      <c r="D1398" s="7">
        <v>38.700000000000003</v>
      </c>
      <c r="E1398" s="4" t="s">
        <v>29</v>
      </c>
      <c r="F1398" s="4" t="s">
        <v>20</v>
      </c>
      <c r="G1398" s="4" t="s">
        <v>47</v>
      </c>
      <c r="H1398" s="4" t="s">
        <v>52</v>
      </c>
      <c r="I1398" s="5">
        <v>45392</v>
      </c>
      <c r="J1398" s="4">
        <f t="shared" si="21"/>
        <v>9</v>
      </c>
    </row>
    <row r="1399" spans="1:10" x14ac:dyDescent="0.25">
      <c r="A1399" s="4">
        <f>_xlfn.XLOOKUP(E1399,'Data Validation'!$M$3:$M$10,'Data Validation'!$N$3:$N$10)</f>
        <v>3</v>
      </c>
      <c r="B1399" s="4">
        <v>19</v>
      </c>
      <c r="C1399" s="4" t="s">
        <v>11</v>
      </c>
      <c r="D1399" s="7">
        <v>38.700000000000003</v>
      </c>
      <c r="E1399" s="4" t="s">
        <v>29</v>
      </c>
      <c r="F1399" s="4" t="s">
        <v>20</v>
      </c>
      <c r="G1399" s="4" t="s">
        <v>48</v>
      </c>
      <c r="H1399" s="4" t="s">
        <v>52</v>
      </c>
      <c r="I1399" s="5">
        <v>45393</v>
      </c>
      <c r="J1399" s="4">
        <f t="shared" si="21"/>
        <v>9</v>
      </c>
    </row>
    <row r="1400" spans="1:10" x14ac:dyDescent="0.25">
      <c r="A1400" s="4">
        <f>_xlfn.XLOOKUP(E1400,'Data Validation'!$M$3:$M$10,'Data Validation'!$N$3:$N$10)</f>
        <v>3</v>
      </c>
      <c r="B1400" s="4">
        <v>16</v>
      </c>
      <c r="C1400" s="4" t="s">
        <v>11</v>
      </c>
      <c r="D1400" s="7">
        <v>38.700000000000003</v>
      </c>
      <c r="E1400" s="4" t="s">
        <v>29</v>
      </c>
      <c r="F1400" s="4" t="s">
        <v>17</v>
      </c>
      <c r="G1400" s="4" t="s">
        <v>50</v>
      </c>
      <c r="H1400" s="4" t="s">
        <v>52</v>
      </c>
      <c r="I1400" s="5">
        <v>45395</v>
      </c>
      <c r="J1400" s="4">
        <f t="shared" si="21"/>
        <v>9</v>
      </c>
    </row>
    <row r="1401" spans="1:10" x14ac:dyDescent="0.25">
      <c r="A1401" s="4">
        <f>_xlfn.XLOOKUP(E1401,'Data Validation'!$M$3:$M$10,'Data Validation'!$N$3:$N$10)</f>
        <v>3</v>
      </c>
      <c r="B1401" s="4">
        <v>17</v>
      </c>
      <c r="C1401" s="4" t="s">
        <v>11</v>
      </c>
      <c r="D1401" s="7">
        <v>38.700000000000003</v>
      </c>
      <c r="E1401" s="4" t="s">
        <v>29</v>
      </c>
      <c r="F1401" s="4" t="s">
        <v>20</v>
      </c>
      <c r="G1401" s="4" t="s">
        <v>50</v>
      </c>
      <c r="H1401" s="4" t="s">
        <v>52</v>
      </c>
      <c r="I1401" s="5">
        <v>45395</v>
      </c>
      <c r="J1401" s="4">
        <f t="shared" si="21"/>
        <v>9</v>
      </c>
    </row>
    <row r="1402" spans="1:10" x14ac:dyDescent="0.25">
      <c r="A1402" s="4">
        <f>_xlfn.XLOOKUP(E1402,'Data Validation'!$M$3:$M$10,'Data Validation'!$N$3:$N$10)</f>
        <v>3</v>
      </c>
      <c r="B1402" s="4">
        <v>17</v>
      </c>
      <c r="C1402" s="4" t="s">
        <v>11</v>
      </c>
      <c r="D1402" s="7">
        <v>38.700000000000003</v>
      </c>
      <c r="E1402" s="4" t="s">
        <v>29</v>
      </c>
      <c r="F1402" s="4" t="s">
        <v>20</v>
      </c>
      <c r="G1402" s="4" t="s">
        <v>50</v>
      </c>
      <c r="H1402" s="4" t="s">
        <v>52</v>
      </c>
      <c r="I1402" s="5">
        <v>45395</v>
      </c>
      <c r="J1402" s="4">
        <f t="shared" si="21"/>
        <v>9</v>
      </c>
    </row>
    <row r="1403" spans="1:10" x14ac:dyDescent="0.25">
      <c r="A1403" s="4">
        <f>_xlfn.XLOOKUP(E1403,'Data Validation'!$M$3:$M$10,'Data Validation'!$N$3:$N$10)</f>
        <v>3</v>
      </c>
      <c r="B1403" s="4">
        <v>12</v>
      </c>
      <c r="C1403" s="4" t="s">
        <v>11</v>
      </c>
      <c r="D1403" s="7">
        <v>38.700000000000003</v>
      </c>
      <c r="E1403" s="4" t="s">
        <v>29</v>
      </c>
      <c r="F1403" s="4" t="s">
        <v>17</v>
      </c>
      <c r="G1403" s="4" t="s">
        <v>51</v>
      </c>
      <c r="H1403" s="4" t="s">
        <v>52</v>
      </c>
      <c r="I1403" s="5">
        <v>45396</v>
      </c>
      <c r="J1403" s="4">
        <f t="shared" si="21"/>
        <v>9</v>
      </c>
    </row>
    <row r="1404" spans="1:10" x14ac:dyDescent="0.25">
      <c r="A1404" s="4">
        <f>_xlfn.XLOOKUP(E1404,'Data Validation'!$M$3:$M$10,'Data Validation'!$N$3:$N$10)</f>
        <v>3</v>
      </c>
      <c r="B1404" s="4">
        <v>15</v>
      </c>
      <c r="C1404" s="4" t="s">
        <v>11</v>
      </c>
      <c r="D1404" s="7">
        <v>38.700000000000003</v>
      </c>
      <c r="E1404" s="4" t="s">
        <v>29</v>
      </c>
      <c r="F1404" s="4" t="s">
        <v>17</v>
      </c>
      <c r="G1404" s="4" t="s">
        <v>51</v>
      </c>
      <c r="H1404" s="4" t="s">
        <v>52</v>
      </c>
      <c r="I1404" s="5">
        <v>45396</v>
      </c>
      <c r="J1404" s="4">
        <f t="shared" si="21"/>
        <v>9</v>
      </c>
    </row>
    <row r="1405" spans="1:10" x14ac:dyDescent="0.25">
      <c r="A1405" s="4">
        <f>_xlfn.XLOOKUP(E1405,'Data Validation'!$M$3:$M$10,'Data Validation'!$N$3:$N$10)</f>
        <v>3</v>
      </c>
      <c r="B1405" s="4">
        <v>18</v>
      </c>
      <c r="C1405" s="4" t="s">
        <v>11</v>
      </c>
      <c r="D1405" s="7">
        <v>38.700000000000003</v>
      </c>
      <c r="E1405" s="4" t="s">
        <v>29</v>
      </c>
      <c r="F1405" s="4" t="s">
        <v>20</v>
      </c>
      <c r="G1405" s="4" t="s">
        <v>51</v>
      </c>
      <c r="H1405" s="4" t="s">
        <v>52</v>
      </c>
      <c r="I1405" s="5">
        <v>45396</v>
      </c>
      <c r="J1405" s="4">
        <f t="shared" si="21"/>
        <v>9</v>
      </c>
    </row>
    <row r="1406" spans="1:10" x14ac:dyDescent="0.25">
      <c r="A1406" s="4">
        <f>_xlfn.XLOOKUP(E1406,'Data Validation'!$M$3:$M$10,'Data Validation'!$N$3:$N$10)</f>
        <v>3</v>
      </c>
      <c r="B1406" s="4">
        <v>17</v>
      </c>
      <c r="C1406" s="4" t="s">
        <v>11</v>
      </c>
      <c r="D1406" s="7">
        <v>38.700000000000003</v>
      </c>
      <c r="E1406" s="4" t="s">
        <v>29</v>
      </c>
      <c r="F1406" s="4" t="s">
        <v>20</v>
      </c>
      <c r="G1406" s="4" t="s">
        <v>46</v>
      </c>
      <c r="H1406" s="4" t="s">
        <v>52</v>
      </c>
      <c r="I1406" s="5">
        <v>45398</v>
      </c>
      <c r="J1406" s="4">
        <f t="shared" si="21"/>
        <v>9</v>
      </c>
    </row>
    <row r="1407" spans="1:10" x14ac:dyDescent="0.25">
      <c r="A1407" s="4">
        <f>_xlfn.XLOOKUP(E1407,'Data Validation'!$M$3:$M$10,'Data Validation'!$N$3:$N$10)</f>
        <v>3</v>
      </c>
      <c r="B1407" s="4">
        <v>17</v>
      </c>
      <c r="C1407" s="4" t="s">
        <v>11</v>
      </c>
      <c r="D1407" s="7">
        <v>38.700000000000003</v>
      </c>
      <c r="E1407" s="4" t="s">
        <v>29</v>
      </c>
      <c r="F1407" s="4" t="s">
        <v>20</v>
      </c>
      <c r="G1407" s="4" t="s">
        <v>47</v>
      </c>
      <c r="H1407" s="4" t="s">
        <v>52</v>
      </c>
      <c r="I1407" s="5">
        <v>45399</v>
      </c>
      <c r="J1407" s="4">
        <f t="shared" si="21"/>
        <v>9</v>
      </c>
    </row>
    <row r="1408" spans="1:10" x14ac:dyDescent="0.25">
      <c r="A1408" s="4">
        <f>_xlfn.XLOOKUP(E1408,'Data Validation'!$M$3:$M$10,'Data Validation'!$N$3:$N$10)</f>
        <v>3</v>
      </c>
      <c r="B1408" s="4">
        <v>17</v>
      </c>
      <c r="C1408" s="4" t="s">
        <v>11</v>
      </c>
      <c r="D1408" s="7">
        <v>38.700000000000003</v>
      </c>
      <c r="E1408" s="4" t="s">
        <v>29</v>
      </c>
      <c r="F1408" s="4" t="s">
        <v>20</v>
      </c>
      <c r="G1408" s="4" t="s">
        <v>47</v>
      </c>
      <c r="H1408" s="4" t="s">
        <v>52</v>
      </c>
      <c r="I1408" s="5">
        <v>45399</v>
      </c>
      <c r="J1408" s="4">
        <f t="shared" si="21"/>
        <v>9</v>
      </c>
    </row>
    <row r="1409" spans="1:10" x14ac:dyDescent="0.25">
      <c r="A1409" s="4">
        <f>_xlfn.XLOOKUP(E1409,'Data Validation'!$M$3:$M$10,'Data Validation'!$N$3:$N$10)</f>
        <v>3</v>
      </c>
      <c r="B1409" s="4">
        <v>14</v>
      </c>
      <c r="C1409" s="4" t="s">
        <v>11</v>
      </c>
      <c r="D1409" s="7">
        <v>38.700000000000003</v>
      </c>
      <c r="E1409" s="4" t="s">
        <v>29</v>
      </c>
      <c r="F1409" s="4" t="s">
        <v>17</v>
      </c>
      <c r="G1409" s="4" t="s">
        <v>48</v>
      </c>
      <c r="H1409" s="4" t="s">
        <v>52</v>
      </c>
      <c r="I1409" s="5">
        <v>45400</v>
      </c>
      <c r="J1409" s="4">
        <f t="shared" si="21"/>
        <v>9</v>
      </c>
    </row>
    <row r="1410" spans="1:10" x14ac:dyDescent="0.25">
      <c r="A1410" s="4">
        <f>_xlfn.XLOOKUP(E1410,'Data Validation'!$M$3:$M$10,'Data Validation'!$N$3:$N$10)</f>
        <v>3</v>
      </c>
      <c r="B1410" s="4">
        <v>18</v>
      </c>
      <c r="C1410" s="4" t="s">
        <v>11</v>
      </c>
      <c r="D1410" s="7">
        <v>38.700000000000003</v>
      </c>
      <c r="E1410" s="4" t="s">
        <v>29</v>
      </c>
      <c r="F1410" s="4" t="s">
        <v>20</v>
      </c>
      <c r="G1410" s="4" t="s">
        <v>48</v>
      </c>
      <c r="H1410" s="4" t="s">
        <v>52</v>
      </c>
      <c r="I1410" s="5">
        <v>45400</v>
      </c>
      <c r="J1410" s="4">
        <f t="shared" si="21"/>
        <v>9</v>
      </c>
    </row>
    <row r="1411" spans="1:10" x14ac:dyDescent="0.25">
      <c r="A1411" s="4">
        <f>_xlfn.XLOOKUP(E1411,'Data Validation'!$M$3:$M$10,'Data Validation'!$N$3:$N$10)</f>
        <v>3</v>
      </c>
      <c r="B1411" s="4">
        <v>13</v>
      </c>
      <c r="C1411" s="4" t="s">
        <v>11</v>
      </c>
      <c r="D1411" s="7">
        <v>38.700000000000003</v>
      </c>
      <c r="E1411" s="4" t="s">
        <v>29</v>
      </c>
      <c r="F1411" s="4" t="s">
        <v>17</v>
      </c>
      <c r="G1411" s="4" t="s">
        <v>49</v>
      </c>
      <c r="H1411" s="4" t="s">
        <v>52</v>
      </c>
      <c r="I1411" s="5">
        <v>45401</v>
      </c>
      <c r="J1411" s="4">
        <f t="shared" ref="J1411:J1474" si="22">IF(OR(E1411&lt;&gt;E1410,D1411&lt;&gt;D1410),J1410+1,J1410)</f>
        <v>9</v>
      </c>
    </row>
    <row r="1412" spans="1:10" x14ac:dyDescent="0.25">
      <c r="A1412" s="4">
        <f>_xlfn.XLOOKUP(E1412,'Data Validation'!$M$3:$M$10,'Data Validation'!$N$3:$N$10)</f>
        <v>3</v>
      </c>
      <c r="B1412" s="4">
        <v>13</v>
      </c>
      <c r="C1412" s="4" t="s">
        <v>11</v>
      </c>
      <c r="D1412" s="7">
        <v>38.700000000000003</v>
      </c>
      <c r="E1412" s="4" t="s">
        <v>29</v>
      </c>
      <c r="F1412" s="4" t="s">
        <v>17</v>
      </c>
      <c r="G1412" s="4" t="s">
        <v>49</v>
      </c>
      <c r="H1412" s="4" t="s">
        <v>52</v>
      </c>
      <c r="I1412" s="5">
        <v>45401</v>
      </c>
      <c r="J1412" s="4">
        <f t="shared" si="22"/>
        <v>9</v>
      </c>
    </row>
    <row r="1413" spans="1:10" x14ac:dyDescent="0.25">
      <c r="A1413" s="4">
        <f>_xlfn.XLOOKUP(E1413,'Data Validation'!$M$3:$M$10,'Data Validation'!$N$3:$N$10)</f>
        <v>3</v>
      </c>
      <c r="B1413" s="4">
        <v>14</v>
      </c>
      <c r="C1413" s="4" t="s">
        <v>11</v>
      </c>
      <c r="D1413" s="7">
        <v>38.700000000000003</v>
      </c>
      <c r="E1413" s="4" t="s">
        <v>29</v>
      </c>
      <c r="F1413" s="4" t="s">
        <v>17</v>
      </c>
      <c r="G1413" s="4" t="s">
        <v>50</v>
      </c>
      <c r="H1413" s="4" t="s">
        <v>52</v>
      </c>
      <c r="I1413" s="5">
        <v>45402</v>
      </c>
      <c r="J1413" s="4">
        <f t="shared" si="22"/>
        <v>9</v>
      </c>
    </row>
    <row r="1414" spans="1:10" x14ac:dyDescent="0.25">
      <c r="A1414" s="4">
        <f>_xlfn.XLOOKUP(E1414,'Data Validation'!$M$3:$M$10,'Data Validation'!$N$3:$N$10)</f>
        <v>3</v>
      </c>
      <c r="B1414" s="4">
        <v>18</v>
      </c>
      <c r="C1414" s="4" t="s">
        <v>11</v>
      </c>
      <c r="D1414" s="7">
        <v>37.72</v>
      </c>
      <c r="E1414" s="4" t="s">
        <v>29</v>
      </c>
      <c r="F1414" s="4" t="s">
        <v>20</v>
      </c>
      <c r="G1414" s="4" t="s">
        <v>50</v>
      </c>
      <c r="H1414" s="4" t="s">
        <v>52</v>
      </c>
      <c r="I1414" s="5">
        <v>45402</v>
      </c>
      <c r="J1414" s="4">
        <f t="shared" si="22"/>
        <v>10</v>
      </c>
    </row>
    <row r="1415" spans="1:10" x14ac:dyDescent="0.25">
      <c r="A1415" s="4">
        <f>_xlfn.XLOOKUP(E1415,'Data Validation'!$M$3:$M$10,'Data Validation'!$N$3:$N$10)</f>
        <v>3</v>
      </c>
      <c r="B1415" s="4">
        <v>18</v>
      </c>
      <c r="C1415" s="4" t="s">
        <v>11</v>
      </c>
      <c r="D1415" s="7">
        <v>37.72</v>
      </c>
      <c r="E1415" s="4" t="s">
        <v>29</v>
      </c>
      <c r="F1415" s="4" t="s">
        <v>20</v>
      </c>
      <c r="G1415" s="4" t="s">
        <v>50</v>
      </c>
      <c r="H1415" s="4" t="s">
        <v>52</v>
      </c>
      <c r="I1415" s="5">
        <v>45402</v>
      </c>
      <c r="J1415" s="4">
        <f t="shared" si="22"/>
        <v>10</v>
      </c>
    </row>
    <row r="1416" spans="1:10" x14ac:dyDescent="0.25">
      <c r="A1416" s="4">
        <f>_xlfn.XLOOKUP(E1416,'Data Validation'!$M$3:$M$10,'Data Validation'!$N$3:$N$10)</f>
        <v>3</v>
      </c>
      <c r="B1416" s="4">
        <v>14</v>
      </c>
      <c r="C1416" s="4" t="s">
        <v>11</v>
      </c>
      <c r="D1416" s="7">
        <v>37.72</v>
      </c>
      <c r="E1416" s="4" t="s">
        <v>29</v>
      </c>
      <c r="F1416" s="4" t="s">
        <v>17</v>
      </c>
      <c r="G1416" s="4" t="s">
        <v>46</v>
      </c>
      <c r="H1416" s="4" t="s">
        <v>52</v>
      </c>
      <c r="I1416" s="5">
        <v>45405</v>
      </c>
      <c r="J1416" s="4">
        <f t="shared" si="22"/>
        <v>10</v>
      </c>
    </row>
    <row r="1417" spans="1:10" x14ac:dyDescent="0.25">
      <c r="A1417" s="4">
        <f>_xlfn.XLOOKUP(E1417,'Data Validation'!$M$3:$M$10,'Data Validation'!$N$3:$N$10)</f>
        <v>3</v>
      </c>
      <c r="B1417" s="4">
        <v>14</v>
      </c>
      <c r="C1417" s="4" t="s">
        <v>11</v>
      </c>
      <c r="D1417" s="7">
        <v>37.72</v>
      </c>
      <c r="E1417" s="4" t="s">
        <v>29</v>
      </c>
      <c r="F1417" s="4" t="s">
        <v>17</v>
      </c>
      <c r="G1417" s="4" t="s">
        <v>46</v>
      </c>
      <c r="H1417" s="4" t="s">
        <v>52</v>
      </c>
      <c r="I1417" s="5">
        <v>45405</v>
      </c>
      <c r="J1417" s="4">
        <f t="shared" si="22"/>
        <v>10</v>
      </c>
    </row>
    <row r="1418" spans="1:10" x14ac:dyDescent="0.25">
      <c r="A1418" s="4">
        <f>_xlfn.XLOOKUP(E1418,'Data Validation'!$M$3:$M$10,'Data Validation'!$N$3:$N$10)</f>
        <v>3</v>
      </c>
      <c r="B1418" s="4">
        <v>19</v>
      </c>
      <c r="C1418" s="4" t="s">
        <v>11</v>
      </c>
      <c r="D1418" s="7">
        <v>37.72</v>
      </c>
      <c r="E1418" s="4" t="s">
        <v>29</v>
      </c>
      <c r="F1418" s="4" t="s">
        <v>20</v>
      </c>
      <c r="G1418" s="4" t="s">
        <v>47</v>
      </c>
      <c r="H1418" s="4" t="s">
        <v>52</v>
      </c>
      <c r="I1418" s="5">
        <v>45406</v>
      </c>
      <c r="J1418" s="4">
        <f t="shared" si="22"/>
        <v>10</v>
      </c>
    </row>
    <row r="1419" spans="1:10" x14ac:dyDescent="0.25">
      <c r="A1419" s="4">
        <f>_xlfn.XLOOKUP(E1419,'Data Validation'!$M$3:$M$10,'Data Validation'!$N$3:$N$10)</f>
        <v>3</v>
      </c>
      <c r="B1419" s="4">
        <v>13</v>
      </c>
      <c r="C1419" s="4" t="s">
        <v>11</v>
      </c>
      <c r="D1419" s="7">
        <v>37.72</v>
      </c>
      <c r="E1419" s="4" t="s">
        <v>29</v>
      </c>
      <c r="F1419" s="4" t="s">
        <v>17</v>
      </c>
      <c r="G1419" s="4" t="s">
        <v>49</v>
      </c>
      <c r="H1419" s="4" t="s">
        <v>52</v>
      </c>
      <c r="I1419" s="5">
        <v>45408</v>
      </c>
      <c r="J1419" s="4">
        <f t="shared" si="22"/>
        <v>10</v>
      </c>
    </row>
    <row r="1420" spans="1:10" x14ac:dyDescent="0.25">
      <c r="A1420" s="4">
        <f>_xlfn.XLOOKUP(E1420,'Data Validation'!$M$3:$M$10,'Data Validation'!$N$3:$N$10)</f>
        <v>3</v>
      </c>
      <c r="B1420" s="4">
        <v>15</v>
      </c>
      <c r="C1420" s="4" t="s">
        <v>11</v>
      </c>
      <c r="D1420" s="7">
        <v>37.72</v>
      </c>
      <c r="E1420" s="4" t="s">
        <v>29</v>
      </c>
      <c r="F1420" s="4" t="s">
        <v>17</v>
      </c>
      <c r="G1420" s="4" t="s">
        <v>50</v>
      </c>
      <c r="H1420" s="4" t="s">
        <v>52</v>
      </c>
      <c r="I1420" s="5">
        <v>45409</v>
      </c>
      <c r="J1420" s="4">
        <f t="shared" si="22"/>
        <v>10</v>
      </c>
    </row>
    <row r="1421" spans="1:10" x14ac:dyDescent="0.25">
      <c r="A1421" s="4">
        <f>_xlfn.XLOOKUP(E1421,'Data Validation'!$M$3:$M$10,'Data Validation'!$N$3:$N$10)</f>
        <v>3</v>
      </c>
      <c r="B1421" s="4">
        <v>12</v>
      </c>
      <c r="C1421" s="4" t="s">
        <v>11</v>
      </c>
      <c r="D1421" s="7">
        <v>37.72</v>
      </c>
      <c r="E1421" s="4" t="s">
        <v>29</v>
      </c>
      <c r="F1421" s="4" t="s">
        <v>17</v>
      </c>
      <c r="G1421" s="4" t="s">
        <v>51</v>
      </c>
      <c r="H1421" s="4" t="s">
        <v>52</v>
      </c>
      <c r="I1421" s="5">
        <v>45410</v>
      </c>
      <c r="J1421" s="4">
        <f t="shared" si="22"/>
        <v>10</v>
      </c>
    </row>
    <row r="1422" spans="1:10" x14ac:dyDescent="0.25">
      <c r="A1422" s="4">
        <f>_xlfn.XLOOKUP(E1422,'Data Validation'!$M$3:$M$10,'Data Validation'!$N$3:$N$10)</f>
        <v>3</v>
      </c>
      <c r="B1422" s="4">
        <v>18</v>
      </c>
      <c r="C1422" s="4" t="s">
        <v>11</v>
      </c>
      <c r="D1422" s="7">
        <v>37.72</v>
      </c>
      <c r="E1422" s="4" t="s">
        <v>29</v>
      </c>
      <c r="F1422" s="4" t="s">
        <v>20</v>
      </c>
      <c r="G1422" s="4" t="s">
        <v>45</v>
      </c>
      <c r="H1422" s="4" t="s">
        <v>52</v>
      </c>
      <c r="I1422" s="5">
        <v>45411</v>
      </c>
      <c r="J1422" s="4">
        <f t="shared" si="22"/>
        <v>10</v>
      </c>
    </row>
    <row r="1423" spans="1:10" x14ac:dyDescent="0.25">
      <c r="A1423" s="4">
        <f>_xlfn.XLOOKUP(E1423,'Data Validation'!$M$3:$M$10,'Data Validation'!$N$3:$N$10)</f>
        <v>3</v>
      </c>
      <c r="B1423" s="4">
        <v>19</v>
      </c>
      <c r="C1423" s="4" t="s">
        <v>11</v>
      </c>
      <c r="D1423" s="7">
        <v>37.72</v>
      </c>
      <c r="E1423" s="4" t="s">
        <v>29</v>
      </c>
      <c r="F1423" s="4" t="s">
        <v>20</v>
      </c>
      <c r="G1423" s="4" t="s">
        <v>45</v>
      </c>
      <c r="H1423" s="4" t="s">
        <v>52</v>
      </c>
      <c r="I1423" s="5">
        <v>45411</v>
      </c>
      <c r="J1423" s="4">
        <f t="shared" si="22"/>
        <v>10</v>
      </c>
    </row>
    <row r="1424" spans="1:10" x14ac:dyDescent="0.25">
      <c r="A1424" s="4">
        <f>_xlfn.XLOOKUP(E1424,'Data Validation'!$M$3:$M$10,'Data Validation'!$N$3:$N$10)</f>
        <v>3</v>
      </c>
      <c r="B1424" s="4">
        <v>19</v>
      </c>
      <c r="C1424" s="4" t="s">
        <v>11</v>
      </c>
      <c r="D1424" s="7">
        <v>37.72</v>
      </c>
      <c r="E1424" s="4" t="s">
        <v>29</v>
      </c>
      <c r="F1424" s="4" t="s">
        <v>20</v>
      </c>
      <c r="G1424" s="4" t="s">
        <v>45</v>
      </c>
      <c r="H1424" s="4" t="s">
        <v>52</v>
      </c>
      <c r="I1424" s="5">
        <v>45411</v>
      </c>
      <c r="J1424" s="4">
        <f t="shared" si="22"/>
        <v>10</v>
      </c>
    </row>
    <row r="1425" spans="1:10" x14ac:dyDescent="0.25">
      <c r="A1425" s="4">
        <f>_xlfn.XLOOKUP(E1425,'Data Validation'!$M$3:$M$10,'Data Validation'!$N$3:$N$10)</f>
        <v>3</v>
      </c>
      <c r="B1425" s="4">
        <v>19</v>
      </c>
      <c r="C1425" s="4" t="s">
        <v>11</v>
      </c>
      <c r="D1425" s="7">
        <v>37.72</v>
      </c>
      <c r="E1425" s="4" t="s">
        <v>29</v>
      </c>
      <c r="F1425" s="4" t="s">
        <v>20</v>
      </c>
      <c r="G1425" s="4" t="s">
        <v>46</v>
      </c>
      <c r="H1425" s="4" t="s">
        <v>52</v>
      </c>
      <c r="I1425" s="5">
        <v>45412</v>
      </c>
      <c r="J1425" s="4">
        <f t="shared" si="22"/>
        <v>10</v>
      </c>
    </row>
    <row r="1426" spans="1:10" x14ac:dyDescent="0.25">
      <c r="A1426" s="4">
        <f>_xlfn.XLOOKUP(E1426,'Data Validation'!$M$3:$M$10,'Data Validation'!$N$3:$N$10)</f>
        <v>3</v>
      </c>
      <c r="B1426" s="4">
        <v>18</v>
      </c>
      <c r="C1426" s="4" t="s">
        <v>11</v>
      </c>
      <c r="D1426" s="7">
        <v>37.72</v>
      </c>
      <c r="E1426" s="4" t="s">
        <v>29</v>
      </c>
      <c r="F1426" s="4" t="s">
        <v>20</v>
      </c>
      <c r="G1426" s="4" t="s">
        <v>48</v>
      </c>
      <c r="H1426" s="4" t="s">
        <v>32</v>
      </c>
      <c r="I1426" s="5">
        <v>45414</v>
      </c>
      <c r="J1426" s="4">
        <f t="shared" si="22"/>
        <v>10</v>
      </c>
    </row>
    <row r="1427" spans="1:10" x14ac:dyDescent="0.25">
      <c r="A1427" s="4">
        <f>_xlfn.XLOOKUP(E1427,'Data Validation'!$M$3:$M$10,'Data Validation'!$N$3:$N$10)</f>
        <v>3</v>
      </c>
      <c r="B1427" s="4">
        <v>19</v>
      </c>
      <c r="C1427" s="4" t="s">
        <v>11</v>
      </c>
      <c r="D1427" s="7">
        <v>37.72</v>
      </c>
      <c r="E1427" s="4" t="s">
        <v>29</v>
      </c>
      <c r="F1427" s="4" t="s">
        <v>20</v>
      </c>
      <c r="G1427" s="4" t="s">
        <v>48</v>
      </c>
      <c r="H1427" s="4" t="s">
        <v>32</v>
      </c>
      <c r="I1427" s="5">
        <v>45414</v>
      </c>
      <c r="J1427" s="4">
        <f t="shared" si="22"/>
        <v>10</v>
      </c>
    </row>
    <row r="1428" spans="1:10" x14ac:dyDescent="0.25">
      <c r="A1428" s="4">
        <f>_xlfn.XLOOKUP(E1428,'Data Validation'!$M$3:$M$10,'Data Validation'!$N$3:$N$10)</f>
        <v>3</v>
      </c>
      <c r="B1428" s="4">
        <v>10</v>
      </c>
      <c r="C1428" s="4" t="s">
        <v>11</v>
      </c>
      <c r="D1428" s="7">
        <v>37.72</v>
      </c>
      <c r="E1428" s="4" t="s">
        <v>29</v>
      </c>
      <c r="F1428" s="4" t="s">
        <v>13</v>
      </c>
      <c r="G1428" s="4" t="s">
        <v>45</v>
      </c>
      <c r="H1428" s="4" t="s">
        <v>32</v>
      </c>
      <c r="I1428" s="5">
        <v>45418</v>
      </c>
      <c r="J1428" s="4">
        <f t="shared" si="22"/>
        <v>10</v>
      </c>
    </row>
    <row r="1429" spans="1:10" x14ac:dyDescent="0.25">
      <c r="A1429" s="4">
        <f>_xlfn.XLOOKUP(E1429,'Data Validation'!$M$3:$M$10,'Data Validation'!$N$3:$N$10)</f>
        <v>3</v>
      </c>
      <c r="B1429" s="4">
        <v>19</v>
      </c>
      <c r="C1429" s="4" t="s">
        <v>11</v>
      </c>
      <c r="D1429" s="7">
        <v>37.72</v>
      </c>
      <c r="E1429" s="4" t="s">
        <v>29</v>
      </c>
      <c r="F1429" s="4" t="s">
        <v>20</v>
      </c>
      <c r="G1429" s="4" t="s">
        <v>45</v>
      </c>
      <c r="H1429" s="4" t="s">
        <v>32</v>
      </c>
      <c r="I1429" s="5">
        <v>45418</v>
      </c>
      <c r="J1429" s="4">
        <f t="shared" si="22"/>
        <v>10</v>
      </c>
    </row>
    <row r="1430" spans="1:10" x14ac:dyDescent="0.25">
      <c r="A1430" s="4">
        <f>_xlfn.XLOOKUP(E1430,'Data Validation'!$M$3:$M$10,'Data Validation'!$N$3:$N$10)</f>
        <v>3</v>
      </c>
      <c r="B1430" s="4">
        <v>19</v>
      </c>
      <c r="C1430" s="4" t="s">
        <v>11</v>
      </c>
      <c r="D1430" s="7">
        <v>37.72</v>
      </c>
      <c r="E1430" s="4" t="s">
        <v>29</v>
      </c>
      <c r="F1430" s="4" t="s">
        <v>20</v>
      </c>
      <c r="G1430" s="4" t="s">
        <v>45</v>
      </c>
      <c r="H1430" s="4" t="s">
        <v>32</v>
      </c>
      <c r="I1430" s="5">
        <v>45418</v>
      </c>
      <c r="J1430" s="4">
        <f t="shared" si="22"/>
        <v>10</v>
      </c>
    </row>
    <row r="1431" spans="1:10" x14ac:dyDescent="0.25">
      <c r="A1431" s="4">
        <f>_xlfn.XLOOKUP(E1431,'Data Validation'!$M$3:$M$10,'Data Validation'!$N$3:$N$10)</f>
        <v>3</v>
      </c>
      <c r="B1431" s="4">
        <v>17</v>
      </c>
      <c r="C1431" s="4" t="s">
        <v>11</v>
      </c>
      <c r="D1431" s="7">
        <v>37.72</v>
      </c>
      <c r="E1431" s="4" t="s">
        <v>29</v>
      </c>
      <c r="F1431" s="4" t="s">
        <v>20</v>
      </c>
      <c r="G1431" s="4" t="s">
        <v>46</v>
      </c>
      <c r="H1431" s="4" t="s">
        <v>32</v>
      </c>
      <c r="I1431" s="5">
        <v>45419</v>
      </c>
      <c r="J1431" s="4">
        <f t="shared" si="22"/>
        <v>10</v>
      </c>
    </row>
    <row r="1432" spans="1:10" x14ac:dyDescent="0.25">
      <c r="A1432" s="4">
        <f>_xlfn.XLOOKUP(E1432,'Data Validation'!$M$3:$M$10,'Data Validation'!$N$3:$N$10)</f>
        <v>3</v>
      </c>
      <c r="B1432" s="4">
        <v>19</v>
      </c>
      <c r="C1432" s="4" t="s">
        <v>11</v>
      </c>
      <c r="D1432" s="7">
        <v>37.72</v>
      </c>
      <c r="E1432" s="4" t="s">
        <v>29</v>
      </c>
      <c r="F1432" s="4" t="s">
        <v>20</v>
      </c>
      <c r="G1432" s="4" t="s">
        <v>46</v>
      </c>
      <c r="H1432" s="4" t="s">
        <v>32</v>
      </c>
      <c r="I1432" s="5">
        <v>45419</v>
      </c>
      <c r="J1432" s="4">
        <f t="shared" si="22"/>
        <v>10</v>
      </c>
    </row>
    <row r="1433" spans="1:10" x14ac:dyDescent="0.25">
      <c r="A1433" s="4">
        <f>_xlfn.XLOOKUP(E1433,'Data Validation'!$M$3:$M$10,'Data Validation'!$N$3:$N$10)</f>
        <v>3</v>
      </c>
      <c r="B1433" s="4">
        <v>19</v>
      </c>
      <c r="C1433" s="4" t="s">
        <v>11</v>
      </c>
      <c r="D1433" s="7">
        <v>37.72</v>
      </c>
      <c r="E1433" s="4" t="s">
        <v>29</v>
      </c>
      <c r="F1433" s="4" t="s">
        <v>20</v>
      </c>
      <c r="G1433" s="4" t="s">
        <v>46</v>
      </c>
      <c r="H1433" s="4" t="s">
        <v>32</v>
      </c>
      <c r="I1433" s="5">
        <v>45419</v>
      </c>
      <c r="J1433" s="4">
        <f t="shared" si="22"/>
        <v>10</v>
      </c>
    </row>
    <row r="1434" spans="1:10" x14ac:dyDescent="0.25">
      <c r="A1434" s="4">
        <f>_xlfn.XLOOKUP(E1434,'Data Validation'!$M$3:$M$10,'Data Validation'!$N$3:$N$10)</f>
        <v>3</v>
      </c>
      <c r="B1434" s="4">
        <v>12</v>
      </c>
      <c r="C1434" s="4" t="s">
        <v>11</v>
      </c>
      <c r="D1434" s="7">
        <v>37.72</v>
      </c>
      <c r="E1434" s="4" t="s">
        <v>29</v>
      </c>
      <c r="F1434" s="4" t="s">
        <v>17</v>
      </c>
      <c r="G1434" s="4" t="s">
        <v>48</v>
      </c>
      <c r="H1434" s="4" t="s">
        <v>32</v>
      </c>
      <c r="I1434" s="5">
        <v>45421</v>
      </c>
      <c r="J1434" s="4">
        <f t="shared" si="22"/>
        <v>10</v>
      </c>
    </row>
    <row r="1435" spans="1:10" x14ac:dyDescent="0.25">
      <c r="A1435" s="4">
        <f>_xlfn.XLOOKUP(E1435,'Data Validation'!$M$3:$M$10,'Data Validation'!$N$3:$N$10)</f>
        <v>3</v>
      </c>
      <c r="B1435" s="4">
        <v>17</v>
      </c>
      <c r="C1435" s="4" t="s">
        <v>11</v>
      </c>
      <c r="D1435" s="7">
        <v>37.72</v>
      </c>
      <c r="E1435" s="4" t="s">
        <v>29</v>
      </c>
      <c r="F1435" s="4" t="s">
        <v>20</v>
      </c>
      <c r="G1435" s="4" t="s">
        <v>50</v>
      </c>
      <c r="H1435" s="4" t="s">
        <v>32</v>
      </c>
      <c r="I1435" s="5">
        <v>45423</v>
      </c>
      <c r="J1435" s="4">
        <f t="shared" si="22"/>
        <v>10</v>
      </c>
    </row>
    <row r="1436" spans="1:10" x14ac:dyDescent="0.25">
      <c r="A1436" s="4">
        <f>_xlfn.XLOOKUP(E1436,'Data Validation'!$M$3:$M$10,'Data Validation'!$N$3:$N$10)</f>
        <v>3</v>
      </c>
      <c r="B1436" s="4">
        <v>18</v>
      </c>
      <c r="C1436" s="4" t="s">
        <v>11</v>
      </c>
      <c r="D1436" s="7">
        <v>37.72</v>
      </c>
      <c r="E1436" s="4" t="s">
        <v>29</v>
      </c>
      <c r="F1436" s="4" t="s">
        <v>20</v>
      </c>
      <c r="G1436" s="4" t="s">
        <v>50</v>
      </c>
      <c r="H1436" s="4" t="s">
        <v>32</v>
      </c>
      <c r="I1436" s="5">
        <v>45423</v>
      </c>
      <c r="J1436" s="4">
        <f t="shared" si="22"/>
        <v>10</v>
      </c>
    </row>
    <row r="1437" spans="1:10" x14ac:dyDescent="0.25">
      <c r="A1437" s="4">
        <f>_xlfn.XLOOKUP(E1437,'Data Validation'!$M$3:$M$10,'Data Validation'!$N$3:$N$10)</f>
        <v>3</v>
      </c>
      <c r="B1437" s="4">
        <v>10</v>
      </c>
      <c r="C1437" s="4" t="s">
        <v>11</v>
      </c>
      <c r="D1437" s="7">
        <v>37.72</v>
      </c>
      <c r="E1437" s="4" t="s">
        <v>29</v>
      </c>
      <c r="F1437" s="4" t="s">
        <v>13</v>
      </c>
      <c r="G1437" s="4" t="s">
        <v>46</v>
      </c>
      <c r="H1437" s="4" t="s">
        <v>32</v>
      </c>
      <c r="I1437" s="5">
        <v>45426</v>
      </c>
      <c r="J1437" s="4">
        <f t="shared" si="22"/>
        <v>10</v>
      </c>
    </row>
    <row r="1438" spans="1:10" x14ac:dyDescent="0.25">
      <c r="A1438" s="4">
        <f>_xlfn.XLOOKUP(E1438,'Data Validation'!$M$3:$M$10,'Data Validation'!$N$3:$N$10)</f>
        <v>3</v>
      </c>
      <c r="B1438" s="4">
        <v>11</v>
      </c>
      <c r="C1438" s="4" t="s">
        <v>11</v>
      </c>
      <c r="D1438" s="7">
        <v>37.72</v>
      </c>
      <c r="E1438" s="4" t="s">
        <v>29</v>
      </c>
      <c r="F1438" s="4" t="s">
        <v>13</v>
      </c>
      <c r="G1438" s="4" t="s">
        <v>46</v>
      </c>
      <c r="H1438" s="4" t="s">
        <v>32</v>
      </c>
      <c r="I1438" s="5">
        <v>45426</v>
      </c>
      <c r="J1438" s="4">
        <f t="shared" si="22"/>
        <v>10</v>
      </c>
    </row>
    <row r="1439" spans="1:10" x14ac:dyDescent="0.25">
      <c r="A1439" s="4">
        <f>_xlfn.XLOOKUP(E1439,'Data Validation'!$M$3:$M$10,'Data Validation'!$N$3:$N$10)</f>
        <v>3</v>
      </c>
      <c r="B1439" s="4">
        <v>14</v>
      </c>
      <c r="C1439" s="4" t="s">
        <v>11</v>
      </c>
      <c r="D1439" s="7">
        <v>37.72</v>
      </c>
      <c r="E1439" s="4" t="s">
        <v>29</v>
      </c>
      <c r="F1439" s="4" t="s">
        <v>17</v>
      </c>
      <c r="G1439" s="4" t="s">
        <v>46</v>
      </c>
      <c r="H1439" s="4" t="s">
        <v>32</v>
      </c>
      <c r="I1439" s="5">
        <v>45426</v>
      </c>
      <c r="J1439" s="4">
        <f t="shared" si="22"/>
        <v>10</v>
      </c>
    </row>
    <row r="1440" spans="1:10" x14ac:dyDescent="0.25">
      <c r="A1440" s="4">
        <f>_xlfn.XLOOKUP(E1440,'Data Validation'!$M$3:$M$10,'Data Validation'!$N$3:$N$10)</f>
        <v>3</v>
      </c>
      <c r="B1440" s="4">
        <v>16</v>
      </c>
      <c r="C1440" s="4" t="s">
        <v>11</v>
      </c>
      <c r="D1440" s="7">
        <v>37.72</v>
      </c>
      <c r="E1440" s="4" t="s">
        <v>29</v>
      </c>
      <c r="F1440" s="4" t="s">
        <v>17</v>
      </c>
      <c r="G1440" s="4" t="s">
        <v>46</v>
      </c>
      <c r="H1440" s="4" t="s">
        <v>32</v>
      </c>
      <c r="I1440" s="5">
        <v>45426</v>
      </c>
      <c r="J1440" s="4">
        <f t="shared" si="22"/>
        <v>10</v>
      </c>
    </row>
    <row r="1441" spans="1:10" x14ac:dyDescent="0.25">
      <c r="A1441" s="4">
        <f>_xlfn.XLOOKUP(E1441,'Data Validation'!$M$3:$M$10,'Data Validation'!$N$3:$N$10)</f>
        <v>3</v>
      </c>
      <c r="B1441" s="4">
        <v>20</v>
      </c>
      <c r="C1441" s="4" t="s">
        <v>11</v>
      </c>
      <c r="D1441" s="7">
        <v>37.72</v>
      </c>
      <c r="E1441" s="4" t="s">
        <v>29</v>
      </c>
      <c r="F1441" s="4" t="s">
        <v>20</v>
      </c>
      <c r="G1441" s="4" t="s">
        <v>47</v>
      </c>
      <c r="H1441" s="4" t="s">
        <v>32</v>
      </c>
      <c r="I1441" s="5">
        <v>45427</v>
      </c>
      <c r="J1441" s="4">
        <f t="shared" si="22"/>
        <v>10</v>
      </c>
    </row>
    <row r="1442" spans="1:10" x14ac:dyDescent="0.25">
      <c r="A1442" s="4">
        <f>_xlfn.XLOOKUP(E1442,'Data Validation'!$M$3:$M$10,'Data Validation'!$N$3:$N$10)</f>
        <v>3</v>
      </c>
      <c r="B1442" s="4">
        <v>19</v>
      </c>
      <c r="C1442" s="4" t="s">
        <v>11</v>
      </c>
      <c r="D1442" s="7">
        <v>37.72</v>
      </c>
      <c r="E1442" s="4" t="s">
        <v>29</v>
      </c>
      <c r="F1442" s="4" t="s">
        <v>20</v>
      </c>
      <c r="G1442" s="4" t="s">
        <v>49</v>
      </c>
      <c r="H1442" s="4" t="s">
        <v>32</v>
      </c>
      <c r="I1442" s="5">
        <v>45429</v>
      </c>
      <c r="J1442" s="4">
        <f t="shared" si="22"/>
        <v>10</v>
      </c>
    </row>
    <row r="1443" spans="1:10" x14ac:dyDescent="0.25">
      <c r="A1443" s="4">
        <f>_xlfn.XLOOKUP(E1443,'Data Validation'!$M$3:$M$10,'Data Validation'!$N$3:$N$10)</f>
        <v>3</v>
      </c>
      <c r="B1443" s="4">
        <v>20</v>
      </c>
      <c r="C1443" s="4" t="s">
        <v>11</v>
      </c>
      <c r="D1443" s="7">
        <v>37.72</v>
      </c>
      <c r="E1443" s="4" t="s">
        <v>29</v>
      </c>
      <c r="F1443" s="4" t="s">
        <v>20</v>
      </c>
      <c r="G1443" s="4" t="s">
        <v>49</v>
      </c>
      <c r="H1443" s="4" t="s">
        <v>32</v>
      </c>
      <c r="I1443" s="5">
        <v>45429</v>
      </c>
      <c r="J1443" s="4">
        <f t="shared" si="22"/>
        <v>10</v>
      </c>
    </row>
    <row r="1444" spans="1:10" x14ac:dyDescent="0.25">
      <c r="A1444" s="4">
        <f>_xlfn.XLOOKUP(E1444,'Data Validation'!$M$3:$M$10,'Data Validation'!$N$3:$N$10)</f>
        <v>3</v>
      </c>
      <c r="B1444" s="4">
        <v>8</v>
      </c>
      <c r="C1444" s="4" t="s">
        <v>11</v>
      </c>
      <c r="D1444" s="7">
        <v>37.72</v>
      </c>
      <c r="E1444" s="4" t="s">
        <v>29</v>
      </c>
      <c r="F1444" s="4" t="s">
        <v>13</v>
      </c>
      <c r="G1444" s="4" t="s">
        <v>50</v>
      </c>
      <c r="H1444" s="4" t="s">
        <v>32</v>
      </c>
      <c r="I1444" s="5">
        <v>45430</v>
      </c>
      <c r="J1444" s="4">
        <f t="shared" si="22"/>
        <v>10</v>
      </c>
    </row>
    <row r="1445" spans="1:10" x14ac:dyDescent="0.25">
      <c r="A1445" s="4">
        <f>_xlfn.XLOOKUP(E1445,'Data Validation'!$M$3:$M$10,'Data Validation'!$N$3:$N$10)</f>
        <v>3</v>
      </c>
      <c r="B1445" s="4">
        <v>8</v>
      </c>
      <c r="C1445" s="4" t="s">
        <v>11</v>
      </c>
      <c r="D1445" s="7">
        <v>37.72</v>
      </c>
      <c r="E1445" s="4" t="s">
        <v>29</v>
      </c>
      <c r="F1445" s="4" t="s">
        <v>13</v>
      </c>
      <c r="G1445" s="4" t="s">
        <v>50</v>
      </c>
      <c r="H1445" s="4" t="s">
        <v>32</v>
      </c>
      <c r="I1445" s="5">
        <v>45430</v>
      </c>
      <c r="J1445" s="4">
        <f t="shared" si="22"/>
        <v>10</v>
      </c>
    </row>
    <row r="1446" spans="1:10" x14ac:dyDescent="0.25">
      <c r="A1446" s="4">
        <f>_xlfn.XLOOKUP(E1446,'Data Validation'!$M$3:$M$10,'Data Validation'!$N$3:$N$10)</f>
        <v>3</v>
      </c>
      <c r="B1446" s="4">
        <v>8</v>
      </c>
      <c r="C1446" s="4" t="s">
        <v>11</v>
      </c>
      <c r="D1446" s="7">
        <v>37.72</v>
      </c>
      <c r="E1446" s="4" t="s">
        <v>29</v>
      </c>
      <c r="F1446" s="4" t="s">
        <v>13</v>
      </c>
      <c r="G1446" s="4" t="s">
        <v>51</v>
      </c>
      <c r="H1446" s="4" t="s">
        <v>32</v>
      </c>
      <c r="I1446" s="5">
        <v>45431</v>
      </c>
      <c r="J1446" s="4">
        <f t="shared" si="22"/>
        <v>10</v>
      </c>
    </row>
    <row r="1447" spans="1:10" x14ac:dyDescent="0.25">
      <c r="A1447" s="4">
        <f>_xlfn.XLOOKUP(E1447,'Data Validation'!$M$3:$M$10,'Data Validation'!$N$3:$N$10)</f>
        <v>3</v>
      </c>
      <c r="B1447" s="4">
        <v>19</v>
      </c>
      <c r="C1447" s="4" t="s">
        <v>11</v>
      </c>
      <c r="D1447" s="7">
        <v>37.72</v>
      </c>
      <c r="E1447" s="4" t="s">
        <v>29</v>
      </c>
      <c r="F1447" s="4" t="s">
        <v>20</v>
      </c>
      <c r="G1447" s="4" t="s">
        <v>51</v>
      </c>
      <c r="H1447" s="4" t="s">
        <v>32</v>
      </c>
      <c r="I1447" s="5">
        <v>45431</v>
      </c>
      <c r="J1447" s="4">
        <f t="shared" si="22"/>
        <v>10</v>
      </c>
    </row>
    <row r="1448" spans="1:10" x14ac:dyDescent="0.25">
      <c r="A1448" s="4">
        <f>_xlfn.XLOOKUP(E1448,'Data Validation'!$M$3:$M$10,'Data Validation'!$N$3:$N$10)</f>
        <v>3</v>
      </c>
      <c r="B1448" s="4">
        <v>21</v>
      </c>
      <c r="C1448" s="4" t="s">
        <v>11</v>
      </c>
      <c r="D1448" s="7">
        <v>37.72</v>
      </c>
      <c r="E1448" s="4" t="s">
        <v>29</v>
      </c>
      <c r="F1448" s="4" t="s">
        <v>20</v>
      </c>
      <c r="G1448" s="4" t="s">
        <v>51</v>
      </c>
      <c r="H1448" s="4" t="s">
        <v>32</v>
      </c>
      <c r="I1448" s="5">
        <v>45431</v>
      </c>
      <c r="J1448" s="4">
        <f t="shared" si="22"/>
        <v>10</v>
      </c>
    </row>
    <row r="1449" spans="1:10" x14ac:dyDescent="0.25">
      <c r="A1449" s="4">
        <f>_xlfn.XLOOKUP(E1449,'Data Validation'!$M$3:$M$10,'Data Validation'!$N$3:$N$10)</f>
        <v>3</v>
      </c>
      <c r="B1449" s="4">
        <v>21</v>
      </c>
      <c r="C1449" s="4" t="s">
        <v>11</v>
      </c>
      <c r="D1449" s="7">
        <v>37.72</v>
      </c>
      <c r="E1449" s="4" t="s">
        <v>29</v>
      </c>
      <c r="F1449" s="4" t="s">
        <v>20</v>
      </c>
      <c r="G1449" s="4" t="s">
        <v>51</v>
      </c>
      <c r="H1449" s="4" t="s">
        <v>32</v>
      </c>
      <c r="I1449" s="5">
        <v>45431</v>
      </c>
      <c r="J1449" s="4">
        <f t="shared" si="22"/>
        <v>10</v>
      </c>
    </row>
    <row r="1450" spans="1:10" x14ac:dyDescent="0.25">
      <c r="A1450" s="4">
        <f>_xlfn.XLOOKUP(E1450,'Data Validation'!$M$3:$M$10,'Data Validation'!$N$3:$N$10)</f>
        <v>3</v>
      </c>
      <c r="B1450" s="4">
        <v>14</v>
      </c>
      <c r="C1450" s="4" t="s">
        <v>11</v>
      </c>
      <c r="D1450" s="7">
        <v>37.72</v>
      </c>
      <c r="E1450" s="4" t="s">
        <v>29</v>
      </c>
      <c r="F1450" s="4" t="s">
        <v>17</v>
      </c>
      <c r="G1450" s="4" t="s">
        <v>45</v>
      </c>
      <c r="H1450" s="4" t="s">
        <v>32</v>
      </c>
      <c r="I1450" s="5">
        <v>45432</v>
      </c>
      <c r="J1450" s="4">
        <f t="shared" si="22"/>
        <v>10</v>
      </c>
    </row>
    <row r="1451" spans="1:10" x14ac:dyDescent="0.25">
      <c r="A1451" s="4">
        <f>_xlfn.XLOOKUP(E1451,'Data Validation'!$M$3:$M$10,'Data Validation'!$N$3:$N$10)</f>
        <v>3</v>
      </c>
      <c r="B1451" s="4">
        <v>19</v>
      </c>
      <c r="C1451" s="4" t="s">
        <v>11</v>
      </c>
      <c r="D1451" s="7">
        <v>37.72</v>
      </c>
      <c r="E1451" s="4" t="s">
        <v>29</v>
      </c>
      <c r="F1451" s="4" t="s">
        <v>20</v>
      </c>
      <c r="G1451" s="4" t="s">
        <v>46</v>
      </c>
      <c r="H1451" s="4" t="s">
        <v>32</v>
      </c>
      <c r="I1451" s="5">
        <v>45433</v>
      </c>
      <c r="J1451" s="4">
        <f t="shared" si="22"/>
        <v>10</v>
      </c>
    </row>
    <row r="1452" spans="1:10" x14ac:dyDescent="0.25">
      <c r="A1452" s="4">
        <f>_xlfn.XLOOKUP(E1452,'Data Validation'!$M$3:$M$10,'Data Validation'!$N$3:$N$10)</f>
        <v>3</v>
      </c>
      <c r="B1452" s="4">
        <v>20</v>
      </c>
      <c r="C1452" s="4" t="s">
        <v>11</v>
      </c>
      <c r="D1452" s="7">
        <v>37.72</v>
      </c>
      <c r="E1452" s="4" t="s">
        <v>29</v>
      </c>
      <c r="F1452" s="4" t="s">
        <v>20</v>
      </c>
      <c r="G1452" s="4" t="s">
        <v>46</v>
      </c>
      <c r="H1452" s="4" t="s">
        <v>32</v>
      </c>
      <c r="I1452" s="5">
        <v>45433</v>
      </c>
      <c r="J1452" s="4">
        <f t="shared" si="22"/>
        <v>10</v>
      </c>
    </row>
    <row r="1453" spans="1:10" x14ac:dyDescent="0.25">
      <c r="A1453" s="4">
        <f>_xlfn.XLOOKUP(E1453,'Data Validation'!$M$3:$M$10,'Data Validation'!$N$3:$N$10)</f>
        <v>3</v>
      </c>
      <c r="B1453" s="4">
        <v>9</v>
      </c>
      <c r="C1453" s="4" t="s">
        <v>11</v>
      </c>
      <c r="D1453" s="7">
        <v>37.72</v>
      </c>
      <c r="E1453" s="4" t="s">
        <v>29</v>
      </c>
      <c r="F1453" s="4" t="s">
        <v>13</v>
      </c>
      <c r="G1453" s="4" t="s">
        <v>47</v>
      </c>
      <c r="H1453" s="4" t="s">
        <v>32</v>
      </c>
      <c r="I1453" s="5">
        <v>45434</v>
      </c>
      <c r="J1453" s="4">
        <f t="shared" si="22"/>
        <v>10</v>
      </c>
    </row>
    <row r="1454" spans="1:10" x14ac:dyDescent="0.25">
      <c r="A1454" s="4">
        <f>_xlfn.XLOOKUP(E1454,'Data Validation'!$M$3:$M$10,'Data Validation'!$N$3:$N$10)</f>
        <v>3</v>
      </c>
      <c r="B1454" s="4">
        <v>19</v>
      </c>
      <c r="C1454" s="4" t="s">
        <v>11</v>
      </c>
      <c r="D1454" s="7">
        <v>37.72</v>
      </c>
      <c r="E1454" s="4" t="s">
        <v>29</v>
      </c>
      <c r="F1454" s="4" t="s">
        <v>20</v>
      </c>
      <c r="G1454" s="4" t="s">
        <v>47</v>
      </c>
      <c r="H1454" s="4" t="s">
        <v>32</v>
      </c>
      <c r="I1454" s="5">
        <v>45434</v>
      </c>
      <c r="J1454" s="4">
        <f t="shared" si="22"/>
        <v>10</v>
      </c>
    </row>
    <row r="1455" spans="1:10" x14ac:dyDescent="0.25">
      <c r="A1455" s="4">
        <f>_xlfn.XLOOKUP(E1455,'Data Validation'!$M$3:$M$10,'Data Validation'!$N$3:$N$10)</f>
        <v>3</v>
      </c>
      <c r="B1455" s="4">
        <v>19</v>
      </c>
      <c r="C1455" s="4" t="s">
        <v>11</v>
      </c>
      <c r="D1455" s="7">
        <v>37.72</v>
      </c>
      <c r="E1455" s="4" t="s">
        <v>29</v>
      </c>
      <c r="F1455" s="4" t="s">
        <v>20</v>
      </c>
      <c r="G1455" s="4" t="s">
        <v>47</v>
      </c>
      <c r="H1455" s="4" t="s">
        <v>32</v>
      </c>
      <c r="I1455" s="5">
        <v>45434</v>
      </c>
      <c r="J1455" s="4">
        <f t="shared" si="22"/>
        <v>10</v>
      </c>
    </row>
    <row r="1456" spans="1:10" x14ac:dyDescent="0.25">
      <c r="A1456" s="4">
        <f>_xlfn.XLOOKUP(E1456,'Data Validation'!$M$3:$M$10,'Data Validation'!$N$3:$N$10)</f>
        <v>3</v>
      </c>
      <c r="B1456" s="4">
        <v>21</v>
      </c>
      <c r="C1456" s="4" t="s">
        <v>11</v>
      </c>
      <c r="D1456" s="7">
        <v>37.72</v>
      </c>
      <c r="E1456" s="4" t="s">
        <v>29</v>
      </c>
      <c r="F1456" s="4" t="s">
        <v>20</v>
      </c>
      <c r="G1456" s="4" t="s">
        <v>47</v>
      </c>
      <c r="H1456" s="4" t="s">
        <v>32</v>
      </c>
      <c r="I1456" s="5">
        <v>45434</v>
      </c>
      <c r="J1456" s="4">
        <f t="shared" si="22"/>
        <v>10</v>
      </c>
    </row>
    <row r="1457" spans="1:10" x14ac:dyDescent="0.25">
      <c r="A1457" s="4">
        <f>_xlfn.XLOOKUP(E1457,'Data Validation'!$M$3:$M$10,'Data Validation'!$N$3:$N$10)</f>
        <v>3</v>
      </c>
      <c r="B1457" s="4">
        <v>10</v>
      </c>
      <c r="C1457" s="4" t="s">
        <v>11</v>
      </c>
      <c r="D1457" s="7">
        <v>37.72</v>
      </c>
      <c r="E1457" s="4" t="s">
        <v>29</v>
      </c>
      <c r="F1457" s="4" t="s">
        <v>13</v>
      </c>
      <c r="G1457" s="4" t="s">
        <v>48</v>
      </c>
      <c r="H1457" s="4" t="s">
        <v>32</v>
      </c>
      <c r="I1457" s="5">
        <v>45435</v>
      </c>
      <c r="J1457" s="4">
        <f t="shared" si="22"/>
        <v>10</v>
      </c>
    </row>
    <row r="1458" spans="1:10" x14ac:dyDescent="0.25">
      <c r="A1458" s="4">
        <f>_xlfn.XLOOKUP(E1458,'Data Validation'!$M$3:$M$10,'Data Validation'!$N$3:$N$10)</f>
        <v>3</v>
      </c>
      <c r="B1458" s="4">
        <v>15</v>
      </c>
      <c r="C1458" s="4" t="s">
        <v>11</v>
      </c>
      <c r="D1458" s="7">
        <v>37.72</v>
      </c>
      <c r="E1458" s="4" t="s">
        <v>29</v>
      </c>
      <c r="F1458" s="4" t="s">
        <v>17</v>
      </c>
      <c r="G1458" s="4" t="s">
        <v>48</v>
      </c>
      <c r="H1458" s="4" t="s">
        <v>32</v>
      </c>
      <c r="I1458" s="5">
        <v>45435</v>
      </c>
      <c r="J1458" s="4">
        <f t="shared" si="22"/>
        <v>10</v>
      </c>
    </row>
    <row r="1459" spans="1:10" x14ac:dyDescent="0.25">
      <c r="A1459" s="4">
        <f>_xlfn.XLOOKUP(E1459,'Data Validation'!$M$3:$M$10,'Data Validation'!$N$3:$N$10)</f>
        <v>3</v>
      </c>
      <c r="B1459" s="4">
        <v>15</v>
      </c>
      <c r="C1459" s="4" t="s">
        <v>11</v>
      </c>
      <c r="D1459" s="7">
        <v>37.72</v>
      </c>
      <c r="E1459" s="4" t="s">
        <v>29</v>
      </c>
      <c r="F1459" s="4" t="s">
        <v>17</v>
      </c>
      <c r="G1459" s="4" t="s">
        <v>48</v>
      </c>
      <c r="H1459" s="4" t="s">
        <v>32</v>
      </c>
      <c r="I1459" s="5">
        <v>45435</v>
      </c>
      <c r="J1459" s="4">
        <f t="shared" si="22"/>
        <v>10</v>
      </c>
    </row>
    <row r="1460" spans="1:10" x14ac:dyDescent="0.25">
      <c r="A1460" s="4">
        <f>_xlfn.XLOOKUP(E1460,'Data Validation'!$M$3:$M$10,'Data Validation'!$N$3:$N$10)</f>
        <v>3</v>
      </c>
      <c r="B1460" s="4">
        <v>16</v>
      </c>
      <c r="C1460" s="4" t="s">
        <v>11</v>
      </c>
      <c r="D1460" s="7">
        <v>37.72</v>
      </c>
      <c r="E1460" s="4" t="s">
        <v>29</v>
      </c>
      <c r="F1460" s="4" t="s">
        <v>17</v>
      </c>
      <c r="G1460" s="4" t="s">
        <v>48</v>
      </c>
      <c r="H1460" s="4" t="s">
        <v>32</v>
      </c>
      <c r="I1460" s="5">
        <v>45435</v>
      </c>
      <c r="J1460" s="4">
        <f t="shared" si="22"/>
        <v>10</v>
      </c>
    </row>
    <row r="1461" spans="1:10" x14ac:dyDescent="0.25">
      <c r="A1461" s="4">
        <f>_xlfn.XLOOKUP(E1461,'Data Validation'!$M$3:$M$10,'Data Validation'!$N$3:$N$10)</f>
        <v>3</v>
      </c>
      <c r="B1461" s="4">
        <v>17</v>
      </c>
      <c r="C1461" s="4" t="s">
        <v>11</v>
      </c>
      <c r="D1461" s="7">
        <v>37.72</v>
      </c>
      <c r="E1461" s="4" t="s">
        <v>29</v>
      </c>
      <c r="F1461" s="4" t="s">
        <v>20</v>
      </c>
      <c r="G1461" s="4" t="s">
        <v>48</v>
      </c>
      <c r="H1461" s="4" t="s">
        <v>32</v>
      </c>
      <c r="I1461" s="5">
        <v>45435</v>
      </c>
      <c r="J1461" s="4">
        <f t="shared" si="22"/>
        <v>10</v>
      </c>
    </row>
    <row r="1462" spans="1:10" x14ac:dyDescent="0.25">
      <c r="A1462" s="4">
        <f>_xlfn.XLOOKUP(E1462,'Data Validation'!$M$3:$M$10,'Data Validation'!$N$3:$N$10)</f>
        <v>3</v>
      </c>
      <c r="B1462" s="4">
        <v>19</v>
      </c>
      <c r="C1462" s="4" t="s">
        <v>11</v>
      </c>
      <c r="D1462" s="7">
        <v>37.72</v>
      </c>
      <c r="E1462" s="4" t="s">
        <v>29</v>
      </c>
      <c r="F1462" s="4" t="s">
        <v>20</v>
      </c>
      <c r="G1462" s="4" t="s">
        <v>48</v>
      </c>
      <c r="H1462" s="4" t="s">
        <v>32</v>
      </c>
      <c r="I1462" s="5">
        <v>45435</v>
      </c>
      <c r="J1462" s="4">
        <f t="shared" si="22"/>
        <v>10</v>
      </c>
    </row>
    <row r="1463" spans="1:10" x14ac:dyDescent="0.25">
      <c r="A1463" s="4">
        <f>_xlfn.XLOOKUP(E1463,'Data Validation'!$M$3:$M$10,'Data Validation'!$N$3:$N$10)</f>
        <v>3</v>
      </c>
      <c r="B1463" s="4">
        <v>19</v>
      </c>
      <c r="C1463" s="4" t="s">
        <v>11</v>
      </c>
      <c r="D1463" s="7">
        <v>37.72</v>
      </c>
      <c r="E1463" s="4" t="s">
        <v>29</v>
      </c>
      <c r="F1463" s="4" t="s">
        <v>20</v>
      </c>
      <c r="G1463" s="4" t="s">
        <v>48</v>
      </c>
      <c r="H1463" s="4" t="s">
        <v>32</v>
      </c>
      <c r="I1463" s="5">
        <v>45435</v>
      </c>
      <c r="J1463" s="4">
        <f t="shared" si="22"/>
        <v>10</v>
      </c>
    </row>
    <row r="1464" spans="1:10" x14ac:dyDescent="0.25">
      <c r="A1464" s="4">
        <f>_xlfn.XLOOKUP(E1464,'Data Validation'!$M$3:$M$10,'Data Validation'!$N$3:$N$10)</f>
        <v>3</v>
      </c>
      <c r="B1464" s="4">
        <v>19</v>
      </c>
      <c r="C1464" s="4" t="s">
        <v>11</v>
      </c>
      <c r="D1464" s="7">
        <v>37.72</v>
      </c>
      <c r="E1464" s="4" t="s">
        <v>29</v>
      </c>
      <c r="F1464" s="4" t="s">
        <v>20</v>
      </c>
      <c r="G1464" s="4" t="s">
        <v>48</v>
      </c>
      <c r="H1464" s="4" t="s">
        <v>32</v>
      </c>
      <c r="I1464" s="5">
        <v>45435</v>
      </c>
      <c r="J1464" s="4">
        <f t="shared" si="22"/>
        <v>10</v>
      </c>
    </row>
    <row r="1465" spans="1:10" x14ac:dyDescent="0.25">
      <c r="A1465" s="4">
        <f>_xlfn.XLOOKUP(E1465,'Data Validation'!$M$3:$M$10,'Data Validation'!$N$3:$N$10)</f>
        <v>3</v>
      </c>
      <c r="B1465" s="4">
        <v>20</v>
      </c>
      <c r="C1465" s="4" t="s">
        <v>11</v>
      </c>
      <c r="D1465" s="7">
        <v>37.72</v>
      </c>
      <c r="E1465" s="4" t="s">
        <v>29</v>
      </c>
      <c r="F1465" s="4" t="s">
        <v>20</v>
      </c>
      <c r="G1465" s="4" t="s">
        <v>48</v>
      </c>
      <c r="H1465" s="4" t="s">
        <v>32</v>
      </c>
      <c r="I1465" s="5">
        <v>45435</v>
      </c>
      <c r="J1465" s="4">
        <f t="shared" si="22"/>
        <v>10</v>
      </c>
    </row>
    <row r="1466" spans="1:10" x14ac:dyDescent="0.25">
      <c r="A1466" s="4">
        <f>_xlfn.XLOOKUP(E1466,'Data Validation'!$M$3:$M$10,'Data Validation'!$N$3:$N$10)</f>
        <v>3</v>
      </c>
      <c r="B1466" s="4">
        <v>17</v>
      </c>
      <c r="C1466" s="4" t="s">
        <v>11</v>
      </c>
      <c r="D1466" s="7">
        <v>37.72</v>
      </c>
      <c r="E1466" s="4" t="s">
        <v>29</v>
      </c>
      <c r="F1466" s="4" t="s">
        <v>20</v>
      </c>
      <c r="G1466" s="4" t="s">
        <v>51</v>
      </c>
      <c r="H1466" s="4" t="s">
        <v>32</v>
      </c>
      <c r="I1466" s="5">
        <v>45438</v>
      </c>
      <c r="J1466" s="4">
        <f t="shared" si="22"/>
        <v>10</v>
      </c>
    </row>
    <row r="1467" spans="1:10" x14ac:dyDescent="0.25">
      <c r="A1467" s="4">
        <f>_xlfn.XLOOKUP(E1467,'Data Validation'!$M$3:$M$10,'Data Validation'!$N$3:$N$10)</f>
        <v>3</v>
      </c>
      <c r="B1467" s="4">
        <v>21</v>
      </c>
      <c r="C1467" s="4" t="s">
        <v>11</v>
      </c>
      <c r="D1467" s="7">
        <v>37.72</v>
      </c>
      <c r="E1467" s="4" t="s">
        <v>29</v>
      </c>
      <c r="F1467" s="4" t="s">
        <v>20</v>
      </c>
      <c r="G1467" s="4" t="s">
        <v>51</v>
      </c>
      <c r="H1467" s="4" t="s">
        <v>32</v>
      </c>
      <c r="I1467" s="5">
        <v>45438</v>
      </c>
      <c r="J1467" s="4">
        <f t="shared" si="22"/>
        <v>10</v>
      </c>
    </row>
    <row r="1468" spans="1:10" x14ac:dyDescent="0.25">
      <c r="A1468" s="4">
        <f>_xlfn.XLOOKUP(E1468,'Data Validation'!$M$3:$M$10,'Data Validation'!$N$3:$N$10)</f>
        <v>3</v>
      </c>
      <c r="B1468" s="4">
        <v>21</v>
      </c>
      <c r="C1468" s="4" t="s">
        <v>11</v>
      </c>
      <c r="D1468" s="7">
        <v>37.72</v>
      </c>
      <c r="E1468" s="4" t="s">
        <v>29</v>
      </c>
      <c r="F1468" s="4" t="s">
        <v>20</v>
      </c>
      <c r="G1468" s="4" t="s">
        <v>51</v>
      </c>
      <c r="H1468" s="4" t="s">
        <v>32</v>
      </c>
      <c r="I1468" s="5">
        <v>45438</v>
      </c>
      <c r="J1468" s="4">
        <f t="shared" si="22"/>
        <v>10</v>
      </c>
    </row>
    <row r="1469" spans="1:10" x14ac:dyDescent="0.25">
      <c r="A1469" s="4">
        <f>_xlfn.XLOOKUP(E1469,'Data Validation'!$M$3:$M$10,'Data Validation'!$N$3:$N$10)</f>
        <v>3</v>
      </c>
      <c r="B1469" s="4">
        <v>21</v>
      </c>
      <c r="C1469" s="4" t="s">
        <v>11</v>
      </c>
      <c r="D1469" s="7">
        <v>37.72</v>
      </c>
      <c r="E1469" s="4" t="s">
        <v>29</v>
      </c>
      <c r="F1469" s="4" t="s">
        <v>20</v>
      </c>
      <c r="G1469" s="4" t="s">
        <v>51</v>
      </c>
      <c r="H1469" s="4" t="s">
        <v>32</v>
      </c>
      <c r="I1469" s="5">
        <v>45438</v>
      </c>
      <c r="J1469" s="4">
        <f t="shared" si="22"/>
        <v>10</v>
      </c>
    </row>
    <row r="1470" spans="1:10" x14ac:dyDescent="0.25">
      <c r="A1470" s="4">
        <f>_xlfn.XLOOKUP(E1470,'Data Validation'!$M$3:$M$10,'Data Validation'!$N$3:$N$10)</f>
        <v>3</v>
      </c>
      <c r="B1470" s="4">
        <v>21</v>
      </c>
      <c r="C1470" s="4" t="s">
        <v>11</v>
      </c>
      <c r="D1470" s="7">
        <v>37.72</v>
      </c>
      <c r="E1470" s="4" t="s">
        <v>29</v>
      </c>
      <c r="F1470" s="4" t="s">
        <v>20</v>
      </c>
      <c r="G1470" s="4" t="s">
        <v>45</v>
      </c>
      <c r="H1470" s="4" t="s">
        <v>32</v>
      </c>
      <c r="I1470" s="5">
        <v>45439</v>
      </c>
      <c r="J1470" s="4">
        <f t="shared" si="22"/>
        <v>10</v>
      </c>
    </row>
    <row r="1471" spans="1:10" x14ac:dyDescent="0.25">
      <c r="A1471" s="4">
        <f>_xlfn.XLOOKUP(E1471,'Data Validation'!$M$3:$M$10,'Data Validation'!$N$3:$N$10)</f>
        <v>3</v>
      </c>
      <c r="B1471" s="4">
        <v>11</v>
      </c>
      <c r="C1471" s="4" t="s">
        <v>11</v>
      </c>
      <c r="D1471" s="7">
        <v>37.72</v>
      </c>
      <c r="E1471" s="4" t="s">
        <v>29</v>
      </c>
      <c r="F1471" s="4" t="s">
        <v>13</v>
      </c>
      <c r="G1471" s="4" t="s">
        <v>46</v>
      </c>
      <c r="H1471" s="4" t="s">
        <v>32</v>
      </c>
      <c r="I1471" s="5">
        <v>45440</v>
      </c>
      <c r="J1471" s="4">
        <f t="shared" si="22"/>
        <v>10</v>
      </c>
    </row>
    <row r="1472" spans="1:10" x14ac:dyDescent="0.25">
      <c r="A1472" s="4">
        <f>_xlfn.XLOOKUP(E1472,'Data Validation'!$M$3:$M$10,'Data Validation'!$N$3:$N$10)</f>
        <v>3</v>
      </c>
      <c r="B1472" s="4">
        <v>13</v>
      </c>
      <c r="C1472" s="4" t="s">
        <v>11</v>
      </c>
      <c r="D1472" s="7">
        <v>37.72</v>
      </c>
      <c r="E1472" s="4" t="s">
        <v>29</v>
      </c>
      <c r="F1472" s="4" t="s">
        <v>17</v>
      </c>
      <c r="G1472" s="4" t="s">
        <v>46</v>
      </c>
      <c r="H1472" s="4" t="s">
        <v>32</v>
      </c>
      <c r="I1472" s="5">
        <v>45440</v>
      </c>
      <c r="J1472" s="4">
        <f t="shared" si="22"/>
        <v>10</v>
      </c>
    </row>
    <row r="1473" spans="1:10" x14ac:dyDescent="0.25">
      <c r="A1473" s="4">
        <f>_xlfn.XLOOKUP(E1473,'Data Validation'!$M$3:$M$10,'Data Validation'!$N$3:$N$10)</f>
        <v>3</v>
      </c>
      <c r="B1473" s="4">
        <v>15</v>
      </c>
      <c r="C1473" s="4" t="s">
        <v>11</v>
      </c>
      <c r="D1473" s="7">
        <v>37.72</v>
      </c>
      <c r="E1473" s="4" t="s">
        <v>29</v>
      </c>
      <c r="F1473" s="4" t="s">
        <v>17</v>
      </c>
      <c r="G1473" s="4" t="s">
        <v>47</v>
      </c>
      <c r="H1473" s="4" t="s">
        <v>32</v>
      </c>
      <c r="I1473" s="5">
        <v>45441</v>
      </c>
      <c r="J1473" s="4">
        <f t="shared" si="22"/>
        <v>10</v>
      </c>
    </row>
    <row r="1474" spans="1:10" x14ac:dyDescent="0.25">
      <c r="A1474" s="4">
        <f>_xlfn.XLOOKUP(E1474,'Data Validation'!$M$3:$M$10,'Data Validation'!$N$3:$N$10)</f>
        <v>3</v>
      </c>
      <c r="B1474" s="4">
        <v>8</v>
      </c>
      <c r="C1474" s="4" t="s">
        <v>11</v>
      </c>
      <c r="D1474" s="7">
        <v>37.72</v>
      </c>
      <c r="E1474" s="4" t="s">
        <v>29</v>
      </c>
      <c r="F1474" s="4" t="s">
        <v>13</v>
      </c>
      <c r="G1474" s="4" t="s">
        <v>48</v>
      </c>
      <c r="H1474" s="4" t="s">
        <v>32</v>
      </c>
      <c r="I1474" s="5">
        <v>45442</v>
      </c>
      <c r="J1474" s="4">
        <f t="shared" si="22"/>
        <v>10</v>
      </c>
    </row>
    <row r="1475" spans="1:10" x14ac:dyDescent="0.25">
      <c r="A1475" s="4">
        <f>_xlfn.XLOOKUP(E1475,'Data Validation'!$M$3:$M$10,'Data Validation'!$N$3:$N$10)</f>
        <v>3</v>
      </c>
      <c r="B1475" s="4">
        <v>19</v>
      </c>
      <c r="C1475" s="4" t="s">
        <v>11</v>
      </c>
      <c r="D1475" s="7">
        <v>37.72</v>
      </c>
      <c r="E1475" s="4" t="s">
        <v>29</v>
      </c>
      <c r="F1475" s="4" t="s">
        <v>20</v>
      </c>
      <c r="G1475" s="4" t="s">
        <v>48</v>
      </c>
      <c r="H1475" s="4" t="s">
        <v>32</v>
      </c>
      <c r="I1475" s="5">
        <v>45442</v>
      </c>
      <c r="J1475" s="4">
        <f t="shared" ref="J1475:J1538" si="23">IF(OR(E1475&lt;&gt;E1474,D1475&lt;&gt;D1474),J1474+1,J1474)</f>
        <v>10</v>
      </c>
    </row>
    <row r="1476" spans="1:10" x14ac:dyDescent="0.25">
      <c r="A1476" s="4">
        <f>_xlfn.XLOOKUP(E1476,'Data Validation'!$M$3:$M$10,'Data Validation'!$N$3:$N$10)</f>
        <v>3</v>
      </c>
      <c r="B1476" s="4">
        <v>20</v>
      </c>
      <c r="C1476" s="4" t="s">
        <v>11</v>
      </c>
      <c r="D1476" s="7">
        <v>37.72</v>
      </c>
      <c r="E1476" s="4" t="s">
        <v>29</v>
      </c>
      <c r="F1476" s="4" t="s">
        <v>20</v>
      </c>
      <c r="G1476" s="4" t="s">
        <v>49</v>
      </c>
      <c r="H1476" s="4" t="s">
        <v>32</v>
      </c>
      <c r="I1476" s="5">
        <v>45443</v>
      </c>
      <c r="J1476" s="4">
        <f t="shared" si="23"/>
        <v>10</v>
      </c>
    </row>
    <row r="1477" spans="1:10" x14ac:dyDescent="0.25">
      <c r="A1477" s="4">
        <f>_xlfn.XLOOKUP(E1477,'Data Validation'!$M$3:$M$10,'Data Validation'!$N$3:$N$10)</f>
        <v>3</v>
      </c>
      <c r="B1477" s="4">
        <v>22</v>
      </c>
      <c r="C1477" s="4" t="s">
        <v>11</v>
      </c>
      <c r="D1477" s="7">
        <v>37.72</v>
      </c>
      <c r="E1477" s="4" t="s">
        <v>29</v>
      </c>
      <c r="F1477" s="4" t="s">
        <v>20</v>
      </c>
      <c r="G1477" s="4" t="s">
        <v>49</v>
      </c>
      <c r="H1477" s="4" t="s">
        <v>32</v>
      </c>
      <c r="I1477" s="5">
        <v>45443</v>
      </c>
      <c r="J1477" s="4">
        <f t="shared" si="23"/>
        <v>10</v>
      </c>
    </row>
    <row r="1478" spans="1:10" x14ac:dyDescent="0.25">
      <c r="A1478" s="4">
        <f>_xlfn.XLOOKUP(E1478,'Data Validation'!$M$3:$M$10,'Data Validation'!$N$3:$N$10)</f>
        <v>3</v>
      </c>
      <c r="B1478" s="4">
        <v>20</v>
      </c>
      <c r="C1478" s="4" t="s">
        <v>11</v>
      </c>
      <c r="D1478" s="7">
        <v>37.72</v>
      </c>
      <c r="E1478" s="4" t="s">
        <v>29</v>
      </c>
      <c r="F1478" s="4" t="s">
        <v>20</v>
      </c>
      <c r="G1478" s="4" t="s">
        <v>50</v>
      </c>
      <c r="H1478" s="4" t="s">
        <v>53</v>
      </c>
      <c r="I1478" s="5">
        <v>45444</v>
      </c>
      <c r="J1478" s="4">
        <f t="shared" si="23"/>
        <v>10</v>
      </c>
    </row>
    <row r="1479" spans="1:10" x14ac:dyDescent="0.25">
      <c r="A1479" s="4">
        <f>_xlfn.XLOOKUP(E1479,'Data Validation'!$M$3:$M$10,'Data Validation'!$N$3:$N$10)</f>
        <v>3</v>
      </c>
      <c r="B1479" s="4">
        <v>20</v>
      </c>
      <c r="C1479" s="4" t="s">
        <v>11</v>
      </c>
      <c r="D1479" s="7">
        <v>37.72</v>
      </c>
      <c r="E1479" s="4" t="s">
        <v>29</v>
      </c>
      <c r="F1479" s="4" t="s">
        <v>20</v>
      </c>
      <c r="G1479" s="4" t="s">
        <v>50</v>
      </c>
      <c r="H1479" s="4" t="s">
        <v>53</v>
      </c>
      <c r="I1479" s="5">
        <v>45444</v>
      </c>
      <c r="J1479" s="4">
        <f t="shared" si="23"/>
        <v>10</v>
      </c>
    </row>
    <row r="1480" spans="1:10" x14ac:dyDescent="0.25">
      <c r="A1480" s="4">
        <f>_xlfn.XLOOKUP(E1480,'Data Validation'!$M$3:$M$10,'Data Validation'!$N$3:$N$10)</f>
        <v>3</v>
      </c>
      <c r="B1480" s="4">
        <v>20</v>
      </c>
      <c r="C1480" s="4" t="s">
        <v>11</v>
      </c>
      <c r="D1480" s="7">
        <v>37.72</v>
      </c>
      <c r="E1480" s="4" t="s">
        <v>29</v>
      </c>
      <c r="F1480" s="4" t="s">
        <v>20</v>
      </c>
      <c r="G1480" s="4" t="s">
        <v>51</v>
      </c>
      <c r="H1480" s="4" t="s">
        <v>53</v>
      </c>
      <c r="I1480" s="5">
        <v>45445</v>
      </c>
      <c r="J1480" s="4">
        <f t="shared" si="23"/>
        <v>10</v>
      </c>
    </row>
    <row r="1481" spans="1:10" x14ac:dyDescent="0.25">
      <c r="A1481" s="4">
        <f>_xlfn.XLOOKUP(E1481,'Data Validation'!$M$3:$M$10,'Data Validation'!$N$3:$N$10)</f>
        <v>3</v>
      </c>
      <c r="B1481" s="4">
        <v>14</v>
      </c>
      <c r="C1481" s="4" t="s">
        <v>11</v>
      </c>
      <c r="D1481" s="7">
        <v>37.72</v>
      </c>
      <c r="E1481" s="4" t="s">
        <v>29</v>
      </c>
      <c r="F1481" s="4" t="s">
        <v>17</v>
      </c>
      <c r="G1481" s="4" t="s">
        <v>45</v>
      </c>
      <c r="H1481" s="4" t="s">
        <v>53</v>
      </c>
      <c r="I1481" s="5">
        <v>45446</v>
      </c>
      <c r="J1481" s="4">
        <f t="shared" si="23"/>
        <v>10</v>
      </c>
    </row>
    <row r="1482" spans="1:10" x14ac:dyDescent="0.25">
      <c r="A1482" s="4">
        <f>_xlfn.XLOOKUP(E1482,'Data Validation'!$M$3:$M$10,'Data Validation'!$N$3:$N$10)</f>
        <v>3</v>
      </c>
      <c r="B1482" s="4">
        <v>17</v>
      </c>
      <c r="C1482" s="4" t="s">
        <v>11</v>
      </c>
      <c r="D1482" s="7">
        <v>37.72</v>
      </c>
      <c r="E1482" s="4" t="s">
        <v>29</v>
      </c>
      <c r="F1482" s="4" t="s">
        <v>20</v>
      </c>
      <c r="G1482" s="4" t="s">
        <v>46</v>
      </c>
      <c r="H1482" s="4" t="s">
        <v>53</v>
      </c>
      <c r="I1482" s="5">
        <v>45447</v>
      </c>
      <c r="J1482" s="4">
        <f t="shared" si="23"/>
        <v>10</v>
      </c>
    </row>
    <row r="1483" spans="1:10" x14ac:dyDescent="0.25">
      <c r="A1483" s="4">
        <f>_xlfn.XLOOKUP(E1483,'Data Validation'!$M$3:$M$10,'Data Validation'!$N$3:$N$10)</f>
        <v>3</v>
      </c>
      <c r="B1483" s="4">
        <v>20</v>
      </c>
      <c r="C1483" s="4" t="s">
        <v>11</v>
      </c>
      <c r="D1483" s="7">
        <v>37.72</v>
      </c>
      <c r="E1483" s="4" t="s">
        <v>29</v>
      </c>
      <c r="F1483" s="4" t="s">
        <v>20</v>
      </c>
      <c r="G1483" s="4" t="s">
        <v>46</v>
      </c>
      <c r="H1483" s="4" t="s">
        <v>53</v>
      </c>
      <c r="I1483" s="5">
        <v>45447</v>
      </c>
      <c r="J1483" s="4">
        <f t="shared" si="23"/>
        <v>10</v>
      </c>
    </row>
    <row r="1484" spans="1:10" x14ac:dyDescent="0.25">
      <c r="A1484" s="4">
        <f>_xlfn.XLOOKUP(E1484,'Data Validation'!$M$3:$M$10,'Data Validation'!$N$3:$N$10)</f>
        <v>3</v>
      </c>
      <c r="B1484" s="4">
        <v>8</v>
      </c>
      <c r="C1484" s="4" t="s">
        <v>11</v>
      </c>
      <c r="D1484" s="7">
        <v>37.72</v>
      </c>
      <c r="E1484" s="4" t="s">
        <v>29</v>
      </c>
      <c r="F1484" s="4" t="s">
        <v>13</v>
      </c>
      <c r="G1484" s="4" t="s">
        <v>47</v>
      </c>
      <c r="H1484" s="4" t="s">
        <v>53</v>
      </c>
      <c r="I1484" s="5">
        <v>45448</v>
      </c>
      <c r="J1484" s="4">
        <f t="shared" si="23"/>
        <v>10</v>
      </c>
    </row>
    <row r="1485" spans="1:10" x14ac:dyDescent="0.25">
      <c r="A1485" s="4">
        <f>_xlfn.XLOOKUP(E1485,'Data Validation'!$M$3:$M$10,'Data Validation'!$N$3:$N$10)</f>
        <v>3</v>
      </c>
      <c r="B1485" s="4">
        <v>8</v>
      </c>
      <c r="C1485" s="4" t="s">
        <v>11</v>
      </c>
      <c r="D1485" s="7">
        <v>37.72</v>
      </c>
      <c r="E1485" s="4" t="s">
        <v>29</v>
      </c>
      <c r="F1485" s="4" t="s">
        <v>13</v>
      </c>
      <c r="G1485" s="4" t="s">
        <v>47</v>
      </c>
      <c r="H1485" s="4" t="s">
        <v>53</v>
      </c>
      <c r="I1485" s="5">
        <v>45448</v>
      </c>
      <c r="J1485" s="4">
        <f t="shared" si="23"/>
        <v>10</v>
      </c>
    </row>
    <row r="1486" spans="1:10" x14ac:dyDescent="0.25">
      <c r="A1486" s="4">
        <f>_xlfn.XLOOKUP(E1486,'Data Validation'!$M$3:$M$10,'Data Validation'!$N$3:$N$10)</f>
        <v>3</v>
      </c>
      <c r="B1486" s="4">
        <v>15</v>
      </c>
      <c r="C1486" s="4" t="s">
        <v>11</v>
      </c>
      <c r="D1486" s="7">
        <v>37.72</v>
      </c>
      <c r="E1486" s="4" t="s">
        <v>29</v>
      </c>
      <c r="F1486" s="4" t="s">
        <v>17</v>
      </c>
      <c r="G1486" s="4" t="s">
        <v>48</v>
      </c>
      <c r="H1486" s="4" t="s">
        <v>53</v>
      </c>
      <c r="I1486" s="5">
        <v>45449</v>
      </c>
      <c r="J1486" s="4">
        <f t="shared" si="23"/>
        <v>10</v>
      </c>
    </row>
    <row r="1487" spans="1:10" x14ac:dyDescent="0.25">
      <c r="A1487" s="4">
        <f>_xlfn.XLOOKUP(E1487,'Data Validation'!$M$3:$M$10,'Data Validation'!$N$3:$N$10)</f>
        <v>3</v>
      </c>
      <c r="B1487" s="4">
        <v>21</v>
      </c>
      <c r="C1487" s="4" t="s">
        <v>11</v>
      </c>
      <c r="D1487" s="7">
        <v>37.72</v>
      </c>
      <c r="E1487" s="4" t="s">
        <v>29</v>
      </c>
      <c r="F1487" s="4" t="s">
        <v>20</v>
      </c>
      <c r="G1487" s="4" t="s">
        <v>48</v>
      </c>
      <c r="H1487" s="4" t="s">
        <v>53</v>
      </c>
      <c r="I1487" s="5">
        <v>45449</v>
      </c>
      <c r="J1487" s="4">
        <f t="shared" si="23"/>
        <v>10</v>
      </c>
    </row>
    <row r="1488" spans="1:10" x14ac:dyDescent="0.25">
      <c r="A1488" s="4">
        <f>_xlfn.XLOOKUP(E1488,'Data Validation'!$M$3:$M$10,'Data Validation'!$N$3:$N$10)</f>
        <v>3</v>
      </c>
      <c r="B1488" s="4">
        <v>8</v>
      </c>
      <c r="C1488" s="4" t="s">
        <v>11</v>
      </c>
      <c r="D1488" s="7">
        <v>37.72</v>
      </c>
      <c r="E1488" s="4" t="s">
        <v>29</v>
      </c>
      <c r="F1488" s="4" t="s">
        <v>13</v>
      </c>
      <c r="G1488" s="4" t="s">
        <v>49</v>
      </c>
      <c r="H1488" s="4" t="s">
        <v>53</v>
      </c>
      <c r="I1488" s="5">
        <v>45450</v>
      </c>
      <c r="J1488" s="4">
        <f t="shared" si="23"/>
        <v>10</v>
      </c>
    </row>
    <row r="1489" spans="1:10" x14ac:dyDescent="0.25">
      <c r="A1489" s="4">
        <f>_xlfn.XLOOKUP(E1489,'Data Validation'!$M$3:$M$10,'Data Validation'!$N$3:$N$10)</f>
        <v>3</v>
      </c>
      <c r="B1489" s="4">
        <v>20</v>
      </c>
      <c r="C1489" s="4" t="s">
        <v>11</v>
      </c>
      <c r="D1489" s="7">
        <v>37.72</v>
      </c>
      <c r="E1489" s="4" t="s">
        <v>29</v>
      </c>
      <c r="F1489" s="4" t="s">
        <v>20</v>
      </c>
      <c r="G1489" s="4" t="s">
        <v>50</v>
      </c>
      <c r="H1489" s="4" t="s">
        <v>53</v>
      </c>
      <c r="I1489" s="5">
        <v>45451</v>
      </c>
      <c r="J1489" s="4">
        <f t="shared" si="23"/>
        <v>10</v>
      </c>
    </row>
    <row r="1490" spans="1:10" x14ac:dyDescent="0.25">
      <c r="A1490" s="4">
        <f>_xlfn.XLOOKUP(E1490,'Data Validation'!$M$3:$M$10,'Data Validation'!$N$3:$N$10)</f>
        <v>3</v>
      </c>
      <c r="B1490" s="4">
        <v>20</v>
      </c>
      <c r="C1490" s="4" t="s">
        <v>11</v>
      </c>
      <c r="D1490" s="7">
        <v>37.72</v>
      </c>
      <c r="E1490" s="4" t="s">
        <v>29</v>
      </c>
      <c r="F1490" s="4" t="s">
        <v>20</v>
      </c>
      <c r="G1490" s="4" t="s">
        <v>50</v>
      </c>
      <c r="H1490" s="4" t="s">
        <v>53</v>
      </c>
      <c r="I1490" s="5">
        <v>45451</v>
      </c>
      <c r="J1490" s="4">
        <f t="shared" si="23"/>
        <v>10</v>
      </c>
    </row>
    <row r="1491" spans="1:10" x14ac:dyDescent="0.25">
      <c r="A1491" s="4">
        <f>_xlfn.XLOOKUP(E1491,'Data Validation'!$M$3:$M$10,'Data Validation'!$N$3:$N$10)</f>
        <v>3</v>
      </c>
      <c r="B1491" s="4">
        <v>10</v>
      </c>
      <c r="C1491" s="4" t="s">
        <v>11</v>
      </c>
      <c r="D1491" s="7">
        <v>37.72</v>
      </c>
      <c r="E1491" s="4" t="s">
        <v>29</v>
      </c>
      <c r="F1491" s="4" t="s">
        <v>13</v>
      </c>
      <c r="G1491" s="4" t="s">
        <v>51</v>
      </c>
      <c r="H1491" s="4" t="s">
        <v>53</v>
      </c>
      <c r="I1491" s="5">
        <v>45452</v>
      </c>
      <c r="J1491" s="4">
        <f t="shared" si="23"/>
        <v>10</v>
      </c>
    </row>
    <row r="1492" spans="1:10" x14ac:dyDescent="0.25">
      <c r="A1492" s="4">
        <f>_xlfn.XLOOKUP(E1492,'Data Validation'!$M$3:$M$10,'Data Validation'!$N$3:$N$10)</f>
        <v>3</v>
      </c>
      <c r="B1492" s="4">
        <v>11</v>
      </c>
      <c r="C1492" s="4" t="s">
        <v>11</v>
      </c>
      <c r="D1492" s="7">
        <v>37.72</v>
      </c>
      <c r="E1492" s="4" t="s">
        <v>29</v>
      </c>
      <c r="F1492" s="4" t="s">
        <v>13</v>
      </c>
      <c r="G1492" s="4" t="s">
        <v>51</v>
      </c>
      <c r="H1492" s="4" t="s">
        <v>53</v>
      </c>
      <c r="I1492" s="5">
        <v>45452</v>
      </c>
      <c r="J1492" s="4">
        <f t="shared" si="23"/>
        <v>10</v>
      </c>
    </row>
    <row r="1493" spans="1:10" x14ac:dyDescent="0.25">
      <c r="A1493" s="4">
        <f>_xlfn.XLOOKUP(E1493,'Data Validation'!$M$3:$M$10,'Data Validation'!$N$3:$N$10)</f>
        <v>3</v>
      </c>
      <c r="B1493" s="4">
        <v>16</v>
      </c>
      <c r="C1493" s="4" t="s">
        <v>11</v>
      </c>
      <c r="D1493" s="7">
        <v>37.72</v>
      </c>
      <c r="E1493" s="4" t="s">
        <v>29</v>
      </c>
      <c r="F1493" s="4" t="s">
        <v>17</v>
      </c>
      <c r="G1493" s="4" t="s">
        <v>51</v>
      </c>
      <c r="H1493" s="4" t="s">
        <v>53</v>
      </c>
      <c r="I1493" s="5">
        <v>45452</v>
      </c>
      <c r="J1493" s="4">
        <f t="shared" si="23"/>
        <v>10</v>
      </c>
    </row>
    <row r="1494" spans="1:10" x14ac:dyDescent="0.25">
      <c r="A1494" s="4">
        <f>_xlfn.XLOOKUP(E1494,'Data Validation'!$M$3:$M$10,'Data Validation'!$N$3:$N$10)</f>
        <v>3</v>
      </c>
      <c r="B1494" s="4">
        <v>12</v>
      </c>
      <c r="C1494" s="4" t="s">
        <v>11</v>
      </c>
      <c r="D1494" s="7">
        <v>37.72</v>
      </c>
      <c r="E1494" s="4" t="s">
        <v>29</v>
      </c>
      <c r="F1494" s="4" t="s">
        <v>17</v>
      </c>
      <c r="G1494" s="4" t="s">
        <v>45</v>
      </c>
      <c r="H1494" s="4" t="s">
        <v>53</v>
      </c>
      <c r="I1494" s="5">
        <v>45453</v>
      </c>
      <c r="J1494" s="4">
        <f t="shared" si="23"/>
        <v>10</v>
      </c>
    </row>
    <row r="1495" spans="1:10" x14ac:dyDescent="0.25">
      <c r="A1495" s="4">
        <f>_xlfn.XLOOKUP(E1495,'Data Validation'!$M$3:$M$10,'Data Validation'!$N$3:$N$10)</f>
        <v>3</v>
      </c>
      <c r="B1495" s="4">
        <v>11</v>
      </c>
      <c r="C1495" s="4" t="s">
        <v>11</v>
      </c>
      <c r="D1495" s="7">
        <v>37.72</v>
      </c>
      <c r="E1495" s="4" t="s">
        <v>29</v>
      </c>
      <c r="F1495" s="4" t="s">
        <v>13</v>
      </c>
      <c r="G1495" s="4" t="s">
        <v>47</v>
      </c>
      <c r="H1495" s="4" t="s">
        <v>53</v>
      </c>
      <c r="I1495" s="5">
        <v>45455</v>
      </c>
      <c r="J1495" s="4">
        <f t="shared" si="23"/>
        <v>10</v>
      </c>
    </row>
    <row r="1496" spans="1:10" x14ac:dyDescent="0.25">
      <c r="A1496" s="4">
        <f>_xlfn.XLOOKUP(E1496,'Data Validation'!$M$3:$M$10,'Data Validation'!$N$3:$N$10)</f>
        <v>3</v>
      </c>
      <c r="B1496" s="4">
        <v>11</v>
      </c>
      <c r="C1496" s="4" t="s">
        <v>11</v>
      </c>
      <c r="D1496" s="7">
        <v>37.72</v>
      </c>
      <c r="E1496" s="4" t="s">
        <v>29</v>
      </c>
      <c r="F1496" s="4" t="s">
        <v>13</v>
      </c>
      <c r="G1496" s="4" t="s">
        <v>50</v>
      </c>
      <c r="H1496" s="4" t="s">
        <v>53</v>
      </c>
      <c r="I1496" s="5">
        <v>45458</v>
      </c>
      <c r="J1496" s="4">
        <f t="shared" si="23"/>
        <v>10</v>
      </c>
    </row>
    <row r="1497" spans="1:10" x14ac:dyDescent="0.25">
      <c r="A1497" s="4">
        <f>_xlfn.XLOOKUP(E1497,'Data Validation'!$M$3:$M$10,'Data Validation'!$N$3:$N$10)</f>
        <v>3</v>
      </c>
      <c r="B1497" s="4">
        <v>10</v>
      </c>
      <c r="C1497" s="4" t="s">
        <v>11</v>
      </c>
      <c r="D1497" s="7">
        <v>37.72</v>
      </c>
      <c r="E1497" s="4" t="s">
        <v>29</v>
      </c>
      <c r="F1497" s="4" t="s">
        <v>13</v>
      </c>
      <c r="G1497" s="4" t="s">
        <v>45</v>
      </c>
      <c r="H1497" s="4" t="s">
        <v>53</v>
      </c>
      <c r="I1497" s="5">
        <v>45460</v>
      </c>
      <c r="J1497" s="4">
        <f t="shared" si="23"/>
        <v>10</v>
      </c>
    </row>
    <row r="1498" spans="1:10" x14ac:dyDescent="0.25">
      <c r="A1498" s="4">
        <f>_xlfn.XLOOKUP(E1498,'Data Validation'!$M$3:$M$10,'Data Validation'!$N$3:$N$10)</f>
        <v>3</v>
      </c>
      <c r="B1498" s="4">
        <v>14</v>
      </c>
      <c r="C1498" s="4" t="s">
        <v>11</v>
      </c>
      <c r="D1498" s="7">
        <v>37.72</v>
      </c>
      <c r="E1498" s="4" t="s">
        <v>29</v>
      </c>
      <c r="F1498" s="4" t="s">
        <v>17</v>
      </c>
      <c r="G1498" s="4" t="s">
        <v>45</v>
      </c>
      <c r="H1498" s="4" t="s">
        <v>53</v>
      </c>
      <c r="I1498" s="5">
        <v>45460</v>
      </c>
      <c r="J1498" s="4">
        <f t="shared" si="23"/>
        <v>10</v>
      </c>
    </row>
    <row r="1499" spans="1:10" x14ac:dyDescent="0.25">
      <c r="A1499" s="4">
        <f>_xlfn.XLOOKUP(E1499,'Data Validation'!$M$3:$M$10,'Data Validation'!$N$3:$N$10)</f>
        <v>3</v>
      </c>
      <c r="B1499" s="4">
        <v>16</v>
      </c>
      <c r="C1499" s="4" t="s">
        <v>11</v>
      </c>
      <c r="D1499" s="7">
        <v>37.72</v>
      </c>
      <c r="E1499" s="4" t="s">
        <v>29</v>
      </c>
      <c r="F1499" s="4" t="s">
        <v>17</v>
      </c>
      <c r="G1499" s="4" t="s">
        <v>45</v>
      </c>
      <c r="H1499" s="4" t="s">
        <v>53</v>
      </c>
      <c r="I1499" s="5">
        <v>45460</v>
      </c>
      <c r="J1499" s="4">
        <f t="shared" si="23"/>
        <v>10</v>
      </c>
    </row>
    <row r="1500" spans="1:10" x14ac:dyDescent="0.25">
      <c r="A1500" s="4">
        <f>_xlfn.XLOOKUP(E1500,'Data Validation'!$M$3:$M$10,'Data Validation'!$N$3:$N$10)</f>
        <v>3</v>
      </c>
      <c r="B1500" s="4">
        <v>16</v>
      </c>
      <c r="C1500" s="4" t="s">
        <v>11</v>
      </c>
      <c r="D1500" s="7">
        <v>37.72</v>
      </c>
      <c r="E1500" s="4" t="s">
        <v>29</v>
      </c>
      <c r="F1500" s="4" t="s">
        <v>17</v>
      </c>
      <c r="G1500" s="4" t="s">
        <v>45</v>
      </c>
      <c r="H1500" s="4" t="s">
        <v>53</v>
      </c>
      <c r="I1500" s="5">
        <v>45460</v>
      </c>
      <c r="J1500" s="4">
        <f t="shared" si="23"/>
        <v>10</v>
      </c>
    </row>
    <row r="1501" spans="1:10" x14ac:dyDescent="0.25">
      <c r="A1501" s="4">
        <f>_xlfn.XLOOKUP(E1501,'Data Validation'!$M$3:$M$10,'Data Validation'!$N$3:$N$10)</f>
        <v>3</v>
      </c>
      <c r="B1501" s="4">
        <v>14</v>
      </c>
      <c r="C1501" s="4" t="s">
        <v>11</v>
      </c>
      <c r="D1501" s="7">
        <v>37.72</v>
      </c>
      <c r="E1501" s="4" t="s">
        <v>29</v>
      </c>
      <c r="F1501" s="4" t="s">
        <v>17</v>
      </c>
      <c r="G1501" s="4" t="s">
        <v>46</v>
      </c>
      <c r="H1501" s="4" t="s">
        <v>53</v>
      </c>
      <c r="I1501" s="5">
        <v>45461</v>
      </c>
      <c r="J1501" s="4">
        <f t="shared" si="23"/>
        <v>10</v>
      </c>
    </row>
    <row r="1502" spans="1:10" x14ac:dyDescent="0.25">
      <c r="A1502" s="4">
        <f>_xlfn.XLOOKUP(E1502,'Data Validation'!$M$3:$M$10,'Data Validation'!$N$3:$N$10)</f>
        <v>3</v>
      </c>
      <c r="B1502" s="4">
        <v>19</v>
      </c>
      <c r="C1502" s="4" t="s">
        <v>11</v>
      </c>
      <c r="D1502" s="7">
        <v>37.72</v>
      </c>
      <c r="E1502" s="4" t="s">
        <v>29</v>
      </c>
      <c r="F1502" s="4" t="s">
        <v>20</v>
      </c>
      <c r="G1502" s="4" t="s">
        <v>46</v>
      </c>
      <c r="H1502" s="4" t="s">
        <v>53</v>
      </c>
      <c r="I1502" s="5">
        <v>45461</v>
      </c>
      <c r="J1502" s="4">
        <f t="shared" si="23"/>
        <v>10</v>
      </c>
    </row>
    <row r="1503" spans="1:10" x14ac:dyDescent="0.25">
      <c r="A1503" s="4">
        <f>_xlfn.XLOOKUP(E1503,'Data Validation'!$M$3:$M$10,'Data Validation'!$N$3:$N$10)</f>
        <v>3</v>
      </c>
      <c r="B1503" s="4">
        <v>19</v>
      </c>
      <c r="C1503" s="4" t="s">
        <v>11</v>
      </c>
      <c r="D1503" s="7">
        <v>37.72</v>
      </c>
      <c r="E1503" s="4" t="s">
        <v>29</v>
      </c>
      <c r="F1503" s="4" t="s">
        <v>20</v>
      </c>
      <c r="G1503" s="4" t="s">
        <v>46</v>
      </c>
      <c r="H1503" s="4" t="s">
        <v>53</v>
      </c>
      <c r="I1503" s="5">
        <v>45461</v>
      </c>
      <c r="J1503" s="4">
        <f t="shared" si="23"/>
        <v>10</v>
      </c>
    </row>
    <row r="1504" spans="1:10" x14ac:dyDescent="0.25">
      <c r="A1504" s="4">
        <f>_xlfn.XLOOKUP(E1504,'Data Validation'!$M$3:$M$10,'Data Validation'!$N$3:$N$10)</f>
        <v>3</v>
      </c>
      <c r="B1504" s="4">
        <v>18</v>
      </c>
      <c r="C1504" s="4" t="s">
        <v>11</v>
      </c>
      <c r="D1504" s="7">
        <v>37.72</v>
      </c>
      <c r="E1504" s="4" t="s">
        <v>29</v>
      </c>
      <c r="F1504" s="4" t="s">
        <v>20</v>
      </c>
      <c r="G1504" s="4" t="s">
        <v>47</v>
      </c>
      <c r="H1504" s="4" t="s">
        <v>53</v>
      </c>
      <c r="I1504" s="5">
        <v>45462</v>
      </c>
      <c r="J1504" s="4">
        <f t="shared" si="23"/>
        <v>10</v>
      </c>
    </row>
    <row r="1505" spans="1:10" x14ac:dyDescent="0.25">
      <c r="A1505" s="4">
        <f>_xlfn.XLOOKUP(E1505,'Data Validation'!$M$3:$M$10,'Data Validation'!$N$3:$N$10)</f>
        <v>3</v>
      </c>
      <c r="B1505" s="4">
        <v>21</v>
      </c>
      <c r="C1505" s="4" t="s">
        <v>11</v>
      </c>
      <c r="D1505" s="7">
        <v>37.72</v>
      </c>
      <c r="E1505" s="4" t="s">
        <v>29</v>
      </c>
      <c r="F1505" s="4" t="s">
        <v>20</v>
      </c>
      <c r="G1505" s="4" t="s">
        <v>47</v>
      </c>
      <c r="H1505" s="4" t="s">
        <v>53</v>
      </c>
      <c r="I1505" s="5">
        <v>45462</v>
      </c>
      <c r="J1505" s="4">
        <f t="shared" si="23"/>
        <v>10</v>
      </c>
    </row>
    <row r="1506" spans="1:10" x14ac:dyDescent="0.25">
      <c r="A1506" s="4">
        <f>_xlfn.XLOOKUP(E1506,'Data Validation'!$M$3:$M$10,'Data Validation'!$N$3:$N$10)</f>
        <v>3</v>
      </c>
      <c r="B1506" s="4">
        <v>19</v>
      </c>
      <c r="C1506" s="4" t="s">
        <v>11</v>
      </c>
      <c r="D1506" s="7">
        <v>37.72</v>
      </c>
      <c r="E1506" s="4" t="s">
        <v>29</v>
      </c>
      <c r="F1506" s="4" t="s">
        <v>20</v>
      </c>
      <c r="G1506" s="4" t="s">
        <v>49</v>
      </c>
      <c r="H1506" s="4" t="s">
        <v>53</v>
      </c>
      <c r="I1506" s="5">
        <v>45464</v>
      </c>
      <c r="J1506" s="4">
        <f t="shared" si="23"/>
        <v>10</v>
      </c>
    </row>
    <row r="1507" spans="1:10" x14ac:dyDescent="0.25">
      <c r="A1507" s="4">
        <f>_xlfn.XLOOKUP(E1507,'Data Validation'!$M$3:$M$10,'Data Validation'!$N$3:$N$10)</f>
        <v>3</v>
      </c>
      <c r="B1507" s="4">
        <v>19</v>
      </c>
      <c r="C1507" s="4" t="s">
        <v>11</v>
      </c>
      <c r="D1507" s="7">
        <v>37.72</v>
      </c>
      <c r="E1507" s="4" t="s">
        <v>29</v>
      </c>
      <c r="F1507" s="4" t="s">
        <v>20</v>
      </c>
      <c r="G1507" s="4" t="s">
        <v>49</v>
      </c>
      <c r="H1507" s="4" t="s">
        <v>53</v>
      </c>
      <c r="I1507" s="5">
        <v>45464</v>
      </c>
      <c r="J1507" s="4">
        <f t="shared" si="23"/>
        <v>10</v>
      </c>
    </row>
    <row r="1508" spans="1:10" x14ac:dyDescent="0.25">
      <c r="A1508" s="4">
        <f>_xlfn.XLOOKUP(E1508,'Data Validation'!$M$3:$M$10,'Data Validation'!$N$3:$N$10)</f>
        <v>3</v>
      </c>
      <c r="B1508" s="4">
        <v>19</v>
      </c>
      <c r="C1508" s="4" t="s">
        <v>11</v>
      </c>
      <c r="D1508" s="7">
        <v>37.72</v>
      </c>
      <c r="E1508" s="4" t="s">
        <v>29</v>
      </c>
      <c r="F1508" s="4" t="s">
        <v>20</v>
      </c>
      <c r="G1508" s="4" t="s">
        <v>49</v>
      </c>
      <c r="H1508" s="4" t="s">
        <v>53</v>
      </c>
      <c r="I1508" s="5">
        <v>45464</v>
      </c>
      <c r="J1508" s="4">
        <f t="shared" si="23"/>
        <v>10</v>
      </c>
    </row>
    <row r="1509" spans="1:10" x14ac:dyDescent="0.25">
      <c r="A1509" s="4">
        <f>_xlfn.XLOOKUP(E1509,'Data Validation'!$M$3:$M$10,'Data Validation'!$N$3:$N$10)</f>
        <v>3</v>
      </c>
      <c r="B1509" s="4">
        <v>19</v>
      </c>
      <c r="C1509" s="4" t="s">
        <v>11</v>
      </c>
      <c r="D1509" s="7">
        <v>37.72</v>
      </c>
      <c r="E1509" s="4" t="s">
        <v>29</v>
      </c>
      <c r="F1509" s="4" t="s">
        <v>20</v>
      </c>
      <c r="G1509" s="4" t="s">
        <v>49</v>
      </c>
      <c r="H1509" s="4" t="s">
        <v>53</v>
      </c>
      <c r="I1509" s="5">
        <v>45464</v>
      </c>
      <c r="J1509" s="4">
        <f t="shared" si="23"/>
        <v>10</v>
      </c>
    </row>
    <row r="1510" spans="1:10" x14ac:dyDescent="0.25">
      <c r="A1510" s="4">
        <f>_xlfn.XLOOKUP(E1510,'Data Validation'!$M$3:$M$10,'Data Validation'!$N$3:$N$10)</f>
        <v>3</v>
      </c>
      <c r="B1510" s="4">
        <v>22</v>
      </c>
      <c r="C1510" s="4" t="s">
        <v>11</v>
      </c>
      <c r="D1510" s="7">
        <v>37.72</v>
      </c>
      <c r="E1510" s="4" t="s">
        <v>29</v>
      </c>
      <c r="F1510" s="4" t="s">
        <v>20</v>
      </c>
      <c r="G1510" s="4" t="s">
        <v>50</v>
      </c>
      <c r="H1510" s="4" t="s">
        <v>53</v>
      </c>
      <c r="I1510" s="5">
        <v>45465</v>
      </c>
      <c r="J1510" s="4">
        <f t="shared" si="23"/>
        <v>10</v>
      </c>
    </row>
    <row r="1511" spans="1:10" x14ac:dyDescent="0.25">
      <c r="A1511" s="4">
        <f>_xlfn.XLOOKUP(E1511,'Data Validation'!$M$3:$M$10,'Data Validation'!$N$3:$N$10)</f>
        <v>3</v>
      </c>
      <c r="B1511" s="4">
        <v>21</v>
      </c>
      <c r="C1511" s="4" t="s">
        <v>11</v>
      </c>
      <c r="D1511" s="7">
        <v>37.72</v>
      </c>
      <c r="E1511" s="4" t="s">
        <v>29</v>
      </c>
      <c r="F1511" s="4" t="s">
        <v>20</v>
      </c>
      <c r="G1511" s="4" t="s">
        <v>51</v>
      </c>
      <c r="H1511" s="4" t="s">
        <v>53</v>
      </c>
      <c r="I1511" s="5">
        <v>45466</v>
      </c>
      <c r="J1511" s="4">
        <f t="shared" si="23"/>
        <v>10</v>
      </c>
    </row>
    <row r="1512" spans="1:10" x14ac:dyDescent="0.25">
      <c r="A1512" s="4">
        <f>_xlfn.XLOOKUP(E1512,'Data Validation'!$M$3:$M$10,'Data Validation'!$N$3:$N$10)</f>
        <v>3</v>
      </c>
      <c r="B1512" s="4">
        <v>21</v>
      </c>
      <c r="C1512" s="4" t="s">
        <v>11</v>
      </c>
      <c r="D1512" s="7">
        <v>37.72</v>
      </c>
      <c r="E1512" s="4" t="s">
        <v>29</v>
      </c>
      <c r="F1512" s="4" t="s">
        <v>20</v>
      </c>
      <c r="G1512" s="4" t="s">
        <v>51</v>
      </c>
      <c r="H1512" s="4" t="s">
        <v>53</v>
      </c>
      <c r="I1512" s="5">
        <v>45466</v>
      </c>
      <c r="J1512" s="4">
        <f t="shared" si="23"/>
        <v>10</v>
      </c>
    </row>
    <row r="1513" spans="1:10" x14ac:dyDescent="0.25">
      <c r="A1513" s="4">
        <f>_xlfn.XLOOKUP(E1513,'Data Validation'!$M$3:$M$10,'Data Validation'!$N$3:$N$10)</f>
        <v>3</v>
      </c>
      <c r="B1513" s="4">
        <v>11</v>
      </c>
      <c r="C1513" s="4" t="s">
        <v>11</v>
      </c>
      <c r="D1513" s="7">
        <v>37.72</v>
      </c>
      <c r="E1513" s="4" t="s">
        <v>29</v>
      </c>
      <c r="F1513" s="4" t="s">
        <v>13</v>
      </c>
      <c r="G1513" s="4" t="s">
        <v>45</v>
      </c>
      <c r="H1513" s="4" t="s">
        <v>53</v>
      </c>
      <c r="I1513" s="5">
        <v>45467</v>
      </c>
      <c r="J1513" s="4">
        <f t="shared" si="23"/>
        <v>10</v>
      </c>
    </row>
    <row r="1514" spans="1:10" x14ac:dyDescent="0.25">
      <c r="A1514" s="4">
        <f>_xlfn.XLOOKUP(E1514,'Data Validation'!$M$3:$M$10,'Data Validation'!$N$3:$N$10)</f>
        <v>3</v>
      </c>
      <c r="B1514" s="4">
        <v>11</v>
      </c>
      <c r="C1514" s="4" t="s">
        <v>11</v>
      </c>
      <c r="D1514" s="7">
        <v>37.72</v>
      </c>
      <c r="E1514" s="4" t="s">
        <v>29</v>
      </c>
      <c r="F1514" s="4" t="s">
        <v>13</v>
      </c>
      <c r="G1514" s="4" t="s">
        <v>45</v>
      </c>
      <c r="H1514" s="4" t="s">
        <v>53</v>
      </c>
      <c r="I1514" s="5">
        <v>45467</v>
      </c>
      <c r="J1514" s="4">
        <f t="shared" si="23"/>
        <v>10</v>
      </c>
    </row>
    <row r="1515" spans="1:10" x14ac:dyDescent="0.25">
      <c r="A1515" s="4">
        <f>_xlfn.XLOOKUP(E1515,'Data Validation'!$M$3:$M$10,'Data Validation'!$N$3:$N$10)</f>
        <v>3</v>
      </c>
      <c r="B1515" s="4">
        <v>16</v>
      </c>
      <c r="C1515" s="4" t="s">
        <v>11</v>
      </c>
      <c r="D1515" s="7">
        <v>37.72</v>
      </c>
      <c r="E1515" s="4" t="s">
        <v>29</v>
      </c>
      <c r="F1515" s="4" t="s">
        <v>17</v>
      </c>
      <c r="G1515" s="4" t="s">
        <v>45</v>
      </c>
      <c r="H1515" s="4" t="s">
        <v>53</v>
      </c>
      <c r="I1515" s="5">
        <v>45467</v>
      </c>
      <c r="J1515" s="4">
        <f t="shared" si="23"/>
        <v>10</v>
      </c>
    </row>
    <row r="1516" spans="1:10" x14ac:dyDescent="0.25">
      <c r="A1516" s="4">
        <f>_xlfn.XLOOKUP(E1516,'Data Validation'!$M$3:$M$10,'Data Validation'!$N$3:$N$10)</f>
        <v>3</v>
      </c>
      <c r="B1516" s="4">
        <v>16</v>
      </c>
      <c r="C1516" s="4" t="s">
        <v>11</v>
      </c>
      <c r="D1516" s="7">
        <v>37.72</v>
      </c>
      <c r="E1516" s="4" t="s">
        <v>29</v>
      </c>
      <c r="F1516" s="4" t="s">
        <v>17</v>
      </c>
      <c r="G1516" s="4" t="s">
        <v>45</v>
      </c>
      <c r="H1516" s="4" t="s">
        <v>53</v>
      </c>
      <c r="I1516" s="5">
        <v>45467</v>
      </c>
      <c r="J1516" s="4">
        <f t="shared" si="23"/>
        <v>10</v>
      </c>
    </row>
    <row r="1517" spans="1:10" x14ac:dyDescent="0.25">
      <c r="A1517" s="4">
        <f>_xlfn.XLOOKUP(E1517,'Data Validation'!$M$3:$M$10,'Data Validation'!$N$3:$N$10)</f>
        <v>3</v>
      </c>
      <c r="B1517" s="4">
        <v>11</v>
      </c>
      <c r="C1517" s="4" t="s">
        <v>11</v>
      </c>
      <c r="D1517" s="7">
        <v>37.72</v>
      </c>
      <c r="E1517" s="4" t="s">
        <v>29</v>
      </c>
      <c r="F1517" s="4" t="s">
        <v>13</v>
      </c>
      <c r="G1517" s="4" t="s">
        <v>46</v>
      </c>
      <c r="H1517" s="4" t="s">
        <v>53</v>
      </c>
      <c r="I1517" s="5">
        <v>45468</v>
      </c>
      <c r="J1517" s="4">
        <f t="shared" si="23"/>
        <v>10</v>
      </c>
    </row>
    <row r="1518" spans="1:10" x14ac:dyDescent="0.25">
      <c r="A1518" s="4">
        <f>_xlfn.XLOOKUP(E1518,'Data Validation'!$M$3:$M$10,'Data Validation'!$N$3:$N$10)</f>
        <v>3</v>
      </c>
      <c r="B1518" s="4">
        <v>21</v>
      </c>
      <c r="C1518" s="4" t="s">
        <v>11</v>
      </c>
      <c r="D1518" s="7">
        <v>37.72</v>
      </c>
      <c r="E1518" s="4" t="s">
        <v>29</v>
      </c>
      <c r="F1518" s="4" t="s">
        <v>20</v>
      </c>
      <c r="G1518" s="4" t="s">
        <v>47</v>
      </c>
      <c r="H1518" s="4" t="s">
        <v>53</v>
      </c>
      <c r="I1518" s="5">
        <v>45469</v>
      </c>
      <c r="J1518" s="4">
        <f t="shared" si="23"/>
        <v>10</v>
      </c>
    </row>
    <row r="1519" spans="1:10" x14ac:dyDescent="0.25">
      <c r="A1519" s="4">
        <f>_xlfn.XLOOKUP(E1519,'Data Validation'!$M$3:$M$10,'Data Validation'!$N$3:$N$10)</f>
        <v>3</v>
      </c>
      <c r="B1519" s="4">
        <v>21</v>
      </c>
      <c r="C1519" s="4" t="s">
        <v>11</v>
      </c>
      <c r="D1519" s="7">
        <v>37.72</v>
      </c>
      <c r="E1519" s="4" t="s">
        <v>29</v>
      </c>
      <c r="F1519" s="4" t="s">
        <v>20</v>
      </c>
      <c r="G1519" s="4" t="s">
        <v>48</v>
      </c>
      <c r="H1519" s="4" t="s">
        <v>53</v>
      </c>
      <c r="I1519" s="5">
        <v>45470</v>
      </c>
      <c r="J1519" s="4">
        <f t="shared" si="23"/>
        <v>10</v>
      </c>
    </row>
    <row r="1520" spans="1:10" x14ac:dyDescent="0.25">
      <c r="A1520" s="4">
        <f>_xlfn.XLOOKUP(E1520,'Data Validation'!$M$3:$M$10,'Data Validation'!$N$3:$N$10)</f>
        <v>3</v>
      </c>
      <c r="B1520" s="4">
        <v>22</v>
      </c>
      <c r="C1520" s="4" t="s">
        <v>11</v>
      </c>
      <c r="D1520" s="7">
        <v>37.72</v>
      </c>
      <c r="E1520" s="4" t="s">
        <v>29</v>
      </c>
      <c r="F1520" s="4" t="s">
        <v>20</v>
      </c>
      <c r="G1520" s="4" t="s">
        <v>49</v>
      </c>
      <c r="H1520" s="4" t="s">
        <v>53</v>
      </c>
      <c r="I1520" s="5">
        <v>45471</v>
      </c>
      <c r="J1520" s="4">
        <f t="shared" si="23"/>
        <v>10</v>
      </c>
    </row>
    <row r="1521" spans="1:10" x14ac:dyDescent="0.25">
      <c r="A1521" s="4">
        <f>_xlfn.XLOOKUP(E1521,'Data Validation'!$M$3:$M$10,'Data Validation'!$N$3:$N$10)</f>
        <v>3</v>
      </c>
      <c r="B1521" s="4">
        <v>12</v>
      </c>
      <c r="C1521" s="4" t="s">
        <v>11</v>
      </c>
      <c r="D1521" s="7">
        <v>37.72</v>
      </c>
      <c r="E1521" s="4" t="s">
        <v>29</v>
      </c>
      <c r="F1521" s="4" t="s">
        <v>17</v>
      </c>
      <c r="G1521" s="4" t="s">
        <v>50</v>
      </c>
      <c r="H1521" s="4" t="s">
        <v>53</v>
      </c>
      <c r="I1521" s="5">
        <v>45472</v>
      </c>
      <c r="J1521" s="4">
        <f t="shared" si="23"/>
        <v>10</v>
      </c>
    </row>
    <row r="1522" spans="1:10" x14ac:dyDescent="0.25">
      <c r="A1522" s="4">
        <f>_xlfn.XLOOKUP(E1522,'Data Validation'!$M$3:$M$10,'Data Validation'!$N$3:$N$10)</f>
        <v>3</v>
      </c>
      <c r="B1522" s="4">
        <v>12</v>
      </c>
      <c r="C1522" s="4" t="s">
        <v>11</v>
      </c>
      <c r="D1522" s="7">
        <v>37.72</v>
      </c>
      <c r="E1522" s="4" t="s">
        <v>29</v>
      </c>
      <c r="F1522" s="4" t="s">
        <v>17</v>
      </c>
      <c r="G1522" s="4" t="s">
        <v>50</v>
      </c>
      <c r="H1522" s="4" t="s">
        <v>53</v>
      </c>
      <c r="I1522" s="5">
        <v>45472</v>
      </c>
      <c r="J1522" s="4">
        <f t="shared" si="23"/>
        <v>10</v>
      </c>
    </row>
    <row r="1523" spans="1:10" x14ac:dyDescent="0.25">
      <c r="A1523" s="4">
        <f>_xlfn.XLOOKUP(E1523,'Data Validation'!$M$3:$M$10,'Data Validation'!$N$3:$N$10)</f>
        <v>3</v>
      </c>
      <c r="B1523" s="4">
        <v>17</v>
      </c>
      <c r="C1523" s="4" t="s">
        <v>11</v>
      </c>
      <c r="D1523" s="7">
        <v>37.72</v>
      </c>
      <c r="E1523" s="4" t="s">
        <v>29</v>
      </c>
      <c r="F1523" s="4" t="s">
        <v>20</v>
      </c>
      <c r="G1523" s="4" t="s">
        <v>50</v>
      </c>
      <c r="H1523" s="4" t="s">
        <v>53</v>
      </c>
      <c r="I1523" s="5">
        <v>45472</v>
      </c>
      <c r="J1523" s="4">
        <f t="shared" si="23"/>
        <v>10</v>
      </c>
    </row>
    <row r="1524" spans="1:10" x14ac:dyDescent="0.25">
      <c r="A1524" s="4">
        <f>_xlfn.XLOOKUP(E1524,'Data Validation'!$M$3:$M$10,'Data Validation'!$N$3:$N$10)</f>
        <v>3</v>
      </c>
      <c r="B1524" s="4">
        <v>18</v>
      </c>
      <c r="C1524" s="4" t="s">
        <v>11</v>
      </c>
      <c r="D1524" s="7">
        <v>37.72</v>
      </c>
      <c r="E1524" s="4" t="s">
        <v>29</v>
      </c>
      <c r="F1524" s="4" t="s">
        <v>20</v>
      </c>
      <c r="G1524" s="4" t="s">
        <v>45</v>
      </c>
      <c r="H1524" s="4" t="s">
        <v>54</v>
      </c>
      <c r="I1524" s="5">
        <v>45474</v>
      </c>
      <c r="J1524" s="4">
        <f t="shared" si="23"/>
        <v>10</v>
      </c>
    </row>
    <row r="1525" spans="1:10" x14ac:dyDescent="0.25">
      <c r="A1525" s="4">
        <f>_xlfn.XLOOKUP(E1525,'Data Validation'!$M$3:$M$10,'Data Validation'!$N$3:$N$10)</f>
        <v>3</v>
      </c>
      <c r="B1525" s="4">
        <v>18</v>
      </c>
      <c r="C1525" s="4" t="s">
        <v>11</v>
      </c>
      <c r="D1525" s="7">
        <v>37.72</v>
      </c>
      <c r="E1525" s="4" t="s">
        <v>29</v>
      </c>
      <c r="F1525" s="4" t="s">
        <v>20</v>
      </c>
      <c r="G1525" s="4" t="s">
        <v>45</v>
      </c>
      <c r="H1525" s="4" t="s">
        <v>54</v>
      </c>
      <c r="I1525" s="5">
        <v>45474</v>
      </c>
      <c r="J1525" s="4">
        <f t="shared" si="23"/>
        <v>10</v>
      </c>
    </row>
    <row r="1526" spans="1:10" x14ac:dyDescent="0.25">
      <c r="A1526" s="4">
        <f>_xlfn.XLOOKUP(E1526,'Data Validation'!$M$3:$M$10,'Data Validation'!$N$3:$N$10)</f>
        <v>3</v>
      </c>
      <c r="B1526" s="4">
        <v>16</v>
      </c>
      <c r="C1526" s="4" t="s">
        <v>11</v>
      </c>
      <c r="D1526" s="7">
        <v>37.72</v>
      </c>
      <c r="E1526" s="4" t="s">
        <v>29</v>
      </c>
      <c r="F1526" s="4" t="s">
        <v>17</v>
      </c>
      <c r="G1526" s="4" t="s">
        <v>47</v>
      </c>
      <c r="H1526" s="4" t="s">
        <v>54</v>
      </c>
      <c r="I1526" s="5">
        <v>45476</v>
      </c>
      <c r="J1526" s="4">
        <f t="shared" si="23"/>
        <v>10</v>
      </c>
    </row>
    <row r="1527" spans="1:10" x14ac:dyDescent="0.25">
      <c r="A1527" s="4">
        <f>_xlfn.XLOOKUP(E1527,'Data Validation'!$M$3:$M$10,'Data Validation'!$N$3:$N$10)</f>
        <v>3</v>
      </c>
      <c r="B1527" s="4">
        <v>16</v>
      </c>
      <c r="C1527" s="4" t="s">
        <v>11</v>
      </c>
      <c r="D1527" s="7">
        <v>37.72</v>
      </c>
      <c r="E1527" s="4" t="s">
        <v>29</v>
      </c>
      <c r="F1527" s="4" t="s">
        <v>17</v>
      </c>
      <c r="G1527" s="4" t="s">
        <v>47</v>
      </c>
      <c r="H1527" s="4" t="s">
        <v>54</v>
      </c>
      <c r="I1527" s="5">
        <v>45476</v>
      </c>
      <c r="J1527" s="4">
        <f t="shared" si="23"/>
        <v>10</v>
      </c>
    </row>
    <row r="1528" spans="1:10" x14ac:dyDescent="0.25">
      <c r="A1528" s="4">
        <f>_xlfn.XLOOKUP(E1528,'Data Validation'!$M$3:$M$10,'Data Validation'!$N$3:$N$10)</f>
        <v>3</v>
      </c>
      <c r="B1528" s="4">
        <v>17</v>
      </c>
      <c r="C1528" s="4" t="s">
        <v>11</v>
      </c>
      <c r="D1528" s="7">
        <v>37.72</v>
      </c>
      <c r="E1528" s="4" t="s">
        <v>29</v>
      </c>
      <c r="F1528" s="4" t="s">
        <v>20</v>
      </c>
      <c r="G1528" s="4" t="s">
        <v>47</v>
      </c>
      <c r="H1528" s="4" t="s">
        <v>54</v>
      </c>
      <c r="I1528" s="5">
        <v>45476</v>
      </c>
      <c r="J1528" s="4">
        <f t="shared" si="23"/>
        <v>10</v>
      </c>
    </row>
    <row r="1529" spans="1:10" x14ac:dyDescent="0.25">
      <c r="A1529" s="4">
        <f>_xlfn.XLOOKUP(E1529,'Data Validation'!$M$3:$M$10,'Data Validation'!$N$3:$N$10)</f>
        <v>3</v>
      </c>
      <c r="B1529" s="4">
        <v>22</v>
      </c>
      <c r="C1529" s="4" t="s">
        <v>11</v>
      </c>
      <c r="D1529" s="7">
        <v>37.72</v>
      </c>
      <c r="E1529" s="4" t="s">
        <v>29</v>
      </c>
      <c r="F1529" s="4" t="s">
        <v>20</v>
      </c>
      <c r="G1529" s="4" t="s">
        <v>49</v>
      </c>
      <c r="H1529" s="4" t="s">
        <v>54</v>
      </c>
      <c r="I1529" s="5">
        <v>45478</v>
      </c>
      <c r="J1529" s="4">
        <f t="shared" si="23"/>
        <v>10</v>
      </c>
    </row>
    <row r="1530" spans="1:10" x14ac:dyDescent="0.25">
      <c r="A1530" s="4">
        <f>_xlfn.XLOOKUP(E1530,'Data Validation'!$M$3:$M$10,'Data Validation'!$N$3:$N$10)</f>
        <v>3</v>
      </c>
      <c r="B1530" s="4">
        <v>9</v>
      </c>
      <c r="C1530" s="4" t="s">
        <v>11</v>
      </c>
      <c r="D1530" s="7">
        <v>32.82</v>
      </c>
      <c r="E1530" s="4" t="s">
        <v>29</v>
      </c>
      <c r="F1530" s="4" t="s">
        <v>13</v>
      </c>
      <c r="G1530" s="4" t="s">
        <v>51</v>
      </c>
      <c r="H1530" s="4" t="s">
        <v>54</v>
      </c>
      <c r="I1530" s="5">
        <v>45480</v>
      </c>
      <c r="J1530" s="4">
        <f t="shared" si="23"/>
        <v>11</v>
      </c>
    </row>
    <row r="1531" spans="1:10" x14ac:dyDescent="0.25">
      <c r="A1531" s="4">
        <f>_xlfn.XLOOKUP(E1531,'Data Validation'!$M$3:$M$10,'Data Validation'!$N$3:$N$10)</f>
        <v>3</v>
      </c>
      <c r="B1531" s="4">
        <v>9</v>
      </c>
      <c r="C1531" s="4" t="s">
        <v>11</v>
      </c>
      <c r="D1531" s="7">
        <v>32.82</v>
      </c>
      <c r="E1531" s="4" t="s">
        <v>29</v>
      </c>
      <c r="F1531" s="4" t="s">
        <v>13</v>
      </c>
      <c r="G1531" s="4" t="s">
        <v>51</v>
      </c>
      <c r="H1531" s="4" t="s">
        <v>54</v>
      </c>
      <c r="I1531" s="5">
        <v>45480</v>
      </c>
      <c r="J1531" s="4">
        <f t="shared" si="23"/>
        <v>11</v>
      </c>
    </row>
    <row r="1532" spans="1:10" x14ac:dyDescent="0.25">
      <c r="A1532" s="4">
        <f>_xlfn.XLOOKUP(E1532,'Data Validation'!$M$3:$M$10,'Data Validation'!$N$3:$N$10)</f>
        <v>3</v>
      </c>
      <c r="B1532" s="4">
        <v>9</v>
      </c>
      <c r="C1532" s="4" t="s">
        <v>11</v>
      </c>
      <c r="D1532" s="7">
        <v>32.82</v>
      </c>
      <c r="E1532" s="4" t="s">
        <v>29</v>
      </c>
      <c r="F1532" s="4" t="s">
        <v>13</v>
      </c>
      <c r="G1532" s="4" t="s">
        <v>51</v>
      </c>
      <c r="H1532" s="4" t="s">
        <v>54</v>
      </c>
      <c r="I1532" s="5">
        <v>45480</v>
      </c>
      <c r="J1532" s="4">
        <f t="shared" si="23"/>
        <v>11</v>
      </c>
    </row>
    <row r="1533" spans="1:10" x14ac:dyDescent="0.25">
      <c r="A1533" s="4">
        <f>_xlfn.XLOOKUP(E1533,'Data Validation'!$M$3:$M$10,'Data Validation'!$N$3:$N$10)</f>
        <v>3</v>
      </c>
      <c r="B1533" s="4">
        <v>19</v>
      </c>
      <c r="C1533" s="4" t="s">
        <v>11</v>
      </c>
      <c r="D1533" s="7">
        <v>32.82</v>
      </c>
      <c r="E1533" s="4" t="s">
        <v>29</v>
      </c>
      <c r="F1533" s="4" t="s">
        <v>20</v>
      </c>
      <c r="G1533" s="4" t="s">
        <v>51</v>
      </c>
      <c r="H1533" s="4" t="s">
        <v>54</v>
      </c>
      <c r="I1533" s="5">
        <v>45480</v>
      </c>
      <c r="J1533" s="4">
        <f t="shared" si="23"/>
        <v>11</v>
      </c>
    </row>
    <row r="1534" spans="1:10" x14ac:dyDescent="0.25">
      <c r="A1534" s="4">
        <f>_xlfn.XLOOKUP(E1534,'Data Validation'!$M$3:$M$10,'Data Validation'!$N$3:$N$10)</f>
        <v>3</v>
      </c>
      <c r="B1534" s="4">
        <v>11</v>
      </c>
      <c r="C1534" s="4" t="s">
        <v>11</v>
      </c>
      <c r="D1534" s="7">
        <v>32.82</v>
      </c>
      <c r="E1534" s="4" t="s">
        <v>29</v>
      </c>
      <c r="F1534" s="4" t="s">
        <v>13</v>
      </c>
      <c r="G1534" s="4" t="s">
        <v>46</v>
      </c>
      <c r="H1534" s="4" t="s">
        <v>54</v>
      </c>
      <c r="I1534" s="5">
        <v>45482</v>
      </c>
      <c r="J1534" s="4">
        <f t="shared" si="23"/>
        <v>11</v>
      </c>
    </row>
    <row r="1535" spans="1:10" x14ac:dyDescent="0.25">
      <c r="A1535" s="4">
        <f>_xlfn.XLOOKUP(E1535,'Data Validation'!$M$3:$M$10,'Data Validation'!$N$3:$N$10)</f>
        <v>3</v>
      </c>
      <c r="B1535" s="4">
        <v>10</v>
      </c>
      <c r="C1535" s="4" t="s">
        <v>11</v>
      </c>
      <c r="D1535" s="7">
        <v>32.82</v>
      </c>
      <c r="E1535" s="4" t="s">
        <v>29</v>
      </c>
      <c r="F1535" s="4" t="s">
        <v>13</v>
      </c>
      <c r="G1535" s="4" t="s">
        <v>51</v>
      </c>
      <c r="H1535" s="4" t="s">
        <v>54</v>
      </c>
      <c r="I1535" s="5">
        <v>45487</v>
      </c>
      <c r="J1535" s="4">
        <f t="shared" si="23"/>
        <v>11</v>
      </c>
    </row>
    <row r="1536" spans="1:10" x14ac:dyDescent="0.25">
      <c r="A1536" s="4">
        <f>_xlfn.XLOOKUP(E1536,'Data Validation'!$M$3:$M$10,'Data Validation'!$N$3:$N$10)</f>
        <v>3</v>
      </c>
      <c r="B1536" s="4">
        <v>7</v>
      </c>
      <c r="C1536" s="4" t="s">
        <v>11</v>
      </c>
      <c r="D1536" s="7">
        <v>32.82</v>
      </c>
      <c r="E1536" s="4" t="s">
        <v>29</v>
      </c>
      <c r="F1536" s="4" t="s">
        <v>13</v>
      </c>
      <c r="G1536" s="4" t="s">
        <v>45</v>
      </c>
      <c r="H1536" s="4" t="s">
        <v>54</v>
      </c>
      <c r="I1536" s="5">
        <v>45488</v>
      </c>
      <c r="J1536" s="4">
        <f t="shared" si="23"/>
        <v>11</v>
      </c>
    </row>
    <row r="1537" spans="1:10" x14ac:dyDescent="0.25">
      <c r="A1537" s="4">
        <f>_xlfn.XLOOKUP(E1537,'Data Validation'!$M$3:$M$10,'Data Validation'!$N$3:$N$10)</f>
        <v>3</v>
      </c>
      <c r="B1537" s="4">
        <v>18</v>
      </c>
      <c r="C1537" s="4" t="s">
        <v>11</v>
      </c>
      <c r="D1537" s="7">
        <v>32.82</v>
      </c>
      <c r="E1537" s="4" t="s">
        <v>29</v>
      </c>
      <c r="F1537" s="4" t="s">
        <v>20</v>
      </c>
      <c r="G1537" s="4" t="s">
        <v>48</v>
      </c>
      <c r="H1537" s="4" t="s">
        <v>54</v>
      </c>
      <c r="I1537" s="5">
        <v>45491</v>
      </c>
      <c r="J1537" s="4">
        <f t="shared" si="23"/>
        <v>11</v>
      </c>
    </row>
    <row r="1538" spans="1:10" x14ac:dyDescent="0.25">
      <c r="A1538" s="4">
        <f>_xlfn.XLOOKUP(E1538,'Data Validation'!$M$3:$M$10,'Data Validation'!$N$3:$N$10)</f>
        <v>3</v>
      </c>
      <c r="B1538" s="4">
        <v>11</v>
      </c>
      <c r="C1538" s="4" t="s">
        <v>11</v>
      </c>
      <c r="D1538" s="7">
        <v>32.82</v>
      </c>
      <c r="E1538" s="4" t="s">
        <v>29</v>
      </c>
      <c r="F1538" s="4" t="s">
        <v>13</v>
      </c>
      <c r="G1538" s="4" t="s">
        <v>51</v>
      </c>
      <c r="H1538" s="4" t="s">
        <v>54</v>
      </c>
      <c r="I1538" s="5">
        <v>45494</v>
      </c>
      <c r="J1538" s="4">
        <f t="shared" si="23"/>
        <v>11</v>
      </c>
    </row>
    <row r="1539" spans="1:10" x14ac:dyDescent="0.25">
      <c r="A1539" s="4">
        <f>_xlfn.XLOOKUP(E1539,'Data Validation'!$M$3:$M$10,'Data Validation'!$N$3:$N$10)</f>
        <v>3</v>
      </c>
      <c r="B1539" s="4">
        <v>11</v>
      </c>
      <c r="C1539" s="4" t="s">
        <v>11</v>
      </c>
      <c r="D1539" s="7">
        <v>32.82</v>
      </c>
      <c r="E1539" s="4" t="s">
        <v>29</v>
      </c>
      <c r="F1539" s="4" t="s">
        <v>13</v>
      </c>
      <c r="G1539" s="4" t="s">
        <v>47</v>
      </c>
      <c r="H1539" s="4" t="s">
        <v>54</v>
      </c>
      <c r="I1539" s="5">
        <v>45497</v>
      </c>
      <c r="J1539" s="4">
        <f t="shared" ref="J1539:J1602" si="24">IF(OR(E1539&lt;&gt;E1538,D1539&lt;&gt;D1538),J1538+1,J1538)</f>
        <v>11</v>
      </c>
    </row>
    <row r="1540" spans="1:10" x14ac:dyDescent="0.25">
      <c r="A1540" s="4">
        <f>_xlfn.XLOOKUP(E1540,'Data Validation'!$M$3:$M$10,'Data Validation'!$N$3:$N$10)</f>
        <v>3</v>
      </c>
      <c r="B1540" s="4">
        <v>19</v>
      </c>
      <c r="C1540" s="4" t="s">
        <v>11</v>
      </c>
      <c r="D1540" s="7">
        <v>32.82</v>
      </c>
      <c r="E1540" s="4" t="s">
        <v>29</v>
      </c>
      <c r="F1540" s="4" t="s">
        <v>20</v>
      </c>
      <c r="G1540" s="4" t="s">
        <v>47</v>
      </c>
      <c r="H1540" s="4" t="s">
        <v>54</v>
      </c>
      <c r="I1540" s="5">
        <v>45497</v>
      </c>
      <c r="J1540" s="4">
        <f t="shared" si="24"/>
        <v>11</v>
      </c>
    </row>
    <row r="1541" spans="1:10" x14ac:dyDescent="0.25">
      <c r="A1541" s="4">
        <f>_xlfn.XLOOKUP(E1541,'Data Validation'!$M$3:$M$10,'Data Validation'!$N$3:$N$10)</f>
        <v>3</v>
      </c>
      <c r="B1541" s="4">
        <v>19</v>
      </c>
      <c r="C1541" s="4" t="s">
        <v>11</v>
      </c>
      <c r="D1541" s="7">
        <v>32.82</v>
      </c>
      <c r="E1541" s="4" t="s">
        <v>29</v>
      </c>
      <c r="F1541" s="4" t="s">
        <v>20</v>
      </c>
      <c r="G1541" s="4" t="s">
        <v>47</v>
      </c>
      <c r="H1541" s="4" t="s">
        <v>54</v>
      </c>
      <c r="I1541" s="5">
        <v>45497</v>
      </c>
      <c r="J1541" s="4">
        <f t="shared" si="24"/>
        <v>11</v>
      </c>
    </row>
    <row r="1542" spans="1:10" x14ac:dyDescent="0.25">
      <c r="A1542" s="4">
        <f>_xlfn.XLOOKUP(E1542,'Data Validation'!$M$3:$M$10,'Data Validation'!$N$3:$N$10)</f>
        <v>3</v>
      </c>
      <c r="B1542" s="4">
        <v>15</v>
      </c>
      <c r="C1542" s="4" t="s">
        <v>11</v>
      </c>
      <c r="D1542" s="7">
        <v>32.82</v>
      </c>
      <c r="E1542" s="4" t="s">
        <v>29</v>
      </c>
      <c r="F1542" s="4" t="s">
        <v>17</v>
      </c>
      <c r="G1542" s="4" t="s">
        <v>48</v>
      </c>
      <c r="H1542" s="4" t="s">
        <v>54</v>
      </c>
      <c r="I1542" s="5">
        <v>45498</v>
      </c>
      <c r="J1542" s="4">
        <f t="shared" si="24"/>
        <v>11</v>
      </c>
    </row>
    <row r="1543" spans="1:10" x14ac:dyDescent="0.25">
      <c r="A1543" s="4">
        <f>_xlfn.XLOOKUP(E1543,'Data Validation'!$M$3:$M$10,'Data Validation'!$N$3:$N$10)</f>
        <v>3</v>
      </c>
      <c r="B1543" s="4">
        <v>19</v>
      </c>
      <c r="C1543" s="4" t="s">
        <v>11</v>
      </c>
      <c r="D1543" s="7">
        <v>32.82</v>
      </c>
      <c r="E1543" s="4" t="s">
        <v>29</v>
      </c>
      <c r="F1543" s="4" t="s">
        <v>20</v>
      </c>
      <c r="G1543" s="4" t="s">
        <v>48</v>
      </c>
      <c r="H1543" s="4" t="s">
        <v>54</v>
      </c>
      <c r="I1543" s="5">
        <v>45498</v>
      </c>
      <c r="J1543" s="4">
        <f t="shared" si="24"/>
        <v>11</v>
      </c>
    </row>
    <row r="1544" spans="1:10" x14ac:dyDescent="0.25">
      <c r="A1544" s="4">
        <f>_xlfn.XLOOKUP(E1544,'Data Validation'!$M$3:$M$10,'Data Validation'!$N$3:$N$10)</f>
        <v>3</v>
      </c>
      <c r="B1544" s="4">
        <v>12</v>
      </c>
      <c r="C1544" s="4" t="s">
        <v>11</v>
      </c>
      <c r="D1544" s="7">
        <v>32.82</v>
      </c>
      <c r="E1544" s="4" t="s">
        <v>29</v>
      </c>
      <c r="F1544" s="4" t="s">
        <v>17</v>
      </c>
      <c r="G1544" s="4" t="s">
        <v>49</v>
      </c>
      <c r="H1544" s="4" t="s">
        <v>54</v>
      </c>
      <c r="I1544" s="5">
        <v>45499</v>
      </c>
      <c r="J1544" s="4">
        <f t="shared" si="24"/>
        <v>11</v>
      </c>
    </row>
    <row r="1545" spans="1:10" x14ac:dyDescent="0.25">
      <c r="A1545" s="4">
        <f>_xlfn.XLOOKUP(E1545,'Data Validation'!$M$3:$M$10,'Data Validation'!$N$3:$N$10)</f>
        <v>3</v>
      </c>
      <c r="B1545" s="4">
        <v>12</v>
      </c>
      <c r="C1545" s="4" t="s">
        <v>11</v>
      </c>
      <c r="D1545" s="7">
        <v>32.82</v>
      </c>
      <c r="E1545" s="4" t="s">
        <v>29</v>
      </c>
      <c r="F1545" s="4" t="s">
        <v>17</v>
      </c>
      <c r="G1545" s="4" t="s">
        <v>49</v>
      </c>
      <c r="H1545" s="4" t="s">
        <v>54</v>
      </c>
      <c r="I1545" s="5">
        <v>45499</v>
      </c>
      <c r="J1545" s="4">
        <f t="shared" si="24"/>
        <v>11</v>
      </c>
    </row>
    <row r="1546" spans="1:10" x14ac:dyDescent="0.25">
      <c r="A1546" s="4">
        <f>_xlfn.XLOOKUP(E1546,'Data Validation'!$M$3:$M$10,'Data Validation'!$N$3:$N$10)</f>
        <v>3</v>
      </c>
      <c r="B1546" s="4">
        <v>17</v>
      </c>
      <c r="C1546" s="4" t="s">
        <v>11</v>
      </c>
      <c r="D1546" s="7">
        <v>32.82</v>
      </c>
      <c r="E1546" s="4" t="s">
        <v>29</v>
      </c>
      <c r="F1546" s="4" t="s">
        <v>20</v>
      </c>
      <c r="G1546" s="4" t="s">
        <v>49</v>
      </c>
      <c r="H1546" s="4" t="s">
        <v>54</v>
      </c>
      <c r="I1546" s="5">
        <v>45499</v>
      </c>
      <c r="J1546" s="4">
        <f t="shared" si="24"/>
        <v>11</v>
      </c>
    </row>
    <row r="1547" spans="1:10" x14ac:dyDescent="0.25">
      <c r="A1547" s="4">
        <f>_xlfn.XLOOKUP(E1547,'Data Validation'!$M$3:$M$10,'Data Validation'!$N$3:$N$10)</f>
        <v>3</v>
      </c>
      <c r="B1547" s="4">
        <v>9</v>
      </c>
      <c r="C1547" s="4" t="s">
        <v>11</v>
      </c>
      <c r="D1547" s="7">
        <v>32.82</v>
      </c>
      <c r="E1547" s="4" t="s">
        <v>29</v>
      </c>
      <c r="F1547" s="4" t="s">
        <v>13</v>
      </c>
      <c r="G1547" s="4" t="s">
        <v>50</v>
      </c>
      <c r="H1547" s="4" t="s">
        <v>54</v>
      </c>
      <c r="I1547" s="5">
        <v>45500</v>
      </c>
      <c r="J1547" s="4">
        <f t="shared" si="24"/>
        <v>11</v>
      </c>
    </row>
    <row r="1548" spans="1:10" x14ac:dyDescent="0.25">
      <c r="A1548" s="4">
        <f>_xlfn.XLOOKUP(E1548,'Data Validation'!$M$3:$M$10,'Data Validation'!$N$3:$N$10)</f>
        <v>3</v>
      </c>
      <c r="B1548" s="4">
        <v>17</v>
      </c>
      <c r="C1548" s="4" t="s">
        <v>11</v>
      </c>
      <c r="D1548" s="7">
        <v>32.82</v>
      </c>
      <c r="E1548" s="4" t="s">
        <v>29</v>
      </c>
      <c r="F1548" s="4" t="s">
        <v>20</v>
      </c>
      <c r="G1548" s="4" t="s">
        <v>50</v>
      </c>
      <c r="H1548" s="4" t="s">
        <v>54</v>
      </c>
      <c r="I1548" s="5">
        <v>45500</v>
      </c>
      <c r="J1548" s="4">
        <f t="shared" si="24"/>
        <v>11</v>
      </c>
    </row>
    <row r="1549" spans="1:10" x14ac:dyDescent="0.25">
      <c r="A1549" s="4">
        <f>_xlfn.XLOOKUP(E1549,'Data Validation'!$M$3:$M$10,'Data Validation'!$N$3:$N$10)</f>
        <v>3</v>
      </c>
      <c r="B1549" s="4">
        <v>17</v>
      </c>
      <c r="C1549" s="4" t="s">
        <v>11</v>
      </c>
      <c r="D1549" s="7">
        <v>32.82</v>
      </c>
      <c r="E1549" s="4" t="s">
        <v>29</v>
      </c>
      <c r="F1549" s="4" t="s">
        <v>20</v>
      </c>
      <c r="G1549" s="4" t="s">
        <v>50</v>
      </c>
      <c r="H1549" s="4" t="s">
        <v>54</v>
      </c>
      <c r="I1549" s="5">
        <v>45500</v>
      </c>
      <c r="J1549" s="4">
        <f t="shared" si="24"/>
        <v>11</v>
      </c>
    </row>
    <row r="1550" spans="1:10" x14ac:dyDescent="0.25">
      <c r="A1550" s="4">
        <f>_xlfn.XLOOKUP(E1550,'Data Validation'!$M$3:$M$10,'Data Validation'!$N$3:$N$10)</f>
        <v>3</v>
      </c>
      <c r="B1550" s="4">
        <v>22</v>
      </c>
      <c r="C1550" s="4" t="s">
        <v>11</v>
      </c>
      <c r="D1550" s="7">
        <v>32.82</v>
      </c>
      <c r="E1550" s="4" t="s">
        <v>29</v>
      </c>
      <c r="F1550" s="4" t="s">
        <v>20</v>
      </c>
      <c r="G1550" s="4" t="s">
        <v>50</v>
      </c>
      <c r="H1550" s="4" t="s">
        <v>54</v>
      </c>
      <c r="I1550" s="5">
        <v>45500</v>
      </c>
      <c r="J1550" s="4">
        <f t="shared" si="24"/>
        <v>11</v>
      </c>
    </row>
    <row r="1551" spans="1:10" x14ac:dyDescent="0.25">
      <c r="A1551" s="4">
        <f>_xlfn.XLOOKUP(E1551,'Data Validation'!$M$3:$M$10,'Data Validation'!$N$3:$N$10)</f>
        <v>3</v>
      </c>
      <c r="B1551" s="4">
        <v>9</v>
      </c>
      <c r="C1551" s="4" t="s">
        <v>11</v>
      </c>
      <c r="D1551" s="7">
        <v>32.82</v>
      </c>
      <c r="E1551" s="4" t="s">
        <v>29</v>
      </c>
      <c r="F1551" s="4" t="s">
        <v>13</v>
      </c>
      <c r="G1551" s="4" t="s">
        <v>45</v>
      </c>
      <c r="H1551" s="4" t="s">
        <v>54</v>
      </c>
      <c r="I1551" s="5">
        <v>45502</v>
      </c>
      <c r="J1551" s="4">
        <f t="shared" si="24"/>
        <v>11</v>
      </c>
    </row>
    <row r="1552" spans="1:10" x14ac:dyDescent="0.25">
      <c r="A1552" s="4">
        <f>_xlfn.XLOOKUP(E1552,'Data Validation'!$M$3:$M$10,'Data Validation'!$N$3:$N$10)</f>
        <v>3</v>
      </c>
      <c r="B1552" s="4">
        <v>19</v>
      </c>
      <c r="C1552" s="4" t="s">
        <v>11</v>
      </c>
      <c r="D1552" s="7">
        <v>32.82</v>
      </c>
      <c r="E1552" s="4" t="s">
        <v>29</v>
      </c>
      <c r="F1552" s="4" t="s">
        <v>20</v>
      </c>
      <c r="G1552" s="4" t="s">
        <v>45</v>
      </c>
      <c r="H1552" s="4" t="s">
        <v>54</v>
      </c>
      <c r="I1552" s="5">
        <v>45502</v>
      </c>
      <c r="J1552" s="4">
        <f t="shared" si="24"/>
        <v>11</v>
      </c>
    </row>
    <row r="1553" spans="1:10" x14ac:dyDescent="0.25">
      <c r="A1553" s="4">
        <f>_xlfn.XLOOKUP(E1553,'Data Validation'!$M$3:$M$10,'Data Validation'!$N$3:$N$10)</f>
        <v>3</v>
      </c>
      <c r="B1553" s="4">
        <v>8</v>
      </c>
      <c r="C1553" s="4" t="s">
        <v>11</v>
      </c>
      <c r="D1553" s="7">
        <v>32.82</v>
      </c>
      <c r="E1553" s="4" t="s">
        <v>29</v>
      </c>
      <c r="F1553" s="4" t="s">
        <v>13</v>
      </c>
      <c r="G1553" s="4" t="s">
        <v>46</v>
      </c>
      <c r="H1553" s="4" t="s">
        <v>54</v>
      </c>
      <c r="I1553" s="5">
        <v>45503</v>
      </c>
      <c r="J1553" s="4">
        <f t="shared" si="24"/>
        <v>11</v>
      </c>
    </row>
    <row r="1554" spans="1:10" x14ac:dyDescent="0.25">
      <c r="A1554" s="4">
        <f>_xlfn.XLOOKUP(E1554,'Data Validation'!$M$3:$M$10,'Data Validation'!$N$3:$N$10)</f>
        <v>3</v>
      </c>
      <c r="B1554" s="4">
        <v>22</v>
      </c>
      <c r="C1554" s="4" t="s">
        <v>11</v>
      </c>
      <c r="D1554" s="7">
        <v>32.82</v>
      </c>
      <c r="E1554" s="4" t="s">
        <v>29</v>
      </c>
      <c r="F1554" s="4" t="s">
        <v>20</v>
      </c>
      <c r="G1554" s="4" t="s">
        <v>46</v>
      </c>
      <c r="H1554" s="4" t="s">
        <v>54</v>
      </c>
      <c r="I1554" s="5">
        <v>45503</v>
      </c>
      <c r="J1554" s="4">
        <f t="shared" si="24"/>
        <v>11</v>
      </c>
    </row>
    <row r="1555" spans="1:10" x14ac:dyDescent="0.25">
      <c r="A1555" s="4">
        <f>_xlfn.XLOOKUP(E1555,'Data Validation'!$M$3:$M$10,'Data Validation'!$N$3:$N$10)</f>
        <v>3</v>
      </c>
      <c r="B1555" s="4">
        <v>20</v>
      </c>
      <c r="C1555" s="4" t="s">
        <v>11</v>
      </c>
      <c r="D1555" s="7">
        <v>32.82</v>
      </c>
      <c r="E1555" s="4" t="s">
        <v>29</v>
      </c>
      <c r="F1555" s="4" t="s">
        <v>20</v>
      </c>
      <c r="G1555" s="4" t="s">
        <v>47</v>
      </c>
      <c r="H1555" s="4" t="s">
        <v>54</v>
      </c>
      <c r="I1555" s="5">
        <v>45504</v>
      </c>
      <c r="J1555" s="4">
        <f t="shared" si="24"/>
        <v>11</v>
      </c>
    </row>
    <row r="1556" spans="1:10" x14ac:dyDescent="0.25">
      <c r="A1556" s="4">
        <f>_xlfn.XLOOKUP(E1556,'Data Validation'!$M$3:$M$10,'Data Validation'!$N$3:$N$10)</f>
        <v>3</v>
      </c>
      <c r="B1556" s="4">
        <v>13</v>
      </c>
      <c r="C1556" s="4" t="s">
        <v>11</v>
      </c>
      <c r="D1556" s="7">
        <v>32.82</v>
      </c>
      <c r="E1556" s="4" t="s">
        <v>29</v>
      </c>
      <c r="F1556" s="4" t="s">
        <v>17</v>
      </c>
      <c r="G1556" s="4" t="s">
        <v>48</v>
      </c>
      <c r="H1556" s="4" t="s">
        <v>55</v>
      </c>
      <c r="I1556" s="5">
        <v>45505</v>
      </c>
      <c r="J1556" s="4">
        <f t="shared" si="24"/>
        <v>11</v>
      </c>
    </row>
    <row r="1557" spans="1:10" x14ac:dyDescent="0.25">
      <c r="A1557" s="4">
        <f>_xlfn.XLOOKUP(E1557,'Data Validation'!$M$3:$M$10,'Data Validation'!$N$3:$N$10)</f>
        <v>3</v>
      </c>
      <c r="B1557" s="4">
        <v>13</v>
      </c>
      <c r="C1557" s="4" t="s">
        <v>11</v>
      </c>
      <c r="D1557" s="7">
        <v>32.82</v>
      </c>
      <c r="E1557" s="4" t="s">
        <v>29</v>
      </c>
      <c r="F1557" s="4" t="s">
        <v>17</v>
      </c>
      <c r="G1557" s="4" t="s">
        <v>48</v>
      </c>
      <c r="H1557" s="4" t="s">
        <v>55</v>
      </c>
      <c r="I1557" s="5">
        <v>45505</v>
      </c>
      <c r="J1557" s="4">
        <f t="shared" si="24"/>
        <v>11</v>
      </c>
    </row>
    <row r="1558" spans="1:10" x14ac:dyDescent="0.25">
      <c r="A1558" s="4">
        <f>_xlfn.XLOOKUP(E1558,'Data Validation'!$M$3:$M$10,'Data Validation'!$N$3:$N$10)</f>
        <v>3</v>
      </c>
      <c r="B1558" s="4">
        <v>20</v>
      </c>
      <c r="C1558" s="4" t="s">
        <v>11</v>
      </c>
      <c r="D1558" s="7">
        <v>32.82</v>
      </c>
      <c r="E1558" s="4" t="s">
        <v>29</v>
      </c>
      <c r="F1558" s="4" t="s">
        <v>20</v>
      </c>
      <c r="G1558" s="4" t="s">
        <v>48</v>
      </c>
      <c r="H1558" s="4" t="s">
        <v>55</v>
      </c>
      <c r="I1558" s="5">
        <v>45505</v>
      </c>
      <c r="J1558" s="4">
        <f t="shared" si="24"/>
        <v>11</v>
      </c>
    </row>
    <row r="1559" spans="1:10" x14ac:dyDescent="0.25">
      <c r="A1559" s="4">
        <f>_xlfn.XLOOKUP(E1559,'Data Validation'!$M$3:$M$10,'Data Validation'!$N$3:$N$10)</f>
        <v>3</v>
      </c>
      <c r="B1559" s="4">
        <v>18</v>
      </c>
      <c r="C1559" s="4" t="s">
        <v>11</v>
      </c>
      <c r="D1559" s="7">
        <v>32.82</v>
      </c>
      <c r="E1559" s="4" t="s">
        <v>29</v>
      </c>
      <c r="F1559" s="4" t="s">
        <v>20</v>
      </c>
      <c r="G1559" s="4" t="s">
        <v>50</v>
      </c>
      <c r="H1559" s="4" t="s">
        <v>55</v>
      </c>
      <c r="I1559" s="5">
        <v>45507</v>
      </c>
      <c r="J1559" s="4">
        <f t="shared" si="24"/>
        <v>11</v>
      </c>
    </row>
    <row r="1560" spans="1:10" x14ac:dyDescent="0.25">
      <c r="A1560" s="4">
        <f>_xlfn.XLOOKUP(E1560,'Data Validation'!$M$3:$M$10,'Data Validation'!$N$3:$N$10)</f>
        <v>3</v>
      </c>
      <c r="B1560" s="4">
        <v>8</v>
      </c>
      <c r="C1560" s="4" t="s">
        <v>11</v>
      </c>
      <c r="D1560" s="7">
        <v>32.82</v>
      </c>
      <c r="E1560" s="4" t="s">
        <v>29</v>
      </c>
      <c r="F1560" s="4" t="s">
        <v>13</v>
      </c>
      <c r="G1560" s="4" t="s">
        <v>51</v>
      </c>
      <c r="H1560" s="4" t="s">
        <v>55</v>
      </c>
      <c r="I1560" s="5">
        <v>45508</v>
      </c>
      <c r="J1560" s="4">
        <f t="shared" si="24"/>
        <v>11</v>
      </c>
    </row>
    <row r="1561" spans="1:10" x14ac:dyDescent="0.25">
      <c r="A1561" s="4">
        <f>_xlfn.XLOOKUP(E1561,'Data Validation'!$M$3:$M$10,'Data Validation'!$N$3:$N$10)</f>
        <v>3</v>
      </c>
      <c r="B1561" s="4">
        <v>11</v>
      </c>
      <c r="C1561" s="4" t="s">
        <v>11</v>
      </c>
      <c r="D1561" s="7">
        <v>32.82</v>
      </c>
      <c r="E1561" s="4" t="s">
        <v>29</v>
      </c>
      <c r="F1561" s="4" t="s">
        <v>13</v>
      </c>
      <c r="G1561" s="4" t="s">
        <v>51</v>
      </c>
      <c r="H1561" s="4" t="s">
        <v>55</v>
      </c>
      <c r="I1561" s="5">
        <v>45508</v>
      </c>
      <c r="J1561" s="4">
        <f t="shared" si="24"/>
        <v>11</v>
      </c>
    </row>
    <row r="1562" spans="1:10" x14ac:dyDescent="0.25">
      <c r="A1562" s="4">
        <f>_xlfn.XLOOKUP(E1562,'Data Validation'!$M$3:$M$10,'Data Validation'!$N$3:$N$10)</f>
        <v>3</v>
      </c>
      <c r="B1562" s="4">
        <v>15</v>
      </c>
      <c r="C1562" s="4" t="s">
        <v>11</v>
      </c>
      <c r="D1562" s="7">
        <v>32.82</v>
      </c>
      <c r="E1562" s="4" t="s">
        <v>29</v>
      </c>
      <c r="F1562" s="4" t="s">
        <v>17</v>
      </c>
      <c r="G1562" s="4" t="s">
        <v>51</v>
      </c>
      <c r="H1562" s="4" t="s">
        <v>55</v>
      </c>
      <c r="I1562" s="5">
        <v>45508</v>
      </c>
      <c r="J1562" s="4">
        <f t="shared" si="24"/>
        <v>11</v>
      </c>
    </row>
    <row r="1563" spans="1:10" x14ac:dyDescent="0.25">
      <c r="A1563" s="4">
        <f>_xlfn.XLOOKUP(E1563,'Data Validation'!$M$3:$M$10,'Data Validation'!$N$3:$N$10)</f>
        <v>3</v>
      </c>
      <c r="B1563" s="4">
        <v>15</v>
      </c>
      <c r="C1563" s="4" t="s">
        <v>11</v>
      </c>
      <c r="D1563" s="7">
        <v>32.82</v>
      </c>
      <c r="E1563" s="4" t="s">
        <v>29</v>
      </c>
      <c r="F1563" s="4" t="s">
        <v>17</v>
      </c>
      <c r="G1563" s="4" t="s">
        <v>51</v>
      </c>
      <c r="H1563" s="4" t="s">
        <v>55</v>
      </c>
      <c r="I1563" s="5">
        <v>45508</v>
      </c>
      <c r="J1563" s="4">
        <f t="shared" si="24"/>
        <v>11</v>
      </c>
    </row>
    <row r="1564" spans="1:10" x14ac:dyDescent="0.25">
      <c r="A1564" s="4">
        <f>_xlfn.XLOOKUP(E1564,'Data Validation'!$M$3:$M$10,'Data Validation'!$N$3:$N$10)</f>
        <v>3</v>
      </c>
      <c r="B1564" s="4">
        <v>13</v>
      </c>
      <c r="C1564" s="4" t="s">
        <v>11</v>
      </c>
      <c r="D1564" s="7">
        <v>32.82</v>
      </c>
      <c r="E1564" s="4" t="s">
        <v>29</v>
      </c>
      <c r="F1564" s="4" t="s">
        <v>17</v>
      </c>
      <c r="G1564" s="4" t="s">
        <v>45</v>
      </c>
      <c r="H1564" s="4" t="s">
        <v>55</v>
      </c>
      <c r="I1564" s="5">
        <v>45509</v>
      </c>
      <c r="J1564" s="4">
        <f t="shared" si="24"/>
        <v>11</v>
      </c>
    </row>
    <row r="1565" spans="1:10" x14ac:dyDescent="0.25">
      <c r="A1565" s="4">
        <f>_xlfn.XLOOKUP(E1565,'Data Validation'!$M$3:$M$10,'Data Validation'!$N$3:$N$10)</f>
        <v>3</v>
      </c>
      <c r="B1565" s="4">
        <v>17</v>
      </c>
      <c r="C1565" s="4" t="s">
        <v>11</v>
      </c>
      <c r="D1565" s="7">
        <v>32.82</v>
      </c>
      <c r="E1565" s="4" t="s">
        <v>29</v>
      </c>
      <c r="F1565" s="4" t="s">
        <v>20</v>
      </c>
      <c r="G1565" s="4" t="s">
        <v>46</v>
      </c>
      <c r="H1565" s="4" t="s">
        <v>55</v>
      </c>
      <c r="I1565" s="5">
        <v>45510</v>
      </c>
      <c r="J1565" s="4">
        <f t="shared" si="24"/>
        <v>11</v>
      </c>
    </row>
    <row r="1566" spans="1:10" x14ac:dyDescent="0.25">
      <c r="A1566" s="4">
        <f>_xlfn.XLOOKUP(E1566,'Data Validation'!$M$3:$M$10,'Data Validation'!$N$3:$N$10)</f>
        <v>3</v>
      </c>
      <c r="B1566" s="4">
        <v>21</v>
      </c>
      <c r="C1566" s="4" t="s">
        <v>11</v>
      </c>
      <c r="D1566" s="7">
        <v>32.82</v>
      </c>
      <c r="E1566" s="4" t="s">
        <v>29</v>
      </c>
      <c r="F1566" s="4" t="s">
        <v>20</v>
      </c>
      <c r="G1566" s="4" t="s">
        <v>47</v>
      </c>
      <c r="H1566" s="4" t="s">
        <v>55</v>
      </c>
      <c r="I1566" s="5">
        <v>45511</v>
      </c>
      <c r="J1566" s="4">
        <f t="shared" si="24"/>
        <v>11</v>
      </c>
    </row>
    <row r="1567" spans="1:10" x14ac:dyDescent="0.25">
      <c r="A1567" s="4">
        <f>_xlfn.XLOOKUP(E1567,'Data Validation'!$M$3:$M$10,'Data Validation'!$N$3:$N$10)</f>
        <v>3</v>
      </c>
      <c r="B1567" s="4">
        <v>16</v>
      </c>
      <c r="C1567" s="4" t="s">
        <v>11</v>
      </c>
      <c r="D1567" s="7">
        <v>32.82</v>
      </c>
      <c r="E1567" s="4" t="s">
        <v>29</v>
      </c>
      <c r="F1567" s="4" t="s">
        <v>17</v>
      </c>
      <c r="G1567" s="4" t="s">
        <v>48</v>
      </c>
      <c r="H1567" s="4" t="s">
        <v>55</v>
      </c>
      <c r="I1567" s="5">
        <v>45512</v>
      </c>
      <c r="J1567" s="4">
        <f t="shared" si="24"/>
        <v>11</v>
      </c>
    </row>
    <row r="1568" spans="1:10" x14ac:dyDescent="0.25">
      <c r="A1568" s="4">
        <f>_xlfn.XLOOKUP(E1568,'Data Validation'!$M$3:$M$10,'Data Validation'!$N$3:$N$10)</f>
        <v>3</v>
      </c>
      <c r="B1568" s="4">
        <v>17</v>
      </c>
      <c r="C1568" s="4" t="s">
        <v>11</v>
      </c>
      <c r="D1568" s="7">
        <v>32.82</v>
      </c>
      <c r="E1568" s="4" t="s">
        <v>29</v>
      </c>
      <c r="F1568" s="4" t="s">
        <v>20</v>
      </c>
      <c r="G1568" s="4" t="s">
        <v>48</v>
      </c>
      <c r="H1568" s="4" t="s">
        <v>55</v>
      </c>
      <c r="I1568" s="5">
        <v>45512</v>
      </c>
      <c r="J1568" s="4">
        <f t="shared" si="24"/>
        <v>11</v>
      </c>
    </row>
    <row r="1569" spans="1:10" x14ac:dyDescent="0.25">
      <c r="A1569" s="4">
        <f>_xlfn.XLOOKUP(E1569,'Data Validation'!$M$3:$M$10,'Data Validation'!$N$3:$N$10)</f>
        <v>3</v>
      </c>
      <c r="B1569" s="4">
        <v>8</v>
      </c>
      <c r="C1569" s="4" t="s">
        <v>11</v>
      </c>
      <c r="D1569" s="7">
        <v>32.82</v>
      </c>
      <c r="E1569" s="4" t="s">
        <v>29</v>
      </c>
      <c r="F1569" s="4" t="s">
        <v>13</v>
      </c>
      <c r="G1569" s="4" t="s">
        <v>50</v>
      </c>
      <c r="H1569" s="4" t="s">
        <v>55</v>
      </c>
      <c r="I1569" s="5">
        <v>45514</v>
      </c>
      <c r="J1569" s="4">
        <f t="shared" si="24"/>
        <v>11</v>
      </c>
    </row>
    <row r="1570" spans="1:10" x14ac:dyDescent="0.25">
      <c r="A1570" s="4">
        <f>_xlfn.XLOOKUP(E1570,'Data Validation'!$M$3:$M$10,'Data Validation'!$N$3:$N$10)</f>
        <v>3</v>
      </c>
      <c r="B1570" s="4">
        <v>11</v>
      </c>
      <c r="C1570" s="4" t="s">
        <v>11</v>
      </c>
      <c r="D1570" s="7">
        <v>32.82</v>
      </c>
      <c r="E1570" s="4" t="s">
        <v>29</v>
      </c>
      <c r="F1570" s="4" t="s">
        <v>13</v>
      </c>
      <c r="G1570" s="4" t="s">
        <v>51</v>
      </c>
      <c r="H1570" s="4" t="s">
        <v>55</v>
      </c>
      <c r="I1570" s="5">
        <v>45515</v>
      </c>
      <c r="J1570" s="4">
        <f t="shared" si="24"/>
        <v>11</v>
      </c>
    </row>
    <row r="1571" spans="1:10" x14ac:dyDescent="0.25">
      <c r="A1571" s="4">
        <f>_xlfn.XLOOKUP(E1571,'Data Validation'!$M$3:$M$10,'Data Validation'!$N$3:$N$10)</f>
        <v>3</v>
      </c>
      <c r="B1571" s="4">
        <v>16</v>
      </c>
      <c r="C1571" s="4" t="s">
        <v>11</v>
      </c>
      <c r="D1571" s="7">
        <v>32.82</v>
      </c>
      <c r="E1571" s="4" t="s">
        <v>29</v>
      </c>
      <c r="F1571" s="4" t="s">
        <v>17</v>
      </c>
      <c r="G1571" s="4" t="s">
        <v>51</v>
      </c>
      <c r="H1571" s="4" t="s">
        <v>55</v>
      </c>
      <c r="I1571" s="5">
        <v>45515</v>
      </c>
      <c r="J1571" s="4">
        <f t="shared" si="24"/>
        <v>11</v>
      </c>
    </row>
    <row r="1572" spans="1:10" x14ac:dyDescent="0.25">
      <c r="A1572" s="4">
        <f>_xlfn.XLOOKUP(E1572,'Data Validation'!$M$3:$M$10,'Data Validation'!$N$3:$N$10)</f>
        <v>3</v>
      </c>
      <c r="B1572" s="4">
        <v>22</v>
      </c>
      <c r="C1572" s="4" t="s">
        <v>11</v>
      </c>
      <c r="D1572" s="7">
        <v>32.82</v>
      </c>
      <c r="E1572" s="4" t="s">
        <v>29</v>
      </c>
      <c r="F1572" s="4" t="s">
        <v>20</v>
      </c>
      <c r="G1572" s="4" t="s">
        <v>51</v>
      </c>
      <c r="H1572" s="4" t="s">
        <v>55</v>
      </c>
      <c r="I1572" s="5">
        <v>45515</v>
      </c>
      <c r="J1572" s="4">
        <f t="shared" si="24"/>
        <v>11</v>
      </c>
    </row>
    <row r="1573" spans="1:10" x14ac:dyDescent="0.25">
      <c r="A1573" s="4">
        <f>_xlfn.XLOOKUP(E1573,'Data Validation'!$M$3:$M$10,'Data Validation'!$N$3:$N$10)</f>
        <v>3</v>
      </c>
      <c r="B1573" s="4">
        <v>22</v>
      </c>
      <c r="C1573" s="4" t="s">
        <v>11</v>
      </c>
      <c r="D1573" s="7">
        <v>32.82</v>
      </c>
      <c r="E1573" s="4" t="s">
        <v>29</v>
      </c>
      <c r="F1573" s="4" t="s">
        <v>20</v>
      </c>
      <c r="G1573" s="4" t="s">
        <v>45</v>
      </c>
      <c r="H1573" s="4" t="s">
        <v>55</v>
      </c>
      <c r="I1573" s="5">
        <v>45516</v>
      </c>
      <c r="J1573" s="4">
        <f t="shared" si="24"/>
        <v>11</v>
      </c>
    </row>
    <row r="1574" spans="1:10" x14ac:dyDescent="0.25">
      <c r="A1574" s="4">
        <f>_xlfn.XLOOKUP(E1574,'Data Validation'!$M$3:$M$10,'Data Validation'!$N$3:$N$10)</f>
        <v>3</v>
      </c>
      <c r="B1574" s="4">
        <v>22</v>
      </c>
      <c r="C1574" s="4" t="s">
        <v>11</v>
      </c>
      <c r="D1574" s="7">
        <v>32.82</v>
      </c>
      <c r="E1574" s="4" t="s">
        <v>29</v>
      </c>
      <c r="F1574" s="4" t="s">
        <v>20</v>
      </c>
      <c r="G1574" s="4" t="s">
        <v>45</v>
      </c>
      <c r="H1574" s="4" t="s">
        <v>55</v>
      </c>
      <c r="I1574" s="5">
        <v>45516</v>
      </c>
      <c r="J1574" s="4">
        <f t="shared" si="24"/>
        <v>11</v>
      </c>
    </row>
    <row r="1575" spans="1:10" x14ac:dyDescent="0.25">
      <c r="A1575" s="4">
        <f>_xlfn.XLOOKUP(E1575,'Data Validation'!$M$3:$M$10,'Data Validation'!$N$3:$N$10)</f>
        <v>3</v>
      </c>
      <c r="B1575" s="4">
        <v>15</v>
      </c>
      <c r="C1575" s="4" t="s">
        <v>11</v>
      </c>
      <c r="D1575" s="7">
        <v>32.82</v>
      </c>
      <c r="E1575" s="4" t="s">
        <v>29</v>
      </c>
      <c r="F1575" s="4" t="s">
        <v>17</v>
      </c>
      <c r="G1575" s="4" t="s">
        <v>46</v>
      </c>
      <c r="H1575" s="4" t="s">
        <v>55</v>
      </c>
      <c r="I1575" s="5">
        <v>45517</v>
      </c>
      <c r="J1575" s="4">
        <f t="shared" si="24"/>
        <v>11</v>
      </c>
    </row>
    <row r="1576" spans="1:10" x14ac:dyDescent="0.25">
      <c r="A1576" s="4">
        <f>_xlfn.XLOOKUP(E1576,'Data Validation'!$M$3:$M$10,'Data Validation'!$N$3:$N$10)</f>
        <v>3</v>
      </c>
      <c r="B1576" s="4">
        <v>20</v>
      </c>
      <c r="C1576" s="4" t="s">
        <v>11</v>
      </c>
      <c r="D1576" s="7">
        <v>32.82</v>
      </c>
      <c r="E1576" s="4" t="s">
        <v>29</v>
      </c>
      <c r="F1576" s="4" t="s">
        <v>20</v>
      </c>
      <c r="G1576" s="4" t="s">
        <v>46</v>
      </c>
      <c r="H1576" s="4" t="s">
        <v>55</v>
      </c>
      <c r="I1576" s="5">
        <v>45517</v>
      </c>
      <c r="J1576" s="4">
        <f t="shared" si="24"/>
        <v>11</v>
      </c>
    </row>
    <row r="1577" spans="1:10" x14ac:dyDescent="0.25">
      <c r="A1577" s="4">
        <f>_xlfn.XLOOKUP(E1577,'Data Validation'!$M$3:$M$10,'Data Validation'!$N$3:$N$10)</f>
        <v>3</v>
      </c>
      <c r="B1577" s="4">
        <v>7</v>
      </c>
      <c r="C1577" s="4" t="s">
        <v>11</v>
      </c>
      <c r="D1577" s="7">
        <v>32.82</v>
      </c>
      <c r="E1577" s="4" t="s">
        <v>29</v>
      </c>
      <c r="F1577" s="4" t="s">
        <v>13</v>
      </c>
      <c r="G1577" s="4" t="s">
        <v>47</v>
      </c>
      <c r="H1577" s="4" t="s">
        <v>55</v>
      </c>
      <c r="I1577" s="5">
        <v>45518</v>
      </c>
      <c r="J1577" s="4">
        <f t="shared" si="24"/>
        <v>11</v>
      </c>
    </row>
    <row r="1578" spans="1:10" x14ac:dyDescent="0.25">
      <c r="A1578" s="4">
        <f>_xlfn.XLOOKUP(E1578,'Data Validation'!$M$3:$M$10,'Data Validation'!$N$3:$N$10)</f>
        <v>3</v>
      </c>
      <c r="B1578" s="4">
        <v>9</v>
      </c>
      <c r="C1578" s="4" t="s">
        <v>11</v>
      </c>
      <c r="D1578" s="7">
        <v>32.82</v>
      </c>
      <c r="E1578" s="4" t="s">
        <v>29</v>
      </c>
      <c r="F1578" s="4" t="s">
        <v>13</v>
      </c>
      <c r="G1578" s="4" t="s">
        <v>48</v>
      </c>
      <c r="H1578" s="4" t="s">
        <v>55</v>
      </c>
      <c r="I1578" s="5">
        <v>45519</v>
      </c>
      <c r="J1578" s="4">
        <f t="shared" si="24"/>
        <v>11</v>
      </c>
    </row>
    <row r="1579" spans="1:10" x14ac:dyDescent="0.25">
      <c r="A1579" s="4">
        <f>_xlfn.XLOOKUP(E1579,'Data Validation'!$M$3:$M$10,'Data Validation'!$N$3:$N$10)</f>
        <v>3</v>
      </c>
      <c r="B1579" s="4">
        <v>20</v>
      </c>
      <c r="C1579" s="4" t="s">
        <v>11</v>
      </c>
      <c r="D1579" s="7">
        <v>32.82</v>
      </c>
      <c r="E1579" s="4" t="s">
        <v>29</v>
      </c>
      <c r="F1579" s="4" t="s">
        <v>20</v>
      </c>
      <c r="G1579" s="4" t="s">
        <v>48</v>
      </c>
      <c r="H1579" s="4" t="s">
        <v>55</v>
      </c>
      <c r="I1579" s="5">
        <v>45519</v>
      </c>
      <c r="J1579" s="4">
        <f t="shared" si="24"/>
        <v>11</v>
      </c>
    </row>
    <row r="1580" spans="1:10" x14ac:dyDescent="0.25">
      <c r="A1580" s="4">
        <f>_xlfn.XLOOKUP(E1580,'Data Validation'!$M$3:$M$10,'Data Validation'!$N$3:$N$10)</f>
        <v>3</v>
      </c>
      <c r="B1580" s="4">
        <v>9</v>
      </c>
      <c r="C1580" s="4" t="s">
        <v>11</v>
      </c>
      <c r="D1580" s="7">
        <v>32.82</v>
      </c>
      <c r="E1580" s="4" t="s">
        <v>29</v>
      </c>
      <c r="F1580" s="4" t="s">
        <v>13</v>
      </c>
      <c r="G1580" s="4" t="s">
        <v>50</v>
      </c>
      <c r="H1580" s="4" t="s">
        <v>55</v>
      </c>
      <c r="I1580" s="5">
        <v>45521</v>
      </c>
      <c r="J1580" s="4">
        <f t="shared" si="24"/>
        <v>11</v>
      </c>
    </row>
    <row r="1581" spans="1:10" x14ac:dyDescent="0.25">
      <c r="A1581" s="4">
        <f>_xlfn.XLOOKUP(E1581,'Data Validation'!$M$3:$M$10,'Data Validation'!$N$3:$N$10)</f>
        <v>3</v>
      </c>
      <c r="B1581" s="4">
        <v>18</v>
      </c>
      <c r="C1581" s="4" t="s">
        <v>11</v>
      </c>
      <c r="D1581" s="7">
        <v>32.82</v>
      </c>
      <c r="E1581" s="4" t="s">
        <v>29</v>
      </c>
      <c r="F1581" s="4" t="s">
        <v>20</v>
      </c>
      <c r="G1581" s="4" t="s">
        <v>50</v>
      </c>
      <c r="H1581" s="4" t="s">
        <v>55</v>
      </c>
      <c r="I1581" s="5">
        <v>45521</v>
      </c>
      <c r="J1581" s="4">
        <f t="shared" si="24"/>
        <v>11</v>
      </c>
    </row>
    <row r="1582" spans="1:10" x14ac:dyDescent="0.25">
      <c r="A1582" s="4">
        <f>_xlfn.XLOOKUP(E1582,'Data Validation'!$M$3:$M$10,'Data Validation'!$N$3:$N$10)</f>
        <v>3</v>
      </c>
      <c r="B1582" s="4">
        <v>8</v>
      </c>
      <c r="C1582" s="4" t="s">
        <v>11</v>
      </c>
      <c r="D1582" s="7">
        <v>32.82</v>
      </c>
      <c r="E1582" s="4" t="s">
        <v>29</v>
      </c>
      <c r="F1582" s="4" t="s">
        <v>13</v>
      </c>
      <c r="G1582" s="4" t="s">
        <v>51</v>
      </c>
      <c r="H1582" s="4" t="s">
        <v>55</v>
      </c>
      <c r="I1582" s="5">
        <v>45522</v>
      </c>
      <c r="J1582" s="4">
        <f t="shared" si="24"/>
        <v>11</v>
      </c>
    </row>
    <row r="1583" spans="1:10" x14ac:dyDescent="0.25">
      <c r="A1583" s="4">
        <f>_xlfn.XLOOKUP(E1583,'Data Validation'!$M$3:$M$10,'Data Validation'!$N$3:$N$10)</f>
        <v>3</v>
      </c>
      <c r="B1583" s="4">
        <v>8</v>
      </c>
      <c r="C1583" s="4" t="s">
        <v>11</v>
      </c>
      <c r="D1583" s="7">
        <v>32.82</v>
      </c>
      <c r="E1583" s="4" t="s">
        <v>29</v>
      </c>
      <c r="F1583" s="4" t="s">
        <v>13</v>
      </c>
      <c r="G1583" s="4" t="s">
        <v>51</v>
      </c>
      <c r="H1583" s="4" t="s">
        <v>55</v>
      </c>
      <c r="I1583" s="5">
        <v>45522</v>
      </c>
      <c r="J1583" s="4">
        <f t="shared" si="24"/>
        <v>11</v>
      </c>
    </row>
    <row r="1584" spans="1:10" x14ac:dyDescent="0.25">
      <c r="A1584" s="4">
        <f>_xlfn.XLOOKUP(E1584,'Data Validation'!$M$3:$M$10,'Data Validation'!$N$3:$N$10)</f>
        <v>3</v>
      </c>
      <c r="B1584" s="4">
        <v>12</v>
      </c>
      <c r="C1584" s="4" t="s">
        <v>11</v>
      </c>
      <c r="D1584" s="7">
        <v>32.82</v>
      </c>
      <c r="E1584" s="4" t="s">
        <v>29</v>
      </c>
      <c r="F1584" s="4" t="s">
        <v>17</v>
      </c>
      <c r="G1584" s="4" t="s">
        <v>51</v>
      </c>
      <c r="H1584" s="4" t="s">
        <v>55</v>
      </c>
      <c r="I1584" s="5">
        <v>45522</v>
      </c>
      <c r="J1584" s="4">
        <f t="shared" si="24"/>
        <v>11</v>
      </c>
    </row>
    <row r="1585" spans="1:10" x14ac:dyDescent="0.25">
      <c r="A1585" s="4">
        <f>_xlfn.XLOOKUP(E1585,'Data Validation'!$M$3:$M$10,'Data Validation'!$N$3:$N$10)</f>
        <v>3</v>
      </c>
      <c r="B1585" s="4">
        <v>15</v>
      </c>
      <c r="C1585" s="4" t="s">
        <v>11</v>
      </c>
      <c r="D1585" s="7">
        <v>32.82</v>
      </c>
      <c r="E1585" s="4" t="s">
        <v>29</v>
      </c>
      <c r="F1585" s="4" t="s">
        <v>17</v>
      </c>
      <c r="G1585" s="4" t="s">
        <v>48</v>
      </c>
      <c r="H1585" s="4" t="s">
        <v>55</v>
      </c>
      <c r="I1585" s="5">
        <v>45526</v>
      </c>
      <c r="J1585" s="4">
        <f t="shared" si="24"/>
        <v>11</v>
      </c>
    </row>
    <row r="1586" spans="1:10" x14ac:dyDescent="0.25">
      <c r="A1586" s="4">
        <f>_xlfn.XLOOKUP(E1586,'Data Validation'!$M$3:$M$10,'Data Validation'!$N$3:$N$10)</f>
        <v>3</v>
      </c>
      <c r="B1586" s="4">
        <v>9</v>
      </c>
      <c r="C1586" s="4" t="s">
        <v>11</v>
      </c>
      <c r="D1586" s="7">
        <v>32.82</v>
      </c>
      <c r="E1586" s="4" t="s">
        <v>29</v>
      </c>
      <c r="F1586" s="4" t="s">
        <v>13</v>
      </c>
      <c r="G1586" s="4" t="s">
        <v>51</v>
      </c>
      <c r="H1586" s="4" t="s">
        <v>55</v>
      </c>
      <c r="I1586" s="5">
        <v>45529</v>
      </c>
      <c r="J1586" s="4">
        <f t="shared" si="24"/>
        <v>11</v>
      </c>
    </row>
    <row r="1587" spans="1:10" x14ac:dyDescent="0.25">
      <c r="A1587" s="4">
        <f>_xlfn.XLOOKUP(E1587,'Data Validation'!$M$3:$M$10,'Data Validation'!$N$3:$N$10)</f>
        <v>3</v>
      </c>
      <c r="B1587" s="4">
        <v>12</v>
      </c>
      <c r="C1587" s="4" t="s">
        <v>11</v>
      </c>
      <c r="D1587" s="7">
        <v>32.82</v>
      </c>
      <c r="E1587" s="4" t="s">
        <v>29</v>
      </c>
      <c r="F1587" s="4" t="s">
        <v>17</v>
      </c>
      <c r="G1587" s="4" t="s">
        <v>51</v>
      </c>
      <c r="H1587" s="4" t="s">
        <v>55</v>
      </c>
      <c r="I1587" s="5">
        <v>45529</v>
      </c>
      <c r="J1587" s="4">
        <f t="shared" si="24"/>
        <v>11</v>
      </c>
    </row>
    <row r="1588" spans="1:10" x14ac:dyDescent="0.25">
      <c r="A1588" s="4">
        <f>_xlfn.XLOOKUP(E1588,'Data Validation'!$M$3:$M$10,'Data Validation'!$N$3:$N$10)</f>
        <v>3</v>
      </c>
      <c r="B1588" s="4">
        <v>10</v>
      </c>
      <c r="C1588" s="4" t="s">
        <v>11</v>
      </c>
      <c r="D1588" s="7">
        <v>32.82</v>
      </c>
      <c r="E1588" s="4" t="s">
        <v>29</v>
      </c>
      <c r="F1588" s="4" t="s">
        <v>13</v>
      </c>
      <c r="G1588" s="4" t="s">
        <v>45</v>
      </c>
      <c r="H1588" s="4" t="s">
        <v>55</v>
      </c>
      <c r="I1588" s="5">
        <v>45530</v>
      </c>
      <c r="J1588" s="4">
        <f t="shared" si="24"/>
        <v>11</v>
      </c>
    </row>
    <row r="1589" spans="1:10" x14ac:dyDescent="0.25">
      <c r="A1589" s="4">
        <f>_xlfn.XLOOKUP(E1589,'Data Validation'!$M$3:$M$10,'Data Validation'!$N$3:$N$10)</f>
        <v>3</v>
      </c>
      <c r="B1589" s="4">
        <v>12</v>
      </c>
      <c r="C1589" s="4" t="s">
        <v>11</v>
      </c>
      <c r="D1589" s="7">
        <v>32.82</v>
      </c>
      <c r="E1589" s="4" t="s">
        <v>29</v>
      </c>
      <c r="F1589" s="4" t="s">
        <v>17</v>
      </c>
      <c r="G1589" s="4" t="s">
        <v>47</v>
      </c>
      <c r="H1589" s="4" t="s">
        <v>55</v>
      </c>
      <c r="I1589" s="5">
        <v>45532</v>
      </c>
      <c r="J1589" s="4">
        <f t="shared" si="24"/>
        <v>11</v>
      </c>
    </row>
    <row r="1590" spans="1:10" x14ac:dyDescent="0.25">
      <c r="A1590" s="4">
        <f>_xlfn.XLOOKUP(E1590,'Data Validation'!$M$3:$M$10,'Data Validation'!$N$3:$N$10)</f>
        <v>3</v>
      </c>
      <c r="B1590" s="4">
        <v>12</v>
      </c>
      <c r="C1590" s="4" t="s">
        <v>11</v>
      </c>
      <c r="D1590" s="7">
        <v>32.82</v>
      </c>
      <c r="E1590" s="4" t="s">
        <v>29</v>
      </c>
      <c r="F1590" s="4" t="s">
        <v>17</v>
      </c>
      <c r="G1590" s="4" t="s">
        <v>51</v>
      </c>
      <c r="H1590" s="4" t="s">
        <v>56</v>
      </c>
      <c r="I1590" s="5">
        <v>45536</v>
      </c>
      <c r="J1590" s="4">
        <f t="shared" si="24"/>
        <v>11</v>
      </c>
    </row>
    <row r="1591" spans="1:10" x14ac:dyDescent="0.25">
      <c r="A1591" s="4">
        <f>_xlfn.XLOOKUP(E1591,'Data Validation'!$M$3:$M$10,'Data Validation'!$N$3:$N$10)</f>
        <v>3</v>
      </c>
      <c r="B1591" s="4">
        <v>20</v>
      </c>
      <c r="C1591" s="4" t="s">
        <v>11</v>
      </c>
      <c r="D1591" s="7">
        <v>32.82</v>
      </c>
      <c r="E1591" s="4" t="s">
        <v>29</v>
      </c>
      <c r="F1591" s="4" t="s">
        <v>20</v>
      </c>
      <c r="G1591" s="4" t="s">
        <v>45</v>
      </c>
      <c r="H1591" s="4" t="s">
        <v>56</v>
      </c>
      <c r="I1591" s="5">
        <v>45537</v>
      </c>
      <c r="J1591" s="4">
        <f t="shared" si="24"/>
        <v>11</v>
      </c>
    </row>
    <row r="1592" spans="1:10" x14ac:dyDescent="0.25">
      <c r="A1592" s="4">
        <f>_xlfn.XLOOKUP(E1592,'Data Validation'!$M$3:$M$10,'Data Validation'!$N$3:$N$10)</f>
        <v>3</v>
      </c>
      <c r="B1592" s="4">
        <v>8</v>
      </c>
      <c r="C1592" s="4" t="s">
        <v>11</v>
      </c>
      <c r="D1592" s="7">
        <v>32.82</v>
      </c>
      <c r="E1592" s="4" t="s">
        <v>29</v>
      </c>
      <c r="F1592" s="4" t="s">
        <v>13</v>
      </c>
      <c r="G1592" s="4" t="s">
        <v>46</v>
      </c>
      <c r="H1592" s="4" t="s">
        <v>56</v>
      </c>
      <c r="I1592" s="5">
        <v>45538</v>
      </c>
      <c r="J1592" s="4">
        <f t="shared" si="24"/>
        <v>11</v>
      </c>
    </row>
    <row r="1593" spans="1:10" x14ac:dyDescent="0.25">
      <c r="A1593" s="4">
        <f>_xlfn.XLOOKUP(E1593,'Data Validation'!$M$3:$M$10,'Data Validation'!$N$3:$N$10)</f>
        <v>3</v>
      </c>
      <c r="B1593" s="4">
        <v>9</v>
      </c>
      <c r="C1593" s="4" t="s">
        <v>11</v>
      </c>
      <c r="D1593" s="7">
        <v>32.82</v>
      </c>
      <c r="E1593" s="4" t="s">
        <v>29</v>
      </c>
      <c r="F1593" s="4" t="s">
        <v>13</v>
      </c>
      <c r="G1593" s="4" t="s">
        <v>46</v>
      </c>
      <c r="H1593" s="4" t="s">
        <v>56</v>
      </c>
      <c r="I1593" s="5">
        <v>45538</v>
      </c>
      <c r="J1593" s="4">
        <f t="shared" si="24"/>
        <v>11</v>
      </c>
    </row>
    <row r="1594" spans="1:10" x14ac:dyDescent="0.25">
      <c r="A1594" s="4">
        <f>_xlfn.XLOOKUP(E1594,'Data Validation'!$M$3:$M$10,'Data Validation'!$N$3:$N$10)</f>
        <v>3</v>
      </c>
      <c r="B1594" s="4">
        <v>18</v>
      </c>
      <c r="C1594" s="4" t="s">
        <v>11</v>
      </c>
      <c r="D1594" s="7">
        <v>32.82</v>
      </c>
      <c r="E1594" s="4" t="s">
        <v>29</v>
      </c>
      <c r="F1594" s="4" t="s">
        <v>20</v>
      </c>
      <c r="G1594" s="4" t="s">
        <v>47</v>
      </c>
      <c r="H1594" s="4" t="s">
        <v>56</v>
      </c>
      <c r="I1594" s="5">
        <v>45539</v>
      </c>
      <c r="J1594" s="4">
        <f t="shared" si="24"/>
        <v>11</v>
      </c>
    </row>
    <row r="1595" spans="1:10" x14ac:dyDescent="0.25">
      <c r="A1595" s="4">
        <f>_xlfn.XLOOKUP(E1595,'Data Validation'!$M$3:$M$10,'Data Validation'!$N$3:$N$10)</f>
        <v>3</v>
      </c>
      <c r="B1595" s="4">
        <v>17</v>
      </c>
      <c r="C1595" s="4" t="s">
        <v>11</v>
      </c>
      <c r="D1595" s="7">
        <v>32.82</v>
      </c>
      <c r="E1595" s="4" t="s">
        <v>29</v>
      </c>
      <c r="F1595" s="4" t="s">
        <v>20</v>
      </c>
      <c r="G1595" s="4" t="s">
        <v>48</v>
      </c>
      <c r="H1595" s="4" t="s">
        <v>56</v>
      </c>
      <c r="I1595" s="5">
        <v>45540</v>
      </c>
      <c r="J1595" s="4">
        <f t="shared" si="24"/>
        <v>11</v>
      </c>
    </row>
    <row r="1596" spans="1:10" x14ac:dyDescent="0.25">
      <c r="A1596" s="4">
        <f>_xlfn.XLOOKUP(E1596,'Data Validation'!$M$3:$M$10,'Data Validation'!$N$3:$N$10)</f>
        <v>3</v>
      </c>
      <c r="B1596" s="4">
        <v>17</v>
      </c>
      <c r="C1596" s="4" t="s">
        <v>11</v>
      </c>
      <c r="D1596" s="7">
        <v>32.82</v>
      </c>
      <c r="E1596" s="4" t="s">
        <v>29</v>
      </c>
      <c r="F1596" s="4" t="s">
        <v>20</v>
      </c>
      <c r="G1596" s="4" t="s">
        <v>48</v>
      </c>
      <c r="H1596" s="4" t="s">
        <v>56</v>
      </c>
      <c r="I1596" s="5">
        <v>45540</v>
      </c>
      <c r="J1596" s="4">
        <f t="shared" si="24"/>
        <v>11</v>
      </c>
    </row>
    <row r="1597" spans="1:10" x14ac:dyDescent="0.25">
      <c r="A1597" s="4">
        <f>_xlfn.XLOOKUP(E1597,'Data Validation'!$M$3:$M$10,'Data Validation'!$N$3:$N$10)</f>
        <v>3</v>
      </c>
      <c r="B1597" s="4">
        <v>20</v>
      </c>
      <c r="C1597" s="4" t="s">
        <v>11</v>
      </c>
      <c r="D1597" s="7">
        <v>32.82</v>
      </c>
      <c r="E1597" s="4" t="s">
        <v>29</v>
      </c>
      <c r="F1597" s="4" t="s">
        <v>20</v>
      </c>
      <c r="G1597" s="4" t="s">
        <v>48</v>
      </c>
      <c r="H1597" s="4" t="s">
        <v>56</v>
      </c>
      <c r="I1597" s="5">
        <v>45540</v>
      </c>
      <c r="J1597" s="4">
        <f t="shared" si="24"/>
        <v>11</v>
      </c>
    </row>
    <row r="1598" spans="1:10" x14ac:dyDescent="0.25">
      <c r="A1598" s="4">
        <f>_xlfn.XLOOKUP(E1598,'Data Validation'!$M$3:$M$10,'Data Validation'!$N$3:$N$10)</f>
        <v>3</v>
      </c>
      <c r="B1598" s="4">
        <v>20</v>
      </c>
      <c r="C1598" s="4" t="s">
        <v>11</v>
      </c>
      <c r="D1598" s="7">
        <v>32.82</v>
      </c>
      <c r="E1598" s="4" t="s">
        <v>29</v>
      </c>
      <c r="F1598" s="4" t="s">
        <v>20</v>
      </c>
      <c r="G1598" s="4" t="s">
        <v>48</v>
      </c>
      <c r="H1598" s="4" t="s">
        <v>56</v>
      </c>
      <c r="I1598" s="5">
        <v>45540</v>
      </c>
      <c r="J1598" s="4">
        <f t="shared" si="24"/>
        <v>11</v>
      </c>
    </row>
    <row r="1599" spans="1:10" x14ac:dyDescent="0.25">
      <c r="A1599" s="4">
        <f>_xlfn.XLOOKUP(E1599,'Data Validation'!$M$3:$M$10,'Data Validation'!$N$3:$N$10)</f>
        <v>3</v>
      </c>
      <c r="B1599" s="4">
        <v>8</v>
      </c>
      <c r="C1599" s="4" t="s">
        <v>11</v>
      </c>
      <c r="D1599" s="7">
        <v>32.82</v>
      </c>
      <c r="E1599" s="4" t="s">
        <v>29</v>
      </c>
      <c r="F1599" s="4" t="s">
        <v>13</v>
      </c>
      <c r="G1599" s="4" t="s">
        <v>49</v>
      </c>
      <c r="H1599" s="4" t="s">
        <v>56</v>
      </c>
      <c r="I1599" s="5">
        <v>45541</v>
      </c>
      <c r="J1599" s="4">
        <f t="shared" si="24"/>
        <v>11</v>
      </c>
    </row>
    <row r="1600" spans="1:10" x14ac:dyDescent="0.25">
      <c r="A1600" s="4">
        <f>_xlfn.XLOOKUP(E1600,'Data Validation'!$M$3:$M$10,'Data Validation'!$N$3:$N$10)</f>
        <v>3</v>
      </c>
      <c r="B1600" s="4">
        <v>7</v>
      </c>
      <c r="C1600" s="4" t="s">
        <v>11</v>
      </c>
      <c r="D1600" s="7">
        <v>32.82</v>
      </c>
      <c r="E1600" s="4" t="s">
        <v>29</v>
      </c>
      <c r="F1600" s="4" t="s">
        <v>13</v>
      </c>
      <c r="G1600" s="4" t="s">
        <v>45</v>
      </c>
      <c r="H1600" s="4" t="s">
        <v>56</v>
      </c>
      <c r="I1600" s="5">
        <v>45544</v>
      </c>
      <c r="J1600" s="4">
        <f t="shared" si="24"/>
        <v>11</v>
      </c>
    </row>
    <row r="1601" spans="1:10" x14ac:dyDescent="0.25">
      <c r="A1601" s="4">
        <f>_xlfn.XLOOKUP(E1601,'Data Validation'!$M$3:$M$10,'Data Validation'!$N$3:$N$10)</f>
        <v>3</v>
      </c>
      <c r="B1601" s="4">
        <v>20</v>
      </c>
      <c r="C1601" s="4" t="s">
        <v>11</v>
      </c>
      <c r="D1601" s="7">
        <v>32.82</v>
      </c>
      <c r="E1601" s="4" t="s">
        <v>29</v>
      </c>
      <c r="F1601" s="4" t="s">
        <v>20</v>
      </c>
      <c r="G1601" s="4" t="s">
        <v>45</v>
      </c>
      <c r="H1601" s="4" t="s">
        <v>56</v>
      </c>
      <c r="I1601" s="5">
        <v>45544</v>
      </c>
      <c r="J1601" s="4">
        <f t="shared" si="24"/>
        <v>11</v>
      </c>
    </row>
    <row r="1602" spans="1:10" x14ac:dyDescent="0.25">
      <c r="A1602" s="4">
        <f>_xlfn.XLOOKUP(E1602,'Data Validation'!$M$3:$M$10,'Data Validation'!$N$3:$N$10)</f>
        <v>3</v>
      </c>
      <c r="B1602" s="4">
        <v>9</v>
      </c>
      <c r="C1602" s="4" t="s">
        <v>11</v>
      </c>
      <c r="D1602" s="7">
        <v>32.82</v>
      </c>
      <c r="E1602" s="4" t="s">
        <v>29</v>
      </c>
      <c r="F1602" s="4" t="s">
        <v>13</v>
      </c>
      <c r="G1602" s="4" t="s">
        <v>46</v>
      </c>
      <c r="H1602" s="4" t="s">
        <v>56</v>
      </c>
      <c r="I1602" s="5">
        <v>45545</v>
      </c>
      <c r="J1602" s="4">
        <f t="shared" si="24"/>
        <v>11</v>
      </c>
    </row>
    <row r="1603" spans="1:10" x14ac:dyDescent="0.25">
      <c r="A1603" s="4">
        <f>_xlfn.XLOOKUP(E1603,'Data Validation'!$M$3:$M$10,'Data Validation'!$N$3:$N$10)</f>
        <v>3</v>
      </c>
      <c r="B1603" s="4">
        <v>18</v>
      </c>
      <c r="C1603" s="4" t="s">
        <v>11</v>
      </c>
      <c r="D1603" s="7">
        <v>32.82</v>
      </c>
      <c r="E1603" s="4" t="s">
        <v>29</v>
      </c>
      <c r="F1603" s="4" t="s">
        <v>20</v>
      </c>
      <c r="G1603" s="4" t="s">
        <v>46</v>
      </c>
      <c r="H1603" s="4" t="s">
        <v>56</v>
      </c>
      <c r="I1603" s="5">
        <v>45545</v>
      </c>
      <c r="J1603" s="4">
        <f t="shared" ref="J1603:J1666" si="25">IF(OR(E1603&lt;&gt;E1602,D1603&lt;&gt;D1602),J1602+1,J1602)</f>
        <v>11</v>
      </c>
    </row>
    <row r="1604" spans="1:10" x14ac:dyDescent="0.25">
      <c r="A1604" s="4">
        <f>_xlfn.XLOOKUP(E1604,'Data Validation'!$M$3:$M$10,'Data Validation'!$N$3:$N$10)</f>
        <v>3</v>
      </c>
      <c r="B1604" s="4">
        <v>19</v>
      </c>
      <c r="C1604" s="4" t="s">
        <v>11</v>
      </c>
      <c r="D1604" s="7">
        <v>32.82</v>
      </c>
      <c r="E1604" s="4" t="s">
        <v>29</v>
      </c>
      <c r="F1604" s="4" t="s">
        <v>20</v>
      </c>
      <c r="G1604" s="4" t="s">
        <v>47</v>
      </c>
      <c r="H1604" s="4" t="s">
        <v>56</v>
      </c>
      <c r="I1604" s="5">
        <v>45546</v>
      </c>
      <c r="J1604" s="4">
        <f t="shared" si="25"/>
        <v>11</v>
      </c>
    </row>
    <row r="1605" spans="1:10" x14ac:dyDescent="0.25">
      <c r="A1605" s="4">
        <f>_xlfn.XLOOKUP(E1605,'Data Validation'!$M$3:$M$10,'Data Validation'!$N$3:$N$10)</f>
        <v>3</v>
      </c>
      <c r="B1605" s="4">
        <v>12</v>
      </c>
      <c r="C1605" s="4" t="s">
        <v>11</v>
      </c>
      <c r="D1605" s="7">
        <v>32.82</v>
      </c>
      <c r="E1605" s="4" t="s">
        <v>29</v>
      </c>
      <c r="F1605" s="4" t="s">
        <v>17</v>
      </c>
      <c r="G1605" s="4" t="s">
        <v>48</v>
      </c>
      <c r="H1605" s="4" t="s">
        <v>56</v>
      </c>
      <c r="I1605" s="5">
        <v>45547</v>
      </c>
      <c r="J1605" s="4">
        <f t="shared" si="25"/>
        <v>11</v>
      </c>
    </row>
    <row r="1606" spans="1:10" x14ac:dyDescent="0.25">
      <c r="A1606" s="4">
        <f>_xlfn.XLOOKUP(E1606,'Data Validation'!$M$3:$M$10,'Data Validation'!$N$3:$N$10)</f>
        <v>3</v>
      </c>
      <c r="B1606" s="4">
        <v>21</v>
      </c>
      <c r="C1606" s="4" t="s">
        <v>11</v>
      </c>
      <c r="D1606" s="7">
        <v>32.82</v>
      </c>
      <c r="E1606" s="4" t="s">
        <v>29</v>
      </c>
      <c r="F1606" s="4" t="s">
        <v>20</v>
      </c>
      <c r="G1606" s="4" t="s">
        <v>48</v>
      </c>
      <c r="H1606" s="4" t="s">
        <v>56</v>
      </c>
      <c r="I1606" s="5">
        <v>45547</v>
      </c>
      <c r="J1606" s="4">
        <f t="shared" si="25"/>
        <v>11</v>
      </c>
    </row>
    <row r="1607" spans="1:10" x14ac:dyDescent="0.25">
      <c r="A1607" s="4">
        <f>_xlfn.XLOOKUP(E1607,'Data Validation'!$M$3:$M$10,'Data Validation'!$N$3:$N$10)</f>
        <v>3</v>
      </c>
      <c r="B1607" s="4">
        <v>16</v>
      </c>
      <c r="C1607" s="4" t="s">
        <v>11</v>
      </c>
      <c r="D1607" s="7">
        <v>32.82</v>
      </c>
      <c r="E1607" s="4" t="s">
        <v>29</v>
      </c>
      <c r="F1607" s="4" t="s">
        <v>17</v>
      </c>
      <c r="G1607" s="4" t="s">
        <v>50</v>
      </c>
      <c r="H1607" s="4" t="s">
        <v>56</v>
      </c>
      <c r="I1607" s="5">
        <v>45549</v>
      </c>
      <c r="J1607" s="4">
        <f t="shared" si="25"/>
        <v>11</v>
      </c>
    </row>
    <row r="1608" spans="1:10" x14ac:dyDescent="0.25">
      <c r="A1608" s="4">
        <f>_xlfn.XLOOKUP(E1608,'Data Validation'!$M$3:$M$10,'Data Validation'!$N$3:$N$10)</f>
        <v>3</v>
      </c>
      <c r="B1608" s="4">
        <v>16</v>
      </c>
      <c r="C1608" s="4" t="s">
        <v>11</v>
      </c>
      <c r="D1608" s="7">
        <v>32.82</v>
      </c>
      <c r="E1608" s="4" t="s">
        <v>29</v>
      </c>
      <c r="F1608" s="4" t="s">
        <v>17</v>
      </c>
      <c r="G1608" s="4" t="s">
        <v>50</v>
      </c>
      <c r="H1608" s="4" t="s">
        <v>56</v>
      </c>
      <c r="I1608" s="5">
        <v>45549</v>
      </c>
      <c r="J1608" s="4">
        <f t="shared" si="25"/>
        <v>11</v>
      </c>
    </row>
    <row r="1609" spans="1:10" x14ac:dyDescent="0.25">
      <c r="A1609" s="4">
        <f>_xlfn.XLOOKUP(E1609,'Data Validation'!$M$3:$M$10,'Data Validation'!$N$3:$N$10)</f>
        <v>3</v>
      </c>
      <c r="B1609" s="4">
        <v>14</v>
      </c>
      <c r="C1609" s="4" t="s">
        <v>11</v>
      </c>
      <c r="D1609" s="7">
        <v>32.82</v>
      </c>
      <c r="E1609" s="4" t="s">
        <v>29</v>
      </c>
      <c r="F1609" s="4" t="s">
        <v>17</v>
      </c>
      <c r="G1609" s="4" t="s">
        <v>51</v>
      </c>
      <c r="H1609" s="4" t="s">
        <v>56</v>
      </c>
      <c r="I1609" s="5">
        <v>45550</v>
      </c>
      <c r="J1609" s="4">
        <f t="shared" si="25"/>
        <v>11</v>
      </c>
    </row>
    <row r="1610" spans="1:10" x14ac:dyDescent="0.25">
      <c r="A1610" s="4">
        <f>_xlfn.XLOOKUP(E1610,'Data Validation'!$M$3:$M$10,'Data Validation'!$N$3:$N$10)</f>
        <v>3</v>
      </c>
      <c r="B1610" s="4">
        <v>9</v>
      </c>
      <c r="C1610" s="4" t="s">
        <v>11</v>
      </c>
      <c r="D1610" s="7">
        <v>32.82</v>
      </c>
      <c r="E1610" s="4" t="s">
        <v>29</v>
      </c>
      <c r="F1610" s="4" t="s">
        <v>13</v>
      </c>
      <c r="G1610" s="4" t="s">
        <v>46</v>
      </c>
      <c r="H1610" s="4" t="s">
        <v>56</v>
      </c>
      <c r="I1610" s="5">
        <v>45552</v>
      </c>
      <c r="J1610" s="4">
        <f t="shared" si="25"/>
        <v>11</v>
      </c>
    </row>
    <row r="1611" spans="1:10" x14ac:dyDescent="0.25">
      <c r="A1611" s="4">
        <f>_xlfn.XLOOKUP(E1611,'Data Validation'!$M$3:$M$10,'Data Validation'!$N$3:$N$10)</f>
        <v>3</v>
      </c>
      <c r="B1611" s="4">
        <v>16</v>
      </c>
      <c r="C1611" s="4" t="s">
        <v>11</v>
      </c>
      <c r="D1611" s="7">
        <v>32.82</v>
      </c>
      <c r="E1611" s="4" t="s">
        <v>29</v>
      </c>
      <c r="F1611" s="4" t="s">
        <v>17</v>
      </c>
      <c r="G1611" s="4" t="s">
        <v>46</v>
      </c>
      <c r="H1611" s="4" t="s">
        <v>56</v>
      </c>
      <c r="I1611" s="5">
        <v>45552</v>
      </c>
      <c r="J1611" s="4">
        <f t="shared" si="25"/>
        <v>11</v>
      </c>
    </row>
    <row r="1612" spans="1:10" x14ac:dyDescent="0.25">
      <c r="A1612" s="4">
        <f>_xlfn.XLOOKUP(E1612,'Data Validation'!$M$3:$M$10,'Data Validation'!$N$3:$N$10)</f>
        <v>3</v>
      </c>
      <c r="B1612" s="4">
        <v>15</v>
      </c>
      <c r="C1612" s="4" t="s">
        <v>11</v>
      </c>
      <c r="D1612" s="7">
        <v>32.82</v>
      </c>
      <c r="E1612" s="4" t="s">
        <v>29</v>
      </c>
      <c r="F1612" s="4" t="s">
        <v>17</v>
      </c>
      <c r="G1612" s="4" t="s">
        <v>50</v>
      </c>
      <c r="H1612" s="4" t="s">
        <v>56</v>
      </c>
      <c r="I1612" s="5">
        <v>45556</v>
      </c>
      <c r="J1612" s="4">
        <f t="shared" si="25"/>
        <v>11</v>
      </c>
    </row>
    <row r="1613" spans="1:10" x14ac:dyDescent="0.25">
      <c r="A1613" s="4">
        <f>_xlfn.XLOOKUP(E1613,'Data Validation'!$M$3:$M$10,'Data Validation'!$N$3:$N$10)</f>
        <v>3</v>
      </c>
      <c r="B1613" s="4">
        <v>20</v>
      </c>
      <c r="C1613" s="4" t="s">
        <v>11</v>
      </c>
      <c r="D1613" s="7">
        <v>32.82</v>
      </c>
      <c r="E1613" s="4" t="s">
        <v>29</v>
      </c>
      <c r="F1613" s="4" t="s">
        <v>20</v>
      </c>
      <c r="G1613" s="4" t="s">
        <v>51</v>
      </c>
      <c r="H1613" s="4" t="s">
        <v>56</v>
      </c>
      <c r="I1613" s="5">
        <v>45557</v>
      </c>
      <c r="J1613" s="4">
        <f t="shared" si="25"/>
        <v>11</v>
      </c>
    </row>
    <row r="1614" spans="1:10" x14ac:dyDescent="0.25">
      <c r="A1614" s="4">
        <f>_xlfn.XLOOKUP(E1614,'Data Validation'!$M$3:$M$10,'Data Validation'!$N$3:$N$10)</f>
        <v>3</v>
      </c>
      <c r="B1614" s="4">
        <v>17</v>
      </c>
      <c r="C1614" s="4" t="s">
        <v>11</v>
      </c>
      <c r="D1614" s="7">
        <v>32.82</v>
      </c>
      <c r="E1614" s="4" t="s">
        <v>29</v>
      </c>
      <c r="F1614" s="4" t="s">
        <v>20</v>
      </c>
      <c r="G1614" s="4" t="s">
        <v>45</v>
      </c>
      <c r="H1614" s="4" t="s">
        <v>56</v>
      </c>
      <c r="I1614" s="5">
        <v>45558</v>
      </c>
      <c r="J1614" s="4">
        <f t="shared" si="25"/>
        <v>11</v>
      </c>
    </row>
    <row r="1615" spans="1:10" x14ac:dyDescent="0.25">
      <c r="A1615" s="4">
        <f>_xlfn.XLOOKUP(E1615,'Data Validation'!$M$3:$M$10,'Data Validation'!$N$3:$N$10)</f>
        <v>3</v>
      </c>
      <c r="B1615" s="4">
        <v>20</v>
      </c>
      <c r="C1615" s="4" t="s">
        <v>11</v>
      </c>
      <c r="D1615" s="7">
        <v>32.82</v>
      </c>
      <c r="E1615" s="4" t="s">
        <v>29</v>
      </c>
      <c r="F1615" s="4" t="s">
        <v>20</v>
      </c>
      <c r="G1615" s="4" t="s">
        <v>45</v>
      </c>
      <c r="H1615" s="4" t="s">
        <v>56</v>
      </c>
      <c r="I1615" s="5">
        <v>45558</v>
      </c>
      <c r="J1615" s="4">
        <f t="shared" si="25"/>
        <v>11</v>
      </c>
    </row>
    <row r="1616" spans="1:10" x14ac:dyDescent="0.25">
      <c r="A1616" s="4">
        <f>_xlfn.XLOOKUP(E1616,'Data Validation'!$M$3:$M$10,'Data Validation'!$N$3:$N$10)</f>
        <v>3</v>
      </c>
      <c r="B1616" s="4">
        <v>15</v>
      </c>
      <c r="C1616" s="4" t="s">
        <v>11</v>
      </c>
      <c r="D1616" s="7">
        <v>32.82</v>
      </c>
      <c r="E1616" s="4" t="s">
        <v>29</v>
      </c>
      <c r="F1616" s="4" t="s">
        <v>17</v>
      </c>
      <c r="G1616" s="4" t="s">
        <v>46</v>
      </c>
      <c r="H1616" s="4" t="s">
        <v>56</v>
      </c>
      <c r="I1616" s="5">
        <v>45559</v>
      </c>
      <c r="J1616" s="4">
        <f t="shared" si="25"/>
        <v>11</v>
      </c>
    </row>
    <row r="1617" spans="1:10" x14ac:dyDescent="0.25">
      <c r="A1617" s="4">
        <f>_xlfn.XLOOKUP(E1617,'Data Validation'!$M$3:$M$10,'Data Validation'!$N$3:$N$10)</f>
        <v>3</v>
      </c>
      <c r="B1617" s="4">
        <v>7</v>
      </c>
      <c r="C1617" s="4" t="s">
        <v>11</v>
      </c>
      <c r="D1617" s="7">
        <v>32.82</v>
      </c>
      <c r="E1617" s="4" t="s">
        <v>29</v>
      </c>
      <c r="F1617" s="4" t="s">
        <v>13</v>
      </c>
      <c r="G1617" s="4" t="s">
        <v>47</v>
      </c>
      <c r="H1617" s="4" t="s">
        <v>56</v>
      </c>
      <c r="I1617" s="5">
        <v>45560</v>
      </c>
      <c r="J1617" s="4">
        <f t="shared" si="25"/>
        <v>11</v>
      </c>
    </row>
    <row r="1618" spans="1:10" x14ac:dyDescent="0.25">
      <c r="A1618" s="4">
        <f>_xlfn.XLOOKUP(E1618,'Data Validation'!$M$3:$M$10,'Data Validation'!$N$3:$N$10)</f>
        <v>3</v>
      </c>
      <c r="B1618" s="4">
        <v>11</v>
      </c>
      <c r="C1618" s="4" t="s">
        <v>11</v>
      </c>
      <c r="D1618" s="7">
        <v>32.82</v>
      </c>
      <c r="E1618" s="4" t="s">
        <v>29</v>
      </c>
      <c r="F1618" s="4" t="s">
        <v>13</v>
      </c>
      <c r="G1618" s="4" t="s">
        <v>48</v>
      </c>
      <c r="H1618" s="4" t="s">
        <v>56</v>
      </c>
      <c r="I1618" s="5">
        <v>45561</v>
      </c>
      <c r="J1618" s="4">
        <f t="shared" si="25"/>
        <v>11</v>
      </c>
    </row>
    <row r="1619" spans="1:10" x14ac:dyDescent="0.25">
      <c r="A1619" s="4">
        <f>_xlfn.XLOOKUP(E1619,'Data Validation'!$M$3:$M$10,'Data Validation'!$N$3:$N$10)</f>
        <v>3</v>
      </c>
      <c r="B1619" s="4">
        <v>9</v>
      </c>
      <c r="C1619" s="4" t="s">
        <v>11</v>
      </c>
      <c r="D1619" s="7">
        <v>32.82</v>
      </c>
      <c r="E1619" s="4" t="s">
        <v>29</v>
      </c>
      <c r="F1619" s="4" t="s">
        <v>13</v>
      </c>
      <c r="G1619" s="4" t="s">
        <v>49</v>
      </c>
      <c r="H1619" s="4" t="s">
        <v>56</v>
      </c>
      <c r="I1619" s="5">
        <v>45562</v>
      </c>
      <c r="J1619" s="4">
        <f t="shared" si="25"/>
        <v>11</v>
      </c>
    </row>
    <row r="1620" spans="1:10" x14ac:dyDescent="0.25">
      <c r="A1620" s="4">
        <f>_xlfn.XLOOKUP(E1620,'Data Validation'!$M$3:$M$10,'Data Validation'!$N$3:$N$10)</f>
        <v>3</v>
      </c>
      <c r="B1620" s="4">
        <v>13</v>
      </c>
      <c r="C1620" s="4" t="s">
        <v>11</v>
      </c>
      <c r="D1620" s="7">
        <v>32.82</v>
      </c>
      <c r="E1620" s="4" t="s">
        <v>29</v>
      </c>
      <c r="F1620" s="4" t="s">
        <v>17</v>
      </c>
      <c r="G1620" s="4" t="s">
        <v>49</v>
      </c>
      <c r="H1620" s="4" t="s">
        <v>56</v>
      </c>
      <c r="I1620" s="5">
        <v>45562</v>
      </c>
      <c r="J1620" s="4">
        <f t="shared" si="25"/>
        <v>11</v>
      </c>
    </row>
    <row r="1621" spans="1:10" x14ac:dyDescent="0.25">
      <c r="A1621" s="4">
        <f>_xlfn.XLOOKUP(E1621,'Data Validation'!$M$3:$M$10,'Data Validation'!$N$3:$N$10)</f>
        <v>3</v>
      </c>
      <c r="B1621" s="4">
        <v>13</v>
      </c>
      <c r="C1621" s="4" t="s">
        <v>11</v>
      </c>
      <c r="D1621" s="7">
        <v>32.82</v>
      </c>
      <c r="E1621" s="4" t="s">
        <v>29</v>
      </c>
      <c r="F1621" s="4" t="s">
        <v>17</v>
      </c>
      <c r="G1621" s="4" t="s">
        <v>49</v>
      </c>
      <c r="H1621" s="4" t="s">
        <v>56</v>
      </c>
      <c r="I1621" s="5">
        <v>45562</v>
      </c>
      <c r="J1621" s="4">
        <f t="shared" si="25"/>
        <v>11</v>
      </c>
    </row>
    <row r="1622" spans="1:10" x14ac:dyDescent="0.25">
      <c r="A1622" s="4">
        <f>_xlfn.XLOOKUP(E1622,'Data Validation'!$M$3:$M$10,'Data Validation'!$N$3:$N$10)</f>
        <v>3</v>
      </c>
      <c r="B1622" s="4">
        <v>18</v>
      </c>
      <c r="C1622" s="4" t="s">
        <v>11</v>
      </c>
      <c r="D1622" s="7">
        <v>32.82</v>
      </c>
      <c r="E1622" s="4" t="s">
        <v>29</v>
      </c>
      <c r="F1622" s="4" t="s">
        <v>20</v>
      </c>
      <c r="G1622" s="4" t="s">
        <v>49</v>
      </c>
      <c r="H1622" s="4" t="s">
        <v>56</v>
      </c>
      <c r="I1622" s="5">
        <v>45562</v>
      </c>
      <c r="J1622" s="4">
        <f t="shared" si="25"/>
        <v>11</v>
      </c>
    </row>
    <row r="1623" spans="1:10" x14ac:dyDescent="0.25">
      <c r="A1623" s="4">
        <f>_xlfn.XLOOKUP(E1623,'Data Validation'!$M$3:$M$10,'Data Validation'!$N$3:$N$10)</f>
        <v>3</v>
      </c>
      <c r="B1623" s="4">
        <v>18</v>
      </c>
      <c r="C1623" s="4" t="s">
        <v>11</v>
      </c>
      <c r="D1623" s="7">
        <v>32.82</v>
      </c>
      <c r="E1623" s="4" t="s">
        <v>29</v>
      </c>
      <c r="F1623" s="4" t="s">
        <v>20</v>
      </c>
      <c r="G1623" s="4" t="s">
        <v>49</v>
      </c>
      <c r="H1623" s="4" t="s">
        <v>56</v>
      </c>
      <c r="I1623" s="5">
        <v>45562</v>
      </c>
      <c r="J1623" s="4">
        <f t="shared" si="25"/>
        <v>11</v>
      </c>
    </row>
    <row r="1624" spans="1:10" x14ac:dyDescent="0.25">
      <c r="A1624" s="4">
        <f>_xlfn.XLOOKUP(E1624,'Data Validation'!$M$3:$M$10,'Data Validation'!$N$3:$N$10)</f>
        <v>3</v>
      </c>
      <c r="B1624" s="4">
        <v>20</v>
      </c>
      <c r="C1624" s="4" t="s">
        <v>11</v>
      </c>
      <c r="D1624" s="7">
        <v>32.82</v>
      </c>
      <c r="E1624" s="4" t="s">
        <v>29</v>
      </c>
      <c r="F1624" s="4" t="s">
        <v>20</v>
      </c>
      <c r="G1624" s="4" t="s">
        <v>49</v>
      </c>
      <c r="H1624" s="4" t="s">
        <v>56</v>
      </c>
      <c r="I1624" s="5">
        <v>45562</v>
      </c>
      <c r="J1624" s="4">
        <f t="shared" si="25"/>
        <v>11</v>
      </c>
    </row>
    <row r="1625" spans="1:10" x14ac:dyDescent="0.25">
      <c r="A1625" s="4">
        <f>_xlfn.XLOOKUP(E1625,'Data Validation'!$M$3:$M$10,'Data Validation'!$N$3:$N$10)</f>
        <v>3</v>
      </c>
      <c r="B1625" s="4">
        <v>20</v>
      </c>
      <c r="C1625" s="4" t="s">
        <v>11</v>
      </c>
      <c r="D1625" s="7">
        <v>32.82</v>
      </c>
      <c r="E1625" s="4" t="s">
        <v>29</v>
      </c>
      <c r="F1625" s="4" t="s">
        <v>20</v>
      </c>
      <c r="G1625" s="4" t="s">
        <v>49</v>
      </c>
      <c r="H1625" s="4" t="s">
        <v>56</v>
      </c>
      <c r="I1625" s="5">
        <v>45562</v>
      </c>
      <c r="J1625" s="4">
        <f t="shared" si="25"/>
        <v>11</v>
      </c>
    </row>
    <row r="1626" spans="1:10" x14ac:dyDescent="0.25">
      <c r="A1626" s="4">
        <f>_xlfn.XLOOKUP(E1626,'Data Validation'!$M$3:$M$10,'Data Validation'!$N$3:$N$10)</f>
        <v>3</v>
      </c>
      <c r="B1626" s="4">
        <v>22</v>
      </c>
      <c r="C1626" s="4" t="s">
        <v>11</v>
      </c>
      <c r="D1626" s="7">
        <v>35.76</v>
      </c>
      <c r="E1626" s="4" t="s">
        <v>29</v>
      </c>
      <c r="F1626" s="4" t="s">
        <v>20</v>
      </c>
      <c r="G1626" s="4" t="s">
        <v>50</v>
      </c>
      <c r="H1626" s="4" t="s">
        <v>56</v>
      </c>
      <c r="I1626" s="5">
        <v>45563</v>
      </c>
      <c r="J1626" s="4">
        <f t="shared" si="25"/>
        <v>12</v>
      </c>
    </row>
    <row r="1627" spans="1:10" x14ac:dyDescent="0.25">
      <c r="A1627" s="4">
        <f>_xlfn.XLOOKUP(E1627,'Data Validation'!$M$3:$M$10,'Data Validation'!$N$3:$N$10)</f>
        <v>3</v>
      </c>
      <c r="B1627" s="4">
        <v>10</v>
      </c>
      <c r="C1627" s="4" t="s">
        <v>11</v>
      </c>
      <c r="D1627" s="7">
        <v>35.76</v>
      </c>
      <c r="E1627" s="4" t="s">
        <v>29</v>
      </c>
      <c r="F1627" s="4" t="s">
        <v>13</v>
      </c>
      <c r="G1627" s="4" t="s">
        <v>51</v>
      </c>
      <c r="H1627" s="4" t="s">
        <v>56</v>
      </c>
      <c r="I1627" s="5">
        <v>45564</v>
      </c>
      <c r="J1627" s="4">
        <f t="shared" si="25"/>
        <v>12</v>
      </c>
    </row>
    <row r="1628" spans="1:10" x14ac:dyDescent="0.25">
      <c r="A1628" s="4">
        <f>_xlfn.XLOOKUP(E1628,'Data Validation'!$M$3:$M$10,'Data Validation'!$N$3:$N$10)</f>
        <v>3</v>
      </c>
      <c r="B1628" s="4">
        <v>10</v>
      </c>
      <c r="C1628" s="4" t="s">
        <v>11</v>
      </c>
      <c r="D1628" s="7">
        <v>35.76</v>
      </c>
      <c r="E1628" s="4" t="s">
        <v>29</v>
      </c>
      <c r="F1628" s="4" t="s">
        <v>13</v>
      </c>
      <c r="G1628" s="4" t="s">
        <v>51</v>
      </c>
      <c r="H1628" s="4" t="s">
        <v>56</v>
      </c>
      <c r="I1628" s="5">
        <v>45564</v>
      </c>
      <c r="J1628" s="4">
        <f t="shared" si="25"/>
        <v>12</v>
      </c>
    </row>
    <row r="1629" spans="1:10" x14ac:dyDescent="0.25">
      <c r="A1629" s="4">
        <f>_xlfn.XLOOKUP(E1629,'Data Validation'!$M$3:$M$10,'Data Validation'!$N$3:$N$10)</f>
        <v>3</v>
      </c>
      <c r="B1629" s="4">
        <v>10</v>
      </c>
      <c r="C1629" s="4" t="s">
        <v>11</v>
      </c>
      <c r="D1629" s="7">
        <v>35.76</v>
      </c>
      <c r="E1629" s="4" t="s">
        <v>29</v>
      </c>
      <c r="F1629" s="4" t="s">
        <v>13</v>
      </c>
      <c r="G1629" s="4" t="s">
        <v>51</v>
      </c>
      <c r="H1629" s="4" t="s">
        <v>56</v>
      </c>
      <c r="I1629" s="5">
        <v>45564</v>
      </c>
      <c r="J1629" s="4">
        <f t="shared" si="25"/>
        <v>12</v>
      </c>
    </row>
    <row r="1630" spans="1:10" x14ac:dyDescent="0.25">
      <c r="A1630" s="4">
        <f>_xlfn.XLOOKUP(E1630,'Data Validation'!$M$3:$M$10,'Data Validation'!$N$3:$N$10)</f>
        <v>3</v>
      </c>
      <c r="B1630" s="4">
        <v>18</v>
      </c>
      <c r="C1630" s="4" t="s">
        <v>11</v>
      </c>
      <c r="D1630" s="7">
        <v>35.76</v>
      </c>
      <c r="E1630" s="4" t="s">
        <v>29</v>
      </c>
      <c r="F1630" s="4" t="s">
        <v>20</v>
      </c>
      <c r="G1630" s="4" t="s">
        <v>51</v>
      </c>
      <c r="H1630" s="4" t="s">
        <v>56</v>
      </c>
      <c r="I1630" s="5">
        <v>45564</v>
      </c>
      <c r="J1630" s="4">
        <f t="shared" si="25"/>
        <v>12</v>
      </c>
    </row>
    <row r="1631" spans="1:10" x14ac:dyDescent="0.25">
      <c r="A1631" s="4">
        <f>_xlfn.XLOOKUP(E1631,'Data Validation'!$M$3:$M$10,'Data Validation'!$N$3:$N$10)</f>
        <v>3</v>
      </c>
      <c r="B1631" s="4">
        <v>11</v>
      </c>
      <c r="C1631" s="4" t="s">
        <v>11</v>
      </c>
      <c r="D1631" s="7">
        <v>35.76</v>
      </c>
      <c r="E1631" s="4" t="s">
        <v>29</v>
      </c>
      <c r="F1631" s="4" t="s">
        <v>13</v>
      </c>
      <c r="G1631" s="4" t="s">
        <v>47</v>
      </c>
      <c r="H1631" s="4" t="s">
        <v>57</v>
      </c>
      <c r="I1631" s="5">
        <v>45567</v>
      </c>
      <c r="J1631" s="4">
        <f t="shared" si="25"/>
        <v>12</v>
      </c>
    </row>
    <row r="1632" spans="1:10" x14ac:dyDescent="0.25">
      <c r="A1632" s="4">
        <f>_xlfn.XLOOKUP(E1632,'Data Validation'!$M$3:$M$10,'Data Validation'!$N$3:$N$10)</f>
        <v>3</v>
      </c>
      <c r="B1632" s="4">
        <v>15</v>
      </c>
      <c r="C1632" s="4" t="s">
        <v>11</v>
      </c>
      <c r="D1632" s="7">
        <v>35.76</v>
      </c>
      <c r="E1632" s="4" t="s">
        <v>29</v>
      </c>
      <c r="F1632" s="4" t="s">
        <v>17</v>
      </c>
      <c r="G1632" s="4" t="s">
        <v>47</v>
      </c>
      <c r="H1632" s="4" t="s">
        <v>57</v>
      </c>
      <c r="I1632" s="5">
        <v>45567</v>
      </c>
      <c r="J1632" s="4">
        <f t="shared" si="25"/>
        <v>12</v>
      </c>
    </row>
    <row r="1633" spans="1:10" x14ac:dyDescent="0.25">
      <c r="A1633" s="4">
        <f>_xlfn.XLOOKUP(E1633,'Data Validation'!$M$3:$M$10,'Data Validation'!$N$3:$N$10)</f>
        <v>3</v>
      </c>
      <c r="B1633" s="4">
        <v>21</v>
      </c>
      <c r="C1633" s="4" t="s">
        <v>11</v>
      </c>
      <c r="D1633" s="7">
        <v>35.76</v>
      </c>
      <c r="E1633" s="4" t="s">
        <v>29</v>
      </c>
      <c r="F1633" s="4" t="s">
        <v>20</v>
      </c>
      <c r="G1633" s="4" t="s">
        <v>48</v>
      </c>
      <c r="H1633" s="4" t="s">
        <v>57</v>
      </c>
      <c r="I1633" s="5">
        <v>45568</v>
      </c>
      <c r="J1633" s="4">
        <f t="shared" si="25"/>
        <v>12</v>
      </c>
    </row>
    <row r="1634" spans="1:10" x14ac:dyDescent="0.25">
      <c r="A1634" s="4">
        <f>_xlfn.XLOOKUP(E1634,'Data Validation'!$M$3:$M$10,'Data Validation'!$N$3:$N$10)</f>
        <v>3</v>
      </c>
      <c r="B1634" s="4">
        <v>13</v>
      </c>
      <c r="C1634" s="4" t="s">
        <v>11</v>
      </c>
      <c r="D1634" s="7">
        <v>35.76</v>
      </c>
      <c r="E1634" s="4" t="s">
        <v>29</v>
      </c>
      <c r="F1634" s="4" t="s">
        <v>17</v>
      </c>
      <c r="G1634" s="4" t="s">
        <v>50</v>
      </c>
      <c r="H1634" s="4" t="s">
        <v>57</v>
      </c>
      <c r="I1634" s="5">
        <v>45570</v>
      </c>
      <c r="J1634" s="4">
        <f t="shared" si="25"/>
        <v>12</v>
      </c>
    </row>
    <row r="1635" spans="1:10" x14ac:dyDescent="0.25">
      <c r="A1635" s="4">
        <f>_xlfn.XLOOKUP(E1635,'Data Validation'!$M$3:$M$10,'Data Validation'!$N$3:$N$10)</f>
        <v>3</v>
      </c>
      <c r="B1635" s="4">
        <v>10</v>
      </c>
      <c r="C1635" s="4" t="s">
        <v>11</v>
      </c>
      <c r="D1635" s="7">
        <v>35.76</v>
      </c>
      <c r="E1635" s="4" t="s">
        <v>29</v>
      </c>
      <c r="F1635" s="4" t="s">
        <v>13</v>
      </c>
      <c r="G1635" s="4" t="s">
        <v>51</v>
      </c>
      <c r="H1635" s="4" t="s">
        <v>57</v>
      </c>
      <c r="I1635" s="5">
        <v>45571</v>
      </c>
      <c r="J1635" s="4">
        <f t="shared" si="25"/>
        <v>12</v>
      </c>
    </row>
    <row r="1636" spans="1:10" x14ac:dyDescent="0.25">
      <c r="A1636" s="4">
        <f>_xlfn.XLOOKUP(E1636,'Data Validation'!$M$3:$M$10,'Data Validation'!$N$3:$N$10)</f>
        <v>3</v>
      </c>
      <c r="B1636" s="4">
        <v>12</v>
      </c>
      <c r="C1636" s="4" t="s">
        <v>11</v>
      </c>
      <c r="D1636" s="7">
        <v>35.76</v>
      </c>
      <c r="E1636" s="4" t="s">
        <v>29</v>
      </c>
      <c r="F1636" s="4" t="s">
        <v>17</v>
      </c>
      <c r="G1636" s="4" t="s">
        <v>51</v>
      </c>
      <c r="H1636" s="4" t="s">
        <v>57</v>
      </c>
      <c r="I1636" s="5">
        <v>45571</v>
      </c>
      <c r="J1636" s="4">
        <f t="shared" si="25"/>
        <v>12</v>
      </c>
    </row>
    <row r="1637" spans="1:10" x14ac:dyDescent="0.25">
      <c r="A1637" s="4">
        <f>_xlfn.XLOOKUP(E1637,'Data Validation'!$M$3:$M$10,'Data Validation'!$N$3:$N$10)</f>
        <v>3</v>
      </c>
      <c r="B1637" s="4">
        <v>13</v>
      </c>
      <c r="C1637" s="4" t="s">
        <v>11</v>
      </c>
      <c r="D1637" s="7">
        <v>35.76</v>
      </c>
      <c r="E1637" s="4" t="s">
        <v>29</v>
      </c>
      <c r="F1637" s="4" t="s">
        <v>17</v>
      </c>
      <c r="G1637" s="4" t="s">
        <v>51</v>
      </c>
      <c r="H1637" s="4" t="s">
        <v>57</v>
      </c>
      <c r="I1637" s="5">
        <v>45571</v>
      </c>
      <c r="J1637" s="4">
        <f t="shared" si="25"/>
        <v>12</v>
      </c>
    </row>
    <row r="1638" spans="1:10" x14ac:dyDescent="0.25">
      <c r="A1638" s="4">
        <f>_xlfn.XLOOKUP(E1638,'Data Validation'!$M$3:$M$10,'Data Validation'!$N$3:$N$10)</f>
        <v>3</v>
      </c>
      <c r="B1638" s="4">
        <v>13</v>
      </c>
      <c r="C1638" s="4" t="s">
        <v>11</v>
      </c>
      <c r="D1638" s="7">
        <v>35.76</v>
      </c>
      <c r="E1638" s="4" t="s">
        <v>29</v>
      </c>
      <c r="F1638" s="4" t="s">
        <v>17</v>
      </c>
      <c r="G1638" s="4" t="s">
        <v>51</v>
      </c>
      <c r="H1638" s="4" t="s">
        <v>57</v>
      </c>
      <c r="I1638" s="5">
        <v>45571</v>
      </c>
      <c r="J1638" s="4">
        <f t="shared" si="25"/>
        <v>12</v>
      </c>
    </row>
    <row r="1639" spans="1:10" x14ac:dyDescent="0.25">
      <c r="A1639" s="4">
        <f>_xlfn.XLOOKUP(E1639,'Data Validation'!$M$3:$M$10,'Data Validation'!$N$3:$N$10)</f>
        <v>3</v>
      </c>
      <c r="B1639" s="4">
        <v>16</v>
      </c>
      <c r="C1639" s="4" t="s">
        <v>11</v>
      </c>
      <c r="D1639" s="7">
        <v>35.76</v>
      </c>
      <c r="E1639" s="4" t="s">
        <v>29</v>
      </c>
      <c r="F1639" s="4" t="s">
        <v>17</v>
      </c>
      <c r="G1639" s="4" t="s">
        <v>51</v>
      </c>
      <c r="H1639" s="4" t="s">
        <v>57</v>
      </c>
      <c r="I1639" s="5">
        <v>45571</v>
      </c>
      <c r="J1639" s="4">
        <f t="shared" si="25"/>
        <v>12</v>
      </c>
    </row>
    <row r="1640" spans="1:10" x14ac:dyDescent="0.25">
      <c r="A1640" s="4">
        <f>_xlfn.XLOOKUP(E1640,'Data Validation'!$M$3:$M$10,'Data Validation'!$N$3:$N$10)</f>
        <v>3</v>
      </c>
      <c r="B1640" s="4">
        <v>20</v>
      </c>
      <c r="C1640" s="4" t="s">
        <v>11</v>
      </c>
      <c r="D1640" s="7">
        <v>35.76</v>
      </c>
      <c r="E1640" s="4" t="s">
        <v>29</v>
      </c>
      <c r="F1640" s="4" t="s">
        <v>20</v>
      </c>
      <c r="G1640" s="4" t="s">
        <v>46</v>
      </c>
      <c r="H1640" s="4" t="s">
        <v>57</v>
      </c>
      <c r="I1640" s="5">
        <v>45573</v>
      </c>
      <c r="J1640" s="4">
        <f t="shared" si="25"/>
        <v>12</v>
      </c>
    </row>
    <row r="1641" spans="1:10" x14ac:dyDescent="0.25">
      <c r="A1641" s="4">
        <f>_xlfn.XLOOKUP(E1641,'Data Validation'!$M$3:$M$10,'Data Validation'!$N$3:$N$10)</f>
        <v>3</v>
      </c>
      <c r="B1641" s="4">
        <v>17</v>
      </c>
      <c r="C1641" s="4" t="s">
        <v>11</v>
      </c>
      <c r="D1641" s="7">
        <v>35.76</v>
      </c>
      <c r="E1641" s="4" t="s">
        <v>29</v>
      </c>
      <c r="F1641" s="4" t="s">
        <v>20</v>
      </c>
      <c r="G1641" s="4" t="s">
        <v>47</v>
      </c>
      <c r="H1641" s="4" t="s">
        <v>57</v>
      </c>
      <c r="I1641" s="5">
        <v>45574</v>
      </c>
      <c r="J1641" s="4">
        <f t="shared" si="25"/>
        <v>12</v>
      </c>
    </row>
    <row r="1642" spans="1:10" x14ac:dyDescent="0.25">
      <c r="A1642" s="4">
        <f>_xlfn.XLOOKUP(E1642,'Data Validation'!$M$3:$M$10,'Data Validation'!$N$3:$N$10)</f>
        <v>3</v>
      </c>
      <c r="B1642" s="4">
        <v>20</v>
      </c>
      <c r="C1642" s="4" t="s">
        <v>11</v>
      </c>
      <c r="D1642" s="7">
        <v>35.76</v>
      </c>
      <c r="E1642" s="4" t="s">
        <v>29</v>
      </c>
      <c r="F1642" s="4" t="s">
        <v>20</v>
      </c>
      <c r="G1642" s="4" t="s">
        <v>47</v>
      </c>
      <c r="H1642" s="4" t="s">
        <v>57</v>
      </c>
      <c r="I1642" s="5">
        <v>45574</v>
      </c>
      <c r="J1642" s="4">
        <f t="shared" si="25"/>
        <v>12</v>
      </c>
    </row>
    <row r="1643" spans="1:10" x14ac:dyDescent="0.25">
      <c r="A1643" s="4">
        <f>_xlfn.XLOOKUP(E1643,'Data Validation'!$M$3:$M$10,'Data Validation'!$N$3:$N$10)</f>
        <v>3</v>
      </c>
      <c r="B1643" s="4">
        <v>15</v>
      </c>
      <c r="C1643" s="4" t="s">
        <v>11</v>
      </c>
      <c r="D1643" s="7">
        <v>35.76</v>
      </c>
      <c r="E1643" s="4" t="s">
        <v>29</v>
      </c>
      <c r="F1643" s="4" t="s">
        <v>17</v>
      </c>
      <c r="G1643" s="4" t="s">
        <v>48</v>
      </c>
      <c r="H1643" s="4" t="s">
        <v>57</v>
      </c>
      <c r="I1643" s="5">
        <v>45575</v>
      </c>
      <c r="J1643" s="4">
        <f t="shared" si="25"/>
        <v>12</v>
      </c>
    </row>
    <row r="1644" spans="1:10" x14ac:dyDescent="0.25">
      <c r="A1644" s="4">
        <f>_xlfn.XLOOKUP(E1644,'Data Validation'!$M$3:$M$10,'Data Validation'!$N$3:$N$10)</f>
        <v>3</v>
      </c>
      <c r="B1644" s="4">
        <v>14</v>
      </c>
      <c r="C1644" s="4" t="s">
        <v>11</v>
      </c>
      <c r="D1644" s="7">
        <v>35.76</v>
      </c>
      <c r="E1644" s="4" t="s">
        <v>29</v>
      </c>
      <c r="F1644" s="4" t="s">
        <v>17</v>
      </c>
      <c r="G1644" s="4" t="s">
        <v>49</v>
      </c>
      <c r="H1644" s="4" t="s">
        <v>57</v>
      </c>
      <c r="I1644" s="5">
        <v>45576</v>
      </c>
      <c r="J1644" s="4">
        <f t="shared" si="25"/>
        <v>12</v>
      </c>
    </row>
    <row r="1645" spans="1:10" x14ac:dyDescent="0.25">
      <c r="A1645" s="4">
        <f>_xlfn.XLOOKUP(E1645,'Data Validation'!$M$3:$M$10,'Data Validation'!$N$3:$N$10)</f>
        <v>3</v>
      </c>
      <c r="B1645" s="4">
        <v>13</v>
      </c>
      <c r="C1645" s="4" t="s">
        <v>11</v>
      </c>
      <c r="D1645" s="7">
        <v>35.76</v>
      </c>
      <c r="E1645" s="4" t="s">
        <v>29</v>
      </c>
      <c r="F1645" s="4" t="s">
        <v>17</v>
      </c>
      <c r="G1645" s="4" t="s">
        <v>50</v>
      </c>
      <c r="H1645" s="4" t="s">
        <v>57</v>
      </c>
      <c r="I1645" s="5">
        <v>45577</v>
      </c>
      <c r="J1645" s="4">
        <f t="shared" si="25"/>
        <v>12</v>
      </c>
    </row>
    <row r="1646" spans="1:10" x14ac:dyDescent="0.25">
      <c r="A1646" s="4">
        <f>_xlfn.XLOOKUP(E1646,'Data Validation'!$M$3:$M$10,'Data Validation'!$N$3:$N$10)</f>
        <v>3</v>
      </c>
      <c r="B1646" s="4">
        <v>18</v>
      </c>
      <c r="C1646" s="4" t="s">
        <v>11</v>
      </c>
      <c r="D1646" s="7">
        <v>35.76</v>
      </c>
      <c r="E1646" s="4" t="s">
        <v>29</v>
      </c>
      <c r="F1646" s="4" t="s">
        <v>20</v>
      </c>
      <c r="G1646" s="4" t="s">
        <v>51</v>
      </c>
      <c r="H1646" s="4" t="s">
        <v>57</v>
      </c>
      <c r="I1646" s="5">
        <v>45578</v>
      </c>
      <c r="J1646" s="4">
        <f t="shared" si="25"/>
        <v>12</v>
      </c>
    </row>
    <row r="1647" spans="1:10" x14ac:dyDescent="0.25">
      <c r="A1647" s="4">
        <f>_xlfn.XLOOKUP(E1647,'Data Validation'!$M$3:$M$10,'Data Validation'!$N$3:$N$10)</f>
        <v>3</v>
      </c>
      <c r="B1647" s="4">
        <v>20</v>
      </c>
      <c r="C1647" s="4" t="s">
        <v>11</v>
      </c>
      <c r="D1647" s="7">
        <v>35.76</v>
      </c>
      <c r="E1647" s="4" t="s">
        <v>29</v>
      </c>
      <c r="F1647" s="4" t="s">
        <v>20</v>
      </c>
      <c r="G1647" s="4" t="s">
        <v>51</v>
      </c>
      <c r="H1647" s="4" t="s">
        <v>57</v>
      </c>
      <c r="I1647" s="5">
        <v>45578</v>
      </c>
      <c r="J1647" s="4">
        <f t="shared" si="25"/>
        <v>12</v>
      </c>
    </row>
    <row r="1648" spans="1:10" x14ac:dyDescent="0.25">
      <c r="A1648" s="4">
        <f>_xlfn.XLOOKUP(E1648,'Data Validation'!$M$3:$M$10,'Data Validation'!$N$3:$N$10)</f>
        <v>3</v>
      </c>
      <c r="B1648" s="4">
        <v>11</v>
      </c>
      <c r="C1648" s="4" t="s">
        <v>11</v>
      </c>
      <c r="D1648" s="7">
        <v>35.76</v>
      </c>
      <c r="E1648" s="4" t="s">
        <v>29</v>
      </c>
      <c r="F1648" s="4" t="s">
        <v>13</v>
      </c>
      <c r="G1648" s="4" t="s">
        <v>45</v>
      </c>
      <c r="H1648" s="4" t="s">
        <v>57</v>
      </c>
      <c r="I1648" s="5">
        <v>45579</v>
      </c>
      <c r="J1648" s="4">
        <f t="shared" si="25"/>
        <v>12</v>
      </c>
    </row>
    <row r="1649" spans="1:10" x14ac:dyDescent="0.25">
      <c r="A1649" s="4">
        <f>_xlfn.XLOOKUP(E1649,'Data Validation'!$M$3:$M$10,'Data Validation'!$N$3:$N$10)</f>
        <v>3</v>
      </c>
      <c r="B1649" s="4">
        <v>18</v>
      </c>
      <c r="C1649" s="4" t="s">
        <v>11</v>
      </c>
      <c r="D1649" s="7">
        <v>35.76</v>
      </c>
      <c r="E1649" s="4" t="s">
        <v>29</v>
      </c>
      <c r="F1649" s="4" t="s">
        <v>20</v>
      </c>
      <c r="G1649" s="4" t="s">
        <v>45</v>
      </c>
      <c r="H1649" s="4" t="s">
        <v>57</v>
      </c>
      <c r="I1649" s="5">
        <v>45579</v>
      </c>
      <c r="J1649" s="4">
        <f t="shared" si="25"/>
        <v>12</v>
      </c>
    </row>
    <row r="1650" spans="1:10" x14ac:dyDescent="0.25">
      <c r="A1650" s="4">
        <f>_xlfn.XLOOKUP(E1650,'Data Validation'!$M$3:$M$10,'Data Validation'!$N$3:$N$10)</f>
        <v>3</v>
      </c>
      <c r="B1650" s="4">
        <v>17</v>
      </c>
      <c r="C1650" s="4" t="s">
        <v>11</v>
      </c>
      <c r="D1650" s="7">
        <v>35.76</v>
      </c>
      <c r="E1650" s="4" t="s">
        <v>29</v>
      </c>
      <c r="F1650" s="4" t="s">
        <v>20</v>
      </c>
      <c r="G1650" s="4" t="s">
        <v>48</v>
      </c>
      <c r="H1650" s="4" t="s">
        <v>57</v>
      </c>
      <c r="I1650" s="5">
        <v>45582</v>
      </c>
      <c r="J1650" s="4">
        <f t="shared" si="25"/>
        <v>12</v>
      </c>
    </row>
    <row r="1651" spans="1:10" x14ac:dyDescent="0.25">
      <c r="A1651" s="4">
        <f>_xlfn.XLOOKUP(E1651,'Data Validation'!$M$3:$M$10,'Data Validation'!$N$3:$N$10)</f>
        <v>3</v>
      </c>
      <c r="B1651" s="4">
        <v>9</v>
      </c>
      <c r="C1651" s="4" t="s">
        <v>11</v>
      </c>
      <c r="D1651" s="7">
        <v>35.76</v>
      </c>
      <c r="E1651" s="4" t="s">
        <v>29</v>
      </c>
      <c r="F1651" s="4" t="s">
        <v>13</v>
      </c>
      <c r="G1651" s="4" t="s">
        <v>49</v>
      </c>
      <c r="H1651" s="4" t="s">
        <v>57</v>
      </c>
      <c r="I1651" s="5">
        <v>45583</v>
      </c>
      <c r="J1651" s="4">
        <f t="shared" si="25"/>
        <v>12</v>
      </c>
    </row>
    <row r="1652" spans="1:10" x14ac:dyDescent="0.25">
      <c r="A1652" s="4">
        <f>_xlfn.XLOOKUP(E1652,'Data Validation'!$M$3:$M$10,'Data Validation'!$N$3:$N$10)</f>
        <v>3</v>
      </c>
      <c r="B1652" s="4">
        <v>11</v>
      </c>
      <c r="C1652" s="4" t="s">
        <v>11</v>
      </c>
      <c r="D1652" s="7">
        <v>35.76</v>
      </c>
      <c r="E1652" s="4" t="s">
        <v>29</v>
      </c>
      <c r="F1652" s="4" t="s">
        <v>13</v>
      </c>
      <c r="G1652" s="4" t="s">
        <v>49</v>
      </c>
      <c r="H1652" s="4" t="s">
        <v>57</v>
      </c>
      <c r="I1652" s="5">
        <v>45583</v>
      </c>
      <c r="J1652" s="4">
        <f t="shared" si="25"/>
        <v>12</v>
      </c>
    </row>
    <row r="1653" spans="1:10" x14ac:dyDescent="0.25">
      <c r="A1653" s="4">
        <f>_xlfn.XLOOKUP(E1653,'Data Validation'!$M$3:$M$10,'Data Validation'!$N$3:$N$10)</f>
        <v>3</v>
      </c>
      <c r="B1653" s="4">
        <v>14</v>
      </c>
      <c r="C1653" s="4" t="s">
        <v>11</v>
      </c>
      <c r="D1653" s="7">
        <v>35.76</v>
      </c>
      <c r="E1653" s="4" t="s">
        <v>29</v>
      </c>
      <c r="F1653" s="4" t="s">
        <v>17</v>
      </c>
      <c r="G1653" s="4" t="s">
        <v>49</v>
      </c>
      <c r="H1653" s="4" t="s">
        <v>57</v>
      </c>
      <c r="I1653" s="5">
        <v>45583</v>
      </c>
      <c r="J1653" s="4">
        <f t="shared" si="25"/>
        <v>12</v>
      </c>
    </row>
    <row r="1654" spans="1:10" x14ac:dyDescent="0.25">
      <c r="A1654" s="4">
        <f>_xlfn.XLOOKUP(E1654,'Data Validation'!$M$3:$M$10,'Data Validation'!$N$3:$N$10)</f>
        <v>3</v>
      </c>
      <c r="B1654" s="4">
        <v>14</v>
      </c>
      <c r="C1654" s="4" t="s">
        <v>11</v>
      </c>
      <c r="D1654" s="7">
        <v>35.76</v>
      </c>
      <c r="E1654" s="4" t="s">
        <v>29</v>
      </c>
      <c r="F1654" s="4" t="s">
        <v>17</v>
      </c>
      <c r="G1654" s="4" t="s">
        <v>50</v>
      </c>
      <c r="H1654" s="4" t="s">
        <v>57</v>
      </c>
      <c r="I1654" s="5">
        <v>45584</v>
      </c>
      <c r="J1654" s="4">
        <f t="shared" si="25"/>
        <v>12</v>
      </c>
    </row>
    <row r="1655" spans="1:10" x14ac:dyDescent="0.25">
      <c r="A1655" s="4">
        <f>_xlfn.XLOOKUP(E1655,'Data Validation'!$M$3:$M$10,'Data Validation'!$N$3:$N$10)</f>
        <v>3</v>
      </c>
      <c r="B1655" s="4">
        <v>22</v>
      </c>
      <c r="C1655" s="4" t="s">
        <v>11</v>
      </c>
      <c r="D1655" s="7">
        <v>35.76</v>
      </c>
      <c r="E1655" s="4" t="s">
        <v>29</v>
      </c>
      <c r="F1655" s="4" t="s">
        <v>20</v>
      </c>
      <c r="G1655" s="4" t="s">
        <v>50</v>
      </c>
      <c r="H1655" s="4" t="s">
        <v>57</v>
      </c>
      <c r="I1655" s="5">
        <v>45584</v>
      </c>
      <c r="J1655" s="4">
        <f t="shared" si="25"/>
        <v>12</v>
      </c>
    </row>
    <row r="1656" spans="1:10" x14ac:dyDescent="0.25">
      <c r="A1656" s="4">
        <f>_xlfn.XLOOKUP(E1656,'Data Validation'!$M$3:$M$10,'Data Validation'!$N$3:$N$10)</f>
        <v>3</v>
      </c>
      <c r="B1656" s="4">
        <v>22</v>
      </c>
      <c r="C1656" s="4" t="s">
        <v>11</v>
      </c>
      <c r="D1656" s="7">
        <v>35.76</v>
      </c>
      <c r="E1656" s="4" t="s">
        <v>29</v>
      </c>
      <c r="F1656" s="4" t="s">
        <v>20</v>
      </c>
      <c r="G1656" s="4" t="s">
        <v>51</v>
      </c>
      <c r="H1656" s="4" t="s">
        <v>57</v>
      </c>
      <c r="I1656" s="5">
        <v>45585</v>
      </c>
      <c r="J1656" s="4">
        <f t="shared" si="25"/>
        <v>12</v>
      </c>
    </row>
    <row r="1657" spans="1:10" x14ac:dyDescent="0.25">
      <c r="A1657" s="4">
        <f>_xlfn.XLOOKUP(E1657,'Data Validation'!$M$3:$M$10,'Data Validation'!$N$3:$N$10)</f>
        <v>3</v>
      </c>
      <c r="B1657" s="4">
        <v>12</v>
      </c>
      <c r="C1657" s="4" t="s">
        <v>11</v>
      </c>
      <c r="D1657" s="7">
        <v>35.76</v>
      </c>
      <c r="E1657" s="4" t="s">
        <v>29</v>
      </c>
      <c r="F1657" s="4" t="s">
        <v>17</v>
      </c>
      <c r="G1657" s="4" t="s">
        <v>45</v>
      </c>
      <c r="H1657" s="4" t="s">
        <v>57</v>
      </c>
      <c r="I1657" s="5">
        <v>45586</v>
      </c>
      <c r="J1657" s="4">
        <f t="shared" si="25"/>
        <v>12</v>
      </c>
    </row>
    <row r="1658" spans="1:10" x14ac:dyDescent="0.25">
      <c r="A1658" s="4">
        <f>_xlfn.XLOOKUP(E1658,'Data Validation'!$M$3:$M$10,'Data Validation'!$N$3:$N$10)</f>
        <v>3</v>
      </c>
      <c r="B1658" s="4">
        <v>7</v>
      </c>
      <c r="C1658" s="4" t="s">
        <v>11</v>
      </c>
      <c r="D1658" s="7">
        <v>35.76</v>
      </c>
      <c r="E1658" s="4" t="s">
        <v>29</v>
      </c>
      <c r="F1658" s="4" t="s">
        <v>13</v>
      </c>
      <c r="G1658" s="4" t="s">
        <v>46</v>
      </c>
      <c r="H1658" s="4" t="s">
        <v>57</v>
      </c>
      <c r="I1658" s="5">
        <v>45587</v>
      </c>
      <c r="J1658" s="4">
        <f t="shared" si="25"/>
        <v>12</v>
      </c>
    </row>
    <row r="1659" spans="1:10" x14ac:dyDescent="0.25">
      <c r="A1659" s="4">
        <f>_xlfn.XLOOKUP(E1659,'Data Validation'!$M$3:$M$10,'Data Validation'!$N$3:$N$10)</f>
        <v>3</v>
      </c>
      <c r="B1659" s="4">
        <v>16</v>
      </c>
      <c r="C1659" s="4" t="s">
        <v>11</v>
      </c>
      <c r="D1659" s="7">
        <v>35.76</v>
      </c>
      <c r="E1659" s="4" t="s">
        <v>29</v>
      </c>
      <c r="F1659" s="4" t="s">
        <v>17</v>
      </c>
      <c r="G1659" s="4" t="s">
        <v>47</v>
      </c>
      <c r="H1659" s="4" t="s">
        <v>57</v>
      </c>
      <c r="I1659" s="5">
        <v>45588</v>
      </c>
      <c r="J1659" s="4">
        <f t="shared" si="25"/>
        <v>12</v>
      </c>
    </row>
    <row r="1660" spans="1:10" x14ac:dyDescent="0.25">
      <c r="A1660" s="4">
        <f>_xlfn.XLOOKUP(E1660,'Data Validation'!$M$3:$M$10,'Data Validation'!$N$3:$N$10)</f>
        <v>3</v>
      </c>
      <c r="B1660" s="4">
        <v>19</v>
      </c>
      <c r="C1660" s="4" t="s">
        <v>11</v>
      </c>
      <c r="D1660" s="7">
        <v>35.76</v>
      </c>
      <c r="E1660" s="4" t="s">
        <v>29</v>
      </c>
      <c r="F1660" s="4" t="s">
        <v>20</v>
      </c>
      <c r="G1660" s="4" t="s">
        <v>47</v>
      </c>
      <c r="H1660" s="4" t="s">
        <v>57</v>
      </c>
      <c r="I1660" s="5">
        <v>45588</v>
      </c>
      <c r="J1660" s="4">
        <f t="shared" si="25"/>
        <v>12</v>
      </c>
    </row>
    <row r="1661" spans="1:10" x14ac:dyDescent="0.25">
      <c r="A1661" s="4">
        <f>_xlfn.XLOOKUP(E1661,'Data Validation'!$M$3:$M$10,'Data Validation'!$N$3:$N$10)</f>
        <v>3</v>
      </c>
      <c r="B1661" s="4">
        <v>13</v>
      </c>
      <c r="C1661" s="4" t="s">
        <v>11</v>
      </c>
      <c r="D1661" s="7">
        <v>35.76</v>
      </c>
      <c r="E1661" s="4" t="s">
        <v>29</v>
      </c>
      <c r="F1661" s="4" t="s">
        <v>17</v>
      </c>
      <c r="G1661" s="4" t="s">
        <v>48</v>
      </c>
      <c r="H1661" s="4" t="s">
        <v>57</v>
      </c>
      <c r="I1661" s="5">
        <v>45589</v>
      </c>
      <c r="J1661" s="4">
        <f t="shared" si="25"/>
        <v>12</v>
      </c>
    </row>
    <row r="1662" spans="1:10" x14ac:dyDescent="0.25">
      <c r="A1662" s="4">
        <f>_xlfn.XLOOKUP(E1662,'Data Validation'!$M$3:$M$10,'Data Validation'!$N$3:$N$10)</f>
        <v>3</v>
      </c>
      <c r="B1662" s="4">
        <v>14</v>
      </c>
      <c r="C1662" s="4" t="s">
        <v>11</v>
      </c>
      <c r="D1662" s="7">
        <v>35.76</v>
      </c>
      <c r="E1662" s="4" t="s">
        <v>29</v>
      </c>
      <c r="F1662" s="4" t="s">
        <v>17</v>
      </c>
      <c r="G1662" s="4" t="s">
        <v>48</v>
      </c>
      <c r="H1662" s="4" t="s">
        <v>57</v>
      </c>
      <c r="I1662" s="5">
        <v>45589</v>
      </c>
      <c r="J1662" s="4">
        <f t="shared" si="25"/>
        <v>12</v>
      </c>
    </row>
    <row r="1663" spans="1:10" x14ac:dyDescent="0.25">
      <c r="A1663" s="4">
        <f>_xlfn.XLOOKUP(E1663,'Data Validation'!$M$3:$M$10,'Data Validation'!$N$3:$N$10)</f>
        <v>3</v>
      </c>
      <c r="B1663" s="4">
        <v>21</v>
      </c>
      <c r="C1663" s="4" t="s">
        <v>11</v>
      </c>
      <c r="D1663" s="7">
        <v>35.76</v>
      </c>
      <c r="E1663" s="4" t="s">
        <v>29</v>
      </c>
      <c r="F1663" s="4" t="s">
        <v>20</v>
      </c>
      <c r="G1663" s="4" t="s">
        <v>48</v>
      </c>
      <c r="H1663" s="4" t="s">
        <v>57</v>
      </c>
      <c r="I1663" s="5">
        <v>45589</v>
      </c>
      <c r="J1663" s="4">
        <f t="shared" si="25"/>
        <v>12</v>
      </c>
    </row>
    <row r="1664" spans="1:10" x14ac:dyDescent="0.25">
      <c r="A1664" s="4">
        <f>_xlfn.XLOOKUP(E1664,'Data Validation'!$M$3:$M$10,'Data Validation'!$N$3:$N$10)</f>
        <v>3</v>
      </c>
      <c r="B1664" s="4">
        <v>7</v>
      </c>
      <c r="C1664" s="4" t="s">
        <v>11</v>
      </c>
      <c r="D1664" s="7">
        <v>35.76</v>
      </c>
      <c r="E1664" s="4" t="s">
        <v>29</v>
      </c>
      <c r="F1664" s="4" t="s">
        <v>13</v>
      </c>
      <c r="G1664" s="4" t="s">
        <v>49</v>
      </c>
      <c r="H1664" s="4" t="s">
        <v>57</v>
      </c>
      <c r="I1664" s="5">
        <v>45590</v>
      </c>
      <c r="J1664" s="4">
        <f t="shared" si="25"/>
        <v>12</v>
      </c>
    </row>
    <row r="1665" spans="1:10" x14ac:dyDescent="0.25">
      <c r="A1665" s="4">
        <f>_xlfn.XLOOKUP(E1665,'Data Validation'!$M$3:$M$10,'Data Validation'!$N$3:$N$10)</f>
        <v>3</v>
      </c>
      <c r="B1665" s="4">
        <v>14</v>
      </c>
      <c r="C1665" s="4" t="s">
        <v>11</v>
      </c>
      <c r="D1665" s="7">
        <v>35.76</v>
      </c>
      <c r="E1665" s="4" t="s">
        <v>29</v>
      </c>
      <c r="F1665" s="4" t="s">
        <v>17</v>
      </c>
      <c r="G1665" s="4" t="s">
        <v>49</v>
      </c>
      <c r="H1665" s="4" t="s">
        <v>57</v>
      </c>
      <c r="I1665" s="5">
        <v>45590</v>
      </c>
      <c r="J1665" s="4">
        <f t="shared" si="25"/>
        <v>12</v>
      </c>
    </row>
    <row r="1666" spans="1:10" x14ac:dyDescent="0.25">
      <c r="A1666" s="4">
        <f>_xlfn.XLOOKUP(E1666,'Data Validation'!$M$3:$M$10,'Data Validation'!$N$3:$N$10)</f>
        <v>3</v>
      </c>
      <c r="B1666" s="4">
        <v>7</v>
      </c>
      <c r="C1666" s="4" t="s">
        <v>11</v>
      </c>
      <c r="D1666" s="7">
        <v>35.76</v>
      </c>
      <c r="E1666" s="4" t="s">
        <v>29</v>
      </c>
      <c r="F1666" s="4" t="s">
        <v>13</v>
      </c>
      <c r="G1666" s="4" t="s">
        <v>50</v>
      </c>
      <c r="H1666" s="4" t="s">
        <v>57</v>
      </c>
      <c r="I1666" s="5">
        <v>45591</v>
      </c>
      <c r="J1666" s="4">
        <f t="shared" si="25"/>
        <v>12</v>
      </c>
    </row>
    <row r="1667" spans="1:10" x14ac:dyDescent="0.25">
      <c r="A1667" s="4">
        <f>_xlfn.XLOOKUP(E1667,'Data Validation'!$M$3:$M$10,'Data Validation'!$N$3:$N$10)</f>
        <v>3</v>
      </c>
      <c r="B1667" s="4">
        <v>8</v>
      </c>
      <c r="C1667" s="4" t="s">
        <v>11</v>
      </c>
      <c r="D1667" s="7">
        <v>35.76</v>
      </c>
      <c r="E1667" s="4" t="s">
        <v>29</v>
      </c>
      <c r="F1667" s="4" t="s">
        <v>13</v>
      </c>
      <c r="G1667" s="4" t="s">
        <v>50</v>
      </c>
      <c r="H1667" s="4" t="s">
        <v>57</v>
      </c>
      <c r="I1667" s="5">
        <v>45591</v>
      </c>
      <c r="J1667" s="4">
        <f t="shared" ref="J1667:J1730" si="26">IF(OR(E1667&lt;&gt;E1666,D1667&lt;&gt;D1666),J1666+1,J1666)</f>
        <v>12</v>
      </c>
    </row>
    <row r="1668" spans="1:10" x14ac:dyDescent="0.25">
      <c r="A1668" s="4">
        <f>_xlfn.XLOOKUP(E1668,'Data Validation'!$M$3:$M$10,'Data Validation'!$N$3:$N$10)</f>
        <v>3</v>
      </c>
      <c r="B1668" s="4">
        <v>19</v>
      </c>
      <c r="C1668" s="4" t="s">
        <v>11</v>
      </c>
      <c r="D1668" s="7">
        <v>35.76</v>
      </c>
      <c r="E1668" s="4" t="s">
        <v>29</v>
      </c>
      <c r="F1668" s="4" t="s">
        <v>20</v>
      </c>
      <c r="G1668" s="4" t="s">
        <v>50</v>
      </c>
      <c r="H1668" s="4" t="s">
        <v>57</v>
      </c>
      <c r="I1668" s="5">
        <v>45591</v>
      </c>
      <c r="J1668" s="4">
        <f t="shared" si="26"/>
        <v>12</v>
      </c>
    </row>
    <row r="1669" spans="1:10" x14ac:dyDescent="0.25">
      <c r="A1669" s="4">
        <f>_xlfn.XLOOKUP(E1669,'Data Validation'!$M$3:$M$10,'Data Validation'!$N$3:$N$10)</f>
        <v>3</v>
      </c>
      <c r="B1669" s="4">
        <v>13</v>
      </c>
      <c r="C1669" s="4" t="s">
        <v>11</v>
      </c>
      <c r="D1669" s="7">
        <v>35.76</v>
      </c>
      <c r="E1669" s="4" t="s">
        <v>29</v>
      </c>
      <c r="F1669" s="4" t="s">
        <v>17</v>
      </c>
      <c r="G1669" s="4" t="s">
        <v>51</v>
      </c>
      <c r="H1669" s="4" t="s">
        <v>57</v>
      </c>
      <c r="I1669" s="5">
        <v>45592</v>
      </c>
      <c r="J1669" s="4">
        <f t="shared" si="26"/>
        <v>12</v>
      </c>
    </row>
    <row r="1670" spans="1:10" x14ac:dyDescent="0.25">
      <c r="A1670" s="4">
        <f>_xlfn.XLOOKUP(E1670,'Data Validation'!$M$3:$M$10,'Data Validation'!$N$3:$N$10)</f>
        <v>3</v>
      </c>
      <c r="B1670" s="4">
        <v>7</v>
      </c>
      <c r="C1670" s="4" t="s">
        <v>11</v>
      </c>
      <c r="D1670" s="7">
        <v>35.76</v>
      </c>
      <c r="E1670" s="4" t="s">
        <v>29</v>
      </c>
      <c r="F1670" s="4" t="s">
        <v>13</v>
      </c>
      <c r="G1670" s="4" t="s">
        <v>45</v>
      </c>
      <c r="H1670" s="4" t="s">
        <v>57</v>
      </c>
      <c r="I1670" s="5">
        <v>45593</v>
      </c>
      <c r="J1670" s="4">
        <f t="shared" si="26"/>
        <v>12</v>
      </c>
    </row>
    <row r="1671" spans="1:10" x14ac:dyDescent="0.25">
      <c r="A1671" s="4">
        <f>_xlfn.XLOOKUP(E1671,'Data Validation'!$M$3:$M$10,'Data Validation'!$N$3:$N$10)</f>
        <v>3</v>
      </c>
      <c r="B1671" s="4">
        <v>12</v>
      </c>
      <c r="C1671" s="4" t="s">
        <v>11</v>
      </c>
      <c r="D1671" s="7">
        <v>35.76</v>
      </c>
      <c r="E1671" s="4" t="s">
        <v>29</v>
      </c>
      <c r="F1671" s="4" t="s">
        <v>17</v>
      </c>
      <c r="G1671" s="4" t="s">
        <v>45</v>
      </c>
      <c r="H1671" s="4" t="s">
        <v>57</v>
      </c>
      <c r="I1671" s="5">
        <v>45593</v>
      </c>
      <c r="J1671" s="4">
        <f t="shared" si="26"/>
        <v>12</v>
      </c>
    </row>
    <row r="1672" spans="1:10" x14ac:dyDescent="0.25">
      <c r="A1672" s="4">
        <f>_xlfn.XLOOKUP(E1672,'Data Validation'!$M$3:$M$10,'Data Validation'!$N$3:$N$10)</f>
        <v>3</v>
      </c>
      <c r="B1672" s="4">
        <v>19</v>
      </c>
      <c r="C1672" s="4" t="s">
        <v>11</v>
      </c>
      <c r="D1672" s="7">
        <v>35.76</v>
      </c>
      <c r="E1672" s="4" t="s">
        <v>29</v>
      </c>
      <c r="F1672" s="4" t="s">
        <v>20</v>
      </c>
      <c r="G1672" s="4" t="s">
        <v>45</v>
      </c>
      <c r="H1672" s="4" t="s">
        <v>57</v>
      </c>
      <c r="I1672" s="5">
        <v>45593</v>
      </c>
      <c r="J1672" s="4">
        <f t="shared" si="26"/>
        <v>12</v>
      </c>
    </row>
    <row r="1673" spans="1:10" x14ac:dyDescent="0.25">
      <c r="A1673" s="4">
        <f>_xlfn.XLOOKUP(E1673,'Data Validation'!$M$3:$M$10,'Data Validation'!$N$3:$N$10)</f>
        <v>3</v>
      </c>
      <c r="B1673" s="4">
        <v>14</v>
      </c>
      <c r="C1673" s="4" t="s">
        <v>11</v>
      </c>
      <c r="D1673" s="7">
        <v>35.76</v>
      </c>
      <c r="E1673" s="4" t="s">
        <v>29</v>
      </c>
      <c r="F1673" s="4" t="s">
        <v>17</v>
      </c>
      <c r="G1673" s="4" t="s">
        <v>46</v>
      </c>
      <c r="H1673" s="4" t="s">
        <v>57</v>
      </c>
      <c r="I1673" s="5">
        <v>45594</v>
      </c>
      <c r="J1673" s="4">
        <f t="shared" si="26"/>
        <v>12</v>
      </c>
    </row>
    <row r="1674" spans="1:10" x14ac:dyDescent="0.25">
      <c r="A1674" s="4">
        <f>_xlfn.XLOOKUP(E1674,'Data Validation'!$M$3:$M$10,'Data Validation'!$N$3:$N$10)</f>
        <v>3</v>
      </c>
      <c r="B1674" s="4">
        <v>19</v>
      </c>
      <c r="C1674" s="4" t="s">
        <v>11</v>
      </c>
      <c r="D1674" s="7">
        <v>35.76</v>
      </c>
      <c r="E1674" s="4" t="s">
        <v>29</v>
      </c>
      <c r="F1674" s="4" t="s">
        <v>20</v>
      </c>
      <c r="G1674" s="4" t="s">
        <v>46</v>
      </c>
      <c r="H1674" s="4" t="s">
        <v>57</v>
      </c>
      <c r="I1674" s="5">
        <v>45594</v>
      </c>
      <c r="J1674" s="4">
        <f t="shared" si="26"/>
        <v>12</v>
      </c>
    </row>
    <row r="1675" spans="1:10" x14ac:dyDescent="0.25">
      <c r="A1675" s="4">
        <f>_xlfn.XLOOKUP(E1675,'Data Validation'!$M$3:$M$10,'Data Validation'!$N$3:$N$10)</f>
        <v>3</v>
      </c>
      <c r="B1675" s="4">
        <v>9</v>
      </c>
      <c r="C1675" s="4" t="s">
        <v>11</v>
      </c>
      <c r="D1675" s="7">
        <v>35.76</v>
      </c>
      <c r="E1675" s="4" t="s">
        <v>29</v>
      </c>
      <c r="F1675" s="4" t="s">
        <v>13</v>
      </c>
      <c r="G1675" s="4" t="s">
        <v>46</v>
      </c>
      <c r="H1675" s="4" t="s">
        <v>58</v>
      </c>
      <c r="I1675" s="5">
        <v>45601</v>
      </c>
      <c r="J1675" s="4">
        <f t="shared" si="26"/>
        <v>12</v>
      </c>
    </row>
    <row r="1676" spans="1:10" x14ac:dyDescent="0.25">
      <c r="A1676" s="4">
        <f>_xlfn.XLOOKUP(E1676,'Data Validation'!$M$3:$M$10,'Data Validation'!$N$3:$N$10)</f>
        <v>3</v>
      </c>
      <c r="B1676" s="4">
        <v>18</v>
      </c>
      <c r="C1676" s="4" t="s">
        <v>11</v>
      </c>
      <c r="D1676" s="7">
        <v>35.76</v>
      </c>
      <c r="E1676" s="4" t="s">
        <v>29</v>
      </c>
      <c r="F1676" s="4" t="s">
        <v>20</v>
      </c>
      <c r="G1676" s="4" t="s">
        <v>46</v>
      </c>
      <c r="H1676" s="4" t="s">
        <v>58</v>
      </c>
      <c r="I1676" s="5">
        <v>45601</v>
      </c>
      <c r="J1676" s="4">
        <f t="shared" si="26"/>
        <v>12</v>
      </c>
    </row>
    <row r="1677" spans="1:10" x14ac:dyDescent="0.25">
      <c r="A1677" s="4">
        <f>_xlfn.XLOOKUP(E1677,'Data Validation'!$M$3:$M$10,'Data Validation'!$N$3:$N$10)</f>
        <v>3</v>
      </c>
      <c r="B1677" s="4">
        <v>18</v>
      </c>
      <c r="C1677" s="4" t="s">
        <v>11</v>
      </c>
      <c r="D1677" s="7">
        <v>35.76</v>
      </c>
      <c r="E1677" s="4" t="s">
        <v>29</v>
      </c>
      <c r="F1677" s="4" t="s">
        <v>20</v>
      </c>
      <c r="G1677" s="4" t="s">
        <v>46</v>
      </c>
      <c r="H1677" s="4" t="s">
        <v>58</v>
      </c>
      <c r="I1677" s="5">
        <v>45601</v>
      </c>
      <c r="J1677" s="4">
        <f t="shared" si="26"/>
        <v>12</v>
      </c>
    </row>
    <row r="1678" spans="1:10" x14ac:dyDescent="0.25">
      <c r="A1678" s="4">
        <f>_xlfn.XLOOKUP(E1678,'Data Validation'!$M$3:$M$10,'Data Validation'!$N$3:$N$10)</f>
        <v>3</v>
      </c>
      <c r="B1678" s="4">
        <v>18</v>
      </c>
      <c r="C1678" s="4" t="s">
        <v>11</v>
      </c>
      <c r="D1678" s="7">
        <v>35.76</v>
      </c>
      <c r="E1678" s="4" t="s">
        <v>29</v>
      </c>
      <c r="F1678" s="4" t="s">
        <v>20</v>
      </c>
      <c r="G1678" s="4" t="s">
        <v>46</v>
      </c>
      <c r="H1678" s="4" t="s">
        <v>58</v>
      </c>
      <c r="I1678" s="5">
        <v>45601</v>
      </c>
      <c r="J1678" s="4">
        <f t="shared" si="26"/>
        <v>12</v>
      </c>
    </row>
    <row r="1679" spans="1:10" x14ac:dyDescent="0.25">
      <c r="A1679" s="4">
        <f>_xlfn.XLOOKUP(E1679,'Data Validation'!$M$3:$M$10,'Data Validation'!$N$3:$N$10)</f>
        <v>3</v>
      </c>
      <c r="B1679" s="4">
        <v>15</v>
      </c>
      <c r="C1679" s="4" t="s">
        <v>11</v>
      </c>
      <c r="D1679" s="7">
        <v>35.76</v>
      </c>
      <c r="E1679" s="4" t="s">
        <v>29</v>
      </c>
      <c r="F1679" s="4" t="s">
        <v>17</v>
      </c>
      <c r="G1679" s="4" t="s">
        <v>47</v>
      </c>
      <c r="H1679" s="4" t="s">
        <v>58</v>
      </c>
      <c r="I1679" s="5">
        <v>45602</v>
      </c>
      <c r="J1679" s="4">
        <f t="shared" si="26"/>
        <v>12</v>
      </c>
    </row>
    <row r="1680" spans="1:10" x14ac:dyDescent="0.25">
      <c r="A1680" s="4">
        <f>_xlfn.XLOOKUP(E1680,'Data Validation'!$M$3:$M$10,'Data Validation'!$N$3:$N$10)</f>
        <v>3</v>
      </c>
      <c r="B1680" s="4">
        <v>16</v>
      </c>
      <c r="C1680" s="4" t="s">
        <v>11</v>
      </c>
      <c r="D1680" s="7">
        <v>35.76</v>
      </c>
      <c r="E1680" s="4" t="s">
        <v>29</v>
      </c>
      <c r="F1680" s="4" t="s">
        <v>17</v>
      </c>
      <c r="G1680" s="4" t="s">
        <v>47</v>
      </c>
      <c r="H1680" s="4" t="s">
        <v>58</v>
      </c>
      <c r="I1680" s="5">
        <v>45602</v>
      </c>
      <c r="J1680" s="4">
        <f t="shared" si="26"/>
        <v>12</v>
      </c>
    </row>
    <row r="1681" spans="1:10" x14ac:dyDescent="0.25">
      <c r="A1681" s="4">
        <f>_xlfn.XLOOKUP(E1681,'Data Validation'!$M$3:$M$10,'Data Validation'!$N$3:$N$10)</f>
        <v>3</v>
      </c>
      <c r="B1681" s="4">
        <v>11</v>
      </c>
      <c r="C1681" s="4" t="s">
        <v>11</v>
      </c>
      <c r="D1681" s="7">
        <v>35.76</v>
      </c>
      <c r="E1681" s="4" t="s">
        <v>29</v>
      </c>
      <c r="F1681" s="4" t="s">
        <v>13</v>
      </c>
      <c r="G1681" s="4" t="s">
        <v>49</v>
      </c>
      <c r="H1681" s="4" t="s">
        <v>58</v>
      </c>
      <c r="I1681" s="5">
        <v>45604</v>
      </c>
      <c r="J1681" s="4">
        <f t="shared" si="26"/>
        <v>12</v>
      </c>
    </row>
    <row r="1682" spans="1:10" x14ac:dyDescent="0.25">
      <c r="A1682" s="4">
        <f>_xlfn.XLOOKUP(E1682,'Data Validation'!$M$3:$M$10,'Data Validation'!$N$3:$N$10)</f>
        <v>3</v>
      </c>
      <c r="B1682" s="4">
        <v>20</v>
      </c>
      <c r="C1682" s="4" t="s">
        <v>11</v>
      </c>
      <c r="D1682" s="7">
        <v>35.76</v>
      </c>
      <c r="E1682" s="4" t="s">
        <v>29</v>
      </c>
      <c r="F1682" s="4" t="s">
        <v>20</v>
      </c>
      <c r="G1682" s="4" t="s">
        <v>51</v>
      </c>
      <c r="H1682" s="4" t="s">
        <v>58</v>
      </c>
      <c r="I1682" s="5">
        <v>45606</v>
      </c>
      <c r="J1682" s="4">
        <f t="shared" si="26"/>
        <v>12</v>
      </c>
    </row>
    <row r="1683" spans="1:10" x14ac:dyDescent="0.25">
      <c r="A1683" s="4">
        <f>_xlfn.XLOOKUP(E1683,'Data Validation'!$M$3:$M$10,'Data Validation'!$N$3:$N$10)</f>
        <v>3</v>
      </c>
      <c r="B1683" s="4">
        <v>20</v>
      </c>
      <c r="C1683" s="4" t="s">
        <v>11</v>
      </c>
      <c r="D1683" s="7">
        <v>35.76</v>
      </c>
      <c r="E1683" s="4" t="s">
        <v>29</v>
      </c>
      <c r="F1683" s="4" t="s">
        <v>20</v>
      </c>
      <c r="G1683" s="4" t="s">
        <v>51</v>
      </c>
      <c r="H1683" s="4" t="s">
        <v>58</v>
      </c>
      <c r="I1683" s="5">
        <v>45606</v>
      </c>
      <c r="J1683" s="4">
        <f t="shared" si="26"/>
        <v>12</v>
      </c>
    </row>
    <row r="1684" spans="1:10" x14ac:dyDescent="0.25">
      <c r="A1684" s="4">
        <f>_xlfn.XLOOKUP(E1684,'Data Validation'!$M$3:$M$10,'Data Validation'!$N$3:$N$10)</f>
        <v>3</v>
      </c>
      <c r="B1684" s="4">
        <v>7</v>
      </c>
      <c r="C1684" s="4" t="s">
        <v>11</v>
      </c>
      <c r="D1684" s="7">
        <v>35.76</v>
      </c>
      <c r="E1684" s="4" t="s">
        <v>29</v>
      </c>
      <c r="F1684" s="4" t="s">
        <v>13</v>
      </c>
      <c r="G1684" s="4" t="s">
        <v>45</v>
      </c>
      <c r="H1684" s="4" t="s">
        <v>58</v>
      </c>
      <c r="I1684" s="5">
        <v>45607</v>
      </c>
      <c r="J1684" s="4">
        <f t="shared" si="26"/>
        <v>12</v>
      </c>
    </row>
    <row r="1685" spans="1:10" x14ac:dyDescent="0.25">
      <c r="A1685" s="4">
        <f>_xlfn.XLOOKUP(E1685,'Data Validation'!$M$3:$M$10,'Data Validation'!$N$3:$N$10)</f>
        <v>3</v>
      </c>
      <c r="B1685" s="4">
        <v>16</v>
      </c>
      <c r="C1685" s="4" t="s">
        <v>11</v>
      </c>
      <c r="D1685" s="7">
        <v>35.76</v>
      </c>
      <c r="E1685" s="4" t="s">
        <v>29</v>
      </c>
      <c r="F1685" s="4" t="s">
        <v>17</v>
      </c>
      <c r="G1685" s="4" t="s">
        <v>45</v>
      </c>
      <c r="H1685" s="4" t="s">
        <v>58</v>
      </c>
      <c r="I1685" s="5">
        <v>45607</v>
      </c>
      <c r="J1685" s="4">
        <f t="shared" si="26"/>
        <v>12</v>
      </c>
    </row>
    <row r="1686" spans="1:10" x14ac:dyDescent="0.25">
      <c r="A1686" s="4">
        <f>_xlfn.XLOOKUP(E1686,'Data Validation'!$M$3:$M$10,'Data Validation'!$N$3:$N$10)</f>
        <v>3</v>
      </c>
      <c r="B1686" s="4">
        <v>17</v>
      </c>
      <c r="C1686" s="4" t="s">
        <v>11</v>
      </c>
      <c r="D1686" s="7">
        <v>35.76</v>
      </c>
      <c r="E1686" s="4" t="s">
        <v>29</v>
      </c>
      <c r="F1686" s="4" t="s">
        <v>20</v>
      </c>
      <c r="G1686" s="4" t="s">
        <v>45</v>
      </c>
      <c r="H1686" s="4" t="s">
        <v>58</v>
      </c>
      <c r="I1686" s="5">
        <v>45607</v>
      </c>
      <c r="J1686" s="4">
        <f t="shared" si="26"/>
        <v>12</v>
      </c>
    </row>
    <row r="1687" spans="1:10" x14ac:dyDescent="0.25">
      <c r="A1687" s="4">
        <f>_xlfn.XLOOKUP(E1687,'Data Validation'!$M$3:$M$10,'Data Validation'!$N$3:$N$10)</f>
        <v>3</v>
      </c>
      <c r="B1687" s="4">
        <v>18</v>
      </c>
      <c r="C1687" s="4" t="s">
        <v>11</v>
      </c>
      <c r="D1687" s="7">
        <v>35.76</v>
      </c>
      <c r="E1687" s="4" t="s">
        <v>29</v>
      </c>
      <c r="F1687" s="4" t="s">
        <v>20</v>
      </c>
      <c r="G1687" s="4" t="s">
        <v>46</v>
      </c>
      <c r="H1687" s="4" t="s">
        <v>58</v>
      </c>
      <c r="I1687" s="5">
        <v>45608</v>
      </c>
      <c r="J1687" s="4">
        <f t="shared" si="26"/>
        <v>12</v>
      </c>
    </row>
    <row r="1688" spans="1:10" x14ac:dyDescent="0.25">
      <c r="A1688" s="4">
        <f>_xlfn.XLOOKUP(E1688,'Data Validation'!$M$3:$M$10,'Data Validation'!$N$3:$N$10)</f>
        <v>3</v>
      </c>
      <c r="B1688" s="4">
        <v>15</v>
      </c>
      <c r="C1688" s="4" t="s">
        <v>11</v>
      </c>
      <c r="D1688" s="7">
        <v>35.76</v>
      </c>
      <c r="E1688" s="4" t="s">
        <v>29</v>
      </c>
      <c r="F1688" s="4" t="s">
        <v>17</v>
      </c>
      <c r="G1688" s="4" t="s">
        <v>48</v>
      </c>
      <c r="H1688" s="4" t="s">
        <v>58</v>
      </c>
      <c r="I1688" s="5">
        <v>45610</v>
      </c>
      <c r="J1688" s="4">
        <f t="shared" si="26"/>
        <v>12</v>
      </c>
    </row>
    <row r="1689" spans="1:10" x14ac:dyDescent="0.25">
      <c r="A1689" s="4">
        <f>_xlfn.XLOOKUP(E1689,'Data Validation'!$M$3:$M$10,'Data Validation'!$N$3:$N$10)</f>
        <v>3</v>
      </c>
      <c r="B1689" s="4">
        <v>15</v>
      </c>
      <c r="C1689" s="4" t="s">
        <v>11</v>
      </c>
      <c r="D1689" s="7">
        <v>35.76</v>
      </c>
      <c r="E1689" s="4" t="s">
        <v>29</v>
      </c>
      <c r="F1689" s="4" t="s">
        <v>17</v>
      </c>
      <c r="G1689" s="4" t="s">
        <v>48</v>
      </c>
      <c r="H1689" s="4" t="s">
        <v>58</v>
      </c>
      <c r="I1689" s="5">
        <v>45610</v>
      </c>
      <c r="J1689" s="4">
        <f t="shared" si="26"/>
        <v>12</v>
      </c>
    </row>
    <row r="1690" spans="1:10" x14ac:dyDescent="0.25">
      <c r="A1690" s="4">
        <f>_xlfn.XLOOKUP(E1690,'Data Validation'!$M$3:$M$10,'Data Validation'!$N$3:$N$10)</f>
        <v>3</v>
      </c>
      <c r="B1690" s="4">
        <v>16</v>
      </c>
      <c r="C1690" s="4" t="s">
        <v>11</v>
      </c>
      <c r="D1690" s="7">
        <v>35.76</v>
      </c>
      <c r="E1690" s="4" t="s">
        <v>29</v>
      </c>
      <c r="F1690" s="4" t="s">
        <v>17</v>
      </c>
      <c r="G1690" s="4" t="s">
        <v>48</v>
      </c>
      <c r="H1690" s="4" t="s">
        <v>58</v>
      </c>
      <c r="I1690" s="5">
        <v>45610</v>
      </c>
      <c r="J1690" s="4">
        <f t="shared" si="26"/>
        <v>12</v>
      </c>
    </row>
    <row r="1691" spans="1:10" x14ac:dyDescent="0.25">
      <c r="A1691" s="4">
        <f>_xlfn.XLOOKUP(E1691,'Data Validation'!$M$3:$M$10,'Data Validation'!$N$3:$N$10)</f>
        <v>3</v>
      </c>
      <c r="B1691" s="4">
        <v>12</v>
      </c>
      <c r="C1691" s="4" t="s">
        <v>11</v>
      </c>
      <c r="D1691" s="7">
        <v>35.76</v>
      </c>
      <c r="E1691" s="4" t="s">
        <v>29</v>
      </c>
      <c r="F1691" s="4" t="s">
        <v>17</v>
      </c>
      <c r="G1691" s="4" t="s">
        <v>50</v>
      </c>
      <c r="H1691" s="4" t="s">
        <v>58</v>
      </c>
      <c r="I1691" s="5">
        <v>45612</v>
      </c>
      <c r="J1691" s="4">
        <f t="shared" si="26"/>
        <v>12</v>
      </c>
    </row>
    <row r="1692" spans="1:10" x14ac:dyDescent="0.25">
      <c r="A1692" s="4">
        <f>_xlfn.XLOOKUP(E1692,'Data Validation'!$M$3:$M$10,'Data Validation'!$N$3:$N$10)</f>
        <v>3</v>
      </c>
      <c r="B1692" s="4">
        <v>16</v>
      </c>
      <c r="C1692" s="4" t="s">
        <v>11</v>
      </c>
      <c r="D1692" s="7">
        <v>35.76</v>
      </c>
      <c r="E1692" s="4" t="s">
        <v>29</v>
      </c>
      <c r="F1692" s="4" t="s">
        <v>17</v>
      </c>
      <c r="G1692" s="4" t="s">
        <v>46</v>
      </c>
      <c r="H1692" s="4" t="s">
        <v>58</v>
      </c>
      <c r="I1692" s="5">
        <v>45615</v>
      </c>
      <c r="J1692" s="4">
        <f t="shared" si="26"/>
        <v>12</v>
      </c>
    </row>
    <row r="1693" spans="1:10" x14ac:dyDescent="0.25">
      <c r="A1693" s="4">
        <f>_xlfn.XLOOKUP(E1693,'Data Validation'!$M$3:$M$10,'Data Validation'!$N$3:$N$10)</f>
        <v>3</v>
      </c>
      <c r="B1693" s="4">
        <v>16</v>
      </c>
      <c r="C1693" s="4" t="s">
        <v>11</v>
      </c>
      <c r="D1693" s="7">
        <v>35.76</v>
      </c>
      <c r="E1693" s="4" t="s">
        <v>29</v>
      </c>
      <c r="F1693" s="4" t="s">
        <v>17</v>
      </c>
      <c r="G1693" s="4" t="s">
        <v>46</v>
      </c>
      <c r="H1693" s="4" t="s">
        <v>58</v>
      </c>
      <c r="I1693" s="5">
        <v>45615</v>
      </c>
      <c r="J1693" s="4">
        <f t="shared" si="26"/>
        <v>12</v>
      </c>
    </row>
    <row r="1694" spans="1:10" x14ac:dyDescent="0.25">
      <c r="A1694" s="4">
        <f>_xlfn.XLOOKUP(E1694,'Data Validation'!$M$3:$M$10,'Data Validation'!$N$3:$N$10)</f>
        <v>3</v>
      </c>
      <c r="B1694" s="4">
        <v>17</v>
      </c>
      <c r="C1694" s="4" t="s">
        <v>11</v>
      </c>
      <c r="D1694" s="7">
        <v>35.76</v>
      </c>
      <c r="E1694" s="4" t="s">
        <v>29</v>
      </c>
      <c r="F1694" s="4" t="s">
        <v>20</v>
      </c>
      <c r="G1694" s="4" t="s">
        <v>47</v>
      </c>
      <c r="H1694" s="4" t="s">
        <v>58</v>
      </c>
      <c r="I1694" s="5">
        <v>45616</v>
      </c>
      <c r="J1694" s="4">
        <f t="shared" si="26"/>
        <v>12</v>
      </c>
    </row>
    <row r="1695" spans="1:10" x14ac:dyDescent="0.25">
      <c r="A1695" s="4">
        <f>_xlfn.XLOOKUP(E1695,'Data Validation'!$M$3:$M$10,'Data Validation'!$N$3:$N$10)</f>
        <v>3</v>
      </c>
      <c r="B1695" s="4">
        <v>10</v>
      </c>
      <c r="C1695" s="4" t="s">
        <v>11</v>
      </c>
      <c r="D1695" s="7">
        <v>35.76</v>
      </c>
      <c r="E1695" s="4" t="s">
        <v>29</v>
      </c>
      <c r="F1695" s="4" t="s">
        <v>13</v>
      </c>
      <c r="G1695" s="4" t="s">
        <v>49</v>
      </c>
      <c r="H1695" s="4" t="s">
        <v>58</v>
      </c>
      <c r="I1695" s="5">
        <v>45618</v>
      </c>
      <c r="J1695" s="4">
        <f t="shared" si="26"/>
        <v>12</v>
      </c>
    </row>
    <row r="1696" spans="1:10" x14ac:dyDescent="0.25">
      <c r="A1696" s="4">
        <f>_xlfn.XLOOKUP(E1696,'Data Validation'!$M$3:$M$10,'Data Validation'!$N$3:$N$10)</f>
        <v>3</v>
      </c>
      <c r="B1696" s="4">
        <v>11</v>
      </c>
      <c r="C1696" s="4" t="s">
        <v>11</v>
      </c>
      <c r="D1696" s="7">
        <v>35.76</v>
      </c>
      <c r="E1696" s="4" t="s">
        <v>29</v>
      </c>
      <c r="F1696" s="4" t="s">
        <v>13</v>
      </c>
      <c r="G1696" s="4" t="s">
        <v>50</v>
      </c>
      <c r="H1696" s="4" t="s">
        <v>58</v>
      </c>
      <c r="I1696" s="5">
        <v>45619</v>
      </c>
      <c r="J1696" s="4">
        <f t="shared" si="26"/>
        <v>12</v>
      </c>
    </row>
    <row r="1697" spans="1:10" x14ac:dyDescent="0.25">
      <c r="A1697" s="4">
        <f>_xlfn.XLOOKUP(E1697,'Data Validation'!$M$3:$M$10,'Data Validation'!$N$3:$N$10)</f>
        <v>3</v>
      </c>
      <c r="B1697" s="4">
        <v>7</v>
      </c>
      <c r="C1697" s="4" t="s">
        <v>11</v>
      </c>
      <c r="D1697" s="7">
        <v>35.76</v>
      </c>
      <c r="E1697" s="4" t="s">
        <v>29</v>
      </c>
      <c r="F1697" s="4" t="s">
        <v>13</v>
      </c>
      <c r="G1697" s="4" t="s">
        <v>45</v>
      </c>
      <c r="H1697" s="4" t="s">
        <v>58</v>
      </c>
      <c r="I1697" s="5">
        <v>45621</v>
      </c>
      <c r="J1697" s="4">
        <f t="shared" si="26"/>
        <v>12</v>
      </c>
    </row>
    <row r="1698" spans="1:10" x14ac:dyDescent="0.25">
      <c r="A1698" s="4">
        <f>_xlfn.XLOOKUP(E1698,'Data Validation'!$M$3:$M$10,'Data Validation'!$N$3:$N$10)</f>
        <v>3</v>
      </c>
      <c r="B1698" s="4">
        <v>21</v>
      </c>
      <c r="C1698" s="4" t="s">
        <v>11</v>
      </c>
      <c r="D1698" s="7">
        <v>35.76</v>
      </c>
      <c r="E1698" s="4" t="s">
        <v>29</v>
      </c>
      <c r="F1698" s="4" t="s">
        <v>20</v>
      </c>
      <c r="G1698" s="4" t="s">
        <v>45</v>
      </c>
      <c r="H1698" s="4" t="s">
        <v>58</v>
      </c>
      <c r="I1698" s="5">
        <v>45621</v>
      </c>
      <c r="J1698" s="4">
        <f t="shared" si="26"/>
        <v>12</v>
      </c>
    </row>
    <row r="1699" spans="1:10" x14ac:dyDescent="0.25">
      <c r="A1699" s="4">
        <f>_xlfn.XLOOKUP(E1699,'Data Validation'!$M$3:$M$10,'Data Validation'!$N$3:$N$10)</f>
        <v>3</v>
      </c>
      <c r="B1699" s="4">
        <v>8</v>
      </c>
      <c r="C1699" s="4" t="s">
        <v>11</v>
      </c>
      <c r="D1699" s="7">
        <v>35.76</v>
      </c>
      <c r="E1699" s="4" t="s">
        <v>29</v>
      </c>
      <c r="F1699" s="4" t="s">
        <v>13</v>
      </c>
      <c r="G1699" s="4" t="s">
        <v>48</v>
      </c>
      <c r="H1699" s="4" t="s">
        <v>58</v>
      </c>
      <c r="I1699" s="5">
        <v>45624</v>
      </c>
      <c r="J1699" s="4">
        <f t="shared" si="26"/>
        <v>12</v>
      </c>
    </row>
    <row r="1700" spans="1:10" x14ac:dyDescent="0.25">
      <c r="A1700" s="4">
        <f>_xlfn.XLOOKUP(E1700,'Data Validation'!$M$3:$M$10,'Data Validation'!$N$3:$N$10)</f>
        <v>3</v>
      </c>
      <c r="B1700" s="4">
        <v>22</v>
      </c>
      <c r="C1700" s="4" t="s">
        <v>11</v>
      </c>
      <c r="D1700" s="7">
        <v>35.76</v>
      </c>
      <c r="E1700" s="4" t="s">
        <v>29</v>
      </c>
      <c r="F1700" s="4" t="s">
        <v>20</v>
      </c>
      <c r="G1700" s="4" t="s">
        <v>48</v>
      </c>
      <c r="H1700" s="4" t="s">
        <v>58</v>
      </c>
      <c r="I1700" s="5">
        <v>45624</v>
      </c>
      <c r="J1700" s="4">
        <f t="shared" si="26"/>
        <v>12</v>
      </c>
    </row>
    <row r="1701" spans="1:10" x14ac:dyDescent="0.25">
      <c r="A1701" s="4">
        <f>_xlfn.XLOOKUP(E1701,'Data Validation'!$M$3:$M$10,'Data Validation'!$N$3:$N$10)</f>
        <v>3</v>
      </c>
      <c r="B1701" s="4">
        <v>15</v>
      </c>
      <c r="C1701" s="4" t="s">
        <v>11</v>
      </c>
      <c r="D1701" s="7">
        <v>35.76</v>
      </c>
      <c r="E1701" s="4" t="s">
        <v>29</v>
      </c>
      <c r="F1701" s="4" t="s">
        <v>17</v>
      </c>
      <c r="G1701" s="4" t="s">
        <v>51</v>
      </c>
      <c r="H1701" s="4" t="s">
        <v>59</v>
      </c>
      <c r="I1701" s="5">
        <v>45627</v>
      </c>
      <c r="J1701" s="4">
        <f t="shared" si="26"/>
        <v>12</v>
      </c>
    </row>
    <row r="1702" spans="1:10" x14ac:dyDescent="0.25">
      <c r="A1702" s="4">
        <f>_xlfn.XLOOKUP(E1702,'Data Validation'!$M$3:$M$10,'Data Validation'!$N$3:$N$10)</f>
        <v>3</v>
      </c>
      <c r="B1702" s="4">
        <v>16</v>
      </c>
      <c r="C1702" s="4" t="s">
        <v>11</v>
      </c>
      <c r="D1702" s="7">
        <v>35.76</v>
      </c>
      <c r="E1702" s="4" t="s">
        <v>29</v>
      </c>
      <c r="F1702" s="4" t="s">
        <v>17</v>
      </c>
      <c r="G1702" s="4" t="s">
        <v>45</v>
      </c>
      <c r="H1702" s="4" t="s">
        <v>59</v>
      </c>
      <c r="I1702" s="5">
        <v>45628</v>
      </c>
      <c r="J1702" s="4">
        <f t="shared" si="26"/>
        <v>12</v>
      </c>
    </row>
    <row r="1703" spans="1:10" x14ac:dyDescent="0.25">
      <c r="A1703" s="4">
        <f>_xlfn.XLOOKUP(E1703,'Data Validation'!$M$3:$M$10,'Data Validation'!$N$3:$N$10)</f>
        <v>3</v>
      </c>
      <c r="B1703" s="4">
        <v>18</v>
      </c>
      <c r="C1703" s="4" t="s">
        <v>11</v>
      </c>
      <c r="D1703" s="7">
        <v>35.76</v>
      </c>
      <c r="E1703" s="4" t="s">
        <v>29</v>
      </c>
      <c r="F1703" s="4" t="s">
        <v>20</v>
      </c>
      <c r="G1703" s="4" t="s">
        <v>45</v>
      </c>
      <c r="H1703" s="4" t="s">
        <v>59</v>
      </c>
      <c r="I1703" s="5">
        <v>45628</v>
      </c>
      <c r="J1703" s="4">
        <f t="shared" si="26"/>
        <v>12</v>
      </c>
    </row>
    <row r="1704" spans="1:10" x14ac:dyDescent="0.25">
      <c r="A1704" s="4">
        <f>_xlfn.XLOOKUP(E1704,'Data Validation'!$M$3:$M$10,'Data Validation'!$N$3:$N$10)</f>
        <v>3</v>
      </c>
      <c r="B1704" s="4">
        <v>21</v>
      </c>
      <c r="C1704" s="4" t="s">
        <v>11</v>
      </c>
      <c r="D1704" s="7">
        <v>35.76</v>
      </c>
      <c r="E1704" s="4" t="s">
        <v>29</v>
      </c>
      <c r="F1704" s="4" t="s">
        <v>20</v>
      </c>
      <c r="G1704" s="4" t="s">
        <v>46</v>
      </c>
      <c r="H1704" s="4" t="s">
        <v>59</v>
      </c>
      <c r="I1704" s="5">
        <v>45629</v>
      </c>
      <c r="J1704" s="4">
        <f t="shared" si="26"/>
        <v>12</v>
      </c>
    </row>
    <row r="1705" spans="1:10" x14ac:dyDescent="0.25">
      <c r="A1705" s="4">
        <f>_xlfn.XLOOKUP(E1705,'Data Validation'!$M$3:$M$10,'Data Validation'!$N$3:$N$10)</f>
        <v>3</v>
      </c>
      <c r="B1705" s="4">
        <v>22</v>
      </c>
      <c r="C1705" s="4" t="s">
        <v>11</v>
      </c>
      <c r="D1705" s="7">
        <v>35.76</v>
      </c>
      <c r="E1705" s="4" t="s">
        <v>29</v>
      </c>
      <c r="F1705" s="4" t="s">
        <v>20</v>
      </c>
      <c r="G1705" s="4" t="s">
        <v>46</v>
      </c>
      <c r="H1705" s="4" t="s">
        <v>59</v>
      </c>
      <c r="I1705" s="5">
        <v>45629</v>
      </c>
      <c r="J1705" s="4">
        <f t="shared" si="26"/>
        <v>12</v>
      </c>
    </row>
    <row r="1706" spans="1:10" x14ac:dyDescent="0.25">
      <c r="A1706" s="4">
        <f>_xlfn.XLOOKUP(E1706,'Data Validation'!$M$3:$M$10,'Data Validation'!$N$3:$N$10)</f>
        <v>3</v>
      </c>
      <c r="B1706" s="4">
        <v>14</v>
      </c>
      <c r="C1706" s="4" t="s">
        <v>11</v>
      </c>
      <c r="D1706" s="7">
        <v>35.76</v>
      </c>
      <c r="E1706" s="4" t="s">
        <v>29</v>
      </c>
      <c r="F1706" s="4" t="s">
        <v>17</v>
      </c>
      <c r="G1706" s="4" t="s">
        <v>48</v>
      </c>
      <c r="H1706" s="4" t="s">
        <v>59</v>
      </c>
      <c r="I1706" s="5">
        <v>45631</v>
      </c>
      <c r="J1706" s="4">
        <f t="shared" si="26"/>
        <v>12</v>
      </c>
    </row>
    <row r="1707" spans="1:10" x14ac:dyDescent="0.25">
      <c r="A1707" s="4">
        <f>_xlfn.XLOOKUP(E1707,'Data Validation'!$M$3:$M$10,'Data Validation'!$N$3:$N$10)</f>
        <v>3</v>
      </c>
      <c r="B1707" s="4">
        <v>19</v>
      </c>
      <c r="C1707" s="4" t="s">
        <v>11</v>
      </c>
      <c r="D1707" s="7">
        <v>35.76</v>
      </c>
      <c r="E1707" s="4" t="s">
        <v>29</v>
      </c>
      <c r="F1707" s="4" t="s">
        <v>20</v>
      </c>
      <c r="G1707" s="4" t="s">
        <v>50</v>
      </c>
      <c r="H1707" s="4" t="s">
        <v>59</v>
      </c>
      <c r="I1707" s="5">
        <v>45633</v>
      </c>
      <c r="J1707" s="4">
        <f t="shared" si="26"/>
        <v>12</v>
      </c>
    </row>
    <row r="1708" spans="1:10" x14ac:dyDescent="0.25">
      <c r="A1708" s="4">
        <f>_xlfn.XLOOKUP(E1708,'Data Validation'!$M$3:$M$10,'Data Validation'!$N$3:$N$10)</f>
        <v>3</v>
      </c>
      <c r="B1708" s="4">
        <v>10</v>
      </c>
      <c r="C1708" s="4" t="s">
        <v>11</v>
      </c>
      <c r="D1708" s="7">
        <v>35.76</v>
      </c>
      <c r="E1708" s="4" t="s">
        <v>29</v>
      </c>
      <c r="F1708" s="4" t="s">
        <v>13</v>
      </c>
      <c r="G1708" s="4" t="s">
        <v>51</v>
      </c>
      <c r="H1708" s="4" t="s">
        <v>59</v>
      </c>
      <c r="I1708" s="5">
        <v>45634</v>
      </c>
      <c r="J1708" s="4">
        <f t="shared" si="26"/>
        <v>12</v>
      </c>
    </row>
    <row r="1709" spans="1:10" x14ac:dyDescent="0.25">
      <c r="A1709" s="4">
        <f>_xlfn.XLOOKUP(E1709,'Data Validation'!$M$3:$M$10,'Data Validation'!$N$3:$N$10)</f>
        <v>3</v>
      </c>
      <c r="B1709" s="4">
        <v>17</v>
      </c>
      <c r="C1709" s="4" t="s">
        <v>11</v>
      </c>
      <c r="D1709" s="7">
        <v>35.76</v>
      </c>
      <c r="E1709" s="4" t="s">
        <v>29</v>
      </c>
      <c r="F1709" s="4" t="s">
        <v>20</v>
      </c>
      <c r="G1709" s="4" t="s">
        <v>51</v>
      </c>
      <c r="H1709" s="4" t="s">
        <v>59</v>
      </c>
      <c r="I1709" s="5">
        <v>45634</v>
      </c>
      <c r="J1709" s="4">
        <f t="shared" si="26"/>
        <v>12</v>
      </c>
    </row>
    <row r="1710" spans="1:10" x14ac:dyDescent="0.25">
      <c r="A1710" s="4">
        <f>_xlfn.XLOOKUP(E1710,'Data Validation'!$M$3:$M$10,'Data Validation'!$N$3:$N$10)</f>
        <v>3</v>
      </c>
      <c r="B1710" s="4">
        <v>20</v>
      </c>
      <c r="C1710" s="4" t="s">
        <v>11</v>
      </c>
      <c r="D1710" s="7">
        <v>35.76</v>
      </c>
      <c r="E1710" s="4" t="s">
        <v>29</v>
      </c>
      <c r="F1710" s="4" t="s">
        <v>20</v>
      </c>
      <c r="G1710" s="4" t="s">
        <v>51</v>
      </c>
      <c r="H1710" s="4" t="s">
        <v>59</v>
      </c>
      <c r="I1710" s="5">
        <v>45634</v>
      </c>
      <c r="J1710" s="4">
        <f t="shared" si="26"/>
        <v>12</v>
      </c>
    </row>
    <row r="1711" spans="1:10" x14ac:dyDescent="0.25">
      <c r="A1711" s="4">
        <f>_xlfn.XLOOKUP(E1711,'Data Validation'!$M$3:$M$10,'Data Validation'!$N$3:$N$10)</f>
        <v>3</v>
      </c>
      <c r="B1711" s="4">
        <v>8</v>
      </c>
      <c r="C1711" s="4" t="s">
        <v>11</v>
      </c>
      <c r="D1711" s="7">
        <v>35.76</v>
      </c>
      <c r="E1711" s="4" t="s">
        <v>29</v>
      </c>
      <c r="F1711" s="4" t="s">
        <v>13</v>
      </c>
      <c r="G1711" s="4" t="s">
        <v>45</v>
      </c>
      <c r="H1711" s="4" t="s">
        <v>59</v>
      </c>
      <c r="I1711" s="5">
        <v>45635</v>
      </c>
      <c r="J1711" s="4">
        <f t="shared" si="26"/>
        <v>12</v>
      </c>
    </row>
    <row r="1712" spans="1:10" x14ac:dyDescent="0.25">
      <c r="A1712" s="4">
        <f>_xlfn.XLOOKUP(E1712,'Data Validation'!$M$3:$M$10,'Data Validation'!$N$3:$N$10)</f>
        <v>3</v>
      </c>
      <c r="B1712" s="4">
        <v>19</v>
      </c>
      <c r="C1712" s="4" t="s">
        <v>11</v>
      </c>
      <c r="D1712" s="7">
        <v>35.76</v>
      </c>
      <c r="E1712" s="4" t="s">
        <v>29</v>
      </c>
      <c r="F1712" s="4" t="s">
        <v>20</v>
      </c>
      <c r="G1712" s="4" t="s">
        <v>49</v>
      </c>
      <c r="H1712" s="4" t="s">
        <v>59</v>
      </c>
      <c r="I1712" s="5">
        <v>45639</v>
      </c>
      <c r="J1712" s="4">
        <f t="shared" si="26"/>
        <v>12</v>
      </c>
    </row>
    <row r="1713" spans="1:10" x14ac:dyDescent="0.25">
      <c r="A1713" s="4">
        <f>_xlfn.XLOOKUP(E1713,'Data Validation'!$M$3:$M$10,'Data Validation'!$N$3:$N$10)</f>
        <v>3</v>
      </c>
      <c r="B1713" s="4">
        <v>19</v>
      </c>
      <c r="C1713" s="4" t="s">
        <v>11</v>
      </c>
      <c r="D1713" s="7">
        <v>35.76</v>
      </c>
      <c r="E1713" s="4" t="s">
        <v>29</v>
      </c>
      <c r="F1713" s="4" t="s">
        <v>20</v>
      </c>
      <c r="G1713" s="4" t="s">
        <v>49</v>
      </c>
      <c r="H1713" s="4" t="s">
        <v>59</v>
      </c>
      <c r="I1713" s="5">
        <v>45639</v>
      </c>
      <c r="J1713" s="4">
        <f t="shared" si="26"/>
        <v>12</v>
      </c>
    </row>
    <row r="1714" spans="1:10" x14ac:dyDescent="0.25">
      <c r="A1714" s="4">
        <f>_xlfn.XLOOKUP(E1714,'Data Validation'!$M$3:$M$10,'Data Validation'!$N$3:$N$10)</f>
        <v>3</v>
      </c>
      <c r="B1714" s="4">
        <v>11</v>
      </c>
      <c r="C1714" s="4" t="s">
        <v>11</v>
      </c>
      <c r="D1714" s="7">
        <v>35.76</v>
      </c>
      <c r="E1714" s="4" t="s">
        <v>29</v>
      </c>
      <c r="F1714" s="4" t="s">
        <v>13</v>
      </c>
      <c r="G1714" s="4" t="s">
        <v>50</v>
      </c>
      <c r="H1714" s="4" t="s">
        <v>59</v>
      </c>
      <c r="I1714" s="5">
        <v>45640</v>
      </c>
      <c r="J1714" s="4">
        <f t="shared" si="26"/>
        <v>12</v>
      </c>
    </row>
    <row r="1715" spans="1:10" x14ac:dyDescent="0.25">
      <c r="A1715" s="4">
        <f>_xlfn.XLOOKUP(E1715,'Data Validation'!$M$3:$M$10,'Data Validation'!$N$3:$N$10)</f>
        <v>3</v>
      </c>
      <c r="B1715" s="4">
        <v>8</v>
      </c>
      <c r="C1715" s="4" t="s">
        <v>11</v>
      </c>
      <c r="D1715" s="7">
        <v>35.76</v>
      </c>
      <c r="E1715" s="4" t="s">
        <v>29</v>
      </c>
      <c r="F1715" s="4" t="s">
        <v>13</v>
      </c>
      <c r="G1715" s="4" t="s">
        <v>46</v>
      </c>
      <c r="H1715" s="4" t="s">
        <v>59</v>
      </c>
      <c r="I1715" s="5">
        <v>45643</v>
      </c>
      <c r="J1715" s="4">
        <f t="shared" si="26"/>
        <v>12</v>
      </c>
    </row>
    <row r="1716" spans="1:10" x14ac:dyDescent="0.25">
      <c r="A1716" s="4">
        <f>_xlfn.XLOOKUP(E1716,'Data Validation'!$M$3:$M$10,'Data Validation'!$N$3:$N$10)</f>
        <v>3</v>
      </c>
      <c r="B1716" s="4">
        <v>17</v>
      </c>
      <c r="C1716" s="4" t="s">
        <v>11</v>
      </c>
      <c r="D1716" s="7">
        <v>35.76</v>
      </c>
      <c r="E1716" s="4" t="s">
        <v>29</v>
      </c>
      <c r="F1716" s="4" t="s">
        <v>20</v>
      </c>
      <c r="G1716" s="4" t="s">
        <v>46</v>
      </c>
      <c r="H1716" s="4" t="s">
        <v>59</v>
      </c>
      <c r="I1716" s="5">
        <v>45643</v>
      </c>
      <c r="J1716" s="4">
        <f t="shared" si="26"/>
        <v>12</v>
      </c>
    </row>
    <row r="1717" spans="1:10" x14ac:dyDescent="0.25">
      <c r="A1717" s="4">
        <f>_xlfn.XLOOKUP(E1717,'Data Validation'!$M$3:$M$10,'Data Validation'!$N$3:$N$10)</f>
        <v>3</v>
      </c>
      <c r="B1717" s="4">
        <v>10</v>
      </c>
      <c r="C1717" s="4" t="s">
        <v>11</v>
      </c>
      <c r="D1717" s="7">
        <v>35.76</v>
      </c>
      <c r="E1717" s="4" t="s">
        <v>29</v>
      </c>
      <c r="F1717" s="4" t="s">
        <v>13</v>
      </c>
      <c r="G1717" s="4" t="s">
        <v>47</v>
      </c>
      <c r="H1717" s="4" t="s">
        <v>59</v>
      </c>
      <c r="I1717" s="5">
        <v>45644</v>
      </c>
      <c r="J1717" s="4">
        <f t="shared" si="26"/>
        <v>12</v>
      </c>
    </row>
    <row r="1718" spans="1:10" x14ac:dyDescent="0.25">
      <c r="A1718" s="4">
        <f>_xlfn.XLOOKUP(E1718,'Data Validation'!$M$3:$M$10,'Data Validation'!$N$3:$N$10)</f>
        <v>3</v>
      </c>
      <c r="B1718" s="4">
        <v>19</v>
      </c>
      <c r="C1718" s="4" t="s">
        <v>11</v>
      </c>
      <c r="D1718" s="7">
        <v>35.76</v>
      </c>
      <c r="E1718" s="4" t="s">
        <v>29</v>
      </c>
      <c r="F1718" s="4" t="s">
        <v>20</v>
      </c>
      <c r="G1718" s="4" t="s">
        <v>48</v>
      </c>
      <c r="H1718" s="4" t="s">
        <v>59</v>
      </c>
      <c r="I1718" s="5">
        <v>45645</v>
      </c>
      <c r="J1718" s="4">
        <f t="shared" si="26"/>
        <v>12</v>
      </c>
    </row>
    <row r="1719" spans="1:10" x14ac:dyDescent="0.25">
      <c r="A1719" s="4">
        <f>_xlfn.XLOOKUP(E1719,'Data Validation'!$M$3:$M$10,'Data Validation'!$N$3:$N$10)</f>
        <v>3</v>
      </c>
      <c r="B1719" s="4">
        <v>19</v>
      </c>
      <c r="C1719" s="4" t="s">
        <v>11</v>
      </c>
      <c r="D1719" s="7">
        <v>35.76</v>
      </c>
      <c r="E1719" s="4" t="s">
        <v>29</v>
      </c>
      <c r="F1719" s="4" t="s">
        <v>20</v>
      </c>
      <c r="G1719" s="4" t="s">
        <v>48</v>
      </c>
      <c r="H1719" s="4" t="s">
        <v>59</v>
      </c>
      <c r="I1719" s="5">
        <v>45645</v>
      </c>
      <c r="J1719" s="4">
        <f t="shared" si="26"/>
        <v>12</v>
      </c>
    </row>
    <row r="1720" spans="1:10" x14ac:dyDescent="0.25">
      <c r="A1720" s="4">
        <f>_xlfn.XLOOKUP(E1720,'Data Validation'!$M$3:$M$10,'Data Validation'!$N$3:$N$10)</f>
        <v>3</v>
      </c>
      <c r="B1720" s="4">
        <v>21</v>
      </c>
      <c r="C1720" s="4" t="s">
        <v>11</v>
      </c>
      <c r="D1720" s="7">
        <v>35.76</v>
      </c>
      <c r="E1720" s="4" t="s">
        <v>29</v>
      </c>
      <c r="F1720" s="4" t="s">
        <v>20</v>
      </c>
      <c r="G1720" s="4" t="s">
        <v>48</v>
      </c>
      <c r="H1720" s="4" t="s">
        <v>59</v>
      </c>
      <c r="I1720" s="5">
        <v>45645</v>
      </c>
      <c r="J1720" s="4">
        <f t="shared" si="26"/>
        <v>12</v>
      </c>
    </row>
    <row r="1721" spans="1:10" x14ac:dyDescent="0.25">
      <c r="A1721" s="4">
        <f>_xlfn.XLOOKUP(E1721,'Data Validation'!$M$3:$M$10,'Data Validation'!$N$3:$N$10)</f>
        <v>3</v>
      </c>
      <c r="B1721" s="4">
        <v>10</v>
      </c>
      <c r="C1721" s="4" t="s">
        <v>11</v>
      </c>
      <c r="D1721" s="7">
        <v>35.76</v>
      </c>
      <c r="E1721" s="4" t="s">
        <v>29</v>
      </c>
      <c r="F1721" s="4" t="s">
        <v>13</v>
      </c>
      <c r="G1721" s="4" t="s">
        <v>49</v>
      </c>
      <c r="H1721" s="4" t="s">
        <v>59</v>
      </c>
      <c r="I1721" s="5">
        <v>45646</v>
      </c>
      <c r="J1721" s="4">
        <f t="shared" si="26"/>
        <v>12</v>
      </c>
    </row>
    <row r="1722" spans="1:10" x14ac:dyDescent="0.25">
      <c r="A1722" s="4">
        <f>_xlfn.XLOOKUP(E1722,'Data Validation'!$M$3:$M$10,'Data Validation'!$N$3:$N$10)</f>
        <v>3</v>
      </c>
      <c r="B1722" s="4">
        <v>18</v>
      </c>
      <c r="C1722" s="4" t="s">
        <v>11</v>
      </c>
      <c r="D1722" s="7">
        <v>35.76</v>
      </c>
      <c r="E1722" s="4" t="s">
        <v>29</v>
      </c>
      <c r="F1722" s="4" t="s">
        <v>20</v>
      </c>
      <c r="G1722" s="4" t="s">
        <v>49</v>
      </c>
      <c r="H1722" s="4" t="s">
        <v>59</v>
      </c>
      <c r="I1722" s="5">
        <v>45646</v>
      </c>
      <c r="J1722" s="4">
        <f t="shared" si="26"/>
        <v>12</v>
      </c>
    </row>
    <row r="1723" spans="1:10" x14ac:dyDescent="0.25">
      <c r="A1723" s="4">
        <f>_xlfn.XLOOKUP(E1723,'Data Validation'!$M$3:$M$10,'Data Validation'!$N$3:$N$10)</f>
        <v>3</v>
      </c>
      <c r="B1723" s="4">
        <v>18</v>
      </c>
      <c r="C1723" s="4" t="s">
        <v>11</v>
      </c>
      <c r="D1723" s="7">
        <v>35.76</v>
      </c>
      <c r="E1723" s="4" t="s">
        <v>29</v>
      </c>
      <c r="F1723" s="4" t="s">
        <v>20</v>
      </c>
      <c r="G1723" s="4" t="s">
        <v>49</v>
      </c>
      <c r="H1723" s="4" t="s">
        <v>59</v>
      </c>
      <c r="I1723" s="5">
        <v>45646</v>
      </c>
      <c r="J1723" s="4">
        <f t="shared" si="26"/>
        <v>12</v>
      </c>
    </row>
    <row r="1724" spans="1:10" x14ac:dyDescent="0.25">
      <c r="A1724" s="4">
        <f>_xlfn.XLOOKUP(E1724,'Data Validation'!$M$3:$M$10,'Data Validation'!$N$3:$N$10)</f>
        <v>3</v>
      </c>
      <c r="B1724" s="4">
        <v>10</v>
      </c>
      <c r="C1724" s="4" t="s">
        <v>11</v>
      </c>
      <c r="D1724" s="7">
        <v>35.76</v>
      </c>
      <c r="E1724" s="4" t="s">
        <v>29</v>
      </c>
      <c r="F1724" s="4" t="s">
        <v>13</v>
      </c>
      <c r="G1724" s="4" t="s">
        <v>50</v>
      </c>
      <c r="H1724" s="4" t="s">
        <v>59</v>
      </c>
      <c r="I1724" s="5">
        <v>45647</v>
      </c>
      <c r="J1724" s="4">
        <f t="shared" si="26"/>
        <v>12</v>
      </c>
    </row>
    <row r="1725" spans="1:10" x14ac:dyDescent="0.25">
      <c r="A1725" s="4">
        <f>_xlfn.XLOOKUP(E1725,'Data Validation'!$M$3:$M$10,'Data Validation'!$N$3:$N$10)</f>
        <v>3</v>
      </c>
      <c r="B1725" s="4">
        <v>10</v>
      </c>
      <c r="C1725" s="4" t="s">
        <v>11</v>
      </c>
      <c r="D1725" s="7">
        <v>35.76</v>
      </c>
      <c r="E1725" s="4" t="s">
        <v>29</v>
      </c>
      <c r="F1725" s="4" t="s">
        <v>13</v>
      </c>
      <c r="G1725" s="4" t="s">
        <v>51</v>
      </c>
      <c r="H1725" s="4" t="s">
        <v>59</v>
      </c>
      <c r="I1725" s="5">
        <v>45648</v>
      </c>
      <c r="J1725" s="4">
        <f t="shared" si="26"/>
        <v>12</v>
      </c>
    </row>
    <row r="1726" spans="1:10" x14ac:dyDescent="0.25">
      <c r="A1726" s="4">
        <f>_xlfn.XLOOKUP(E1726,'Data Validation'!$M$3:$M$10,'Data Validation'!$N$3:$N$10)</f>
        <v>3</v>
      </c>
      <c r="B1726" s="4">
        <v>18</v>
      </c>
      <c r="C1726" s="4" t="s">
        <v>11</v>
      </c>
      <c r="D1726" s="7">
        <v>35.76</v>
      </c>
      <c r="E1726" s="4" t="s">
        <v>29</v>
      </c>
      <c r="F1726" s="4" t="s">
        <v>20</v>
      </c>
      <c r="G1726" s="4" t="s">
        <v>51</v>
      </c>
      <c r="H1726" s="4" t="s">
        <v>59</v>
      </c>
      <c r="I1726" s="5">
        <v>45648</v>
      </c>
      <c r="J1726" s="4">
        <f t="shared" si="26"/>
        <v>12</v>
      </c>
    </row>
    <row r="1727" spans="1:10" x14ac:dyDescent="0.25">
      <c r="A1727" s="4">
        <f>_xlfn.XLOOKUP(E1727,'Data Validation'!$M$3:$M$10,'Data Validation'!$N$3:$N$10)</f>
        <v>3</v>
      </c>
      <c r="B1727" s="4">
        <v>11</v>
      </c>
      <c r="C1727" s="4" t="s">
        <v>11</v>
      </c>
      <c r="D1727" s="7">
        <v>35.76</v>
      </c>
      <c r="E1727" s="4" t="s">
        <v>29</v>
      </c>
      <c r="F1727" s="4" t="s">
        <v>13</v>
      </c>
      <c r="G1727" s="4" t="s">
        <v>45</v>
      </c>
      <c r="H1727" s="4" t="s">
        <v>59</v>
      </c>
      <c r="I1727" s="5">
        <v>45649</v>
      </c>
      <c r="J1727" s="4">
        <f t="shared" si="26"/>
        <v>12</v>
      </c>
    </row>
    <row r="1728" spans="1:10" x14ac:dyDescent="0.25">
      <c r="A1728" s="4">
        <f>_xlfn.XLOOKUP(E1728,'Data Validation'!$M$3:$M$10,'Data Validation'!$N$3:$N$10)</f>
        <v>3</v>
      </c>
      <c r="B1728" s="4">
        <v>19</v>
      </c>
      <c r="C1728" s="4" t="s">
        <v>11</v>
      </c>
      <c r="D1728" s="7">
        <v>35.76</v>
      </c>
      <c r="E1728" s="4" t="s">
        <v>29</v>
      </c>
      <c r="F1728" s="4" t="s">
        <v>20</v>
      </c>
      <c r="G1728" s="4" t="s">
        <v>46</v>
      </c>
      <c r="H1728" s="4" t="s">
        <v>59</v>
      </c>
      <c r="I1728" s="5">
        <v>45650</v>
      </c>
      <c r="J1728" s="4">
        <f t="shared" si="26"/>
        <v>12</v>
      </c>
    </row>
    <row r="1729" spans="1:10" x14ac:dyDescent="0.25">
      <c r="A1729" s="4">
        <f>_xlfn.XLOOKUP(E1729,'Data Validation'!$M$3:$M$10,'Data Validation'!$N$3:$N$10)</f>
        <v>3</v>
      </c>
      <c r="B1729" s="4">
        <v>20</v>
      </c>
      <c r="C1729" s="4" t="s">
        <v>11</v>
      </c>
      <c r="D1729" s="7">
        <v>35.76</v>
      </c>
      <c r="E1729" s="4" t="s">
        <v>29</v>
      </c>
      <c r="F1729" s="4" t="s">
        <v>20</v>
      </c>
      <c r="G1729" s="4" t="s">
        <v>47</v>
      </c>
      <c r="H1729" s="4" t="s">
        <v>59</v>
      </c>
      <c r="I1729" s="5">
        <v>45651</v>
      </c>
      <c r="J1729" s="4">
        <f t="shared" si="26"/>
        <v>12</v>
      </c>
    </row>
    <row r="1730" spans="1:10" x14ac:dyDescent="0.25">
      <c r="A1730" s="4">
        <f>_xlfn.XLOOKUP(E1730,'Data Validation'!$M$3:$M$10,'Data Validation'!$N$3:$N$10)</f>
        <v>3</v>
      </c>
      <c r="B1730" s="4">
        <v>22</v>
      </c>
      <c r="C1730" s="4" t="s">
        <v>11</v>
      </c>
      <c r="D1730" s="7">
        <v>35.76</v>
      </c>
      <c r="E1730" s="4" t="s">
        <v>29</v>
      </c>
      <c r="F1730" s="4" t="s">
        <v>20</v>
      </c>
      <c r="G1730" s="4" t="s">
        <v>47</v>
      </c>
      <c r="H1730" s="4" t="s">
        <v>59</v>
      </c>
      <c r="I1730" s="5">
        <v>45651</v>
      </c>
      <c r="J1730" s="4">
        <f t="shared" si="26"/>
        <v>12</v>
      </c>
    </row>
    <row r="1731" spans="1:10" x14ac:dyDescent="0.25">
      <c r="A1731" s="4">
        <f>_xlfn.XLOOKUP(E1731,'Data Validation'!$M$3:$M$10,'Data Validation'!$N$3:$N$10)</f>
        <v>3</v>
      </c>
      <c r="B1731" s="4">
        <v>13</v>
      </c>
      <c r="C1731" s="4" t="s">
        <v>11</v>
      </c>
      <c r="D1731" s="7">
        <v>35.76</v>
      </c>
      <c r="E1731" s="4" t="s">
        <v>29</v>
      </c>
      <c r="F1731" s="4" t="s">
        <v>17</v>
      </c>
      <c r="G1731" s="4" t="s">
        <v>48</v>
      </c>
      <c r="H1731" s="4" t="s">
        <v>59</v>
      </c>
      <c r="I1731" s="5">
        <v>45652</v>
      </c>
      <c r="J1731" s="4">
        <f t="shared" ref="J1731:J1794" si="27">IF(OR(E1731&lt;&gt;E1730,D1731&lt;&gt;D1730),J1730+1,J1730)</f>
        <v>12</v>
      </c>
    </row>
    <row r="1732" spans="1:10" x14ac:dyDescent="0.25">
      <c r="A1732" s="4">
        <f>_xlfn.XLOOKUP(E1732,'Data Validation'!$M$3:$M$10,'Data Validation'!$N$3:$N$10)</f>
        <v>3</v>
      </c>
      <c r="B1732" s="4">
        <v>14</v>
      </c>
      <c r="C1732" s="4" t="s">
        <v>11</v>
      </c>
      <c r="D1732" s="7">
        <v>35.76</v>
      </c>
      <c r="E1732" s="4" t="s">
        <v>29</v>
      </c>
      <c r="F1732" s="4" t="s">
        <v>17</v>
      </c>
      <c r="G1732" s="4" t="s">
        <v>50</v>
      </c>
      <c r="H1732" s="4" t="s">
        <v>59</v>
      </c>
      <c r="I1732" s="5">
        <v>45654</v>
      </c>
      <c r="J1732" s="4">
        <f t="shared" si="27"/>
        <v>12</v>
      </c>
    </row>
    <row r="1733" spans="1:10" x14ac:dyDescent="0.25">
      <c r="A1733" s="4">
        <f>_xlfn.XLOOKUP(E1733,'Data Validation'!$M$3:$M$10,'Data Validation'!$N$3:$N$10)</f>
        <v>3</v>
      </c>
      <c r="B1733" s="4">
        <v>22</v>
      </c>
      <c r="C1733" s="4" t="s">
        <v>11</v>
      </c>
      <c r="D1733" s="7">
        <v>35.76</v>
      </c>
      <c r="E1733" s="4" t="s">
        <v>29</v>
      </c>
      <c r="F1733" s="4" t="s">
        <v>20</v>
      </c>
      <c r="G1733" s="4" t="s">
        <v>50</v>
      </c>
      <c r="H1733" s="4" t="s">
        <v>59</v>
      </c>
      <c r="I1733" s="5">
        <v>45654</v>
      </c>
      <c r="J1733" s="4">
        <f t="shared" si="27"/>
        <v>12</v>
      </c>
    </row>
    <row r="1734" spans="1:10" x14ac:dyDescent="0.25">
      <c r="A1734" s="4">
        <f>_xlfn.XLOOKUP(E1734,'Data Validation'!$M$3:$M$10,'Data Validation'!$N$3:$N$10)</f>
        <v>3</v>
      </c>
      <c r="B1734" s="4">
        <v>16</v>
      </c>
      <c r="C1734" s="4" t="s">
        <v>11</v>
      </c>
      <c r="D1734" s="7">
        <v>35.76</v>
      </c>
      <c r="E1734" s="4" t="s">
        <v>29</v>
      </c>
      <c r="F1734" s="4" t="s">
        <v>17</v>
      </c>
      <c r="G1734" s="4" t="s">
        <v>45</v>
      </c>
      <c r="H1734" s="4" t="s">
        <v>59</v>
      </c>
      <c r="I1734" s="5">
        <v>45656</v>
      </c>
      <c r="J1734" s="4">
        <f t="shared" si="27"/>
        <v>12</v>
      </c>
    </row>
    <row r="1735" spans="1:10" x14ac:dyDescent="0.25">
      <c r="A1735" s="4">
        <f>_xlfn.XLOOKUP(E1735,'Data Validation'!$M$3:$M$10,'Data Validation'!$N$3:$N$10)</f>
        <v>3</v>
      </c>
      <c r="B1735" s="4">
        <v>9</v>
      </c>
      <c r="C1735" s="4" t="s">
        <v>11</v>
      </c>
      <c r="D1735" s="7">
        <v>35.76</v>
      </c>
      <c r="E1735" s="4" t="s">
        <v>29</v>
      </c>
      <c r="F1735" s="4" t="s">
        <v>13</v>
      </c>
      <c r="G1735" s="4" t="s">
        <v>46</v>
      </c>
      <c r="H1735" s="4" t="s">
        <v>59</v>
      </c>
      <c r="I1735" s="5">
        <v>45657</v>
      </c>
      <c r="J1735" s="4">
        <f t="shared" si="27"/>
        <v>12</v>
      </c>
    </row>
    <row r="1736" spans="1:10" x14ac:dyDescent="0.25">
      <c r="A1736" s="4">
        <f>_xlfn.XLOOKUP(E1736,'Data Validation'!$M$3:$M$10,'Data Validation'!$N$3:$N$10)</f>
        <v>3</v>
      </c>
      <c r="B1736" s="4">
        <v>11</v>
      </c>
      <c r="C1736" s="4" t="s">
        <v>11</v>
      </c>
      <c r="D1736" s="7">
        <v>35.76</v>
      </c>
      <c r="E1736" s="4" t="s">
        <v>29</v>
      </c>
      <c r="F1736" s="4" t="s">
        <v>13</v>
      </c>
      <c r="G1736" s="4" t="s">
        <v>46</v>
      </c>
      <c r="H1736" s="4" t="s">
        <v>59</v>
      </c>
      <c r="I1736" s="5">
        <v>45657</v>
      </c>
      <c r="J1736" s="4">
        <f t="shared" si="27"/>
        <v>12</v>
      </c>
    </row>
    <row r="1737" spans="1:10" x14ac:dyDescent="0.25">
      <c r="A1737" s="4">
        <f>_xlfn.XLOOKUP(E1737,'Data Validation'!$M$3:$M$10,'Data Validation'!$N$3:$N$10)</f>
        <v>3</v>
      </c>
      <c r="B1737" s="4">
        <v>16</v>
      </c>
      <c r="C1737" s="4" t="s">
        <v>11</v>
      </c>
      <c r="D1737" s="7">
        <v>35.76</v>
      </c>
      <c r="E1737" s="4" t="s">
        <v>29</v>
      </c>
      <c r="F1737" s="4" t="s">
        <v>17</v>
      </c>
      <c r="G1737" s="4" t="s">
        <v>46</v>
      </c>
      <c r="H1737" s="4" t="s">
        <v>59</v>
      </c>
      <c r="I1737" s="5">
        <v>45657</v>
      </c>
      <c r="J1737" s="4">
        <f t="shared" si="27"/>
        <v>12</v>
      </c>
    </row>
    <row r="1738" spans="1:10" x14ac:dyDescent="0.25">
      <c r="A1738" s="4">
        <f>_xlfn.XLOOKUP(E1738,'Data Validation'!$M$3:$M$10,'Data Validation'!$N$3:$N$10)</f>
        <v>3</v>
      </c>
      <c r="B1738" s="4">
        <v>17</v>
      </c>
      <c r="C1738" s="4" t="s">
        <v>11</v>
      </c>
      <c r="D1738" s="7">
        <v>35.76</v>
      </c>
      <c r="E1738" s="4" t="s">
        <v>29</v>
      </c>
      <c r="F1738" s="4" t="s">
        <v>20</v>
      </c>
      <c r="G1738" s="4" t="s">
        <v>46</v>
      </c>
      <c r="H1738" s="4" t="s">
        <v>59</v>
      </c>
      <c r="I1738" s="5">
        <v>45657</v>
      </c>
      <c r="J1738" s="4">
        <f t="shared" si="27"/>
        <v>12</v>
      </c>
    </row>
    <row r="1739" spans="1:10" x14ac:dyDescent="0.25">
      <c r="A1739" s="4">
        <f>_xlfn.XLOOKUP(E1739,'Data Validation'!$M$3:$M$10,'Data Validation'!$N$3:$N$10)</f>
        <v>3</v>
      </c>
      <c r="B1739" s="4">
        <v>17</v>
      </c>
      <c r="C1739" s="4" t="s">
        <v>11</v>
      </c>
      <c r="D1739" s="7">
        <v>35.76</v>
      </c>
      <c r="E1739" s="4" t="s">
        <v>29</v>
      </c>
      <c r="F1739" s="4" t="s">
        <v>20</v>
      </c>
      <c r="G1739" s="4" t="s">
        <v>48</v>
      </c>
      <c r="H1739" s="4" t="s">
        <v>42</v>
      </c>
      <c r="I1739" s="5">
        <v>45659</v>
      </c>
      <c r="J1739" s="4">
        <f t="shared" si="27"/>
        <v>12</v>
      </c>
    </row>
    <row r="1740" spans="1:10" x14ac:dyDescent="0.25">
      <c r="A1740" s="4">
        <f>_xlfn.XLOOKUP(E1740,'Data Validation'!$M$3:$M$10,'Data Validation'!$N$3:$N$10)</f>
        <v>3</v>
      </c>
      <c r="B1740" s="4">
        <v>22</v>
      </c>
      <c r="C1740" s="4" t="s">
        <v>11</v>
      </c>
      <c r="D1740" s="7">
        <v>35.76</v>
      </c>
      <c r="E1740" s="4" t="s">
        <v>29</v>
      </c>
      <c r="F1740" s="4" t="s">
        <v>20</v>
      </c>
      <c r="G1740" s="4" t="s">
        <v>49</v>
      </c>
      <c r="H1740" s="4" t="s">
        <v>42</v>
      </c>
      <c r="I1740" s="5">
        <v>45660</v>
      </c>
      <c r="J1740" s="4">
        <f t="shared" si="27"/>
        <v>12</v>
      </c>
    </row>
    <row r="1741" spans="1:10" x14ac:dyDescent="0.25">
      <c r="A1741" s="4">
        <f>_xlfn.XLOOKUP(E1741,'Data Validation'!$M$3:$M$10,'Data Validation'!$N$3:$N$10)</f>
        <v>3</v>
      </c>
      <c r="B1741" s="4">
        <v>13</v>
      </c>
      <c r="C1741" s="4" t="s">
        <v>11</v>
      </c>
      <c r="D1741" s="7">
        <v>35.76</v>
      </c>
      <c r="E1741" s="4" t="s">
        <v>29</v>
      </c>
      <c r="F1741" s="4" t="s">
        <v>17</v>
      </c>
      <c r="G1741" s="4" t="s">
        <v>50</v>
      </c>
      <c r="H1741" s="4" t="s">
        <v>42</v>
      </c>
      <c r="I1741" s="5">
        <v>45661</v>
      </c>
      <c r="J1741" s="4">
        <f t="shared" si="27"/>
        <v>12</v>
      </c>
    </row>
    <row r="1742" spans="1:10" x14ac:dyDescent="0.25">
      <c r="A1742" s="4">
        <f>_xlfn.XLOOKUP(E1742,'Data Validation'!$M$3:$M$10,'Data Validation'!$N$3:$N$10)</f>
        <v>3</v>
      </c>
      <c r="B1742" s="4">
        <v>16</v>
      </c>
      <c r="C1742" s="4" t="s">
        <v>11</v>
      </c>
      <c r="D1742" s="7">
        <v>35.76</v>
      </c>
      <c r="E1742" s="4" t="s">
        <v>29</v>
      </c>
      <c r="F1742" s="4" t="s">
        <v>17</v>
      </c>
      <c r="G1742" s="4" t="s">
        <v>50</v>
      </c>
      <c r="H1742" s="4" t="s">
        <v>42</v>
      </c>
      <c r="I1742" s="5">
        <v>45661</v>
      </c>
      <c r="J1742" s="4">
        <f t="shared" si="27"/>
        <v>12</v>
      </c>
    </row>
    <row r="1743" spans="1:10" x14ac:dyDescent="0.25">
      <c r="A1743" s="4">
        <f>_xlfn.XLOOKUP(E1743,'Data Validation'!$M$3:$M$10,'Data Validation'!$N$3:$N$10)</f>
        <v>3</v>
      </c>
      <c r="B1743" s="4">
        <v>16</v>
      </c>
      <c r="C1743" s="4" t="s">
        <v>11</v>
      </c>
      <c r="D1743" s="7">
        <v>35.76</v>
      </c>
      <c r="E1743" s="4" t="s">
        <v>29</v>
      </c>
      <c r="F1743" s="4" t="s">
        <v>17</v>
      </c>
      <c r="G1743" s="4" t="s">
        <v>50</v>
      </c>
      <c r="H1743" s="4" t="s">
        <v>42</v>
      </c>
      <c r="I1743" s="5">
        <v>45661</v>
      </c>
      <c r="J1743" s="4">
        <f t="shared" si="27"/>
        <v>12</v>
      </c>
    </row>
    <row r="1744" spans="1:10" x14ac:dyDescent="0.25">
      <c r="A1744" s="4">
        <f>_xlfn.XLOOKUP(E1744,'Data Validation'!$M$3:$M$10,'Data Validation'!$N$3:$N$10)</f>
        <v>3</v>
      </c>
      <c r="B1744" s="4">
        <v>13</v>
      </c>
      <c r="C1744" s="4" t="s">
        <v>11</v>
      </c>
      <c r="D1744" s="7">
        <v>35.76</v>
      </c>
      <c r="E1744" s="4" t="s">
        <v>29</v>
      </c>
      <c r="F1744" s="4" t="s">
        <v>17</v>
      </c>
      <c r="G1744" s="4" t="s">
        <v>46</v>
      </c>
      <c r="H1744" s="4" t="s">
        <v>42</v>
      </c>
      <c r="I1744" s="5">
        <v>45664</v>
      </c>
      <c r="J1744" s="4">
        <f t="shared" si="27"/>
        <v>12</v>
      </c>
    </row>
    <row r="1745" spans="1:10" x14ac:dyDescent="0.25">
      <c r="A1745" s="4">
        <f>_xlfn.XLOOKUP(E1745,'Data Validation'!$M$3:$M$10,'Data Validation'!$N$3:$N$10)</f>
        <v>3</v>
      </c>
      <c r="B1745" s="4">
        <v>17</v>
      </c>
      <c r="C1745" s="4" t="s">
        <v>11</v>
      </c>
      <c r="D1745" s="7">
        <v>35.76</v>
      </c>
      <c r="E1745" s="4" t="s">
        <v>29</v>
      </c>
      <c r="F1745" s="4" t="s">
        <v>20</v>
      </c>
      <c r="G1745" s="4" t="s">
        <v>47</v>
      </c>
      <c r="H1745" s="4" t="s">
        <v>42</v>
      </c>
      <c r="I1745" s="5">
        <v>45665</v>
      </c>
      <c r="J1745" s="4">
        <f t="shared" si="27"/>
        <v>12</v>
      </c>
    </row>
    <row r="1746" spans="1:10" x14ac:dyDescent="0.25">
      <c r="A1746" s="4">
        <f>_xlfn.XLOOKUP(E1746,'Data Validation'!$M$3:$M$10,'Data Validation'!$N$3:$N$10)</f>
        <v>3</v>
      </c>
      <c r="B1746" s="4">
        <v>17</v>
      </c>
      <c r="C1746" s="4" t="s">
        <v>11</v>
      </c>
      <c r="D1746" s="7">
        <v>35.76</v>
      </c>
      <c r="E1746" s="4" t="s">
        <v>29</v>
      </c>
      <c r="F1746" s="4" t="s">
        <v>20</v>
      </c>
      <c r="G1746" s="4" t="s">
        <v>49</v>
      </c>
      <c r="H1746" s="4" t="s">
        <v>42</v>
      </c>
      <c r="I1746" s="5">
        <v>45667</v>
      </c>
      <c r="J1746" s="4">
        <f t="shared" si="27"/>
        <v>12</v>
      </c>
    </row>
    <row r="1747" spans="1:10" x14ac:dyDescent="0.25">
      <c r="A1747" s="4">
        <f>_xlfn.XLOOKUP(E1747,'Data Validation'!$M$3:$M$10,'Data Validation'!$N$3:$N$10)</f>
        <v>3</v>
      </c>
      <c r="B1747" s="4">
        <v>14</v>
      </c>
      <c r="C1747" s="4" t="s">
        <v>11</v>
      </c>
      <c r="D1747" s="7">
        <v>35.76</v>
      </c>
      <c r="E1747" s="4" t="s">
        <v>29</v>
      </c>
      <c r="F1747" s="4" t="s">
        <v>17</v>
      </c>
      <c r="G1747" s="4" t="s">
        <v>50</v>
      </c>
      <c r="H1747" s="4" t="s">
        <v>42</v>
      </c>
      <c r="I1747" s="5">
        <v>45668</v>
      </c>
      <c r="J1747" s="4">
        <f t="shared" si="27"/>
        <v>12</v>
      </c>
    </row>
    <row r="1748" spans="1:10" x14ac:dyDescent="0.25">
      <c r="A1748" s="4">
        <f>_xlfn.XLOOKUP(E1748,'Data Validation'!$M$3:$M$10,'Data Validation'!$N$3:$N$10)</f>
        <v>3</v>
      </c>
      <c r="B1748" s="4">
        <v>14</v>
      </c>
      <c r="C1748" s="4" t="s">
        <v>11</v>
      </c>
      <c r="D1748" s="7">
        <v>35.76</v>
      </c>
      <c r="E1748" s="4" t="s">
        <v>29</v>
      </c>
      <c r="F1748" s="4" t="s">
        <v>17</v>
      </c>
      <c r="G1748" s="4" t="s">
        <v>45</v>
      </c>
      <c r="H1748" s="4" t="s">
        <v>42</v>
      </c>
      <c r="I1748" s="5">
        <v>45670</v>
      </c>
      <c r="J1748" s="4">
        <f t="shared" si="27"/>
        <v>12</v>
      </c>
    </row>
    <row r="1749" spans="1:10" x14ac:dyDescent="0.25">
      <c r="A1749" s="4">
        <f>_xlfn.XLOOKUP(E1749,'Data Validation'!$M$3:$M$10,'Data Validation'!$N$3:$N$10)</f>
        <v>3</v>
      </c>
      <c r="B1749" s="4">
        <v>19</v>
      </c>
      <c r="C1749" s="4" t="s">
        <v>11</v>
      </c>
      <c r="D1749" s="7">
        <v>35.76</v>
      </c>
      <c r="E1749" s="4" t="s">
        <v>29</v>
      </c>
      <c r="F1749" s="4" t="s">
        <v>20</v>
      </c>
      <c r="G1749" s="4" t="s">
        <v>46</v>
      </c>
      <c r="H1749" s="4" t="s">
        <v>42</v>
      </c>
      <c r="I1749" s="5">
        <v>45671</v>
      </c>
      <c r="J1749" s="4">
        <f t="shared" si="27"/>
        <v>12</v>
      </c>
    </row>
    <row r="1750" spans="1:10" x14ac:dyDescent="0.25">
      <c r="A1750" s="4">
        <f>_xlfn.XLOOKUP(E1750,'Data Validation'!$M$3:$M$10,'Data Validation'!$N$3:$N$10)</f>
        <v>3</v>
      </c>
      <c r="B1750" s="4">
        <v>13</v>
      </c>
      <c r="C1750" s="4" t="s">
        <v>11</v>
      </c>
      <c r="D1750" s="7">
        <v>35.76</v>
      </c>
      <c r="E1750" s="4" t="s">
        <v>29</v>
      </c>
      <c r="F1750" s="4" t="s">
        <v>17</v>
      </c>
      <c r="G1750" s="4" t="s">
        <v>47</v>
      </c>
      <c r="H1750" s="4" t="s">
        <v>42</v>
      </c>
      <c r="I1750" s="5">
        <v>45672</v>
      </c>
      <c r="J1750" s="4">
        <f t="shared" si="27"/>
        <v>12</v>
      </c>
    </row>
    <row r="1751" spans="1:10" x14ac:dyDescent="0.25">
      <c r="A1751" s="4">
        <f>_xlfn.XLOOKUP(E1751,'Data Validation'!$M$3:$M$10,'Data Validation'!$N$3:$N$10)</f>
        <v>3</v>
      </c>
      <c r="B1751" s="4">
        <v>15</v>
      </c>
      <c r="C1751" s="4" t="s">
        <v>11</v>
      </c>
      <c r="D1751" s="7">
        <v>35.76</v>
      </c>
      <c r="E1751" s="4" t="s">
        <v>29</v>
      </c>
      <c r="F1751" s="4" t="s">
        <v>17</v>
      </c>
      <c r="G1751" s="4" t="s">
        <v>47</v>
      </c>
      <c r="H1751" s="4" t="s">
        <v>42</v>
      </c>
      <c r="I1751" s="5">
        <v>45672</v>
      </c>
      <c r="J1751" s="4">
        <f t="shared" si="27"/>
        <v>12</v>
      </c>
    </row>
    <row r="1752" spans="1:10" x14ac:dyDescent="0.25">
      <c r="A1752" s="4">
        <f>_xlfn.XLOOKUP(E1752,'Data Validation'!$M$3:$M$10,'Data Validation'!$N$3:$N$10)</f>
        <v>3</v>
      </c>
      <c r="B1752" s="4">
        <v>21</v>
      </c>
      <c r="C1752" s="4" t="s">
        <v>11</v>
      </c>
      <c r="D1752" s="7">
        <v>35.76</v>
      </c>
      <c r="E1752" s="4" t="s">
        <v>29</v>
      </c>
      <c r="F1752" s="4" t="s">
        <v>20</v>
      </c>
      <c r="G1752" s="4" t="s">
        <v>47</v>
      </c>
      <c r="H1752" s="4" t="s">
        <v>42</v>
      </c>
      <c r="I1752" s="5">
        <v>45672</v>
      </c>
      <c r="J1752" s="4">
        <f t="shared" si="27"/>
        <v>12</v>
      </c>
    </row>
    <row r="1753" spans="1:10" x14ac:dyDescent="0.25">
      <c r="A1753" s="4">
        <f>_xlfn.XLOOKUP(E1753,'Data Validation'!$M$3:$M$10,'Data Validation'!$N$3:$N$10)</f>
        <v>3</v>
      </c>
      <c r="B1753" s="4">
        <v>18</v>
      </c>
      <c r="C1753" s="4" t="s">
        <v>11</v>
      </c>
      <c r="D1753" s="7">
        <v>35.76</v>
      </c>
      <c r="E1753" s="4" t="s">
        <v>29</v>
      </c>
      <c r="F1753" s="4" t="s">
        <v>20</v>
      </c>
      <c r="G1753" s="4" t="s">
        <v>48</v>
      </c>
      <c r="H1753" s="4" t="s">
        <v>42</v>
      </c>
      <c r="I1753" s="5">
        <v>45673</v>
      </c>
      <c r="J1753" s="4">
        <f t="shared" si="27"/>
        <v>12</v>
      </c>
    </row>
    <row r="1754" spans="1:10" x14ac:dyDescent="0.25">
      <c r="A1754" s="4">
        <f>_xlfn.XLOOKUP(E1754,'Data Validation'!$M$3:$M$10,'Data Validation'!$N$3:$N$10)</f>
        <v>3</v>
      </c>
      <c r="B1754" s="4">
        <v>8</v>
      </c>
      <c r="C1754" s="4" t="s">
        <v>11</v>
      </c>
      <c r="D1754" s="7">
        <v>35.76</v>
      </c>
      <c r="E1754" s="4" t="s">
        <v>29</v>
      </c>
      <c r="F1754" s="4" t="s">
        <v>13</v>
      </c>
      <c r="G1754" s="4" t="s">
        <v>49</v>
      </c>
      <c r="H1754" s="4" t="s">
        <v>42</v>
      </c>
      <c r="I1754" s="5">
        <v>45674</v>
      </c>
      <c r="J1754" s="4">
        <f t="shared" si="27"/>
        <v>12</v>
      </c>
    </row>
    <row r="1755" spans="1:10" x14ac:dyDescent="0.25">
      <c r="A1755" s="4">
        <f>_xlfn.XLOOKUP(E1755,'Data Validation'!$M$3:$M$10,'Data Validation'!$N$3:$N$10)</f>
        <v>3</v>
      </c>
      <c r="B1755" s="4">
        <v>20</v>
      </c>
      <c r="C1755" s="4" t="s">
        <v>11</v>
      </c>
      <c r="D1755" s="7">
        <v>35.76</v>
      </c>
      <c r="E1755" s="4" t="s">
        <v>29</v>
      </c>
      <c r="F1755" s="4" t="s">
        <v>20</v>
      </c>
      <c r="G1755" s="4" t="s">
        <v>45</v>
      </c>
      <c r="H1755" s="4" t="s">
        <v>42</v>
      </c>
      <c r="I1755" s="5">
        <v>45677</v>
      </c>
      <c r="J1755" s="4">
        <f t="shared" si="27"/>
        <v>12</v>
      </c>
    </row>
    <row r="1756" spans="1:10" x14ac:dyDescent="0.25">
      <c r="A1756" s="4">
        <f>_xlfn.XLOOKUP(E1756,'Data Validation'!$M$3:$M$10,'Data Validation'!$N$3:$N$10)</f>
        <v>3</v>
      </c>
      <c r="B1756" s="4">
        <v>20</v>
      </c>
      <c r="C1756" s="4" t="s">
        <v>11</v>
      </c>
      <c r="D1756" s="7">
        <v>35.76</v>
      </c>
      <c r="E1756" s="4" t="s">
        <v>29</v>
      </c>
      <c r="F1756" s="4" t="s">
        <v>20</v>
      </c>
      <c r="G1756" s="4" t="s">
        <v>45</v>
      </c>
      <c r="H1756" s="4" t="s">
        <v>42</v>
      </c>
      <c r="I1756" s="5">
        <v>45677</v>
      </c>
      <c r="J1756" s="4">
        <f t="shared" si="27"/>
        <v>12</v>
      </c>
    </row>
    <row r="1757" spans="1:10" x14ac:dyDescent="0.25">
      <c r="A1757" s="4">
        <f>_xlfn.XLOOKUP(E1757,'Data Validation'!$M$3:$M$10,'Data Validation'!$N$3:$N$10)</f>
        <v>3</v>
      </c>
      <c r="B1757" s="4">
        <v>19</v>
      </c>
      <c r="C1757" s="4" t="s">
        <v>11</v>
      </c>
      <c r="D1757" s="7">
        <v>35.76</v>
      </c>
      <c r="E1757" s="4" t="s">
        <v>29</v>
      </c>
      <c r="F1757" s="4" t="s">
        <v>20</v>
      </c>
      <c r="G1757" s="4" t="s">
        <v>47</v>
      </c>
      <c r="H1757" s="4" t="s">
        <v>42</v>
      </c>
      <c r="I1757" s="5">
        <v>45679</v>
      </c>
      <c r="J1757" s="4">
        <f t="shared" si="27"/>
        <v>12</v>
      </c>
    </row>
    <row r="1758" spans="1:10" x14ac:dyDescent="0.25">
      <c r="A1758" s="4">
        <f>_xlfn.XLOOKUP(E1758,'Data Validation'!$M$3:$M$10,'Data Validation'!$N$3:$N$10)</f>
        <v>3</v>
      </c>
      <c r="B1758" s="4">
        <v>13</v>
      </c>
      <c r="C1758" s="4" t="s">
        <v>11</v>
      </c>
      <c r="D1758" s="7">
        <v>35.76</v>
      </c>
      <c r="E1758" s="4" t="s">
        <v>29</v>
      </c>
      <c r="F1758" s="4" t="s">
        <v>17</v>
      </c>
      <c r="G1758" s="4" t="s">
        <v>49</v>
      </c>
      <c r="H1758" s="4" t="s">
        <v>42</v>
      </c>
      <c r="I1758" s="5">
        <v>45681</v>
      </c>
      <c r="J1758" s="4">
        <f t="shared" si="27"/>
        <v>12</v>
      </c>
    </row>
    <row r="1759" spans="1:10" x14ac:dyDescent="0.25">
      <c r="A1759" s="4">
        <f>_xlfn.XLOOKUP(E1759,'Data Validation'!$M$3:$M$10,'Data Validation'!$N$3:$N$10)</f>
        <v>3</v>
      </c>
      <c r="B1759" s="4">
        <v>13</v>
      </c>
      <c r="C1759" s="4" t="s">
        <v>11</v>
      </c>
      <c r="D1759" s="7">
        <v>35.76</v>
      </c>
      <c r="E1759" s="4" t="s">
        <v>29</v>
      </c>
      <c r="F1759" s="4" t="s">
        <v>17</v>
      </c>
      <c r="G1759" s="4" t="s">
        <v>50</v>
      </c>
      <c r="H1759" s="4" t="s">
        <v>42</v>
      </c>
      <c r="I1759" s="5">
        <v>45682</v>
      </c>
      <c r="J1759" s="4">
        <f t="shared" si="27"/>
        <v>12</v>
      </c>
    </row>
    <row r="1760" spans="1:10" x14ac:dyDescent="0.25">
      <c r="A1760" s="4">
        <f>_xlfn.XLOOKUP(E1760,'Data Validation'!$M$3:$M$10,'Data Validation'!$N$3:$N$10)</f>
        <v>3</v>
      </c>
      <c r="B1760" s="4">
        <v>14</v>
      </c>
      <c r="C1760" s="4" t="s">
        <v>11</v>
      </c>
      <c r="D1760" s="7">
        <v>35.76</v>
      </c>
      <c r="E1760" s="4" t="s">
        <v>29</v>
      </c>
      <c r="F1760" s="4" t="s">
        <v>17</v>
      </c>
      <c r="G1760" s="4" t="s">
        <v>50</v>
      </c>
      <c r="H1760" s="4" t="s">
        <v>42</v>
      </c>
      <c r="I1760" s="5">
        <v>45682</v>
      </c>
      <c r="J1760" s="4">
        <f t="shared" si="27"/>
        <v>12</v>
      </c>
    </row>
    <row r="1761" spans="1:10" x14ac:dyDescent="0.25">
      <c r="A1761" s="4">
        <f>_xlfn.XLOOKUP(E1761,'Data Validation'!$M$3:$M$10,'Data Validation'!$N$3:$N$10)</f>
        <v>3</v>
      </c>
      <c r="B1761" s="4">
        <v>12</v>
      </c>
      <c r="C1761" s="4" t="s">
        <v>11</v>
      </c>
      <c r="D1761" s="7">
        <v>35.76</v>
      </c>
      <c r="E1761" s="4" t="s">
        <v>29</v>
      </c>
      <c r="F1761" s="4" t="s">
        <v>17</v>
      </c>
      <c r="G1761" s="4" t="s">
        <v>45</v>
      </c>
      <c r="H1761" s="4" t="s">
        <v>42</v>
      </c>
      <c r="I1761" s="5">
        <v>45684</v>
      </c>
      <c r="J1761" s="4">
        <f t="shared" si="27"/>
        <v>12</v>
      </c>
    </row>
    <row r="1762" spans="1:10" x14ac:dyDescent="0.25">
      <c r="A1762" s="4">
        <f>_xlfn.XLOOKUP(E1762,'Data Validation'!$M$3:$M$10,'Data Validation'!$N$3:$N$10)</f>
        <v>3</v>
      </c>
      <c r="B1762" s="4">
        <v>20</v>
      </c>
      <c r="C1762" s="4" t="s">
        <v>11</v>
      </c>
      <c r="D1762" s="7">
        <v>35.76</v>
      </c>
      <c r="E1762" s="4" t="s">
        <v>29</v>
      </c>
      <c r="F1762" s="4" t="s">
        <v>20</v>
      </c>
      <c r="G1762" s="4" t="s">
        <v>46</v>
      </c>
      <c r="H1762" s="4" t="s">
        <v>42</v>
      </c>
      <c r="I1762" s="5">
        <v>45685</v>
      </c>
      <c r="J1762" s="4">
        <f t="shared" si="27"/>
        <v>12</v>
      </c>
    </row>
    <row r="1763" spans="1:10" x14ac:dyDescent="0.25">
      <c r="A1763" s="4">
        <f>_xlfn.XLOOKUP(E1763,'Data Validation'!$M$3:$M$10,'Data Validation'!$N$3:$N$10)</f>
        <v>3</v>
      </c>
      <c r="B1763" s="4">
        <v>9</v>
      </c>
      <c r="C1763" s="4" t="s">
        <v>11</v>
      </c>
      <c r="D1763" s="7">
        <v>35.76</v>
      </c>
      <c r="E1763" s="4" t="s">
        <v>29</v>
      </c>
      <c r="F1763" s="4" t="s">
        <v>13</v>
      </c>
      <c r="G1763" s="4" t="s">
        <v>49</v>
      </c>
      <c r="H1763" s="4" t="s">
        <v>42</v>
      </c>
      <c r="I1763" s="5">
        <v>45688</v>
      </c>
      <c r="J1763" s="4">
        <f t="shared" si="27"/>
        <v>12</v>
      </c>
    </row>
    <row r="1764" spans="1:10" x14ac:dyDescent="0.25">
      <c r="A1764" s="4">
        <f>_xlfn.XLOOKUP(E1764,'Data Validation'!$M$3:$M$10,'Data Validation'!$N$3:$N$10)</f>
        <v>3</v>
      </c>
      <c r="B1764" s="4">
        <v>9</v>
      </c>
      <c r="C1764" s="4" t="s">
        <v>11</v>
      </c>
      <c r="D1764" s="7">
        <v>35.76</v>
      </c>
      <c r="E1764" s="4" t="s">
        <v>29</v>
      </c>
      <c r="F1764" s="4" t="s">
        <v>13</v>
      </c>
      <c r="G1764" s="4" t="s">
        <v>49</v>
      </c>
      <c r="H1764" s="4" t="s">
        <v>42</v>
      </c>
      <c r="I1764" s="5">
        <v>45688</v>
      </c>
      <c r="J1764" s="4">
        <f t="shared" si="27"/>
        <v>12</v>
      </c>
    </row>
    <row r="1765" spans="1:10" x14ac:dyDescent="0.25">
      <c r="A1765" s="4">
        <f>_xlfn.XLOOKUP(E1765,'Data Validation'!$M$3:$M$10,'Data Validation'!$N$3:$N$10)</f>
        <v>3</v>
      </c>
      <c r="B1765" s="4">
        <v>14</v>
      </c>
      <c r="C1765" s="4" t="s">
        <v>11</v>
      </c>
      <c r="D1765" s="7">
        <v>35.76</v>
      </c>
      <c r="E1765" s="4" t="s">
        <v>29</v>
      </c>
      <c r="F1765" s="4" t="s">
        <v>17</v>
      </c>
      <c r="G1765" s="4" t="s">
        <v>49</v>
      </c>
      <c r="H1765" s="4" t="s">
        <v>42</v>
      </c>
      <c r="I1765" s="5">
        <v>45688</v>
      </c>
      <c r="J1765" s="4">
        <f t="shared" si="27"/>
        <v>12</v>
      </c>
    </row>
    <row r="1766" spans="1:10" x14ac:dyDescent="0.25">
      <c r="A1766" s="4">
        <f>_xlfn.XLOOKUP(E1766,'Data Validation'!$M$3:$M$10,'Data Validation'!$N$3:$N$10)</f>
        <v>3</v>
      </c>
      <c r="B1766" s="4">
        <v>14</v>
      </c>
      <c r="C1766" s="4" t="s">
        <v>11</v>
      </c>
      <c r="D1766" s="7">
        <v>35.76</v>
      </c>
      <c r="E1766" s="4" t="s">
        <v>29</v>
      </c>
      <c r="F1766" s="4" t="s">
        <v>17</v>
      </c>
      <c r="G1766" s="4" t="s">
        <v>50</v>
      </c>
      <c r="H1766" s="4" t="s">
        <v>43</v>
      </c>
      <c r="I1766" s="5">
        <v>45689</v>
      </c>
      <c r="J1766" s="4">
        <f t="shared" si="27"/>
        <v>12</v>
      </c>
    </row>
    <row r="1767" spans="1:10" x14ac:dyDescent="0.25">
      <c r="A1767" s="4">
        <f>_xlfn.XLOOKUP(E1767,'Data Validation'!$M$3:$M$10,'Data Validation'!$N$3:$N$10)</f>
        <v>3</v>
      </c>
      <c r="B1767" s="4">
        <v>14</v>
      </c>
      <c r="C1767" s="4" t="s">
        <v>11</v>
      </c>
      <c r="D1767" s="7">
        <v>35.76</v>
      </c>
      <c r="E1767" s="4" t="s">
        <v>29</v>
      </c>
      <c r="F1767" s="4" t="s">
        <v>17</v>
      </c>
      <c r="G1767" s="4" t="s">
        <v>50</v>
      </c>
      <c r="H1767" s="4" t="s">
        <v>43</v>
      </c>
      <c r="I1767" s="5">
        <v>45689</v>
      </c>
      <c r="J1767" s="4">
        <f t="shared" si="27"/>
        <v>12</v>
      </c>
    </row>
    <row r="1768" spans="1:10" x14ac:dyDescent="0.25">
      <c r="A1768" s="4">
        <f>_xlfn.XLOOKUP(E1768,'Data Validation'!$M$3:$M$10,'Data Validation'!$N$3:$N$10)</f>
        <v>3</v>
      </c>
      <c r="B1768" s="4">
        <v>18</v>
      </c>
      <c r="C1768" s="4" t="s">
        <v>11</v>
      </c>
      <c r="D1768" s="7">
        <v>35.76</v>
      </c>
      <c r="E1768" s="4" t="s">
        <v>29</v>
      </c>
      <c r="F1768" s="4" t="s">
        <v>20</v>
      </c>
      <c r="G1768" s="4" t="s">
        <v>50</v>
      </c>
      <c r="H1768" s="4" t="s">
        <v>43</v>
      </c>
      <c r="I1768" s="5">
        <v>45689</v>
      </c>
      <c r="J1768" s="4">
        <f t="shared" si="27"/>
        <v>12</v>
      </c>
    </row>
    <row r="1769" spans="1:10" x14ac:dyDescent="0.25">
      <c r="A1769" s="4">
        <f>_xlfn.XLOOKUP(E1769,'Data Validation'!$M$3:$M$10,'Data Validation'!$N$3:$N$10)</f>
        <v>3</v>
      </c>
      <c r="B1769" s="4">
        <v>10</v>
      </c>
      <c r="C1769" s="4" t="s">
        <v>11</v>
      </c>
      <c r="D1769" s="7">
        <v>35.76</v>
      </c>
      <c r="E1769" s="4" t="s">
        <v>29</v>
      </c>
      <c r="F1769" s="4" t="s">
        <v>13</v>
      </c>
      <c r="G1769" s="4" t="s">
        <v>51</v>
      </c>
      <c r="H1769" s="4" t="s">
        <v>43</v>
      </c>
      <c r="I1769" s="5">
        <v>45690</v>
      </c>
      <c r="J1769" s="4">
        <f t="shared" si="27"/>
        <v>12</v>
      </c>
    </row>
    <row r="1770" spans="1:10" x14ac:dyDescent="0.25">
      <c r="A1770" s="4">
        <f>_xlfn.XLOOKUP(E1770,'Data Validation'!$M$3:$M$10,'Data Validation'!$N$3:$N$10)</f>
        <v>3</v>
      </c>
      <c r="B1770" s="4">
        <v>10</v>
      </c>
      <c r="C1770" s="4" t="s">
        <v>11</v>
      </c>
      <c r="D1770" s="7">
        <v>35.76</v>
      </c>
      <c r="E1770" s="4" t="s">
        <v>29</v>
      </c>
      <c r="F1770" s="4" t="s">
        <v>13</v>
      </c>
      <c r="G1770" s="4" t="s">
        <v>51</v>
      </c>
      <c r="H1770" s="4" t="s">
        <v>43</v>
      </c>
      <c r="I1770" s="5">
        <v>45690</v>
      </c>
      <c r="J1770" s="4">
        <f t="shared" si="27"/>
        <v>12</v>
      </c>
    </row>
    <row r="1771" spans="1:10" x14ac:dyDescent="0.25">
      <c r="A1771" s="4">
        <f>_xlfn.XLOOKUP(E1771,'Data Validation'!$M$3:$M$10,'Data Validation'!$N$3:$N$10)</f>
        <v>3</v>
      </c>
      <c r="B1771" s="4">
        <v>7</v>
      </c>
      <c r="C1771" s="4" t="s">
        <v>11</v>
      </c>
      <c r="D1771" s="7">
        <v>35.76</v>
      </c>
      <c r="E1771" s="4" t="s">
        <v>29</v>
      </c>
      <c r="F1771" s="4" t="s">
        <v>13</v>
      </c>
      <c r="G1771" s="4" t="s">
        <v>45</v>
      </c>
      <c r="H1771" s="4" t="s">
        <v>43</v>
      </c>
      <c r="I1771" s="5">
        <v>45691</v>
      </c>
      <c r="J1771" s="4">
        <f t="shared" si="27"/>
        <v>12</v>
      </c>
    </row>
    <row r="1772" spans="1:10" x14ac:dyDescent="0.25">
      <c r="A1772" s="4">
        <f>_xlfn.XLOOKUP(E1772,'Data Validation'!$M$3:$M$10,'Data Validation'!$N$3:$N$10)</f>
        <v>3</v>
      </c>
      <c r="B1772" s="4">
        <v>10</v>
      </c>
      <c r="C1772" s="4" t="s">
        <v>11</v>
      </c>
      <c r="D1772" s="7">
        <v>35.76</v>
      </c>
      <c r="E1772" s="4" t="s">
        <v>29</v>
      </c>
      <c r="F1772" s="4" t="s">
        <v>13</v>
      </c>
      <c r="G1772" s="4" t="s">
        <v>45</v>
      </c>
      <c r="H1772" s="4" t="s">
        <v>43</v>
      </c>
      <c r="I1772" s="5">
        <v>45691</v>
      </c>
      <c r="J1772" s="4">
        <f t="shared" si="27"/>
        <v>12</v>
      </c>
    </row>
    <row r="1773" spans="1:10" x14ac:dyDescent="0.25">
      <c r="A1773" s="4">
        <f>_xlfn.XLOOKUP(E1773,'Data Validation'!$M$3:$M$10,'Data Validation'!$N$3:$N$10)</f>
        <v>3</v>
      </c>
      <c r="B1773" s="4">
        <v>13</v>
      </c>
      <c r="C1773" s="4" t="s">
        <v>11</v>
      </c>
      <c r="D1773" s="7">
        <v>35.76</v>
      </c>
      <c r="E1773" s="4" t="s">
        <v>29</v>
      </c>
      <c r="F1773" s="4" t="s">
        <v>17</v>
      </c>
      <c r="G1773" s="4" t="s">
        <v>45</v>
      </c>
      <c r="H1773" s="4" t="s">
        <v>43</v>
      </c>
      <c r="I1773" s="5">
        <v>45691</v>
      </c>
      <c r="J1773" s="4">
        <f t="shared" si="27"/>
        <v>12</v>
      </c>
    </row>
    <row r="1774" spans="1:10" x14ac:dyDescent="0.25">
      <c r="A1774" s="4">
        <f>_xlfn.XLOOKUP(E1774,'Data Validation'!$M$3:$M$10,'Data Validation'!$N$3:$N$10)</f>
        <v>3</v>
      </c>
      <c r="B1774" s="4">
        <v>13</v>
      </c>
      <c r="C1774" s="4" t="s">
        <v>11</v>
      </c>
      <c r="D1774" s="7">
        <v>35.76</v>
      </c>
      <c r="E1774" s="4" t="s">
        <v>29</v>
      </c>
      <c r="F1774" s="4" t="s">
        <v>17</v>
      </c>
      <c r="G1774" s="4" t="s">
        <v>45</v>
      </c>
      <c r="H1774" s="4" t="s">
        <v>43</v>
      </c>
      <c r="I1774" s="5">
        <v>45691</v>
      </c>
      <c r="J1774" s="4">
        <f t="shared" si="27"/>
        <v>12</v>
      </c>
    </row>
    <row r="1775" spans="1:10" x14ac:dyDescent="0.25">
      <c r="A1775" s="4">
        <f>_xlfn.XLOOKUP(E1775,'Data Validation'!$M$3:$M$10,'Data Validation'!$N$3:$N$10)</f>
        <v>3</v>
      </c>
      <c r="B1775" s="4">
        <v>14</v>
      </c>
      <c r="C1775" s="4" t="s">
        <v>11</v>
      </c>
      <c r="D1775" s="7">
        <v>35.76</v>
      </c>
      <c r="E1775" s="4" t="s">
        <v>29</v>
      </c>
      <c r="F1775" s="4" t="s">
        <v>17</v>
      </c>
      <c r="G1775" s="4" t="s">
        <v>47</v>
      </c>
      <c r="H1775" s="4" t="s">
        <v>43</v>
      </c>
      <c r="I1775" s="5">
        <v>45693</v>
      </c>
      <c r="J1775" s="4">
        <f t="shared" si="27"/>
        <v>12</v>
      </c>
    </row>
    <row r="1776" spans="1:10" x14ac:dyDescent="0.25">
      <c r="A1776" s="4">
        <f>_xlfn.XLOOKUP(E1776,'Data Validation'!$M$3:$M$10,'Data Validation'!$N$3:$N$10)</f>
        <v>3</v>
      </c>
      <c r="B1776" s="4">
        <v>15</v>
      </c>
      <c r="C1776" s="4" t="s">
        <v>11</v>
      </c>
      <c r="D1776" s="7">
        <v>35.76</v>
      </c>
      <c r="E1776" s="4" t="s">
        <v>29</v>
      </c>
      <c r="F1776" s="4" t="s">
        <v>17</v>
      </c>
      <c r="G1776" s="4" t="s">
        <v>47</v>
      </c>
      <c r="H1776" s="4" t="s">
        <v>43</v>
      </c>
      <c r="I1776" s="5">
        <v>45693</v>
      </c>
      <c r="J1776" s="4">
        <f t="shared" si="27"/>
        <v>12</v>
      </c>
    </row>
    <row r="1777" spans="1:10" x14ac:dyDescent="0.25">
      <c r="A1777" s="4">
        <f>_xlfn.XLOOKUP(E1777,'Data Validation'!$M$3:$M$10,'Data Validation'!$N$3:$N$10)</f>
        <v>3</v>
      </c>
      <c r="B1777" s="4">
        <v>18</v>
      </c>
      <c r="C1777" s="4" t="s">
        <v>11</v>
      </c>
      <c r="D1777" s="7">
        <v>35.76</v>
      </c>
      <c r="E1777" s="4" t="s">
        <v>29</v>
      </c>
      <c r="F1777" s="4" t="s">
        <v>20</v>
      </c>
      <c r="G1777" s="4" t="s">
        <v>47</v>
      </c>
      <c r="H1777" s="4" t="s">
        <v>43</v>
      </c>
      <c r="I1777" s="5">
        <v>45693</v>
      </c>
      <c r="J1777" s="4">
        <f t="shared" si="27"/>
        <v>12</v>
      </c>
    </row>
    <row r="1778" spans="1:10" x14ac:dyDescent="0.25">
      <c r="A1778" s="4">
        <f>_xlfn.XLOOKUP(E1778,'Data Validation'!$M$3:$M$10,'Data Validation'!$N$3:$N$10)</f>
        <v>3</v>
      </c>
      <c r="B1778" s="4">
        <v>18</v>
      </c>
      <c r="C1778" s="4" t="s">
        <v>11</v>
      </c>
      <c r="D1778" s="7">
        <v>35.76</v>
      </c>
      <c r="E1778" s="4" t="s">
        <v>29</v>
      </c>
      <c r="F1778" s="4" t="s">
        <v>20</v>
      </c>
      <c r="G1778" s="4" t="s">
        <v>47</v>
      </c>
      <c r="H1778" s="4" t="s">
        <v>43</v>
      </c>
      <c r="I1778" s="5">
        <v>45693</v>
      </c>
      <c r="J1778" s="4">
        <f t="shared" si="27"/>
        <v>12</v>
      </c>
    </row>
    <row r="1779" spans="1:10" x14ac:dyDescent="0.25">
      <c r="A1779" s="4">
        <f>_xlfn.XLOOKUP(E1779,'Data Validation'!$M$3:$M$10,'Data Validation'!$N$3:$N$10)</f>
        <v>3</v>
      </c>
      <c r="B1779" s="4">
        <v>18</v>
      </c>
      <c r="C1779" s="4" t="s">
        <v>11</v>
      </c>
      <c r="D1779" s="7">
        <v>35.76</v>
      </c>
      <c r="E1779" s="4" t="s">
        <v>29</v>
      </c>
      <c r="F1779" s="4" t="s">
        <v>20</v>
      </c>
      <c r="G1779" s="4" t="s">
        <v>47</v>
      </c>
      <c r="H1779" s="4" t="s">
        <v>43</v>
      </c>
      <c r="I1779" s="5">
        <v>45693</v>
      </c>
      <c r="J1779" s="4">
        <f t="shared" si="27"/>
        <v>12</v>
      </c>
    </row>
    <row r="1780" spans="1:10" x14ac:dyDescent="0.25">
      <c r="A1780" s="4">
        <f>_xlfn.XLOOKUP(E1780,'Data Validation'!$M$3:$M$10,'Data Validation'!$N$3:$N$10)</f>
        <v>3</v>
      </c>
      <c r="B1780" s="4">
        <v>14</v>
      </c>
      <c r="C1780" s="4" t="s">
        <v>11</v>
      </c>
      <c r="D1780" s="7">
        <v>35.76</v>
      </c>
      <c r="E1780" s="4" t="s">
        <v>29</v>
      </c>
      <c r="F1780" s="4" t="s">
        <v>17</v>
      </c>
      <c r="G1780" s="4" t="s">
        <v>48</v>
      </c>
      <c r="H1780" s="4" t="s">
        <v>43</v>
      </c>
      <c r="I1780" s="5">
        <v>45694</v>
      </c>
      <c r="J1780" s="4">
        <f t="shared" si="27"/>
        <v>12</v>
      </c>
    </row>
    <row r="1781" spans="1:10" x14ac:dyDescent="0.25">
      <c r="A1781" s="4">
        <f>_xlfn.XLOOKUP(E1781,'Data Validation'!$M$3:$M$10,'Data Validation'!$N$3:$N$10)</f>
        <v>3</v>
      </c>
      <c r="B1781" s="4">
        <v>19</v>
      </c>
      <c r="C1781" s="4" t="s">
        <v>11</v>
      </c>
      <c r="D1781" s="7">
        <v>35.76</v>
      </c>
      <c r="E1781" s="4" t="s">
        <v>29</v>
      </c>
      <c r="F1781" s="4" t="s">
        <v>20</v>
      </c>
      <c r="G1781" s="4" t="s">
        <v>48</v>
      </c>
      <c r="H1781" s="4" t="s">
        <v>43</v>
      </c>
      <c r="I1781" s="5">
        <v>45694</v>
      </c>
      <c r="J1781" s="4">
        <f t="shared" si="27"/>
        <v>12</v>
      </c>
    </row>
    <row r="1782" spans="1:10" x14ac:dyDescent="0.25">
      <c r="A1782" s="4">
        <f>_xlfn.XLOOKUP(E1782,'Data Validation'!$M$3:$M$10,'Data Validation'!$N$3:$N$10)</f>
        <v>3</v>
      </c>
      <c r="B1782" s="4">
        <v>15</v>
      </c>
      <c r="C1782" s="4" t="s">
        <v>11</v>
      </c>
      <c r="D1782" s="7">
        <v>35.76</v>
      </c>
      <c r="E1782" s="4" t="s">
        <v>29</v>
      </c>
      <c r="F1782" s="4" t="s">
        <v>17</v>
      </c>
      <c r="G1782" s="4" t="s">
        <v>45</v>
      </c>
      <c r="H1782" s="4" t="s">
        <v>43</v>
      </c>
      <c r="I1782" s="5">
        <v>45698</v>
      </c>
      <c r="J1782" s="4">
        <f t="shared" si="27"/>
        <v>12</v>
      </c>
    </row>
    <row r="1783" spans="1:10" x14ac:dyDescent="0.25">
      <c r="A1783" s="4">
        <f>_xlfn.XLOOKUP(E1783,'Data Validation'!$M$3:$M$10,'Data Validation'!$N$3:$N$10)</f>
        <v>3</v>
      </c>
      <c r="B1783" s="4">
        <v>7</v>
      </c>
      <c r="C1783" s="4" t="s">
        <v>11</v>
      </c>
      <c r="D1783" s="7">
        <v>35.76</v>
      </c>
      <c r="E1783" s="4" t="s">
        <v>29</v>
      </c>
      <c r="F1783" s="4" t="s">
        <v>13</v>
      </c>
      <c r="G1783" s="4" t="s">
        <v>47</v>
      </c>
      <c r="H1783" s="4" t="s">
        <v>43</v>
      </c>
      <c r="I1783" s="5">
        <v>45700</v>
      </c>
      <c r="J1783" s="4">
        <f t="shared" si="27"/>
        <v>12</v>
      </c>
    </row>
    <row r="1784" spans="1:10" x14ac:dyDescent="0.25">
      <c r="A1784" s="4">
        <f>_xlfn.XLOOKUP(E1784,'Data Validation'!$M$3:$M$10,'Data Validation'!$N$3:$N$10)</f>
        <v>3</v>
      </c>
      <c r="B1784" s="4">
        <v>17</v>
      </c>
      <c r="C1784" s="4" t="s">
        <v>11</v>
      </c>
      <c r="D1784" s="7">
        <v>35.76</v>
      </c>
      <c r="E1784" s="4" t="s">
        <v>29</v>
      </c>
      <c r="F1784" s="4" t="s">
        <v>20</v>
      </c>
      <c r="G1784" s="4" t="s">
        <v>47</v>
      </c>
      <c r="H1784" s="4" t="s">
        <v>43</v>
      </c>
      <c r="I1784" s="5">
        <v>45700</v>
      </c>
      <c r="J1784" s="4">
        <f t="shared" si="27"/>
        <v>12</v>
      </c>
    </row>
    <row r="1785" spans="1:10" x14ac:dyDescent="0.25">
      <c r="A1785" s="4">
        <f>_xlfn.XLOOKUP(E1785,'Data Validation'!$M$3:$M$10,'Data Validation'!$N$3:$N$10)</f>
        <v>3</v>
      </c>
      <c r="B1785" s="4">
        <v>21</v>
      </c>
      <c r="C1785" s="4" t="s">
        <v>11</v>
      </c>
      <c r="D1785" s="7">
        <v>35.76</v>
      </c>
      <c r="E1785" s="4" t="s">
        <v>29</v>
      </c>
      <c r="F1785" s="4" t="s">
        <v>20</v>
      </c>
      <c r="G1785" s="4" t="s">
        <v>47</v>
      </c>
      <c r="H1785" s="4" t="s">
        <v>43</v>
      </c>
      <c r="I1785" s="5">
        <v>45700</v>
      </c>
      <c r="J1785" s="4">
        <f t="shared" si="27"/>
        <v>12</v>
      </c>
    </row>
    <row r="1786" spans="1:10" x14ac:dyDescent="0.25">
      <c r="A1786" s="4">
        <f>_xlfn.XLOOKUP(E1786,'Data Validation'!$M$3:$M$10,'Data Validation'!$N$3:$N$10)</f>
        <v>3</v>
      </c>
      <c r="B1786" s="4">
        <v>18</v>
      </c>
      <c r="C1786" s="4" t="s">
        <v>11</v>
      </c>
      <c r="D1786" s="7">
        <v>35.76</v>
      </c>
      <c r="E1786" s="4" t="s">
        <v>29</v>
      </c>
      <c r="F1786" s="4" t="s">
        <v>20</v>
      </c>
      <c r="G1786" s="4" t="s">
        <v>48</v>
      </c>
      <c r="H1786" s="4" t="s">
        <v>43</v>
      </c>
      <c r="I1786" s="5">
        <v>45701</v>
      </c>
      <c r="J1786" s="4">
        <f t="shared" si="27"/>
        <v>12</v>
      </c>
    </row>
    <row r="1787" spans="1:10" x14ac:dyDescent="0.25">
      <c r="A1787" s="4">
        <f>_xlfn.XLOOKUP(E1787,'Data Validation'!$M$3:$M$10,'Data Validation'!$N$3:$N$10)</f>
        <v>3</v>
      </c>
      <c r="B1787" s="4">
        <v>15</v>
      </c>
      <c r="C1787" s="4" t="s">
        <v>11</v>
      </c>
      <c r="D1787" s="7">
        <v>35.76</v>
      </c>
      <c r="E1787" s="4" t="s">
        <v>29</v>
      </c>
      <c r="F1787" s="4" t="s">
        <v>17</v>
      </c>
      <c r="G1787" s="4" t="s">
        <v>49</v>
      </c>
      <c r="H1787" s="4" t="s">
        <v>43</v>
      </c>
      <c r="I1787" s="5">
        <v>45702</v>
      </c>
      <c r="J1787" s="4">
        <f t="shared" si="27"/>
        <v>12</v>
      </c>
    </row>
    <row r="1788" spans="1:10" x14ac:dyDescent="0.25">
      <c r="A1788" s="4">
        <f>_xlfn.XLOOKUP(E1788,'Data Validation'!$M$3:$M$10,'Data Validation'!$N$3:$N$10)</f>
        <v>3</v>
      </c>
      <c r="B1788" s="4">
        <v>15</v>
      </c>
      <c r="C1788" s="4" t="s">
        <v>11</v>
      </c>
      <c r="D1788" s="7">
        <v>35.76</v>
      </c>
      <c r="E1788" s="4" t="s">
        <v>29</v>
      </c>
      <c r="F1788" s="4" t="s">
        <v>17</v>
      </c>
      <c r="G1788" s="4" t="s">
        <v>49</v>
      </c>
      <c r="H1788" s="4" t="s">
        <v>43</v>
      </c>
      <c r="I1788" s="5">
        <v>45702</v>
      </c>
      <c r="J1788" s="4">
        <f t="shared" si="27"/>
        <v>12</v>
      </c>
    </row>
    <row r="1789" spans="1:10" x14ac:dyDescent="0.25">
      <c r="A1789" s="4">
        <f>_xlfn.XLOOKUP(E1789,'Data Validation'!$M$3:$M$10,'Data Validation'!$N$3:$N$10)</f>
        <v>3</v>
      </c>
      <c r="B1789" s="4">
        <v>15</v>
      </c>
      <c r="C1789" s="4" t="s">
        <v>11</v>
      </c>
      <c r="D1789" s="7">
        <v>35.76</v>
      </c>
      <c r="E1789" s="4" t="s">
        <v>29</v>
      </c>
      <c r="F1789" s="4" t="s">
        <v>17</v>
      </c>
      <c r="G1789" s="4" t="s">
        <v>49</v>
      </c>
      <c r="H1789" s="4" t="s">
        <v>43</v>
      </c>
      <c r="I1789" s="5">
        <v>45702</v>
      </c>
      <c r="J1789" s="4">
        <f t="shared" si="27"/>
        <v>12</v>
      </c>
    </row>
    <row r="1790" spans="1:10" x14ac:dyDescent="0.25">
      <c r="A1790" s="4">
        <f>_xlfn.XLOOKUP(E1790,'Data Validation'!$M$3:$M$10,'Data Validation'!$N$3:$N$10)</f>
        <v>3</v>
      </c>
      <c r="B1790" s="4">
        <v>9</v>
      </c>
      <c r="C1790" s="4" t="s">
        <v>11</v>
      </c>
      <c r="D1790" s="7">
        <v>35.76</v>
      </c>
      <c r="E1790" s="4" t="s">
        <v>29</v>
      </c>
      <c r="F1790" s="4" t="s">
        <v>13</v>
      </c>
      <c r="G1790" s="4" t="s">
        <v>50</v>
      </c>
      <c r="H1790" s="4" t="s">
        <v>43</v>
      </c>
      <c r="I1790" s="5">
        <v>45703</v>
      </c>
      <c r="J1790" s="4">
        <f t="shared" si="27"/>
        <v>12</v>
      </c>
    </row>
    <row r="1791" spans="1:10" x14ac:dyDescent="0.25">
      <c r="A1791" s="4">
        <f>_xlfn.XLOOKUP(E1791,'Data Validation'!$M$3:$M$10,'Data Validation'!$N$3:$N$10)</f>
        <v>3</v>
      </c>
      <c r="B1791" s="4">
        <v>12</v>
      </c>
      <c r="C1791" s="4" t="s">
        <v>11</v>
      </c>
      <c r="D1791" s="7">
        <v>35.76</v>
      </c>
      <c r="E1791" s="4" t="s">
        <v>29</v>
      </c>
      <c r="F1791" s="4" t="s">
        <v>17</v>
      </c>
      <c r="G1791" s="4" t="s">
        <v>50</v>
      </c>
      <c r="H1791" s="4" t="s">
        <v>43</v>
      </c>
      <c r="I1791" s="5">
        <v>45703</v>
      </c>
      <c r="J1791" s="4">
        <f t="shared" si="27"/>
        <v>12</v>
      </c>
    </row>
    <row r="1792" spans="1:10" x14ac:dyDescent="0.25">
      <c r="A1792" s="4">
        <f>_xlfn.XLOOKUP(E1792,'Data Validation'!$M$3:$M$10,'Data Validation'!$N$3:$N$10)</f>
        <v>3</v>
      </c>
      <c r="B1792" s="4">
        <v>14</v>
      </c>
      <c r="C1792" s="4" t="s">
        <v>11</v>
      </c>
      <c r="D1792" s="7">
        <v>35.76</v>
      </c>
      <c r="E1792" s="4" t="s">
        <v>29</v>
      </c>
      <c r="F1792" s="4" t="s">
        <v>17</v>
      </c>
      <c r="G1792" s="4" t="s">
        <v>50</v>
      </c>
      <c r="H1792" s="4" t="s">
        <v>43</v>
      </c>
      <c r="I1792" s="5">
        <v>45703</v>
      </c>
      <c r="J1792" s="4">
        <f t="shared" si="27"/>
        <v>12</v>
      </c>
    </row>
    <row r="1793" spans="1:10" x14ac:dyDescent="0.25">
      <c r="A1793" s="4">
        <f>_xlfn.XLOOKUP(E1793,'Data Validation'!$M$3:$M$10,'Data Validation'!$N$3:$N$10)</f>
        <v>3</v>
      </c>
      <c r="B1793" s="4">
        <v>6</v>
      </c>
      <c r="C1793" s="4" t="s">
        <v>11</v>
      </c>
      <c r="D1793" s="7">
        <v>35.76</v>
      </c>
      <c r="E1793" s="4" t="s">
        <v>29</v>
      </c>
      <c r="F1793" s="4" t="s">
        <v>13</v>
      </c>
      <c r="G1793" s="4" t="s">
        <v>45</v>
      </c>
      <c r="H1793" s="4" t="s">
        <v>43</v>
      </c>
      <c r="I1793" s="5">
        <v>45705</v>
      </c>
      <c r="J1793" s="4">
        <f t="shared" si="27"/>
        <v>12</v>
      </c>
    </row>
    <row r="1794" spans="1:10" x14ac:dyDescent="0.25">
      <c r="A1794" s="4">
        <f>_xlfn.XLOOKUP(E1794,'Data Validation'!$M$3:$M$10,'Data Validation'!$N$3:$N$10)</f>
        <v>3</v>
      </c>
      <c r="B1794" s="4">
        <v>12</v>
      </c>
      <c r="C1794" s="4" t="s">
        <v>11</v>
      </c>
      <c r="D1794" s="7">
        <v>35.76</v>
      </c>
      <c r="E1794" s="4" t="s">
        <v>29</v>
      </c>
      <c r="F1794" s="4" t="s">
        <v>17</v>
      </c>
      <c r="G1794" s="4" t="s">
        <v>45</v>
      </c>
      <c r="H1794" s="4" t="s">
        <v>43</v>
      </c>
      <c r="I1794" s="5">
        <v>45705</v>
      </c>
      <c r="J1794" s="4">
        <f t="shared" si="27"/>
        <v>12</v>
      </c>
    </row>
    <row r="1795" spans="1:10" x14ac:dyDescent="0.25">
      <c r="A1795" s="4">
        <f>_xlfn.XLOOKUP(E1795,'Data Validation'!$M$3:$M$10,'Data Validation'!$N$3:$N$10)</f>
        <v>3</v>
      </c>
      <c r="B1795" s="4">
        <v>8</v>
      </c>
      <c r="C1795" s="4" t="s">
        <v>11</v>
      </c>
      <c r="D1795" s="7">
        <v>35.76</v>
      </c>
      <c r="E1795" s="4" t="s">
        <v>29</v>
      </c>
      <c r="F1795" s="4" t="s">
        <v>13</v>
      </c>
      <c r="G1795" s="4" t="s">
        <v>47</v>
      </c>
      <c r="H1795" s="4" t="s">
        <v>43</v>
      </c>
      <c r="I1795" s="5">
        <v>45707</v>
      </c>
      <c r="J1795" s="4">
        <f t="shared" ref="J1795:J1858" si="28">IF(OR(E1795&lt;&gt;E1794,D1795&lt;&gt;D1794),J1794+1,J1794)</f>
        <v>12</v>
      </c>
    </row>
    <row r="1796" spans="1:10" x14ac:dyDescent="0.25">
      <c r="A1796" s="4">
        <f>_xlfn.XLOOKUP(E1796,'Data Validation'!$M$3:$M$10,'Data Validation'!$N$3:$N$10)</f>
        <v>3</v>
      </c>
      <c r="B1796" s="4">
        <v>9</v>
      </c>
      <c r="C1796" s="4" t="s">
        <v>11</v>
      </c>
      <c r="D1796" s="7">
        <v>35.76</v>
      </c>
      <c r="E1796" s="4" t="s">
        <v>29</v>
      </c>
      <c r="F1796" s="4" t="s">
        <v>13</v>
      </c>
      <c r="G1796" s="4" t="s">
        <v>47</v>
      </c>
      <c r="H1796" s="4" t="s">
        <v>43</v>
      </c>
      <c r="I1796" s="5">
        <v>45707</v>
      </c>
      <c r="J1796" s="4">
        <f t="shared" si="28"/>
        <v>12</v>
      </c>
    </row>
    <row r="1797" spans="1:10" x14ac:dyDescent="0.25">
      <c r="A1797" s="4">
        <f>_xlfn.XLOOKUP(E1797,'Data Validation'!$M$3:$M$10,'Data Validation'!$N$3:$N$10)</f>
        <v>3</v>
      </c>
      <c r="B1797" s="4">
        <v>15</v>
      </c>
      <c r="C1797" s="4" t="s">
        <v>11</v>
      </c>
      <c r="D1797" s="7">
        <v>35.76</v>
      </c>
      <c r="E1797" s="4" t="s">
        <v>29</v>
      </c>
      <c r="F1797" s="4" t="s">
        <v>17</v>
      </c>
      <c r="G1797" s="4" t="s">
        <v>47</v>
      </c>
      <c r="H1797" s="4" t="s">
        <v>43</v>
      </c>
      <c r="I1797" s="5">
        <v>45707</v>
      </c>
      <c r="J1797" s="4">
        <f t="shared" si="28"/>
        <v>12</v>
      </c>
    </row>
    <row r="1798" spans="1:10" x14ac:dyDescent="0.25">
      <c r="A1798" s="4">
        <f>_xlfn.XLOOKUP(E1798,'Data Validation'!$M$3:$M$10,'Data Validation'!$N$3:$N$10)</f>
        <v>3</v>
      </c>
      <c r="B1798" s="4">
        <v>17</v>
      </c>
      <c r="C1798" s="4" t="s">
        <v>11</v>
      </c>
      <c r="D1798" s="7">
        <v>35.76</v>
      </c>
      <c r="E1798" s="4" t="s">
        <v>29</v>
      </c>
      <c r="F1798" s="4" t="s">
        <v>20</v>
      </c>
      <c r="G1798" s="4" t="s">
        <v>47</v>
      </c>
      <c r="H1798" s="4" t="s">
        <v>43</v>
      </c>
      <c r="I1798" s="5">
        <v>45707</v>
      </c>
      <c r="J1798" s="4">
        <f t="shared" si="28"/>
        <v>12</v>
      </c>
    </row>
    <row r="1799" spans="1:10" x14ac:dyDescent="0.25">
      <c r="A1799" s="4">
        <f>_xlfn.XLOOKUP(E1799,'Data Validation'!$M$3:$M$10,'Data Validation'!$N$3:$N$10)</f>
        <v>3</v>
      </c>
      <c r="B1799" s="4">
        <v>18</v>
      </c>
      <c r="C1799" s="4" t="s">
        <v>11</v>
      </c>
      <c r="D1799" s="7">
        <v>35.76</v>
      </c>
      <c r="E1799" s="4" t="s">
        <v>29</v>
      </c>
      <c r="F1799" s="4" t="s">
        <v>20</v>
      </c>
      <c r="G1799" s="4" t="s">
        <v>47</v>
      </c>
      <c r="H1799" s="4" t="s">
        <v>43</v>
      </c>
      <c r="I1799" s="5">
        <v>45707</v>
      </c>
      <c r="J1799" s="4">
        <f t="shared" si="28"/>
        <v>12</v>
      </c>
    </row>
    <row r="1800" spans="1:10" x14ac:dyDescent="0.25">
      <c r="A1800" s="4">
        <f>_xlfn.XLOOKUP(E1800,'Data Validation'!$M$3:$M$10,'Data Validation'!$N$3:$N$10)</f>
        <v>3</v>
      </c>
      <c r="B1800" s="4">
        <v>7</v>
      </c>
      <c r="C1800" s="4" t="s">
        <v>11</v>
      </c>
      <c r="D1800" s="7">
        <v>35.76</v>
      </c>
      <c r="E1800" s="4" t="s">
        <v>29</v>
      </c>
      <c r="F1800" s="4" t="s">
        <v>13</v>
      </c>
      <c r="G1800" s="4" t="s">
        <v>48</v>
      </c>
      <c r="H1800" s="4" t="s">
        <v>43</v>
      </c>
      <c r="I1800" s="5">
        <v>45708</v>
      </c>
      <c r="J1800" s="4">
        <f t="shared" si="28"/>
        <v>12</v>
      </c>
    </row>
    <row r="1801" spans="1:10" x14ac:dyDescent="0.25">
      <c r="A1801" s="4">
        <f>_xlfn.XLOOKUP(E1801,'Data Validation'!$M$3:$M$10,'Data Validation'!$N$3:$N$10)</f>
        <v>3</v>
      </c>
      <c r="B1801" s="4">
        <v>10</v>
      </c>
      <c r="C1801" s="4" t="s">
        <v>11</v>
      </c>
      <c r="D1801" s="7">
        <v>35.76</v>
      </c>
      <c r="E1801" s="4" t="s">
        <v>29</v>
      </c>
      <c r="F1801" s="4" t="s">
        <v>13</v>
      </c>
      <c r="G1801" s="4" t="s">
        <v>48</v>
      </c>
      <c r="H1801" s="4" t="s">
        <v>43</v>
      </c>
      <c r="I1801" s="5">
        <v>45708</v>
      </c>
      <c r="J1801" s="4">
        <f t="shared" si="28"/>
        <v>12</v>
      </c>
    </row>
    <row r="1802" spans="1:10" x14ac:dyDescent="0.25">
      <c r="A1802" s="4">
        <f>_xlfn.XLOOKUP(E1802,'Data Validation'!$M$3:$M$10,'Data Validation'!$N$3:$N$10)</f>
        <v>3</v>
      </c>
      <c r="B1802" s="4">
        <v>16</v>
      </c>
      <c r="C1802" s="4" t="s">
        <v>11</v>
      </c>
      <c r="D1802" s="7">
        <v>35.76</v>
      </c>
      <c r="E1802" s="4" t="s">
        <v>29</v>
      </c>
      <c r="F1802" s="4" t="s">
        <v>17</v>
      </c>
      <c r="G1802" s="4" t="s">
        <v>48</v>
      </c>
      <c r="H1802" s="4" t="s">
        <v>43</v>
      </c>
      <c r="I1802" s="5">
        <v>45708</v>
      </c>
      <c r="J1802" s="4">
        <f t="shared" si="28"/>
        <v>12</v>
      </c>
    </row>
    <row r="1803" spans="1:10" x14ac:dyDescent="0.25">
      <c r="A1803" s="4">
        <f>_xlfn.XLOOKUP(E1803,'Data Validation'!$M$3:$M$10,'Data Validation'!$N$3:$N$10)</f>
        <v>3</v>
      </c>
      <c r="B1803" s="4">
        <v>16</v>
      </c>
      <c r="C1803" s="4" t="s">
        <v>11</v>
      </c>
      <c r="D1803" s="7">
        <v>35.76</v>
      </c>
      <c r="E1803" s="4" t="s">
        <v>29</v>
      </c>
      <c r="F1803" s="4" t="s">
        <v>17</v>
      </c>
      <c r="G1803" s="4" t="s">
        <v>48</v>
      </c>
      <c r="H1803" s="4" t="s">
        <v>43</v>
      </c>
      <c r="I1803" s="5">
        <v>45708</v>
      </c>
      <c r="J1803" s="4">
        <f t="shared" si="28"/>
        <v>12</v>
      </c>
    </row>
    <row r="1804" spans="1:10" x14ac:dyDescent="0.25">
      <c r="A1804" s="4">
        <f>_xlfn.XLOOKUP(E1804,'Data Validation'!$M$3:$M$10,'Data Validation'!$N$3:$N$10)</f>
        <v>3</v>
      </c>
      <c r="B1804" s="4">
        <v>9</v>
      </c>
      <c r="C1804" s="4" t="s">
        <v>11</v>
      </c>
      <c r="D1804" s="7">
        <v>35.76</v>
      </c>
      <c r="E1804" s="4" t="s">
        <v>29</v>
      </c>
      <c r="F1804" s="4" t="s">
        <v>13</v>
      </c>
      <c r="G1804" s="4" t="s">
        <v>49</v>
      </c>
      <c r="H1804" s="4" t="s">
        <v>43</v>
      </c>
      <c r="I1804" s="5">
        <v>45709</v>
      </c>
      <c r="J1804" s="4">
        <f t="shared" si="28"/>
        <v>12</v>
      </c>
    </row>
    <row r="1805" spans="1:10" x14ac:dyDescent="0.25">
      <c r="A1805" s="4">
        <f>_xlfn.XLOOKUP(E1805,'Data Validation'!$M$3:$M$10,'Data Validation'!$N$3:$N$10)</f>
        <v>3</v>
      </c>
      <c r="B1805" s="4">
        <v>15</v>
      </c>
      <c r="C1805" s="4" t="s">
        <v>11</v>
      </c>
      <c r="D1805" s="7">
        <v>35.76</v>
      </c>
      <c r="E1805" s="4" t="s">
        <v>29</v>
      </c>
      <c r="F1805" s="4" t="s">
        <v>17</v>
      </c>
      <c r="G1805" s="4" t="s">
        <v>49</v>
      </c>
      <c r="H1805" s="4" t="s">
        <v>43</v>
      </c>
      <c r="I1805" s="5">
        <v>45709</v>
      </c>
      <c r="J1805" s="4">
        <f t="shared" si="28"/>
        <v>12</v>
      </c>
    </row>
    <row r="1806" spans="1:10" x14ac:dyDescent="0.25">
      <c r="A1806" s="4">
        <f>_xlfn.XLOOKUP(E1806,'Data Validation'!$M$3:$M$10,'Data Validation'!$N$3:$N$10)</f>
        <v>3</v>
      </c>
      <c r="B1806" s="4">
        <v>19</v>
      </c>
      <c r="C1806" s="4" t="s">
        <v>11</v>
      </c>
      <c r="D1806" s="7">
        <v>35.76</v>
      </c>
      <c r="E1806" s="4" t="s">
        <v>29</v>
      </c>
      <c r="F1806" s="4" t="s">
        <v>20</v>
      </c>
      <c r="G1806" s="4" t="s">
        <v>49</v>
      </c>
      <c r="H1806" s="4" t="s">
        <v>43</v>
      </c>
      <c r="I1806" s="5">
        <v>45709</v>
      </c>
      <c r="J1806" s="4">
        <f t="shared" si="28"/>
        <v>12</v>
      </c>
    </row>
    <row r="1807" spans="1:10" x14ac:dyDescent="0.25">
      <c r="A1807" s="4">
        <f>_xlfn.XLOOKUP(E1807,'Data Validation'!$M$3:$M$10,'Data Validation'!$N$3:$N$10)</f>
        <v>3</v>
      </c>
      <c r="B1807" s="4">
        <v>13</v>
      </c>
      <c r="C1807" s="4" t="s">
        <v>11</v>
      </c>
      <c r="D1807" s="7">
        <v>35.76</v>
      </c>
      <c r="E1807" s="4" t="s">
        <v>29</v>
      </c>
      <c r="F1807" s="4" t="s">
        <v>17</v>
      </c>
      <c r="G1807" s="4" t="s">
        <v>51</v>
      </c>
      <c r="H1807" s="4" t="s">
        <v>43</v>
      </c>
      <c r="I1807" s="5">
        <v>45711</v>
      </c>
      <c r="J1807" s="4">
        <f t="shared" si="28"/>
        <v>12</v>
      </c>
    </row>
    <row r="1808" spans="1:10" x14ac:dyDescent="0.25">
      <c r="A1808" s="4">
        <f>_xlfn.XLOOKUP(E1808,'Data Validation'!$M$3:$M$10,'Data Validation'!$N$3:$N$10)</f>
        <v>3</v>
      </c>
      <c r="B1808" s="4">
        <v>16</v>
      </c>
      <c r="C1808" s="4" t="s">
        <v>11</v>
      </c>
      <c r="D1808" s="7">
        <v>35.76</v>
      </c>
      <c r="E1808" s="4" t="s">
        <v>29</v>
      </c>
      <c r="F1808" s="4" t="s">
        <v>17</v>
      </c>
      <c r="G1808" s="4" t="s">
        <v>45</v>
      </c>
      <c r="H1808" s="4" t="s">
        <v>43</v>
      </c>
      <c r="I1808" s="5">
        <v>45712</v>
      </c>
      <c r="J1808" s="4">
        <f t="shared" si="28"/>
        <v>12</v>
      </c>
    </row>
    <row r="1809" spans="1:10" x14ac:dyDescent="0.25">
      <c r="A1809" s="4">
        <f>_xlfn.XLOOKUP(E1809,'Data Validation'!$M$3:$M$10,'Data Validation'!$N$3:$N$10)</f>
        <v>3</v>
      </c>
      <c r="B1809" s="4">
        <v>12</v>
      </c>
      <c r="C1809" s="4" t="s">
        <v>11</v>
      </c>
      <c r="D1809" s="7">
        <v>35.76</v>
      </c>
      <c r="E1809" s="4" t="s">
        <v>29</v>
      </c>
      <c r="F1809" s="4" t="s">
        <v>17</v>
      </c>
      <c r="G1809" s="4" t="s">
        <v>46</v>
      </c>
      <c r="H1809" s="4" t="s">
        <v>43</v>
      </c>
      <c r="I1809" s="5">
        <v>45713</v>
      </c>
      <c r="J1809" s="4">
        <f t="shared" si="28"/>
        <v>12</v>
      </c>
    </row>
    <row r="1810" spans="1:10" x14ac:dyDescent="0.25">
      <c r="A1810" s="4">
        <f>_xlfn.XLOOKUP(E1810,'Data Validation'!$M$3:$M$10,'Data Validation'!$N$3:$N$10)</f>
        <v>3</v>
      </c>
      <c r="B1810" s="4">
        <v>14</v>
      </c>
      <c r="C1810" s="4" t="s">
        <v>11</v>
      </c>
      <c r="D1810" s="7">
        <v>35.76</v>
      </c>
      <c r="E1810" s="4" t="s">
        <v>29</v>
      </c>
      <c r="F1810" s="4" t="s">
        <v>17</v>
      </c>
      <c r="G1810" s="4" t="s">
        <v>46</v>
      </c>
      <c r="H1810" s="4" t="s">
        <v>43</v>
      </c>
      <c r="I1810" s="5">
        <v>45713</v>
      </c>
      <c r="J1810" s="4">
        <f t="shared" si="28"/>
        <v>12</v>
      </c>
    </row>
    <row r="1811" spans="1:10" x14ac:dyDescent="0.25">
      <c r="A1811" s="4">
        <f>_xlfn.XLOOKUP(E1811,'Data Validation'!$M$3:$M$10,'Data Validation'!$N$3:$N$10)</f>
        <v>3</v>
      </c>
      <c r="B1811" s="4">
        <v>19</v>
      </c>
      <c r="C1811" s="4" t="s">
        <v>11</v>
      </c>
      <c r="D1811" s="7">
        <v>35.76</v>
      </c>
      <c r="E1811" s="4" t="s">
        <v>29</v>
      </c>
      <c r="F1811" s="4" t="s">
        <v>20</v>
      </c>
      <c r="G1811" s="4" t="s">
        <v>46</v>
      </c>
      <c r="H1811" s="4" t="s">
        <v>43</v>
      </c>
      <c r="I1811" s="5">
        <v>45713</v>
      </c>
      <c r="J1811" s="4">
        <f t="shared" si="28"/>
        <v>12</v>
      </c>
    </row>
    <row r="1812" spans="1:10" x14ac:dyDescent="0.25">
      <c r="A1812" s="4">
        <f>_xlfn.XLOOKUP(E1812,'Data Validation'!$M$3:$M$10,'Data Validation'!$N$3:$N$10)</f>
        <v>3</v>
      </c>
      <c r="B1812" s="4">
        <v>18</v>
      </c>
      <c r="C1812" s="4" t="s">
        <v>11</v>
      </c>
      <c r="D1812" s="7">
        <v>35.76</v>
      </c>
      <c r="E1812" s="4" t="s">
        <v>29</v>
      </c>
      <c r="F1812" s="4" t="s">
        <v>20</v>
      </c>
      <c r="G1812" s="4" t="s">
        <v>47</v>
      </c>
      <c r="H1812" s="4" t="s">
        <v>43</v>
      </c>
      <c r="I1812" s="5">
        <v>45714</v>
      </c>
      <c r="J1812" s="4">
        <f t="shared" si="28"/>
        <v>12</v>
      </c>
    </row>
    <row r="1813" spans="1:10" x14ac:dyDescent="0.25">
      <c r="A1813" s="4">
        <f>_xlfn.XLOOKUP(E1813,'Data Validation'!$M$3:$M$10,'Data Validation'!$N$3:$N$10)</f>
        <v>3</v>
      </c>
      <c r="B1813" s="4">
        <v>7</v>
      </c>
      <c r="C1813" s="4" t="s">
        <v>11</v>
      </c>
      <c r="D1813" s="7">
        <v>35.76</v>
      </c>
      <c r="E1813" s="4" t="s">
        <v>29</v>
      </c>
      <c r="F1813" s="4" t="s">
        <v>13</v>
      </c>
      <c r="G1813" s="4" t="s">
        <v>48</v>
      </c>
      <c r="H1813" s="4" t="s">
        <v>43</v>
      </c>
      <c r="I1813" s="5">
        <v>45715</v>
      </c>
      <c r="J1813" s="4">
        <f t="shared" si="28"/>
        <v>12</v>
      </c>
    </row>
    <row r="1814" spans="1:10" x14ac:dyDescent="0.25">
      <c r="A1814" s="4">
        <f>_xlfn.XLOOKUP(E1814,'Data Validation'!$M$3:$M$10,'Data Validation'!$N$3:$N$10)</f>
        <v>3</v>
      </c>
      <c r="B1814" s="4">
        <v>7</v>
      </c>
      <c r="C1814" s="4" t="s">
        <v>11</v>
      </c>
      <c r="D1814" s="7">
        <v>35.76</v>
      </c>
      <c r="E1814" s="4" t="s">
        <v>29</v>
      </c>
      <c r="F1814" s="4" t="s">
        <v>13</v>
      </c>
      <c r="G1814" s="4" t="s">
        <v>48</v>
      </c>
      <c r="H1814" s="4" t="s">
        <v>43</v>
      </c>
      <c r="I1814" s="5">
        <v>45715</v>
      </c>
      <c r="J1814" s="4">
        <f t="shared" si="28"/>
        <v>12</v>
      </c>
    </row>
    <row r="1815" spans="1:10" x14ac:dyDescent="0.25">
      <c r="A1815" s="4">
        <f>_xlfn.XLOOKUP(E1815,'Data Validation'!$M$3:$M$10,'Data Validation'!$N$3:$N$10)</f>
        <v>3</v>
      </c>
      <c r="B1815" s="4">
        <v>18</v>
      </c>
      <c r="C1815" s="4" t="s">
        <v>11</v>
      </c>
      <c r="D1815" s="7">
        <v>35.76</v>
      </c>
      <c r="E1815" s="4" t="s">
        <v>29</v>
      </c>
      <c r="F1815" s="4" t="s">
        <v>20</v>
      </c>
      <c r="G1815" s="4" t="s">
        <v>48</v>
      </c>
      <c r="H1815" s="4" t="s">
        <v>43</v>
      </c>
      <c r="I1815" s="5">
        <v>45715</v>
      </c>
      <c r="J1815" s="4">
        <f t="shared" si="28"/>
        <v>12</v>
      </c>
    </row>
    <row r="1816" spans="1:10" x14ac:dyDescent="0.25">
      <c r="A1816" s="4">
        <f>_xlfn.XLOOKUP(E1816,'Data Validation'!$M$3:$M$10,'Data Validation'!$N$3:$N$10)</f>
        <v>3</v>
      </c>
      <c r="B1816" s="4">
        <v>20</v>
      </c>
      <c r="C1816" s="4" t="s">
        <v>11</v>
      </c>
      <c r="D1816" s="7">
        <v>35.76</v>
      </c>
      <c r="E1816" s="4" t="s">
        <v>29</v>
      </c>
      <c r="F1816" s="4" t="s">
        <v>20</v>
      </c>
      <c r="G1816" s="4" t="s">
        <v>48</v>
      </c>
      <c r="H1816" s="4" t="s">
        <v>43</v>
      </c>
      <c r="I1816" s="5">
        <v>45715</v>
      </c>
      <c r="J1816" s="4">
        <f t="shared" si="28"/>
        <v>12</v>
      </c>
    </row>
    <row r="1817" spans="1:10" x14ac:dyDescent="0.25">
      <c r="A1817" s="4">
        <f>_xlfn.XLOOKUP(E1817,'Data Validation'!$M$3:$M$10,'Data Validation'!$N$3:$N$10)</f>
        <v>3</v>
      </c>
      <c r="B1817" s="4">
        <v>7</v>
      </c>
      <c r="C1817" s="4" t="s">
        <v>11</v>
      </c>
      <c r="D1817" s="7">
        <v>35.76</v>
      </c>
      <c r="E1817" s="4" t="s">
        <v>29</v>
      </c>
      <c r="F1817" s="4" t="s">
        <v>13</v>
      </c>
      <c r="G1817" s="4" t="s">
        <v>49</v>
      </c>
      <c r="H1817" s="4" t="s">
        <v>43</v>
      </c>
      <c r="I1817" s="5">
        <v>45716</v>
      </c>
      <c r="J1817" s="4">
        <f t="shared" si="28"/>
        <v>12</v>
      </c>
    </row>
    <row r="1818" spans="1:10" x14ac:dyDescent="0.25">
      <c r="A1818" s="4">
        <f>_xlfn.XLOOKUP(E1818,'Data Validation'!$M$3:$M$10,'Data Validation'!$N$3:$N$10)</f>
        <v>3</v>
      </c>
      <c r="B1818" s="4">
        <v>10</v>
      </c>
      <c r="C1818" s="4" t="s">
        <v>11</v>
      </c>
      <c r="D1818" s="7">
        <v>35.76</v>
      </c>
      <c r="E1818" s="4" t="s">
        <v>29</v>
      </c>
      <c r="F1818" s="4" t="s">
        <v>13</v>
      </c>
      <c r="G1818" s="4" t="s">
        <v>50</v>
      </c>
      <c r="H1818" s="4" t="s">
        <v>44</v>
      </c>
      <c r="I1818" s="5">
        <v>45717</v>
      </c>
      <c r="J1818" s="4">
        <f t="shared" si="28"/>
        <v>12</v>
      </c>
    </row>
    <row r="1819" spans="1:10" x14ac:dyDescent="0.25">
      <c r="A1819" s="4">
        <f>_xlfn.XLOOKUP(E1819,'Data Validation'!$M$3:$M$10,'Data Validation'!$N$3:$N$10)</f>
        <v>3</v>
      </c>
      <c r="B1819" s="4">
        <v>16</v>
      </c>
      <c r="C1819" s="4" t="s">
        <v>11</v>
      </c>
      <c r="D1819" s="7">
        <v>35.76</v>
      </c>
      <c r="E1819" s="4" t="s">
        <v>29</v>
      </c>
      <c r="F1819" s="4" t="s">
        <v>17</v>
      </c>
      <c r="G1819" s="4" t="s">
        <v>50</v>
      </c>
      <c r="H1819" s="4" t="s">
        <v>44</v>
      </c>
      <c r="I1819" s="5">
        <v>45717</v>
      </c>
      <c r="J1819" s="4">
        <f t="shared" si="28"/>
        <v>12</v>
      </c>
    </row>
    <row r="1820" spans="1:10" x14ac:dyDescent="0.25">
      <c r="A1820" s="4">
        <f>_xlfn.XLOOKUP(E1820,'Data Validation'!$M$3:$M$10,'Data Validation'!$N$3:$N$10)</f>
        <v>3</v>
      </c>
      <c r="B1820" s="4">
        <v>8</v>
      </c>
      <c r="C1820" s="4" t="s">
        <v>11</v>
      </c>
      <c r="D1820" s="7">
        <v>35.76</v>
      </c>
      <c r="E1820" s="4" t="s">
        <v>29</v>
      </c>
      <c r="F1820" s="4" t="s">
        <v>13</v>
      </c>
      <c r="G1820" s="4" t="s">
        <v>45</v>
      </c>
      <c r="H1820" s="4" t="s">
        <v>44</v>
      </c>
      <c r="I1820" s="5">
        <v>45719</v>
      </c>
      <c r="J1820" s="4">
        <f t="shared" si="28"/>
        <v>12</v>
      </c>
    </row>
    <row r="1821" spans="1:10" x14ac:dyDescent="0.25">
      <c r="A1821" s="4">
        <f>_xlfn.XLOOKUP(E1821,'Data Validation'!$M$3:$M$10,'Data Validation'!$N$3:$N$10)</f>
        <v>3</v>
      </c>
      <c r="B1821" s="4">
        <v>12</v>
      </c>
      <c r="C1821" s="4" t="s">
        <v>11</v>
      </c>
      <c r="D1821" s="7">
        <v>35.76</v>
      </c>
      <c r="E1821" s="4" t="s">
        <v>29</v>
      </c>
      <c r="F1821" s="4" t="s">
        <v>17</v>
      </c>
      <c r="G1821" s="4" t="s">
        <v>45</v>
      </c>
      <c r="H1821" s="4" t="s">
        <v>44</v>
      </c>
      <c r="I1821" s="5">
        <v>45719</v>
      </c>
      <c r="J1821" s="4">
        <f t="shared" si="28"/>
        <v>12</v>
      </c>
    </row>
    <row r="1822" spans="1:10" x14ac:dyDescent="0.25">
      <c r="A1822" s="4">
        <f>_xlfn.XLOOKUP(E1822,'Data Validation'!$M$3:$M$10,'Data Validation'!$N$3:$N$10)</f>
        <v>3</v>
      </c>
      <c r="B1822" s="4">
        <v>16</v>
      </c>
      <c r="C1822" s="4" t="s">
        <v>11</v>
      </c>
      <c r="D1822" s="7">
        <v>35.76</v>
      </c>
      <c r="E1822" s="4" t="s">
        <v>29</v>
      </c>
      <c r="F1822" s="4" t="s">
        <v>17</v>
      </c>
      <c r="G1822" s="4" t="s">
        <v>45</v>
      </c>
      <c r="H1822" s="4" t="s">
        <v>44</v>
      </c>
      <c r="I1822" s="5">
        <v>45719</v>
      </c>
      <c r="J1822" s="4">
        <f t="shared" si="28"/>
        <v>12</v>
      </c>
    </row>
    <row r="1823" spans="1:10" x14ac:dyDescent="0.25">
      <c r="A1823" s="4">
        <f>_xlfn.XLOOKUP(E1823,'Data Validation'!$M$3:$M$10,'Data Validation'!$N$3:$N$10)</f>
        <v>3</v>
      </c>
      <c r="B1823" s="4">
        <v>16</v>
      </c>
      <c r="C1823" s="4" t="s">
        <v>11</v>
      </c>
      <c r="D1823" s="7">
        <v>35.76</v>
      </c>
      <c r="E1823" s="4" t="s">
        <v>29</v>
      </c>
      <c r="F1823" s="4" t="s">
        <v>17</v>
      </c>
      <c r="G1823" s="4" t="s">
        <v>45</v>
      </c>
      <c r="H1823" s="4" t="s">
        <v>44</v>
      </c>
      <c r="I1823" s="5">
        <v>45719</v>
      </c>
      <c r="J1823" s="4">
        <f t="shared" si="28"/>
        <v>12</v>
      </c>
    </row>
    <row r="1824" spans="1:10" x14ac:dyDescent="0.25">
      <c r="A1824" s="4">
        <f>_xlfn.XLOOKUP(E1824,'Data Validation'!$M$3:$M$10,'Data Validation'!$N$3:$N$10)</f>
        <v>3</v>
      </c>
      <c r="B1824" s="4">
        <v>7</v>
      </c>
      <c r="C1824" s="4" t="s">
        <v>11</v>
      </c>
      <c r="D1824" s="7">
        <v>35.76</v>
      </c>
      <c r="E1824" s="4" t="s">
        <v>29</v>
      </c>
      <c r="F1824" s="4" t="s">
        <v>13</v>
      </c>
      <c r="G1824" s="4" t="s">
        <v>46</v>
      </c>
      <c r="H1824" s="4" t="s">
        <v>44</v>
      </c>
      <c r="I1824" s="5">
        <v>45720</v>
      </c>
      <c r="J1824" s="4">
        <f t="shared" si="28"/>
        <v>12</v>
      </c>
    </row>
    <row r="1825" spans="1:10" x14ac:dyDescent="0.25">
      <c r="A1825" s="4">
        <f>_xlfn.XLOOKUP(E1825,'Data Validation'!$M$3:$M$10,'Data Validation'!$N$3:$N$10)</f>
        <v>3</v>
      </c>
      <c r="B1825" s="4">
        <v>10</v>
      </c>
      <c r="C1825" s="4" t="s">
        <v>11</v>
      </c>
      <c r="D1825" s="7">
        <v>35.76</v>
      </c>
      <c r="E1825" s="4" t="s">
        <v>29</v>
      </c>
      <c r="F1825" s="4" t="s">
        <v>13</v>
      </c>
      <c r="G1825" s="4" t="s">
        <v>47</v>
      </c>
      <c r="H1825" s="4" t="s">
        <v>44</v>
      </c>
      <c r="I1825" s="5">
        <v>45721</v>
      </c>
      <c r="J1825" s="4">
        <f t="shared" si="28"/>
        <v>12</v>
      </c>
    </row>
    <row r="1826" spans="1:10" x14ac:dyDescent="0.25">
      <c r="A1826" s="4">
        <f>_xlfn.XLOOKUP(E1826,'Data Validation'!$M$3:$M$10,'Data Validation'!$N$3:$N$10)</f>
        <v>3</v>
      </c>
      <c r="B1826" s="4">
        <v>11</v>
      </c>
      <c r="C1826" s="4" t="s">
        <v>11</v>
      </c>
      <c r="D1826" s="7">
        <v>35.76</v>
      </c>
      <c r="E1826" s="4" t="s">
        <v>29</v>
      </c>
      <c r="F1826" s="4" t="s">
        <v>13</v>
      </c>
      <c r="G1826" s="4" t="s">
        <v>47</v>
      </c>
      <c r="H1826" s="4" t="s">
        <v>44</v>
      </c>
      <c r="I1826" s="5">
        <v>45721</v>
      </c>
      <c r="J1826" s="4">
        <f t="shared" si="28"/>
        <v>12</v>
      </c>
    </row>
    <row r="1827" spans="1:10" x14ac:dyDescent="0.25">
      <c r="A1827" s="4">
        <f>_xlfn.XLOOKUP(E1827,'Data Validation'!$M$3:$M$10,'Data Validation'!$N$3:$N$10)</f>
        <v>3</v>
      </c>
      <c r="B1827" s="4">
        <v>18</v>
      </c>
      <c r="C1827" s="4" t="s">
        <v>11</v>
      </c>
      <c r="D1827" s="7">
        <v>35.76</v>
      </c>
      <c r="E1827" s="4" t="s">
        <v>29</v>
      </c>
      <c r="F1827" s="4" t="s">
        <v>20</v>
      </c>
      <c r="G1827" s="4" t="s">
        <v>47</v>
      </c>
      <c r="H1827" s="4" t="s">
        <v>44</v>
      </c>
      <c r="I1827" s="5">
        <v>45721</v>
      </c>
      <c r="J1827" s="4">
        <f t="shared" si="28"/>
        <v>12</v>
      </c>
    </row>
    <row r="1828" spans="1:10" x14ac:dyDescent="0.25">
      <c r="A1828" s="4">
        <f>_xlfn.XLOOKUP(E1828,'Data Validation'!$M$3:$M$10,'Data Validation'!$N$3:$N$10)</f>
        <v>3</v>
      </c>
      <c r="B1828" s="4">
        <v>11</v>
      </c>
      <c r="C1828" s="4" t="s">
        <v>11</v>
      </c>
      <c r="D1828" s="7">
        <v>35.76</v>
      </c>
      <c r="E1828" s="4" t="s">
        <v>29</v>
      </c>
      <c r="F1828" s="4" t="s">
        <v>13</v>
      </c>
      <c r="G1828" s="4" t="s">
        <v>48</v>
      </c>
      <c r="H1828" s="4" t="s">
        <v>44</v>
      </c>
      <c r="I1828" s="5">
        <v>45722</v>
      </c>
      <c r="J1828" s="4">
        <f t="shared" si="28"/>
        <v>12</v>
      </c>
    </row>
    <row r="1829" spans="1:10" x14ac:dyDescent="0.25">
      <c r="A1829" s="4">
        <f>_xlfn.XLOOKUP(E1829,'Data Validation'!$M$3:$M$10,'Data Validation'!$N$3:$N$10)</f>
        <v>3</v>
      </c>
      <c r="B1829" s="4">
        <v>18</v>
      </c>
      <c r="C1829" s="4" t="s">
        <v>11</v>
      </c>
      <c r="D1829" s="7">
        <v>35.76</v>
      </c>
      <c r="E1829" s="4" t="s">
        <v>29</v>
      </c>
      <c r="F1829" s="4" t="s">
        <v>20</v>
      </c>
      <c r="G1829" s="4" t="s">
        <v>48</v>
      </c>
      <c r="H1829" s="4" t="s">
        <v>44</v>
      </c>
      <c r="I1829" s="5">
        <v>45722</v>
      </c>
      <c r="J1829" s="4">
        <f t="shared" si="28"/>
        <v>12</v>
      </c>
    </row>
    <row r="1830" spans="1:10" x14ac:dyDescent="0.25">
      <c r="A1830" s="4">
        <f>_xlfn.XLOOKUP(E1830,'Data Validation'!$M$3:$M$10,'Data Validation'!$N$3:$N$10)</f>
        <v>3</v>
      </c>
      <c r="B1830" s="4">
        <v>7</v>
      </c>
      <c r="C1830" s="4" t="s">
        <v>11</v>
      </c>
      <c r="D1830" s="7">
        <v>35.76</v>
      </c>
      <c r="E1830" s="4" t="s">
        <v>29</v>
      </c>
      <c r="F1830" s="4" t="s">
        <v>13</v>
      </c>
      <c r="G1830" s="4" t="s">
        <v>49</v>
      </c>
      <c r="H1830" s="4" t="s">
        <v>44</v>
      </c>
      <c r="I1830" s="5">
        <v>45723</v>
      </c>
      <c r="J1830" s="4">
        <f t="shared" si="28"/>
        <v>12</v>
      </c>
    </row>
    <row r="1831" spans="1:10" x14ac:dyDescent="0.25">
      <c r="A1831" s="4">
        <f>_xlfn.XLOOKUP(E1831,'Data Validation'!$M$3:$M$10,'Data Validation'!$N$3:$N$10)</f>
        <v>3</v>
      </c>
      <c r="B1831" s="4">
        <v>14</v>
      </c>
      <c r="C1831" s="4" t="s">
        <v>11</v>
      </c>
      <c r="D1831" s="7">
        <v>35.76</v>
      </c>
      <c r="E1831" s="4" t="s">
        <v>29</v>
      </c>
      <c r="F1831" s="4" t="s">
        <v>17</v>
      </c>
      <c r="G1831" s="4" t="s">
        <v>49</v>
      </c>
      <c r="H1831" s="4" t="s">
        <v>44</v>
      </c>
      <c r="I1831" s="5">
        <v>45723</v>
      </c>
      <c r="J1831" s="4">
        <f t="shared" si="28"/>
        <v>12</v>
      </c>
    </row>
    <row r="1832" spans="1:10" x14ac:dyDescent="0.25">
      <c r="A1832" s="4">
        <f>_xlfn.XLOOKUP(E1832,'Data Validation'!$M$3:$M$10,'Data Validation'!$N$3:$N$10)</f>
        <v>3</v>
      </c>
      <c r="B1832" s="4">
        <v>13</v>
      </c>
      <c r="C1832" s="4" t="s">
        <v>11</v>
      </c>
      <c r="D1832" s="7">
        <v>35.76</v>
      </c>
      <c r="E1832" s="4" t="s">
        <v>29</v>
      </c>
      <c r="F1832" s="4" t="s">
        <v>17</v>
      </c>
      <c r="G1832" s="4" t="s">
        <v>50</v>
      </c>
      <c r="H1832" s="4" t="s">
        <v>44</v>
      </c>
      <c r="I1832" s="5">
        <v>45724</v>
      </c>
      <c r="J1832" s="4">
        <f t="shared" si="28"/>
        <v>12</v>
      </c>
    </row>
    <row r="1833" spans="1:10" x14ac:dyDescent="0.25">
      <c r="A1833" s="4">
        <f>_xlfn.XLOOKUP(E1833,'Data Validation'!$M$3:$M$10,'Data Validation'!$N$3:$N$10)</f>
        <v>3</v>
      </c>
      <c r="B1833" s="4">
        <v>13</v>
      </c>
      <c r="C1833" s="4" t="s">
        <v>11</v>
      </c>
      <c r="D1833" s="7">
        <v>35.76</v>
      </c>
      <c r="E1833" s="4" t="s">
        <v>29</v>
      </c>
      <c r="F1833" s="4" t="s">
        <v>17</v>
      </c>
      <c r="G1833" s="4" t="s">
        <v>51</v>
      </c>
      <c r="H1833" s="4" t="s">
        <v>44</v>
      </c>
      <c r="I1833" s="5">
        <v>45725</v>
      </c>
      <c r="J1833" s="4">
        <f t="shared" si="28"/>
        <v>12</v>
      </c>
    </row>
    <row r="1834" spans="1:10" x14ac:dyDescent="0.25">
      <c r="A1834" s="4">
        <f>_xlfn.XLOOKUP(E1834,'Data Validation'!$M$3:$M$10,'Data Validation'!$N$3:$N$10)</f>
        <v>3</v>
      </c>
      <c r="B1834" s="4">
        <v>15</v>
      </c>
      <c r="C1834" s="4" t="s">
        <v>11</v>
      </c>
      <c r="D1834" s="7">
        <v>35.76</v>
      </c>
      <c r="E1834" s="4" t="s">
        <v>29</v>
      </c>
      <c r="F1834" s="4" t="s">
        <v>17</v>
      </c>
      <c r="G1834" s="4" t="s">
        <v>51</v>
      </c>
      <c r="H1834" s="4" t="s">
        <v>44</v>
      </c>
      <c r="I1834" s="5">
        <v>45725</v>
      </c>
      <c r="J1834" s="4">
        <f t="shared" si="28"/>
        <v>12</v>
      </c>
    </row>
    <row r="1835" spans="1:10" x14ac:dyDescent="0.25">
      <c r="A1835" s="4">
        <f>_xlfn.XLOOKUP(E1835,'Data Validation'!$M$3:$M$10,'Data Validation'!$N$3:$N$10)</f>
        <v>3</v>
      </c>
      <c r="B1835" s="4">
        <v>16</v>
      </c>
      <c r="C1835" s="4" t="s">
        <v>11</v>
      </c>
      <c r="D1835" s="7">
        <v>35.76</v>
      </c>
      <c r="E1835" s="4" t="s">
        <v>29</v>
      </c>
      <c r="F1835" s="4" t="s">
        <v>17</v>
      </c>
      <c r="G1835" s="4" t="s">
        <v>45</v>
      </c>
      <c r="H1835" s="4" t="s">
        <v>44</v>
      </c>
      <c r="I1835" s="5">
        <v>45726</v>
      </c>
      <c r="J1835" s="4">
        <f t="shared" si="28"/>
        <v>12</v>
      </c>
    </row>
    <row r="1836" spans="1:10" x14ac:dyDescent="0.25">
      <c r="A1836" s="4">
        <f>_xlfn.XLOOKUP(E1836,'Data Validation'!$M$3:$M$10,'Data Validation'!$N$3:$N$10)</f>
        <v>3</v>
      </c>
      <c r="B1836" s="4">
        <v>9</v>
      </c>
      <c r="C1836" s="4" t="s">
        <v>11</v>
      </c>
      <c r="D1836" s="7">
        <v>35.76</v>
      </c>
      <c r="E1836" s="4" t="s">
        <v>29</v>
      </c>
      <c r="F1836" s="4" t="s">
        <v>13</v>
      </c>
      <c r="G1836" s="4" t="s">
        <v>46</v>
      </c>
      <c r="H1836" s="4" t="s">
        <v>44</v>
      </c>
      <c r="I1836" s="5">
        <v>45727</v>
      </c>
      <c r="J1836" s="4">
        <f t="shared" si="28"/>
        <v>12</v>
      </c>
    </row>
    <row r="1837" spans="1:10" x14ac:dyDescent="0.25">
      <c r="A1837" s="4">
        <f>_xlfn.XLOOKUP(E1837,'Data Validation'!$M$3:$M$10,'Data Validation'!$N$3:$N$10)</f>
        <v>3</v>
      </c>
      <c r="B1837" s="4">
        <v>17</v>
      </c>
      <c r="C1837" s="4" t="s">
        <v>11</v>
      </c>
      <c r="D1837" s="7">
        <v>35.76</v>
      </c>
      <c r="E1837" s="4" t="s">
        <v>29</v>
      </c>
      <c r="F1837" s="4" t="s">
        <v>20</v>
      </c>
      <c r="G1837" s="4" t="s">
        <v>46</v>
      </c>
      <c r="H1837" s="4" t="s">
        <v>44</v>
      </c>
      <c r="I1837" s="5">
        <v>45727</v>
      </c>
      <c r="J1837" s="4">
        <f t="shared" si="28"/>
        <v>12</v>
      </c>
    </row>
    <row r="1838" spans="1:10" x14ac:dyDescent="0.25">
      <c r="A1838" s="4">
        <f>_xlfn.XLOOKUP(E1838,'Data Validation'!$M$3:$M$10,'Data Validation'!$N$3:$N$10)</f>
        <v>3</v>
      </c>
      <c r="B1838" s="4">
        <v>11</v>
      </c>
      <c r="C1838" s="4" t="s">
        <v>11</v>
      </c>
      <c r="D1838" s="7">
        <v>35.76</v>
      </c>
      <c r="E1838" s="4" t="s">
        <v>29</v>
      </c>
      <c r="F1838" s="4" t="s">
        <v>13</v>
      </c>
      <c r="G1838" s="4" t="s">
        <v>47</v>
      </c>
      <c r="H1838" s="4" t="s">
        <v>44</v>
      </c>
      <c r="I1838" s="5">
        <v>45728</v>
      </c>
      <c r="J1838" s="4">
        <f t="shared" si="28"/>
        <v>12</v>
      </c>
    </row>
    <row r="1839" spans="1:10" x14ac:dyDescent="0.25">
      <c r="A1839" s="4">
        <f>_xlfn.XLOOKUP(E1839,'Data Validation'!$M$3:$M$10,'Data Validation'!$N$3:$N$10)</f>
        <v>3</v>
      </c>
      <c r="B1839" s="4">
        <v>16</v>
      </c>
      <c r="C1839" s="4" t="s">
        <v>11</v>
      </c>
      <c r="D1839" s="7">
        <v>35.76</v>
      </c>
      <c r="E1839" s="4" t="s">
        <v>29</v>
      </c>
      <c r="F1839" s="4" t="s">
        <v>17</v>
      </c>
      <c r="G1839" s="4" t="s">
        <v>47</v>
      </c>
      <c r="H1839" s="4" t="s">
        <v>44</v>
      </c>
      <c r="I1839" s="5">
        <v>45728</v>
      </c>
      <c r="J1839" s="4">
        <f t="shared" si="28"/>
        <v>12</v>
      </c>
    </row>
    <row r="1840" spans="1:10" x14ac:dyDescent="0.25">
      <c r="A1840" s="4">
        <f>_xlfn.XLOOKUP(E1840,'Data Validation'!$M$3:$M$10,'Data Validation'!$N$3:$N$10)</f>
        <v>3</v>
      </c>
      <c r="B1840" s="4">
        <v>18</v>
      </c>
      <c r="C1840" s="4" t="s">
        <v>11</v>
      </c>
      <c r="D1840" s="7">
        <v>35.76</v>
      </c>
      <c r="E1840" s="4" t="s">
        <v>29</v>
      </c>
      <c r="F1840" s="4" t="s">
        <v>20</v>
      </c>
      <c r="G1840" s="4" t="s">
        <v>47</v>
      </c>
      <c r="H1840" s="4" t="s">
        <v>44</v>
      </c>
      <c r="I1840" s="5">
        <v>45728</v>
      </c>
      <c r="J1840" s="4">
        <f t="shared" si="28"/>
        <v>12</v>
      </c>
    </row>
    <row r="1841" spans="1:10" x14ac:dyDescent="0.25">
      <c r="A1841" s="4">
        <f>_xlfn.XLOOKUP(E1841,'Data Validation'!$M$3:$M$10,'Data Validation'!$N$3:$N$10)</f>
        <v>3</v>
      </c>
      <c r="B1841" s="4">
        <v>7</v>
      </c>
      <c r="C1841" s="4" t="s">
        <v>11</v>
      </c>
      <c r="D1841" s="7">
        <v>35.76</v>
      </c>
      <c r="E1841" s="4" t="s">
        <v>29</v>
      </c>
      <c r="F1841" s="4" t="s">
        <v>13</v>
      </c>
      <c r="G1841" s="4" t="s">
        <v>48</v>
      </c>
      <c r="H1841" s="4" t="s">
        <v>44</v>
      </c>
      <c r="I1841" s="5">
        <v>45729</v>
      </c>
      <c r="J1841" s="4">
        <f t="shared" si="28"/>
        <v>12</v>
      </c>
    </row>
    <row r="1842" spans="1:10" x14ac:dyDescent="0.25">
      <c r="A1842" s="4">
        <f>_xlfn.XLOOKUP(E1842,'Data Validation'!$M$3:$M$10,'Data Validation'!$N$3:$N$10)</f>
        <v>3</v>
      </c>
      <c r="B1842" s="4">
        <v>18</v>
      </c>
      <c r="C1842" s="4" t="s">
        <v>11</v>
      </c>
      <c r="D1842" s="7">
        <v>35.76</v>
      </c>
      <c r="E1842" s="4" t="s">
        <v>29</v>
      </c>
      <c r="F1842" s="4" t="s">
        <v>20</v>
      </c>
      <c r="G1842" s="4" t="s">
        <v>48</v>
      </c>
      <c r="H1842" s="4" t="s">
        <v>44</v>
      </c>
      <c r="I1842" s="5">
        <v>45729</v>
      </c>
      <c r="J1842" s="4">
        <f t="shared" si="28"/>
        <v>12</v>
      </c>
    </row>
    <row r="1843" spans="1:10" x14ac:dyDescent="0.25">
      <c r="A1843" s="4">
        <f>_xlfn.XLOOKUP(E1843,'Data Validation'!$M$3:$M$10,'Data Validation'!$N$3:$N$10)</f>
        <v>3</v>
      </c>
      <c r="B1843" s="4">
        <v>10</v>
      </c>
      <c r="C1843" s="4" t="s">
        <v>11</v>
      </c>
      <c r="D1843" s="7">
        <v>35.76</v>
      </c>
      <c r="E1843" s="4" t="s">
        <v>29</v>
      </c>
      <c r="F1843" s="4" t="s">
        <v>13</v>
      </c>
      <c r="G1843" s="4" t="s">
        <v>49</v>
      </c>
      <c r="H1843" s="4" t="s">
        <v>44</v>
      </c>
      <c r="I1843" s="5">
        <v>45730</v>
      </c>
      <c r="J1843" s="4">
        <f t="shared" si="28"/>
        <v>12</v>
      </c>
    </row>
    <row r="1844" spans="1:10" x14ac:dyDescent="0.25">
      <c r="A1844" s="4">
        <f>_xlfn.XLOOKUP(E1844,'Data Validation'!$M$3:$M$10,'Data Validation'!$N$3:$N$10)</f>
        <v>3</v>
      </c>
      <c r="B1844" s="4">
        <v>10</v>
      </c>
      <c r="C1844" s="4" t="s">
        <v>11</v>
      </c>
      <c r="D1844" s="7">
        <v>35.76</v>
      </c>
      <c r="E1844" s="4" t="s">
        <v>29</v>
      </c>
      <c r="F1844" s="4" t="s">
        <v>13</v>
      </c>
      <c r="G1844" s="4" t="s">
        <v>50</v>
      </c>
      <c r="H1844" s="4" t="s">
        <v>44</v>
      </c>
      <c r="I1844" s="5">
        <v>45731</v>
      </c>
      <c r="J1844" s="4">
        <f t="shared" si="28"/>
        <v>12</v>
      </c>
    </row>
    <row r="1845" spans="1:10" x14ac:dyDescent="0.25">
      <c r="A1845" s="4">
        <f>_xlfn.XLOOKUP(E1845,'Data Validation'!$M$3:$M$10,'Data Validation'!$N$3:$N$10)</f>
        <v>3</v>
      </c>
      <c r="B1845" s="4">
        <v>17</v>
      </c>
      <c r="C1845" s="4" t="s">
        <v>11</v>
      </c>
      <c r="D1845" s="7">
        <v>35.76</v>
      </c>
      <c r="E1845" s="4" t="s">
        <v>29</v>
      </c>
      <c r="F1845" s="4" t="s">
        <v>20</v>
      </c>
      <c r="G1845" s="4" t="s">
        <v>50</v>
      </c>
      <c r="H1845" s="4" t="s">
        <v>44</v>
      </c>
      <c r="I1845" s="5">
        <v>45731</v>
      </c>
      <c r="J1845" s="4">
        <f t="shared" si="28"/>
        <v>12</v>
      </c>
    </row>
    <row r="1846" spans="1:10" x14ac:dyDescent="0.25">
      <c r="A1846" s="4">
        <f>_xlfn.XLOOKUP(E1846,'Data Validation'!$M$3:$M$10,'Data Validation'!$N$3:$N$10)</f>
        <v>3</v>
      </c>
      <c r="B1846" s="4">
        <v>19</v>
      </c>
      <c r="C1846" s="4" t="s">
        <v>11</v>
      </c>
      <c r="D1846" s="7">
        <v>35.76</v>
      </c>
      <c r="E1846" s="4" t="s">
        <v>29</v>
      </c>
      <c r="F1846" s="4" t="s">
        <v>20</v>
      </c>
      <c r="G1846" s="4" t="s">
        <v>50</v>
      </c>
      <c r="H1846" s="4" t="s">
        <v>44</v>
      </c>
      <c r="I1846" s="5">
        <v>45731</v>
      </c>
      <c r="J1846" s="4">
        <f t="shared" si="28"/>
        <v>12</v>
      </c>
    </row>
    <row r="1847" spans="1:10" x14ac:dyDescent="0.25">
      <c r="A1847" s="4">
        <f>_xlfn.XLOOKUP(E1847,'Data Validation'!$M$3:$M$10,'Data Validation'!$N$3:$N$10)</f>
        <v>3</v>
      </c>
      <c r="B1847" s="4">
        <v>9</v>
      </c>
      <c r="C1847" s="4" t="s">
        <v>11</v>
      </c>
      <c r="D1847" s="7">
        <v>35.76</v>
      </c>
      <c r="E1847" s="4" t="s">
        <v>29</v>
      </c>
      <c r="F1847" s="4" t="s">
        <v>13</v>
      </c>
      <c r="G1847" s="4" t="s">
        <v>51</v>
      </c>
      <c r="H1847" s="4" t="s">
        <v>44</v>
      </c>
      <c r="I1847" s="5">
        <v>45732</v>
      </c>
      <c r="J1847" s="4">
        <f t="shared" si="28"/>
        <v>12</v>
      </c>
    </row>
    <row r="1848" spans="1:10" x14ac:dyDescent="0.25">
      <c r="A1848" s="4">
        <f>_xlfn.XLOOKUP(E1848,'Data Validation'!$M$3:$M$10,'Data Validation'!$N$3:$N$10)</f>
        <v>3</v>
      </c>
      <c r="B1848" s="4">
        <v>15</v>
      </c>
      <c r="C1848" s="4" t="s">
        <v>11</v>
      </c>
      <c r="D1848" s="7">
        <v>35.76</v>
      </c>
      <c r="E1848" s="4" t="s">
        <v>29</v>
      </c>
      <c r="F1848" s="4" t="s">
        <v>17</v>
      </c>
      <c r="G1848" s="4" t="s">
        <v>45</v>
      </c>
      <c r="H1848" s="4" t="s">
        <v>44</v>
      </c>
      <c r="I1848" s="5">
        <v>45733</v>
      </c>
      <c r="J1848" s="4">
        <f t="shared" si="28"/>
        <v>12</v>
      </c>
    </row>
    <row r="1849" spans="1:10" x14ac:dyDescent="0.25">
      <c r="A1849" s="4">
        <f>_xlfn.XLOOKUP(E1849,'Data Validation'!$M$3:$M$10,'Data Validation'!$N$3:$N$10)</f>
        <v>3</v>
      </c>
      <c r="B1849" s="4">
        <v>7</v>
      </c>
      <c r="C1849" s="4" t="s">
        <v>11</v>
      </c>
      <c r="D1849" s="7">
        <v>35.76</v>
      </c>
      <c r="E1849" s="4" t="s">
        <v>29</v>
      </c>
      <c r="F1849" s="4" t="s">
        <v>13</v>
      </c>
      <c r="G1849" s="4" t="s">
        <v>47</v>
      </c>
      <c r="H1849" s="4" t="s">
        <v>44</v>
      </c>
      <c r="I1849" s="5">
        <v>45735</v>
      </c>
      <c r="J1849" s="4">
        <f t="shared" si="28"/>
        <v>12</v>
      </c>
    </row>
    <row r="1850" spans="1:10" x14ac:dyDescent="0.25">
      <c r="A1850" s="4">
        <f>_xlfn.XLOOKUP(E1850,'Data Validation'!$M$3:$M$10,'Data Validation'!$N$3:$N$10)</f>
        <v>3</v>
      </c>
      <c r="B1850" s="4">
        <v>16</v>
      </c>
      <c r="C1850" s="4" t="s">
        <v>11</v>
      </c>
      <c r="D1850" s="7">
        <v>35.76</v>
      </c>
      <c r="E1850" s="4" t="s">
        <v>29</v>
      </c>
      <c r="F1850" s="4" t="s">
        <v>17</v>
      </c>
      <c r="G1850" s="4" t="s">
        <v>47</v>
      </c>
      <c r="H1850" s="4" t="s">
        <v>44</v>
      </c>
      <c r="I1850" s="5">
        <v>45735</v>
      </c>
      <c r="J1850" s="4">
        <f t="shared" si="28"/>
        <v>12</v>
      </c>
    </row>
    <row r="1851" spans="1:10" x14ac:dyDescent="0.25">
      <c r="A1851" s="4">
        <f>_xlfn.XLOOKUP(E1851,'Data Validation'!$M$3:$M$10,'Data Validation'!$N$3:$N$10)</f>
        <v>3</v>
      </c>
      <c r="B1851" s="4">
        <v>16</v>
      </c>
      <c r="C1851" s="4" t="s">
        <v>11</v>
      </c>
      <c r="D1851" s="7">
        <v>35.76</v>
      </c>
      <c r="E1851" s="4" t="s">
        <v>29</v>
      </c>
      <c r="F1851" s="4" t="s">
        <v>17</v>
      </c>
      <c r="G1851" s="4" t="s">
        <v>47</v>
      </c>
      <c r="H1851" s="4" t="s">
        <v>44</v>
      </c>
      <c r="I1851" s="5">
        <v>45735</v>
      </c>
      <c r="J1851" s="4">
        <f t="shared" si="28"/>
        <v>12</v>
      </c>
    </row>
    <row r="1852" spans="1:10" x14ac:dyDescent="0.25">
      <c r="A1852" s="4">
        <f>_xlfn.XLOOKUP(E1852,'Data Validation'!$M$3:$M$10,'Data Validation'!$N$3:$N$10)</f>
        <v>3</v>
      </c>
      <c r="B1852" s="4">
        <v>14</v>
      </c>
      <c r="C1852" s="4" t="s">
        <v>11</v>
      </c>
      <c r="D1852" s="7">
        <v>35.76</v>
      </c>
      <c r="E1852" s="4" t="s">
        <v>29</v>
      </c>
      <c r="F1852" s="4" t="s">
        <v>17</v>
      </c>
      <c r="G1852" s="4" t="s">
        <v>48</v>
      </c>
      <c r="H1852" s="4" t="s">
        <v>44</v>
      </c>
      <c r="I1852" s="5">
        <v>45736</v>
      </c>
      <c r="J1852" s="4">
        <f t="shared" si="28"/>
        <v>12</v>
      </c>
    </row>
    <row r="1853" spans="1:10" x14ac:dyDescent="0.25">
      <c r="A1853" s="4">
        <f>_xlfn.XLOOKUP(E1853,'Data Validation'!$M$3:$M$10,'Data Validation'!$N$3:$N$10)</f>
        <v>3</v>
      </c>
      <c r="B1853" s="4">
        <v>14</v>
      </c>
      <c r="C1853" s="4" t="s">
        <v>11</v>
      </c>
      <c r="D1853" s="7">
        <v>35.76</v>
      </c>
      <c r="E1853" s="4" t="s">
        <v>29</v>
      </c>
      <c r="F1853" s="4" t="s">
        <v>17</v>
      </c>
      <c r="G1853" s="4" t="s">
        <v>48</v>
      </c>
      <c r="H1853" s="4" t="s">
        <v>44</v>
      </c>
      <c r="I1853" s="5">
        <v>45736</v>
      </c>
      <c r="J1853" s="4">
        <f t="shared" si="28"/>
        <v>12</v>
      </c>
    </row>
    <row r="1854" spans="1:10" x14ac:dyDescent="0.25">
      <c r="A1854" s="4">
        <f>_xlfn.XLOOKUP(E1854,'Data Validation'!$M$3:$M$10,'Data Validation'!$N$3:$N$10)</f>
        <v>3</v>
      </c>
      <c r="B1854" s="4">
        <v>16</v>
      </c>
      <c r="C1854" s="4" t="s">
        <v>11</v>
      </c>
      <c r="D1854" s="7">
        <v>35.76</v>
      </c>
      <c r="E1854" s="4" t="s">
        <v>29</v>
      </c>
      <c r="F1854" s="4" t="s">
        <v>17</v>
      </c>
      <c r="G1854" s="4" t="s">
        <v>48</v>
      </c>
      <c r="H1854" s="4" t="s">
        <v>44</v>
      </c>
      <c r="I1854" s="5">
        <v>45736</v>
      </c>
      <c r="J1854" s="4">
        <f t="shared" si="28"/>
        <v>12</v>
      </c>
    </row>
    <row r="1855" spans="1:10" x14ac:dyDescent="0.25">
      <c r="A1855" s="4">
        <f>_xlfn.XLOOKUP(E1855,'Data Validation'!$M$3:$M$10,'Data Validation'!$N$3:$N$10)</f>
        <v>3</v>
      </c>
      <c r="B1855" s="4">
        <v>19</v>
      </c>
      <c r="C1855" s="4" t="s">
        <v>11</v>
      </c>
      <c r="D1855" s="7">
        <v>35.76</v>
      </c>
      <c r="E1855" s="4" t="s">
        <v>29</v>
      </c>
      <c r="F1855" s="4" t="s">
        <v>20</v>
      </c>
      <c r="G1855" s="4" t="s">
        <v>48</v>
      </c>
      <c r="H1855" s="4" t="s">
        <v>44</v>
      </c>
      <c r="I1855" s="5">
        <v>45736</v>
      </c>
      <c r="J1855" s="4">
        <f t="shared" si="28"/>
        <v>12</v>
      </c>
    </row>
    <row r="1856" spans="1:10" x14ac:dyDescent="0.25">
      <c r="A1856" s="4">
        <f>_xlfn.XLOOKUP(E1856,'Data Validation'!$M$3:$M$10,'Data Validation'!$N$3:$N$10)</f>
        <v>3</v>
      </c>
      <c r="B1856" s="4">
        <v>8</v>
      </c>
      <c r="C1856" s="4" t="s">
        <v>11</v>
      </c>
      <c r="D1856" s="7">
        <v>35.76</v>
      </c>
      <c r="E1856" s="4" t="s">
        <v>29</v>
      </c>
      <c r="F1856" s="4" t="s">
        <v>13</v>
      </c>
      <c r="G1856" s="4" t="s">
        <v>49</v>
      </c>
      <c r="H1856" s="4" t="s">
        <v>44</v>
      </c>
      <c r="I1856" s="5">
        <v>45737</v>
      </c>
      <c r="J1856" s="4">
        <f t="shared" si="28"/>
        <v>12</v>
      </c>
    </row>
    <row r="1857" spans="1:10" x14ac:dyDescent="0.25">
      <c r="A1857" s="4">
        <f>_xlfn.XLOOKUP(E1857,'Data Validation'!$M$3:$M$10,'Data Validation'!$N$3:$N$10)</f>
        <v>3</v>
      </c>
      <c r="B1857" s="4">
        <v>14</v>
      </c>
      <c r="C1857" s="4" t="s">
        <v>11</v>
      </c>
      <c r="D1857" s="7">
        <v>35.76</v>
      </c>
      <c r="E1857" s="4" t="s">
        <v>29</v>
      </c>
      <c r="F1857" s="4" t="s">
        <v>17</v>
      </c>
      <c r="G1857" s="4" t="s">
        <v>49</v>
      </c>
      <c r="H1857" s="4" t="s">
        <v>44</v>
      </c>
      <c r="I1857" s="5">
        <v>45737</v>
      </c>
      <c r="J1857" s="4">
        <f t="shared" si="28"/>
        <v>12</v>
      </c>
    </row>
    <row r="1858" spans="1:10" x14ac:dyDescent="0.25">
      <c r="A1858" s="4">
        <f>_xlfn.XLOOKUP(E1858,'Data Validation'!$M$3:$M$10,'Data Validation'!$N$3:$N$10)</f>
        <v>3</v>
      </c>
      <c r="B1858" s="4">
        <v>15</v>
      </c>
      <c r="C1858" s="4" t="s">
        <v>11</v>
      </c>
      <c r="D1858" s="7">
        <v>35.76</v>
      </c>
      <c r="E1858" s="4" t="s">
        <v>29</v>
      </c>
      <c r="F1858" s="4" t="s">
        <v>17</v>
      </c>
      <c r="G1858" s="4" t="s">
        <v>49</v>
      </c>
      <c r="H1858" s="4" t="s">
        <v>44</v>
      </c>
      <c r="I1858" s="5">
        <v>45737</v>
      </c>
      <c r="J1858" s="4">
        <f t="shared" si="28"/>
        <v>12</v>
      </c>
    </row>
    <row r="1859" spans="1:10" x14ac:dyDescent="0.25">
      <c r="A1859" s="4">
        <f>_xlfn.XLOOKUP(E1859,'Data Validation'!$M$3:$M$10,'Data Validation'!$N$3:$N$10)</f>
        <v>3</v>
      </c>
      <c r="B1859" s="4">
        <v>15</v>
      </c>
      <c r="C1859" s="4" t="s">
        <v>11</v>
      </c>
      <c r="D1859" s="7">
        <v>35.76</v>
      </c>
      <c r="E1859" s="4" t="s">
        <v>29</v>
      </c>
      <c r="F1859" s="4" t="s">
        <v>17</v>
      </c>
      <c r="G1859" s="4" t="s">
        <v>49</v>
      </c>
      <c r="H1859" s="4" t="s">
        <v>44</v>
      </c>
      <c r="I1859" s="5">
        <v>45737</v>
      </c>
      <c r="J1859" s="4">
        <f t="shared" ref="J1859:J1922" si="29">IF(OR(E1859&lt;&gt;E1858,D1859&lt;&gt;D1858),J1858+1,J1858)</f>
        <v>12</v>
      </c>
    </row>
    <row r="1860" spans="1:10" x14ac:dyDescent="0.25">
      <c r="A1860" s="4">
        <f>_xlfn.XLOOKUP(E1860,'Data Validation'!$M$3:$M$10,'Data Validation'!$N$3:$N$10)</f>
        <v>3</v>
      </c>
      <c r="B1860" s="4">
        <v>10</v>
      </c>
      <c r="C1860" s="4" t="s">
        <v>11</v>
      </c>
      <c r="D1860" s="7">
        <v>35.76</v>
      </c>
      <c r="E1860" s="4" t="s">
        <v>29</v>
      </c>
      <c r="F1860" s="4" t="s">
        <v>13</v>
      </c>
      <c r="G1860" s="4" t="s">
        <v>51</v>
      </c>
      <c r="H1860" s="4" t="s">
        <v>44</v>
      </c>
      <c r="I1860" s="5">
        <v>45739</v>
      </c>
      <c r="J1860" s="4">
        <f t="shared" si="29"/>
        <v>12</v>
      </c>
    </row>
    <row r="1861" spans="1:10" x14ac:dyDescent="0.25">
      <c r="A1861" s="4">
        <f>_xlfn.XLOOKUP(E1861,'Data Validation'!$M$3:$M$10,'Data Validation'!$N$3:$N$10)</f>
        <v>4</v>
      </c>
      <c r="B1861" s="4">
        <v>19</v>
      </c>
      <c r="C1861" s="4" t="s">
        <v>11</v>
      </c>
      <c r="D1861" s="7">
        <v>38.700000000000003</v>
      </c>
      <c r="E1861" s="4" t="s">
        <v>21</v>
      </c>
      <c r="F1861" s="4" t="s">
        <v>20</v>
      </c>
      <c r="G1861" s="4" t="s">
        <v>49</v>
      </c>
      <c r="H1861" s="4" t="s">
        <v>44</v>
      </c>
      <c r="I1861" s="5">
        <v>45352</v>
      </c>
      <c r="J1861" s="4">
        <f t="shared" si="29"/>
        <v>13</v>
      </c>
    </row>
    <row r="1862" spans="1:10" x14ac:dyDescent="0.25">
      <c r="A1862" s="4">
        <f>_xlfn.XLOOKUP(E1862,'Data Validation'!$M$3:$M$10,'Data Validation'!$N$3:$N$10)</f>
        <v>4</v>
      </c>
      <c r="B1862" s="4">
        <v>17</v>
      </c>
      <c r="C1862" s="4" t="s">
        <v>11</v>
      </c>
      <c r="D1862" s="7">
        <v>38.700000000000003</v>
      </c>
      <c r="E1862" s="4" t="s">
        <v>21</v>
      </c>
      <c r="F1862" s="4" t="s">
        <v>20</v>
      </c>
      <c r="G1862" s="4" t="s">
        <v>51</v>
      </c>
      <c r="H1862" s="4" t="s">
        <v>44</v>
      </c>
      <c r="I1862" s="5">
        <v>45354</v>
      </c>
      <c r="J1862" s="4">
        <f t="shared" si="29"/>
        <v>13</v>
      </c>
    </row>
    <row r="1863" spans="1:10" x14ac:dyDescent="0.25">
      <c r="A1863" s="4">
        <f>_xlfn.XLOOKUP(E1863,'Data Validation'!$M$3:$M$10,'Data Validation'!$N$3:$N$10)</f>
        <v>4</v>
      </c>
      <c r="B1863" s="4">
        <v>17</v>
      </c>
      <c r="C1863" s="4" t="s">
        <v>11</v>
      </c>
      <c r="D1863" s="7">
        <v>38.700000000000003</v>
      </c>
      <c r="E1863" s="4" t="s">
        <v>21</v>
      </c>
      <c r="F1863" s="4" t="s">
        <v>20</v>
      </c>
      <c r="G1863" s="4" t="s">
        <v>46</v>
      </c>
      <c r="H1863" s="4" t="s">
        <v>44</v>
      </c>
      <c r="I1863" s="5">
        <v>45356</v>
      </c>
      <c r="J1863" s="4">
        <f t="shared" si="29"/>
        <v>13</v>
      </c>
    </row>
    <row r="1864" spans="1:10" x14ac:dyDescent="0.25">
      <c r="A1864" s="4">
        <f>_xlfn.XLOOKUP(E1864,'Data Validation'!$M$3:$M$10,'Data Validation'!$N$3:$N$10)</f>
        <v>4</v>
      </c>
      <c r="B1864" s="4">
        <v>16</v>
      </c>
      <c r="C1864" s="4" t="s">
        <v>11</v>
      </c>
      <c r="D1864" s="7">
        <v>38.700000000000003</v>
      </c>
      <c r="E1864" s="4" t="s">
        <v>21</v>
      </c>
      <c r="F1864" s="4" t="s">
        <v>17</v>
      </c>
      <c r="G1864" s="4" t="s">
        <v>47</v>
      </c>
      <c r="H1864" s="4" t="s">
        <v>44</v>
      </c>
      <c r="I1864" s="5">
        <v>45371</v>
      </c>
      <c r="J1864" s="4">
        <f t="shared" si="29"/>
        <v>13</v>
      </c>
    </row>
    <row r="1865" spans="1:10" x14ac:dyDescent="0.25">
      <c r="A1865" s="4">
        <f>_xlfn.XLOOKUP(E1865,'Data Validation'!$M$3:$M$10,'Data Validation'!$N$3:$N$10)</f>
        <v>4</v>
      </c>
      <c r="B1865" s="4">
        <v>13</v>
      </c>
      <c r="C1865" s="4" t="s">
        <v>11</v>
      </c>
      <c r="D1865" s="7">
        <v>38.700000000000003</v>
      </c>
      <c r="E1865" s="4" t="s">
        <v>21</v>
      </c>
      <c r="F1865" s="4" t="s">
        <v>17</v>
      </c>
      <c r="G1865" s="4" t="s">
        <v>50</v>
      </c>
      <c r="H1865" s="4" t="s">
        <v>44</v>
      </c>
      <c r="I1865" s="5">
        <v>45374</v>
      </c>
      <c r="J1865" s="4">
        <f t="shared" si="29"/>
        <v>13</v>
      </c>
    </row>
    <row r="1866" spans="1:10" x14ac:dyDescent="0.25">
      <c r="A1866" s="4">
        <f>_xlfn.XLOOKUP(E1866,'Data Validation'!$M$3:$M$10,'Data Validation'!$N$3:$N$10)</f>
        <v>4</v>
      </c>
      <c r="B1866" s="4">
        <v>10</v>
      </c>
      <c r="C1866" s="4" t="s">
        <v>11</v>
      </c>
      <c r="D1866" s="7">
        <v>38.700000000000003</v>
      </c>
      <c r="E1866" s="4" t="s">
        <v>21</v>
      </c>
      <c r="F1866" s="4" t="s">
        <v>13</v>
      </c>
      <c r="G1866" s="4" t="s">
        <v>46</v>
      </c>
      <c r="H1866" s="4" t="s">
        <v>44</v>
      </c>
      <c r="I1866" s="5">
        <v>45377</v>
      </c>
      <c r="J1866" s="4">
        <f t="shared" si="29"/>
        <v>13</v>
      </c>
    </row>
    <row r="1867" spans="1:10" x14ac:dyDescent="0.25">
      <c r="A1867" s="4">
        <f>_xlfn.XLOOKUP(E1867,'Data Validation'!$M$3:$M$10,'Data Validation'!$N$3:$N$10)</f>
        <v>4</v>
      </c>
      <c r="B1867" s="4">
        <v>12</v>
      </c>
      <c r="C1867" s="4" t="s">
        <v>11</v>
      </c>
      <c r="D1867" s="7">
        <v>38.700000000000003</v>
      </c>
      <c r="E1867" s="4" t="s">
        <v>21</v>
      </c>
      <c r="F1867" s="4" t="s">
        <v>17</v>
      </c>
      <c r="G1867" s="4" t="s">
        <v>46</v>
      </c>
      <c r="H1867" s="4" t="s">
        <v>52</v>
      </c>
      <c r="I1867" s="5">
        <v>45398</v>
      </c>
      <c r="J1867" s="4">
        <f t="shared" si="29"/>
        <v>13</v>
      </c>
    </row>
    <row r="1868" spans="1:10" x14ac:dyDescent="0.25">
      <c r="A1868" s="4">
        <f>_xlfn.XLOOKUP(E1868,'Data Validation'!$M$3:$M$10,'Data Validation'!$N$3:$N$10)</f>
        <v>4</v>
      </c>
      <c r="B1868" s="4">
        <v>18</v>
      </c>
      <c r="C1868" s="4" t="s">
        <v>11</v>
      </c>
      <c r="D1868" s="7">
        <v>38.700000000000003</v>
      </c>
      <c r="E1868" s="4" t="s">
        <v>21</v>
      </c>
      <c r="F1868" s="4" t="s">
        <v>20</v>
      </c>
      <c r="G1868" s="4" t="s">
        <v>46</v>
      </c>
      <c r="H1868" s="4" t="s">
        <v>52</v>
      </c>
      <c r="I1868" s="5">
        <v>45398</v>
      </c>
      <c r="J1868" s="4">
        <f t="shared" si="29"/>
        <v>13</v>
      </c>
    </row>
    <row r="1869" spans="1:10" x14ac:dyDescent="0.25">
      <c r="A1869" s="4">
        <f>_xlfn.XLOOKUP(E1869,'Data Validation'!$M$3:$M$10,'Data Validation'!$N$3:$N$10)</f>
        <v>4</v>
      </c>
      <c r="B1869" s="4">
        <v>18</v>
      </c>
      <c r="C1869" s="4" t="s">
        <v>11</v>
      </c>
      <c r="D1869" s="7">
        <v>38.700000000000003</v>
      </c>
      <c r="E1869" s="4" t="s">
        <v>21</v>
      </c>
      <c r="F1869" s="4" t="s">
        <v>20</v>
      </c>
      <c r="G1869" s="4" t="s">
        <v>49</v>
      </c>
      <c r="H1869" s="4" t="s">
        <v>52</v>
      </c>
      <c r="I1869" s="5">
        <v>45401</v>
      </c>
      <c r="J1869" s="4">
        <f t="shared" si="29"/>
        <v>13</v>
      </c>
    </row>
    <row r="1870" spans="1:10" x14ac:dyDescent="0.25">
      <c r="A1870" s="4">
        <f>_xlfn.XLOOKUP(E1870,'Data Validation'!$M$3:$M$10,'Data Validation'!$N$3:$N$10)</f>
        <v>4</v>
      </c>
      <c r="B1870" s="4">
        <v>19</v>
      </c>
      <c r="C1870" s="4" t="s">
        <v>11</v>
      </c>
      <c r="D1870" s="7">
        <v>37.72</v>
      </c>
      <c r="E1870" s="4" t="s">
        <v>21</v>
      </c>
      <c r="F1870" s="4" t="s">
        <v>20</v>
      </c>
      <c r="G1870" s="4" t="s">
        <v>49</v>
      </c>
      <c r="H1870" s="4" t="s">
        <v>52</v>
      </c>
      <c r="I1870" s="5">
        <v>45408</v>
      </c>
      <c r="J1870" s="4">
        <f t="shared" si="29"/>
        <v>14</v>
      </c>
    </row>
    <row r="1871" spans="1:10" x14ac:dyDescent="0.25">
      <c r="A1871" s="4">
        <f>_xlfn.XLOOKUP(E1871,'Data Validation'!$M$3:$M$10,'Data Validation'!$N$3:$N$10)</f>
        <v>4</v>
      </c>
      <c r="B1871" s="4">
        <v>10</v>
      </c>
      <c r="C1871" s="4" t="s">
        <v>11</v>
      </c>
      <c r="D1871" s="7">
        <v>37.72</v>
      </c>
      <c r="E1871" s="4" t="s">
        <v>21</v>
      </c>
      <c r="F1871" s="4" t="s">
        <v>13</v>
      </c>
      <c r="G1871" s="4" t="s">
        <v>46</v>
      </c>
      <c r="H1871" s="4" t="s">
        <v>32</v>
      </c>
      <c r="I1871" s="5">
        <v>45419</v>
      </c>
      <c r="J1871" s="4">
        <f t="shared" si="29"/>
        <v>14</v>
      </c>
    </row>
    <row r="1872" spans="1:10" x14ac:dyDescent="0.25">
      <c r="A1872" s="4">
        <f>_xlfn.XLOOKUP(E1872,'Data Validation'!$M$3:$M$10,'Data Validation'!$N$3:$N$10)</f>
        <v>4</v>
      </c>
      <c r="B1872" s="4">
        <v>16</v>
      </c>
      <c r="C1872" s="4" t="s">
        <v>11</v>
      </c>
      <c r="D1872" s="7">
        <v>37.72</v>
      </c>
      <c r="E1872" s="4" t="s">
        <v>21</v>
      </c>
      <c r="F1872" s="4" t="s">
        <v>17</v>
      </c>
      <c r="G1872" s="4" t="s">
        <v>46</v>
      </c>
      <c r="H1872" s="4" t="s">
        <v>32</v>
      </c>
      <c r="I1872" s="5">
        <v>45419</v>
      </c>
      <c r="J1872" s="4">
        <f t="shared" si="29"/>
        <v>14</v>
      </c>
    </row>
    <row r="1873" spans="1:10" x14ac:dyDescent="0.25">
      <c r="A1873" s="4">
        <f>_xlfn.XLOOKUP(E1873,'Data Validation'!$M$3:$M$10,'Data Validation'!$N$3:$N$10)</f>
        <v>4</v>
      </c>
      <c r="B1873" s="4">
        <v>17</v>
      </c>
      <c r="C1873" s="4" t="s">
        <v>11</v>
      </c>
      <c r="D1873" s="7">
        <v>37.72</v>
      </c>
      <c r="E1873" s="4" t="s">
        <v>21</v>
      </c>
      <c r="F1873" s="4" t="s">
        <v>20</v>
      </c>
      <c r="G1873" s="4" t="s">
        <v>50</v>
      </c>
      <c r="H1873" s="4" t="s">
        <v>32</v>
      </c>
      <c r="I1873" s="5">
        <v>45423</v>
      </c>
      <c r="J1873" s="4">
        <f t="shared" si="29"/>
        <v>14</v>
      </c>
    </row>
    <row r="1874" spans="1:10" x14ac:dyDescent="0.25">
      <c r="A1874" s="4">
        <f>_xlfn.XLOOKUP(E1874,'Data Validation'!$M$3:$M$10,'Data Validation'!$N$3:$N$10)</f>
        <v>4</v>
      </c>
      <c r="B1874" s="4">
        <v>20</v>
      </c>
      <c r="C1874" s="4" t="s">
        <v>11</v>
      </c>
      <c r="D1874" s="7">
        <v>37.72</v>
      </c>
      <c r="E1874" s="4" t="s">
        <v>21</v>
      </c>
      <c r="F1874" s="4" t="s">
        <v>20</v>
      </c>
      <c r="G1874" s="4" t="s">
        <v>45</v>
      </c>
      <c r="H1874" s="4" t="s">
        <v>32</v>
      </c>
      <c r="I1874" s="5">
        <v>45432</v>
      </c>
      <c r="J1874" s="4">
        <f t="shared" si="29"/>
        <v>14</v>
      </c>
    </row>
    <row r="1875" spans="1:10" x14ac:dyDescent="0.25">
      <c r="A1875" s="4">
        <f>_xlfn.XLOOKUP(E1875,'Data Validation'!$M$3:$M$10,'Data Validation'!$N$3:$N$10)</f>
        <v>4</v>
      </c>
      <c r="B1875" s="4">
        <v>14</v>
      </c>
      <c r="C1875" s="4" t="s">
        <v>11</v>
      </c>
      <c r="D1875" s="7">
        <v>37.72</v>
      </c>
      <c r="E1875" s="4" t="s">
        <v>21</v>
      </c>
      <c r="F1875" s="4" t="s">
        <v>17</v>
      </c>
      <c r="G1875" s="4" t="s">
        <v>45</v>
      </c>
      <c r="H1875" s="4" t="s">
        <v>32</v>
      </c>
      <c r="I1875" s="5">
        <v>45439</v>
      </c>
      <c r="J1875" s="4">
        <f t="shared" si="29"/>
        <v>14</v>
      </c>
    </row>
    <row r="1876" spans="1:10" x14ac:dyDescent="0.25">
      <c r="A1876" s="4">
        <f>_xlfn.XLOOKUP(E1876,'Data Validation'!$M$3:$M$10,'Data Validation'!$N$3:$N$10)</f>
        <v>4</v>
      </c>
      <c r="B1876" s="4">
        <v>14</v>
      </c>
      <c r="C1876" s="4" t="s">
        <v>11</v>
      </c>
      <c r="D1876" s="7">
        <v>37.72</v>
      </c>
      <c r="E1876" s="4" t="s">
        <v>21</v>
      </c>
      <c r="F1876" s="4" t="s">
        <v>17</v>
      </c>
      <c r="G1876" s="4" t="s">
        <v>46</v>
      </c>
      <c r="H1876" s="4" t="s">
        <v>32</v>
      </c>
      <c r="I1876" s="5">
        <v>45440</v>
      </c>
      <c r="J1876" s="4">
        <f t="shared" si="29"/>
        <v>14</v>
      </c>
    </row>
    <row r="1877" spans="1:10" x14ac:dyDescent="0.25">
      <c r="A1877" s="4">
        <f>_xlfn.XLOOKUP(E1877,'Data Validation'!$M$3:$M$10,'Data Validation'!$N$3:$N$10)</f>
        <v>4</v>
      </c>
      <c r="B1877" s="4">
        <v>20</v>
      </c>
      <c r="C1877" s="4" t="s">
        <v>11</v>
      </c>
      <c r="D1877" s="7">
        <v>37.72</v>
      </c>
      <c r="E1877" s="4" t="s">
        <v>21</v>
      </c>
      <c r="F1877" s="4" t="s">
        <v>20</v>
      </c>
      <c r="G1877" s="4" t="s">
        <v>47</v>
      </c>
      <c r="H1877" s="4" t="s">
        <v>32</v>
      </c>
      <c r="I1877" s="5">
        <v>45441</v>
      </c>
      <c r="J1877" s="4">
        <f t="shared" si="29"/>
        <v>14</v>
      </c>
    </row>
    <row r="1878" spans="1:10" x14ac:dyDescent="0.25">
      <c r="A1878" s="4">
        <f>_xlfn.XLOOKUP(E1878,'Data Validation'!$M$3:$M$10,'Data Validation'!$N$3:$N$10)</f>
        <v>4</v>
      </c>
      <c r="B1878" s="4">
        <v>10</v>
      </c>
      <c r="C1878" s="4" t="s">
        <v>11</v>
      </c>
      <c r="D1878" s="7">
        <v>37.72</v>
      </c>
      <c r="E1878" s="4" t="s">
        <v>21</v>
      </c>
      <c r="F1878" s="4" t="s">
        <v>13</v>
      </c>
      <c r="G1878" s="4" t="s">
        <v>49</v>
      </c>
      <c r="H1878" s="4" t="s">
        <v>32</v>
      </c>
      <c r="I1878" s="5">
        <v>45443</v>
      </c>
      <c r="J1878" s="4">
        <f t="shared" si="29"/>
        <v>14</v>
      </c>
    </row>
    <row r="1879" spans="1:10" x14ac:dyDescent="0.25">
      <c r="A1879" s="4">
        <f>_xlfn.XLOOKUP(E1879,'Data Validation'!$M$3:$M$10,'Data Validation'!$N$3:$N$10)</f>
        <v>4</v>
      </c>
      <c r="B1879" s="4">
        <v>20</v>
      </c>
      <c r="C1879" s="4" t="s">
        <v>11</v>
      </c>
      <c r="D1879" s="7">
        <v>37.72</v>
      </c>
      <c r="E1879" s="4" t="s">
        <v>21</v>
      </c>
      <c r="F1879" s="4" t="s">
        <v>20</v>
      </c>
      <c r="G1879" s="4" t="s">
        <v>50</v>
      </c>
      <c r="H1879" s="4" t="s">
        <v>53</v>
      </c>
      <c r="I1879" s="5">
        <v>45444</v>
      </c>
      <c r="J1879" s="4">
        <f t="shared" si="29"/>
        <v>14</v>
      </c>
    </row>
    <row r="1880" spans="1:10" x14ac:dyDescent="0.25">
      <c r="A1880" s="4">
        <f>_xlfn.XLOOKUP(E1880,'Data Validation'!$M$3:$M$10,'Data Validation'!$N$3:$N$10)</f>
        <v>4</v>
      </c>
      <c r="B1880" s="4">
        <v>20</v>
      </c>
      <c r="C1880" s="4" t="s">
        <v>11</v>
      </c>
      <c r="D1880" s="7">
        <v>37.72</v>
      </c>
      <c r="E1880" s="4" t="s">
        <v>21</v>
      </c>
      <c r="F1880" s="4" t="s">
        <v>20</v>
      </c>
      <c r="G1880" s="4" t="s">
        <v>47</v>
      </c>
      <c r="H1880" s="4" t="s">
        <v>53</v>
      </c>
      <c r="I1880" s="5">
        <v>45448</v>
      </c>
      <c r="J1880" s="4">
        <f t="shared" si="29"/>
        <v>14</v>
      </c>
    </row>
    <row r="1881" spans="1:10" x14ac:dyDescent="0.25">
      <c r="A1881" s="4">
        <f>_xlfn.XLOOKUP(E1881,'Data Validation'!$M$3:$M$10,'Data Validation'!$N$3:$N$10)</f>
        <v>4</v>
      </c>
      <c r="B1881" s="4">
        <v>12</v>
      </c>
      <c r="C1881" s="4" t="s">
        <v>11</v>
      </c>
      <c r="D1881" s="7">
        <v>37.72</v>
      </c>
      <c r="E1881" s="4" t="s">
        <v>21</v>
      </c>
      <c r="F1881" s="4" t="s">
        <v>17</v>
      </c>
      <c r="G1881" s="4" t="s">
        <v>50</v>
      </c>
      <c r="H1881" s="4" t="s">
        <v>53</v>
      </c>
      <c r="I1881" s="5">
        <v>45458</v>
      </c>
      <c r="J1881" s="4">
        <f t="shared" si="29"/>
        <v>14</v>
      </c>
    </row>
    <row r="1882" spans="1:10" x14ac:dyDescent="0.25">
      <c r="A1882" s="4">
        <f>_xlfn.XLOOKUP(E1882,'Data Validation'!$M$3:$M$10,'Data Validation'!$N$3:$N$10)</f>
        <v>4</v>
      </c>
      <c r="B1882" s="4">
        <v>11</v>
      </c>
      <c r="C1882" s="4" t="s">
        <v>11</v>
      </c>
      <c r="D1882" s="7">
        <v>37.72</v>
      </c>
      <c r="E1882" s="4" t="s">
        <v>21</v>
      </c>
      <c r="F1882" s="4" t="s">
        <v>13</v>
      </c>
      <c r="G1882" s="4" t="s">
        <v>47</v>
      </c>
      <c r="H1882" s="4" t="s">
        <v>53</v>
      </c>
      <c r="I1882" s="5">
        <v>45462</v>
      </c>
      <c r="J1882" s="4">
        <f t="shared" si="29"/>
        <v>14</v>
      </c>
    </row>
    <row r="1883" spans="1:10" x14ac:dyDescent="0.25">
      <c r="A1883" s="4">
        <f>_xlfn.XLOOKUP(E1883,'Data Validation'!$M$3:$M$10,'Data Validation'!$N$3:$N$10)</f>
        <v>4</v>
      </c>
      <c r="B1883" s="4">
        <v>12</v>
      </c>
      <c r="C1883" s="4" t="s">
        <v>11</v>
      </c>
      <c r="D1883" s="7">
        <v>37.72</v>
      </c>
      <c r="E1883" s="4" t="s">
        <v>21</v>
      </c>
      <c r="F1883" s="4" t="s">
        <v>17</v>
      </c>
      <c r="G1883" s="4" t="s">
        <v>49</v>
      </c>
      <c r="H1883" s="4" t="s">
        <v>54</v>
      </c>
      <c r="I1883" s="5">
        <v>45478</v>
      </c>
      <c r="J1883" s="4">
        <f t="shared" si="29"/>
        <v>14</v>
      </c>
    </row>
    <row r="1884" spans="1:10" x14ac:dyDescent="0.25">
      <c r="A1884" s="4">
        <f>_xlfn.XLOOKUP(E1884,'Data Validation'!$M$3:$M$10,'Data Validation'!$N$3:$N$10)</f>
        <v>4</v>
      </c>
      <c r="B1884" s="4">
        <v>14</v>
      </c>
      <c r="C1884" s="4" t="s">
        <v>11</v>
      </c>
      <c r="D1884" s="7">
        <v>32.82</v>
      </c>
      <c r="E1884" s="4" t="s">
        <v>21</v>
      </c>
      <c r="F1884" s="4" t="s">
        <v>17</v>
      </c>
      <c r="G1884" s="4" t="s">
        <v>51</v>
      </c>
      <c r="H1884" s="4" t="s">
        <v>54</v>
      </c>
      <c r="I1884" s="5">
        <v>45480</v>
      </c>
      <c r="J1884" s="4">
        <f t="shared" si="29"/>
        <v>15</v>
      </c>
    </row>
    <row r="1885" spans="1:10" x14ac:dyDescent="0.25">
      <c r="A1885" s="4">
        <f>_xlfn.XLOOKUP(E1885,'Data Validation'!$M$3:$M$10,'Data Validation'!$N$3:$N$10)</f>
        <v>4</v>
      </c>
      <c r="B1885" s="4">
        <v>14</v>
      </c>
      <c r="C1885" s="4" t="s">
        <v>11</v>
      </c>
      <c r="D1885" s="7">
        <v>32.82</v>
      </c>
      <c r="E1885" s="4" t="s">
        <v>21</v>
      </c>
      <c r="F1885" s="4" t="s">
        <v>17</v>
      </c>
      <c r="G1885" s="4" t="s">
        <v>49</v>
      </c>
      <c r="H1885" s="4" t="s">
        <v>54</v>
      </c>
      <c r="I1885" s="5">
        <v>45492</v>
      </c>
      <c r="J1885" s="4">
        <f t="shared" si="29"/>
        <v>15</v>
      </c>
    </row>
    <row r="1886" spans="1:10" x14ac:dyDescent="0.25">
      <c r="A1886" s="4">
        <f>_xlfn.XLOOKUP(E1886,'Data Validation'!$M$3:$M$10,'Data Validation'!$N$3:$N$10)</f>
        <v>4</v>
      </c>
      <c r="B1886" s="4">
        <v>10</v>
      </c>
      <c r="C1886" s="4" t="s">
        <v>11</v>
      </c>
      <c r="D1886" s="7">
        <v>32.82</v>
      </c>
      <c r="E1886" s="4" t="s">
        <v>21</v>
      </c>
      <c r="F1886" s="4" t="s">
        <v>13</v>
      </c>
      <c r="G1886" s="4" t="s">
        <v>51</v>
      </c>
      <c r="H1886" s="4" t="s">
        <v>54</v>
      </c>
      <c r="I1886" s="5">
        <v>45494</v>
      </c>
      <c r="J1886" s="4">
        <f t="shared" si="29"/>
        <v>15</v>
      </c>
    </row>
    <row r="1887" spans="1:10" x14ac:dyDescent="0.25">
      <c r="A1887" s="4">
        <f>_xlfn.XLOOKUP(E1887,'Data Validation'!$M$3:$M$10,'Data Validation'!$N$3:$N$10)</f>
        <v>4</v>
      </c>
      <c r="B1887" s="4">
        <v>8</v>
      </c>
      <c r="C1887" s="4" t="s">
        <v>11</v>
      </c>
      <c r="D1887" s="7">
        <v>32.82</v>
      </c>
      <c r="E1887" s="4" t="s">
        <v>21</v>
      </c>
      <c r="F1887" s="4" t="s">
        <v>13</v>
      </c>
      <c r="G1887" s="4" t="s">
        <v>46</v>
      </c>
      <c r="H1887" s="4" t="s">
        <v>54</v>
      </c>
      <c r="I1887" s="5">
        <v>45496</v>
      </c>
      <c r="J1887" s="4">
        <f t="shared" si="29"/>
        <v>15</v>
      </c>
    </row>
    <row r="1888" spans="1:10" x14ac:dyDescent="0.25">
      <c r="A1888" s="4">
        <f>_xlfn.XLOOKUP(E1888,'Data Validation'!$M$3:$M$10,'Data Validation'!$N$3:$N$10)</f>
        <v>4</v>
      </c>
      <c r="B1888" s="4">
        <v>22</v>
      </c>
      <c r="C1888" s="4" t="s">
        <v>11</v>
      </c>
      <c r="D1888" s="7">
        <v>32.82</v>
      </c>
      <c r="E1888" s="4" t="s">
        <v>21</v>
      </c>
      <c r="F1888" s="4" t="s">
        <v>20</v>
      </c>
      <c r="G1888" s="4" t="s">
        <v>48</v>
      </c>
      <c r="H1888" s="4" t="s">
        <v>54</v>
      </c>
      <c r="I1888" s="5">
        <v>45498</v>
      </c>
      <c r="J1888" s="4">
        <f t="shared" si="29"/>
        <v>15</v>
      </c>
    </row>
    <row r="1889" spans="1:10" x14ac:dyDescent="0.25">
      <c r="A1889" s="4">
        <f>_xlfn.XLOOKUP(E1889,'Data Validation'!$M$3:$M$10,'Data Validation'!$N$3:$N$10)</f>
        <v>4</v>
      </c>
      <c r="B1889" s="4">
        <v>21</v>
      </c>
      <c r="C1889" s="4" t="s">
        <v>11</v>
      </c>
      <c r="D1889" s="7">
        <v>32.82</v>
      </c>
      <c r="E1889" s="4" t="s">
        <v>21</v>
      </c>
      <c r="F1889" s="4" t="s">
        <v>20</v>
      </c>
      <c r="G1889" s="4" t="s">
        <v>45</v>
      </c>
      <c r="H1889" s="4" t="s">
        <v>54</v>
      </c>
      <c r="I1889" s="5">
        <v>45502</v>
      </c>
      <c r="J1889" s="4">
        <f t="shared" si="29"/>
        <v>15</v>
      </c>
    </row>
    <row r="1890" spans="1:10" x14ac:dyDescent="0.25">
      <c r="A1890" s="4">
        <f>_xlfn.XLOOKUP(E1890,'Data Validation'!$M$3:$M$10,'Data Validation'!$N$3:$N$10)</f>
        <v>4</v>
      </c>
      <c r="B1890" s="4">
        <v>13</v>
      </c>
      <c r="C1890" s="4" t="s">
        <v>11</v>
      </c>
      <c r="D1890" s="7">
        <v>32.82</v>
      </c>
      <c r="E1890" s="4" t="s">
        <v>21</v>
      </c>
      <c r="F1890" s="4" t="s">
        <v>17</v>
      </c>
      <c r="G1890" s="4" t="s">
        <v>47</v>
      </c>
      <c r="H1890" s="4" t="s">
        <v>54</v>
      </c>
      <c r="I1890" s="5">
        <v>45504</v>
      </c>
      <c r="J1890" s="4">
        <f t="shared" si="29"/>
        <v>15</v>
      </c>
    </row>
    <row r="1891" spans="1:10" x14ac:dyDescent="0.25">
      <c r="A1891" s="4">
        <f>_xlfn.XLOOKUP(E1891,'Data Validation'!$M$3:$M$10,'Data Validation'!$N$3:$N$10)</f>
        <v>4</v>
      </c>
      <c r="B1891" s="4">
        <v>20</v>
      </c>
      <c r="C1891" s="4" t="s">
        <v>11</v>
      </c>
      <c r="D1891" s="7">
        <v>32.82</v>
      </c>
      <c r="E1891" s="4" t="s">
        <v>21</v>
      </c>
      <c r="F1891" s="4" t="s">
        <v>20</v>
      </c>
      <c r="G1891" s="4" t="s">
        <v>47</v>
      </c>
      <c r="H1891" s="4" t="s">
        <v>54</v>
      </c>
      <c r="I1891" s="5">
        <v>45504</v>
      </c>
      <c r="J1891" s="4">
        <f t="shared" si="29"/>
        <v>15</v>
      </c>
    </row>
    <row r="1892" spans="1:10" x14ac:dyDescent="0.25">
      <c r="A1892" s="4">
        <f>_xlfn.XLOOKUP(E1892,'Data Validation'!$M$3:$M$10,'Data Validation'!$N$3:$N$10)</f>
        <v>4</v>
      </c>
      <c r="B1892" s="4">
        <v>20</v>
      </c>
      <c r="C1892" s="4" t="s">
        <v>11</v>
      </c>
      <c r="D1892" s="7">
        <v>32.82</v>
      </c>
      <c r="E1892" s="4" t="s">
        <v>21</v>
      </c>
      <c r="F1892" s="4" t="s">
        <v>20</v>
      </c>
      <c r="G1892" s="4" t="s">
        <v>45</v>
      </c>
      <c r="H1892" s="4" t="s">
        <v>55</v>
      </c>
      <c r="I1892" s="5">
        <v>45509</v>
      </c>
      <c r="J1892" s="4">
        <f t="shared" si="29"/>
        <v>15</v>
      </c>
    </row>
    <row r="1893" spans="1:10" x14ac:dyDescent="0.25">
      <c r="A1893" s="4">
        <f>_xlfn.XLOOKUP(E1893,'Data Validation'!$M$3:$M$10,'Data Validation'!$N$3:$N$10)</f>
        <v>4</v>
      </c>
      <c r="B1893" s="4">
        <v>20</v>
      </c>
      <c r="C1893" s="4" t="s">
        <v>11</v>
      </c>
      <c r="D1893" s="7">
        <v>32.82</v>
      </c>
      <c r="E1893" s="4" t="s">
        <v>21</v>
      </c>
      <c r="F1893" s="4" t="s">
        <v>20</v>
      </c>
      <c r="G1893" s="4" t="s">
        <v>45</v>
      </c>
      <c r="H1893" s="4" t="s">
        <v>55</v>
      </c>
      <c r="I1893" s="5">
        <v>45509</v>
      </c>
      <c r="J1893" s="4">
        <f t="shared" si="29"/>
        <v>15</v>
      </c>
    </row>
    <row r="1894" spans="1:10" x14ac:dyDescent="0.25">
      <c r="A1894" s="4">
        <f>_xlfn.XLOOKUP(E1894,'Data Validation'!$M$3:$M$10,'Data Validation'!$N$3:$N$10)</f>
        <v>4</v>
      </c>
      <c r="B1894" s="4">
        <v>17</v>
      </c>
      <c r="C1894" s="4" t="s">
        <v>11</v>
      </c>
      <c r="D1894" s="7">
        <v>32.82</v>
      </c>
      <c r="E1894" s="4" t="s">
        <v>21</v>
      </c>
      <c r="F1894" s="4" t="s">
        <v>20</v>
      </c>
      <c r="G1894" s="4" t="s">
        <v>46</v>
      </c>
      <c r="H1894" s="4" t="s">
        <v>55</v>
      </c>
      <c r="I1894" s="5">
        <v>45510</v>
      </c>
      <c r="J1894" s="4">
        <f t="shared" si="29"/>
        <v>15</v>
      </c>
    </row>
    <row r="1895" spans="1:10" x14ac:dyDescent="0.25">
      <c r="A1895" s="4">
        <f>_xlfn.XLOOKUP(E1895,'Data Validation'!$M$3:$M$10,'Data Validation'!$N$3:$N$10)</f>
        <v>4</v>
      </c>
      <c r="B1895" s="4">
        <v>20</v>
      </c>
      <c r="C1895" s="4" t="s">
        <v>11</v>
      </c>
      <c r="D1895" s="7">
        <v>32.82</v>
      </c>
      <c r="E1895" s="4" t="s">
        <v>21</v>
      </c>
      <c r="F1895" s="4" t="s">
        <v>20</v>
      </c>
      <c r="G1895" s="4" t="s">
        <v>47</v>
      </c>
      <c r="H1895" s="4" t="s">
        <v>55</v>
      </c>
      <c r="I1895" s="5">
        <v>45511</v>
      </c>
      <c r="J1895" s="4">
        <f t="shared" si="29"/>
        <v>15</v>
      </c>
    </row>
    <row r="1896" spans="1:10" x14ac:dyDescent="0.25">
      <c r="A1896" s="4">
        <f>_xlfn.XLOOKUP(E1896,'Data Validation'!$M$3:$M$10,'Data Validation'!$N$3:$N$10)</f>
        <v>4</v>
      </c>
      <c r="B1896" s="4">
        <v>21</v>
      </c>
      <c r="C1896" s="4" t="s">
        <v>11</v>
      </c>
      <c r="D1896" s="7">
        <v>32.82</v>
      </c>
      <c r="E1896" s="4" t="s">
        <v>21</v>
      </c>
      <c r="F1896" s="4" t="s">
        <v>20</v>
      </c>
      <c r="G1896" s="4" t="s">
        <v>50</v>
      </c>
      <c r="H1896" s="4" t="s">
        <v>55</v>
      </c>
      <c r="I1896" s="5">
        <v>45514</v>
      </c>
      <c r="J1896" s="4">
        <f t="shared" si="29"/>
        <v>15</v>
      </c>
    </row>
    <row r="1897" spans="1:10" x14ac:dyDescent="0.25">
      <c r="A1897" s="4">
        <f>_xlfn.XLOOKUP(E1897,'Data Validation'!$M$3:$M$10,'Data Validation'!$N$3:$N$10)</f>
        <v>4</v>
      </c>
      <c r="B1897" s="4">
        <v>21</v>
      </c>
      <c r="C1897" s="4" t="s">
        <v>11</v>
      </c>
      <c r="D1897" s="7">
        <v>32.82</v>
      </c>
      <c r="E1897" s="4" t="s">
        <v>21</v>
      </c>
      <c r="F1897" s="4" t="s">
        <v>20</v>
      </c>
      <c r="G1897" s="4" t="s">
        <v>50</v>
      </c>
      <c r="H1897" s="4" t="s">
        <v>55</v>
      </c>
      <c r="I1897" s="5">
        <v>45514</v>
      </c>
      <c r="J1897" s="4">
        <f t="shared" si="29"/>
        <v>15</v>
      </c>
    </row>
    <row r="1898" spans="1:10" x14ac:dyDescent="0.25">
      <c r="A1898" s="4">
        <f>_xlfn.XLOOKUP(E1898,'Data Validation'!$M$3:$M$10,'Data Validation'!$N$3:$N$10)</f>
        <v>4</v>
      </c>
      <c r="B1898" s="4">
        <v>21</v>
      </c>
      <c r="C1898" s="4" t="s">
        <v>11</v>
      </c>
      <c r="D1898" s="7">
        <v>32.82</v>
      </c>
      <c r="E1898" s="4" t="s">
        <v>21</v>
      </c>
      <c r="F1898" s="4" t="s">
        <v>20</v>
      </c>
      <c r="G1898" s="4" t="s">
        <v>50</v>
      </c>
      <c r="H1898" s="4" t="s">
        <v>55</v>
      </c>
      <c r="I1898" s="5">
        <v>45514</v>
      </c>
      <c r="J1898" s="4">
        <f t="shared" si="29"/>
        <v>15</v>
      </c>
    </row>
    <row r="1899" spans="1:10" x14ac:dyDescent="0.25">
      <c r="A1899" s="4">
        <f>_xlfn.XLOOKUP(E1899,'Data Validation'!$M$3:$M$10,'Data Validation'!$N$3:$N$10)</f>
        <v>4</v>
      </c>
      <c r="B1899" s="4">
        <v>15</v>
      </c>
      <c r="C1899" s="4" t="s">
        <v>11</v>
      </c>
      <c r="D1899" s="7">
        <v>32.82</v>
      </c>
      <c r="E1899" s="4" t="s">
        <v>21</v>
      </c>
      <c r="F1899" s="4" t="s">
        <v>17</v>
      </c>
      <c r="G1899" s="4" t="s">
        <v>51</v>
      </c>
      <c r="H1899" s="4" t="s">
        <v>55</v>
      </c>
      <c r="I1899" s="5">
        <v>45515</v>
      </c>
      <c r="J1899" s="4">
        <f t="shared" si="29"/>
        <v>15</v>
      </c>
    </row>
    <row r="1900" spans="1:10" x14ac:dyDescent="0.25">
      <c r="A1900" s="4">
        <f>_xlfn.XLOOKUP(E1900,'Data Validation'!$M$3:$M$10,'Data Validation'!$N$3:$N$10)</f>
        <v>4</v>
      </c>
      <c r="B1900" s="4">
        <v>20</v>
      </c>
      <c r="C1900" s="4" t="s">
        <v>11</v>
      </c>
      <c r="D1900" s="7">
        <v>32.82</v>
      </c>
      <c r="E1900" s="4" t="s">
        <v>21</v>
      </c>
      <c r="F1900" s="4" t="s">
        <v>20</v>
      </c>
      <c r="G1900" s="4" t="s">
        <v>46</v>
      </c>
      <c r="H1900" s="4" t="s">
        <v>55</v>
      </c>
      <c r="I1900" s="5">
        <v>45517</v>
      </c>
      <c r="J1900" s="4">
        <f t="shared" si="29"/>
        <v>15</v>
      </c>
    </row>
    <row r="1901" spans="1:10" x14ac:dyDescent="0.25">
      <c r="A1901" s="4">
        <f>_xlfn.XLOOKUP(E1901,'Data Validation'!$M$3:$M$10,'Data Validation'!$N$3:$N$10)</f>
        <v>4</v>
      </c>
      <c r="B1901" s="4">
        <v>21</v>
      </c>
      <c r="C1901" s="4" t="s">
        <v>11</v>
      </c>
      <c r="D1901" s="7">
        <v>32.82</v>
      </c>
      <c r="E1901" s="4" t="s">
        <v>21</v>
      </c>
      <c r="F1901" s="4" t="s">
        <v>20</v>
      </c>
      <c r="G1901" s="4" t="s">
        <v>45</v>
      </c>
      <c r="H1901" s="4" t="s">
        <v>55</v>
      </c>
      <c r="I1901" s="5">
        <v>45523</v>
      </c>
      <c r="J1901" s="4">
        <f t="shared" si="29"/>
        <v>15</v>
      </c>
    </row>
    <row r="1902" spans="1:10" x14ac:dyDescent="0.25">
      <c r="A1902" s="4">
        <f>_xlfn.XLOOKUP(E1902,'Data Validation'!$M$3:$M$10,'Data Validation'!$N$3:$N$10)</f>
        <v>4</v>
      </c>
      <c r="B1902" s="4">
        <v>10</v>
      </c>
      <c r="C1902" s="4" t="s">
        <v>11</v>
      </c>
      <c r="D1902" s="7">
        <v>32.82</v>
      </c>
      <c r="E1902" s="4" t="s">
        <v>21</v>
      </c>
      <c r="F1902" s="4" t="s">
        <v>13</v>
      </c>
      <c r="G1902" s="4" t="s">
        <v>49</v>
      </c>
      <c r="H1902" s="4" t="s">
        <v>55</v>
      </c>
      <c r="I1902" s="5">
        <v>45527</v>
      </c>
      <c r="J1902" s="4">
        <f t="shared" si="29"/>
        <v>15</v>
      </c>
    </row>
    <row r="1903" spans="1:10" x14ac:dyDescent="0.25">
      <c r="A1903" s="4">
        <f>_xlfn.XLOOKUP(E1903,'Data Validation'!$M$3:$M$10,'Data Validation'!$N$3:$N$10)</f>
        <v>4</v>
      </c>
      <c r="B1903" s="4">
        <v>20</v>
      </c>
      <c r="C1903" s="4" t="s">
        <v>11</v>
      </c>
      <c r="D1903" s="7">
        <v>32.82</v>
      </c>
      <c r="E1903" s="4" t="s">
        <v>21</v>
      </c>
      <c r="F1903" s="4" t="s">
        <v>20</v>
      </c>
      <c r="G1903" s="4" t="s">
        <v>45</v>
      </c>
      <c r="H1903" s="4" t="s">
        <v>56</v>
      </c>
      <c r="I1903" s="5">
        <v>45537</v>
      </c>
      <c r="J1903" s="4">
        <f t="shared" si="29"/>
        <v>15</v>
      </c>
    </row>
    <row r="1904" spans="1:10" x14ac:dyDescent="0.25">
      <c r="A1904" s="4">
        <f>_xlfn.XLOOKUP(E1904,'Data Validation'!$M$3:$M$10,'Data Validation'!$N$3:$N$10)</f>
        <v>4</v>
      </c>
      <c r="B1904" s="4">
        <v>8</v>
      </c>
      <c r="C1904" s="4" t="s">
        <v>11</v>
      </c>
      <c r="D1904" s="7">
        <v>32.82</v>
      </c>
      <c r="E1904" s="4" t="s">
        <v>21</v>
      </c>
      <c r="F1904" s="4" t="s">
        <v>13</v>
      </c>
      <c r="G1904" s="4" t="s">
        <v>46</v>
      </c>
      <c r="H1904" s="4" t="s">
        <v>56</v>
      </c>
      <c r="I1904" s="5">
        <v>45538</v>
      </c>
      <c r="J1904" s="4">
        <f t="shared" si="29"/>
        <v>15</v>
      </c>
    </row>
    <row r="1905" spans="1:10" x14ac:dyDescent="0.25">
      <c r="A1905" s="4">
        <f>_xlfn.XLOOKUP(E1905,'Data Validation'!$M$3:$M$10,'Data Validation'!$N$3:$N$10)</f>
        <v>4</v>
      </c>
      <c r="B1905" s="4">
        <v>9</v>
      </c>
      <c r="C1905" s="4" t="s">
        <v>11</v>
      </c>
      <c r="D1905" s="7">
        <v>32.82</v>
      </c>
      <c r="E1905" s="4" t="s">
        <v>21</v>
      </c>
      <c r="F1905" s="4" t="s">
        <v>13</v>
      </c>
      <c r="G1905" s="4" t="s">
        <v>46</v>
      </c>
      <c r="H1905" s="4" t="s">
        <v>56</v>
      </c>
      <c r="I1905" s="5">
        <v>45538</v>
      </c>
      <c r="J1905" s="4">
        <f t="shared" si="29"/>
        <v>15</v>
      </c>
    </row>
    <row r="1906" spans="1:10" x14ac:dyDescent="0.25">
      <c r="A1906" s="4">
        <f>_xlfn.XLOOKUP(E1906,'Data Validation'!$M$3:$M$10,'Data Validation'!$N$3:$N$10)</f>
        <v>4</v>
      </c>
      <c r="B1906" s="4">
        <v>9</v>
      </c>
      <c r="C1906" s="4" t="s">
        <v>11</v>
      </c>
      <c r="D1906" s="7">
        <v>32.82</v>
      </c>
      <c r="E1906" s="4" t="s">
        <v>21</v>
      </c>
      <c r="F1906" s="4" t="s">
        <v>13</v>
      </c>
      <c r="G1906" s="4" t="s">
        <v>46</v>
      </c>
      <c r="H1906" s="4" t="s">
        <v>56</v>
      </c>
      <c r="I1906" s="5">
        <v>45538</v>
      </c>
      <c r="J1906" s="4">
        <f t="shared" si="29"/>
        <v>15</v>
      </c>
    </row>
    <row r="1907" spans="1:10" x14ac:dyDescent="0.25">
      <c r="A1907" s="4">
        <f>_xlfn.XLOOKUP(E1907,'Data Validation'!$M$3:$M$10,'Data Validation'!$N$3:$N$10)</f>
        <v>4</v>
      </c>
      <c r="B1907" s="4">
        <v>9</v>
      </c>
      <c r="C1907" s="4" t="s">
        <v>11</v>
      </c>
      <c r="D1907" s="7">
        <v>32.82</v>
      </c>
      <c r="E1907" s="4" t="s">
        <v>21</v>
      </c>
      <c r="F1907" s="4" t="s">
        <v>13</v>
      </c>
      <c r="G1907" s="4" t="s">
        <v>46</v>
      </c>
      <c r="H1907" s="4" t="s">
        <v>56</v>
      </c>
      <c r="I1907" s="5">
        <v>45538</v>
      </c>
      <c r="J1907" s="4">
        <f t="shared" si="29"/>
        <v>15</v>
      </c>
    </row>
    <row r="1908" spans="1:10" x14ac:dyDescent="0.25">
      <c r="A1908" s="4">
        <f>_xlfn.XLOOKUP(E1908,'Data Validation'!$M$3:$M$10,'Data Validation'!$N$3:$N$10)</f>
        <v>4</v>
      </c>
      <c r="B1908" s="4">
        <v>19</v>
      </c>
      <c r="C1908" s="4" t="s">
        <v>11</v>
      </c>
      <c r="D1908" s="7">
        <v>32.82</v>
      </c>
      <c r="E1908" s="4" t="s">
        <v>21</v>
      </c>
      <c r="F1908" s="4" t="s">
        <v>20</v>
      </c>
      <c r="G1908" s="4" t="s">
        <v>50</v>
      </c>
      <c r="H1908" s="4" t="s">
        <v>56</v>
      </c>
      <c r="I1908" s="5">
        <v>45542</v>
      </c>
      <c r="J1908" s="4">
        <f t="shared" si="29"/>
        <v>15</v>
      </c>
    </row>
    <row r="1909" spans="1:10" x14ac:dyDescent="0.25">
      <c r="A1909" s="4">
        <f>_xlfn.XLOOKUP(E1909,'Data Validation'!$M$3:$M$10,'Data Validation'!$N$3:$N$10)</f>
        <v>4</v>
      </c>
      <c r="B1909" s="4">
        <v>11</v>
      </c>
      <c r="C1909" s="4" t="s">
        <v>11</v>
      </c>
      <c r="D1909" s="7">
        <v>32.82</v>
      </c>
      <c r="E1909" s="4" t="s">
        <v>21</v>
      </c>
      <c r="F1909" s="4" t="s">
        <v>13</v>
      </c>
      <c r="G1909" s="4" t="s">
        <v>50</v>
      </c>
      <c r="H1909" s="4" t="s">
        <v>56</v>
      </c>
      <c r="I1909" s="5">
        <v>45556</v>
      </c>
      <c r="J1909" s="4">
        <f t="shared" si="29"/>
        <v>15</v>
      </c>
    </row>
    <row r="1910" spans="1:10" x14ac:dyDescent="0.25">
      <c r="A1910" s="4">
        <f>_xlfn.XLOOKUP(E1910,'Data Validation'!$M$3:$M$10,'Data Validation'!$N$3:$N$10)</f>
        <v>4</v>
      </c>
      <c r="B1910" s="4">
        <v>16</v>
      </c>
      <c r="C1910" s="4" t="s">
        <v>11</v>
      </c>
      <c r="D1910" s="7">
        <v>32.82</v>
      </c>
      <c r="E1910" s="4" t="s">
        <v>21</v>
      </c>
      <c r="F1910" s="4" t="s">
        <v>17</v>
      </c>
      <c r="G1910" s="4" t="s">
        <v>51</v>
      </c>
      <c r="H1910" s="4" t="s">
        <v>56</v>
      </c>
      <c r="I1910" s="5">
        <v>45557</v>
      </c>
      <c r="J1910" s="4">
        <f t="shared" si="29"/>
        <v>15</v>
      </c>
    </row>
    <row r="1911" spans="1:10" x14ac:dyDescent="0.25">
      <c r="A1911" s="4">
        <f>_xlfn.XLOOKUP(E1911,'Data Validation'!$M$3:$M$10,'Data Validation'!$N$3:$N$10)</f>
        <v>4</v>
      </c>
      <c r="B1911" s="4">
        <v>22</v>
      </c>
      <c r="C1911" s="4" t="s">
        <v>11</v>
      </c>
      <c r="D1911" s="7">
        <v>35.76</v>
      </c>
      <c r="E1911" s="4" t="s">
        <v>21</v>
      </c>
      <c r="F1911" s="4" t="s">
        <v>20</v>
      </c>
      <c r="G1911" s="4" t="s">
        <v>50</v>
      </c>
      <c r="H1911" s="4" t="s">
        <v>56</v>
      </c>
      <c r="I1911" s="5">
        <v>45563</v>
      </c>
      <c r="J1911" s="4">
        <f t="shared" si="29"/>
        <v>16</v>
      </c>
    </row>
    <row r="1912" spans="1:10" x14ac:dyDescent="0.25">
      <c r="A1912" s="4">
        <f>_xlfn.XLOOKUP(E1912,'Data Validation'!$M$3:$M$10,'Data Validation'!$N$3:$N$10)</f>
        <v>4</v>
      </c>
      <c r="B1912" s="4">
        <v>13</v>
      </c>
      <c r="C1912" s="4" t="s">
        <v>11</v>
      </c>
      <c r="D1912" s="7">
        <v>35.76</v>
      </c>
      <c r="E1912" s="4" t="s">
        <v>21</v>
      </c>
      <c r="F1912" s="4" t="s">
        <v>17</v>
      </c>
      <c r="G1912" s="4" t="s">
        <v>48</v>
      </c>
      <c r="H1912" s="4" t="s">
        <v>57</v>
      </c>
      <c r="I1912" s="5">
        <v>45568</v>
      </c>
      <c r="J1912" s="4">
        <f t="shared" si="29"/>
        <v>16</v>
      </c>
    </row>
    <row r="1913" spans="1:10" x14ac:dyDescent="0.25">
      <c r="A1913" s="4">
        <f>_xlfn.XLOOKUP(E1913,'Data Validation'!$M$3:$M$10,'Data Validation'!$N$3:$N$10)</f>
        <v>4</v>
      </c>
      <c r="B1913" s="4">
        <v>17</v>
      </c>
      <c r="C1913" s="4" t="s">
        <v>11</v>
      </c>
      <c r="D1913" s="7">
        <v>35.76</v>
      </c>
      <c r="E1913" s="4" t="s">
        <v>21</v>
      </c>
      <c r="F1913" s="4" t="s">
        <v>20</v>
      </c>
      <c r="G1913" s="4" t="s">
        <v>49</v>
      </c>
      <c r="H1913" s="4" t="s">
        <v>57</v>
      </c>
      <c r="I1913" s="5">
        <v>45569</v>
      </c>
      <c r="J1913" s="4">
        <f t="shared" si="29"/>
        <v>16</v>
      </c>
    </row>
    <row r="1914" spans="1:10" x14ac:dyDescent="0.25">
      <c r="A1914" s="4">
        <f>_xlfn.XLOOKUP(E1914,'Data Validation'!$M$3:$M$10,'Data Validation'!$N$3:$N$10)</f>
        <v>4</v>
      </c>
      <c r="B1914" s="4">
        <v>9</v>
      </c>
      <c r="C1914" s="4" t="s">
        <v>11</v>
      </c>
      <c r="D1914" s="7">
        <v>35.76</v>
      </c>
      <c r="E1914" s="4" t="s">
        <v>21</v>
      </c>
      <c r="F1914" s="4" t="s">
        <v>13</v>
      </c>
      <c r="G1914" s="4" t="s">
        <v>50</v>
      </c>
      <c r="H1914" s="4" t="s">
        <v>57</v>
      </c>
      <c r="I1914" s="5">
        <v>45570</v>
      </c>
      <c r="J1914" s="4">
        <f t="shared" si="29"/>
        <v>16</v>
      </c>
    </row>
    <row r="1915" spans="1:10" x14ac:dyDescent="0.25">
      <c r="A1915" s="4">
        <f>_xlfn.XLOOKUP(E1915,'Data Validation'!$M$3:$M$10,'Data Validation'!$N$3:$N$10)</f>
        <v>4</v>
      </c>
      <c r="B1915" s="4">
        <v>9</v>
      </c>
      <c r="C1915" s="4" t="s">
        <v>11</v>
      </c>
      <c r="D1915" s="7">
        <v>35.76</v>
      </c>
      <c r="E1915" s="4" t="s">
        <v>21</v>
      </c>
      <c r="F1915" s="4" t="s">
        <v>13</v>
      </c>
      <c r="G1915" s="4" t="s">
        <v>45</v>
      </c>
      <c r="H1915" s="4" t="s">
        <v>57</v>
      </c>
      <c r="I1915" s="5">
        <v>45572</v>
      </c>
      <c r="J1915" s="4">
        <f t="shared" si="29"/>
        <v>16</v>
      </c>
    </row>
    <row r="1916" spans="1:10" x14ac:dyDescent="0.25">
      <c r="A1916" s="4">
        <f>_xlfn.XLOOKUP(E1916,'Data Validation'!$M$3:$M$10,'Data Validation'!$N$3:$N$10)</f>
        <v>4</v>
      </c>
      <c r="B1916" s="4">
        <v>8</v>
      </c>
      <c r="C1916" s="4" t="s">
        <v>11</v>
      </c>
      <c r="D1916" s="7">
        <v>35.76</v>
      </c>
      <c r="E1916" s="4" t="s">
        <v>21</v>
      </c>
      <c r="F1916" s="4" t="s">
        <v>13</v>
      </c>
      <c r="G1916" s="4" t="s">
        <v>49</v>
      </c>
      <c r="H1916" s="4" t="s">
        <v>57</v>
      </c>
      <c r="I1916" s="5">
        <v>45576</v>
      </c>
      <c r="J1916" s="4">
        <f t="shared" si="29"/>
        <v>16</v>
      </c>
    </row>
    <row r="1917" spans="1:10" x14ac:dyDescent="0.25">
      <c r="A1917" s="4">
        <f>_xlfn.XLOOKUP(E1917,'Data Validation'!$M$3:$M$10,'Data Validation'!$N$3:$N$10)</f>
        <v>4</v>
      </c>
      <c r="B1917" s="4">
        <v>8</v>
      </c>
      <c r="C1917" s="4" t="s">
        <v>11</v>
      </c>
      <c r="D1917" s="7">
        <v>35.76</v>
      </c>
      <c r="E1917" s="4" t="s">
        <v>21</v>
      </c>
      <c r="F1917" s="4" t="s">
        <v>13</v>
      </c>
      <c r="G1917" s="4" t="s">
        <v>49</v>
      </c>
      <c r="H1917" s="4" t="s">
        <v>57</v>
      </c>
      <c r="I1917" s="5">
        <v>45576</v>
      </c>
      <c r="J1917" s="4">
        <f t="shared" si="29"/>
        <v>16</v>
      </c>
    </row>
    <row r="1918" spans="1:10" x14ac:dyDescent="0.25">
      <c r="A1918" s="4">
        <f>_xlfn.XLOOKUP(E1918,'Data Validation'!$M$3:$M$10,'Data Validation'!$N$3:$N$10)</f>
        <v>4</v>
      </c>
      <c r="B1918" s="4">
        <v>14</v>
      </c>
      <c r="C1918" s="4" t="s">
        <v>11</v>
      </c>
      <c r="D1918" s="7">
        <v>35.76</v>
      </c>
      <c r="E1918" s="4" t="s">
        <v>21</v>
      </c>
      <c r="F1918" s="4" t="s">
        <v>17</v>
      </c>
      <c r="G1918" s="4" t="s">
        <v>49</v>
      </c>
      <c r="H1918" s="4" t="s">
        <v>57</v>
      </c>
      <c r="I1918" s="5">
        <v>45576</v>
      </c>
      <c r="J1918" s="4">
        <f t="shared" si="29"/>
        <v>16</v>
      </c>
    </row>
    <row r="1919" spans="1:10" x14ac:dyDescent="0.25">
      <c r="A1919" s="4">
        <f>_xlfn.XLOOKUP(E1919,'Data Validation'!$M$3:$M$10,'Data Validation'!$N$3:$N$10)</f>
        <v>4</v>
      </c>
      <c r="B1919" s="4">
        <v>9</v>
      </c>
      <c r="C1919" s="4" t="s">
        <v>11</v>
      </c>
      <c r="D1919" s="7">
        <v>35.76</v>
      </c>
      <c r="E1919" s="4" t="s">
        <v>21</v>
      </c>
      <c r="F1919" s="4" t="s">
        <v>13</v>
      </c>
      <c r="G1919" s="4" t="s">
        <v>45</v>
      </c>
      <c r="H1919" s="4" t="s">
        <v>57</v>
      </c>
      <c r="I1919" s="5">
        <v>45579</v>
      </c>
      <c r="J1919" s="4">
        <f t="shared" si="29"/>
        <v>16</v>
      </c>
    </row>
    <row r="1920" spans="1:10" x14ac:dyDescent="0.25">
      <c r="A1920" s="4">
        <f>_xlfn.XLOOKUP(E1920,'Data Validation'!$M$3:$M$10,'Data Validation'!$N$3:$N$10)</f>
        <v>4</v>
      </c>
      <c r="B1920" s="4">
        <v>19</v>
      </c>
      <c r="C1920" s="4" t="s">
        <v>11</v>
      </c>
      <c r="D1920" s="7">
        <v>35.76</v>
      </c>
      <c r="E1920" s="4" t="s">
        <v>21</v>
      </c>
      <c r="F1920" s="4" t="s">
        <v>20</v>
      </c>
      <c r="G1920" s="4" t="s">
        <v>46</v>
      </c>
      <c r="H1920" s="4" t="s">
        <v>57</v>
      </c>
      <c r="I1920" s="5">
        <v>45580</v>
      </c>
      <c r="J1920" s="4">
        <f t="shared" si="29"/>
        <v>16</v>
      </c>
    </row>
    <row r="1921" spans="1:10" x14ac:dyDescent="0.25">
      <c r="A1921" s="4">
        <f>_xlfn.XLOOKUP(E1921,'Data Validation'!$M$3:$M$10,'Data Validation'!$N$3:$N$10)</f>
        <v>4</v>
      </c>
      <c r="B1921" s="4">
        <v>8</v>
      </c>
      <c r="C1921" s="4" t="s">
        <v>11</v>
      </c>
      <c r="D1921" s="7">
        <v>35.76</v>
      </c>
      <c r="E1921" s="4" t="s">
        <v>21</v>
      </c>
      <c r="F1921" s="4" t="s">
        <v>13</v>
      </c>
      <c r="G1921" s="4" t="s">
        <v>49</v>
      </c>
      <c r="H1921" s="4" t="s">
        <v>57</v>
      </c>
      <c r="I1921" s="5">
        <v>45583</v>
      </c>
      <c r="J1921" s="4">
        <f t="shared" si="29"/>
        <v>16</v>
      </c>
    </row>
    <row r="1922" spans="1:10" x14ac:dyDescent="0.25">
      <c r="A1922" s="4">
        <f>_xlfn.XLOOKUP(E1922,'Data Validation'!$M$3:$M$10,'Data Validation'!$N$3:$N$10)</f>
        <v>4</v>
      </c>
      <c r="B1922" s="4">
        <v>8</v>
      </c>
      <c r="C1922" s="4" t="s">
        <v>11</v>
      </c>
      <c r="D1922" s="7">
        <v>35.76</v>
      </c>
      <c r="E1922" s="4" t="s">
        <v>21</v>
      </c>
      <c r="F1922" s="4" t="s">
        <v>13</v>
      </c>
      <c r="G1922" s="4" t="s">
        <v>49</v>
      </c>
      <c r="H1922" s="4" t="s">
        <v>57</v>
      </c>
      <c r="I1922" s="5">
        <v>45583</v>
      </c>
      <c r="J1922" s="4">
        <f t="shared" si="29"/>
        <v>16</v>
      </c>
    </row>
    <row r="1923" spans="1:10" x14ac:dyDescent="0.25">
      <c r="A1923" s="4">
        <f>_xlfn.XLOOKUP(E1923,'Data Validation'!$M$3:$M$10,'Data Validation'!$N$3:$N$10)</f>
        <v>4</v>
      </c>
      <c r="B1923" s="4">
        <v>9</v>
      </c>
      <c r="C1923" s="4" t="s">
        <v>11</v>
      </c>
      <c r="D1923" s="7">
        <v>35.76</v>
      </c>
      <c r="E1923" s="4" t="s">
        <v>21</v>
      </c>
      <c r="F1923" s="4" t="s">
        <v>13</v>
      </c>
      <c r="G1923" s="4" t="s">
        <v>49</v>
      </c>
      <c r="H1923" s="4" t="s">
        <v>57</v>
      </c>
      <c r="I1923" s="5">
        <v>45583</v>
      </c>
      <c r="J1923" s="4">
        <f t="shared" ref="J1923:J1986" si="30">IF(OR(E1923&lt;&gt;E1922,D1923&lt;&gt;D1922),J1922+1,J1922)</f>
        <v>16</v>
      </c>
    </row>
    <row r="1924" spans="1:10" x14ac:dyDescent="0.25">
      <c r="A1924" s="4">
        <f>_xlfn.XLOOKUP(E1924,'Data Validation'!$M$3:$M$10,'Data Validation'!$N$3:$N$10)</f>
        <v>4</v>
      </c>
      <c r="B1924" s="4">
        <v>9</v>
      </c>
      <c r="C1924" s="4" t="s">
        <v>11</v>
      </c>
      <c r="D1924" s="7">
        <v>35.76</v>
      </c>
      <c r="E1924" s="4" t="s">
        <v>21</v>
      </c>
      <c r="F1924" s="4" t="s">
        <v>13</v>
      </c>
      <c r="G1924" s="4" t="s">
        <v>49</v>
      </c>
      <c r="H1924" s="4" t="s">
        <v>57</v>
      </c>
      <c r="I1924" s="5">
        <v>45583</v>
      </c>
      <c r="J1924" s="4">
        <f t="shared" si="30"/>
        <v>16</v>
      </c>
    </row>
    <row r="1925" spans="1:10" x14ac:dyDescent="0.25">
      <c r="A1925" s="4">
        <f>_xlfn.XLOOKUP(E1925,'Data Validation'!$M$3:$M$10,'Data Validation'!$N$3:$N$10)</f>
        <v>4</v>
      </c>
      <c r="B1925" s="4">
        <v>21</v>
      </c>
      <c r="C1925" s="4" t="s">
        <v>11</v>
      </c>
      <c r="D1925" s="7">
        <v>35.76</v>
      </c>
      <c r="E1925" s="4" t="s">
        <v>21</v>
      </c>
      <c r="F1925" s="4" t="s">
        <v>20</v>
      </c>
      <c r="G1925" s="4" t="s">
        <v>49</v>
      </c>
      <c r="H1925" s="4" t="s">
        <v>57</v>
      </c>
      <c r="I1925" s="5">
        <v>45583</v>
      </c>
      <c r="J1925" s="4">
        <f t="shared" si="30"/>
        <v>16</v>
      </c>
    </row>
    <row r="1926" spans="1:10" x14ac:dyDescent="0.25">
      <c r="A1926" s="4">
        <f>_xlfn.XLOOKUP(E1926,'Data Validation'!$M$3:$M$10,'Data Validation'!$N$3:$N$10)</f>
        <v>4</v>
      </c>
      <c r="B1926" s="4">
        <v>21</v>
      </c>
      <c r="C1926" s="4" t="s">
        <v>11</v>
      </c>
      <c r="D1926" s="7">
        <v>35.76</v>
      </c>
      <c r="E1926" s="4" t="s">
        <v>21</v>
      </c>
      <c r="F1926" s="4" t="s">
        <v>20</v>
      </c>
      <c r="G1926" s="4" t="s">
        <v>49</v>
      </c>
      <c r="H1926" s="4" t="s">
        <v>57</v>
      </c>
      <c r="I1926" s="5">
        <v>45583</v>
      </c>
      <c r="J1926" s="4">
        <f t="shared" si="30"/>
        <v>16</v>
      </c>
    </row>
    <row r="1927" spans="1:10" x14ac:dyDescent="0.25">
      <c r="A1927" s="4">
        <f>_xlfn.XLOOKUP(E1927,'Data Validation'!$M$3:$M$10,'Data Validation'!$N$3:$N$10)</f>
        <v>4</v>
      </c>
      <c r="B1927" s="4">
        <v>21</v>
      </c>
      <c r="C1927" s="4" t="s">
        <v>11</v>
      </c>
      <c r="D1927" s="7">
        <v>35.76</v>
      </c>
      <c r="E1927" s="4" t="s">
        <v>21</v>
      </c>
      <c r="F1927" s="4" t="s">
        <v>20</v>
      </c>
      <c r="G1927" s="4" t="s">
        <v>50</v>
      </c>
      <c r="H1927" s="4" t="s">
        <v>57</v>
      </c>
      <c r="I1927" s="5">
        <v>45584</v>
      </c>
      <c r="J1927" s="4">
        <f t="shared" si="30"/>
        <v>16</v>
      </c>
    </row>
    <row r="1928" spans="1:10" x14ac:dyDescent="0.25">
      <c r="A1928" s="4">
        <f>_xlfn.XLOOKUP(E1928,'Data Validation'!$M$3:$M$10,'Data Validation'!$N$3:$N$10)</f>
        <v>4</v>
      </c>
      <c r="B1928" s="4">
        <v>8</v>
      </c>
      <c r="C1928" s="4" t="s">
        <v>11</v>
      </c>
      <c r="D1928" s="7">
        <v>35.76</v>
      </c>
      <c r="E1928" s="4" t="s">
        <v>21</v>
      </c>
      <c r="F1928" s="4" t="s">
        <v>13</v>
      </c>
      <c r="G1928" s="4" t="s">
        <v>51</v>
      </c>
      <c r="H1928" s="4" t="s">
        <v>57</v>
      </c>
      <c r="I1928" s="5">
        <v>45585</v>
      </c>
      <c r="J1928" s="4">
        <f t="shared" si="30"/>
        <v>16</v>
      </c>
    </row>
    <row r="1929" spans="1:10" x14ac:dyDescent="0.25">
      <c r="A1929" s="4">
        <f>_xlfn.XLOOKUP(E1929,'Data Validation'!$M$3:$M$10,'Data Validation'!$N$3:$N$10)</f>
        <v>4</v>
      </c>
      <c r="B1929" s="4">
        <v>18</v>
      </c>
      <c r="C1929" s="4" t="s">
        <v>11</v>
      </c>
      <c r="D1929" s="7">
        <v>35.76</v>
      </c>
      <c r="E1929" s="4" t="s">
        <v>21</v>
      </c>
      <c r="F1929" s="4" t="s">
        <v>20</v>
      </c>
      <c r="G1929" s="4" t="s">
        <v>51</v>
      </c>
      <c r="H1929" s="4" t="s">
        <v>57</v>
      </c>
      <c r="I1929" s="5">
        <v>45585</v>
      </c>
      <c r="J1929" s="4">
        <f t="shared" si="30"/>
        <v>16</v>
      </c>
    </row>
    <row r="1930" spans="1:10" x14ac:dyDescent="0.25">
      <c r="A1930" s="4">
        <f>_xlfn.XLOOKUP(E1930,'Data Validation'!$M$3:$M$10,'Data Validation'!$N$3:$N$10)</f>
        <v>4</v>
      </c>
      <c r="B1930" s="4">
        <v>18</v>
      </c>
      <c r="C1930" s="4" t="s">
        <v>11</v>
      </c>
      <c r="D1930" s="7">
        <v>35.76</v>
      </c>
      <c r="E1930" s="4" t="s">
        <v>21</v>
      </c>
      <c r="F1930" s="4" t="s">
        <v>20</v>
      </c>
      <c r="G1930" s="4" t="s">
        <v>51</v>
      </c>
      <c r="H1930" s="4" t="s">
        <v>57</v>
      </c>
      <c r="I1930" s="5">
        <v>45585</v>
      </c>
      <c r="J1930" s="4">
        <f t="shared" si="30"/>
        <v>16</v>
      </c>
    </row>
    <row r="1931" spans="1:10" x14ac:dyDescent="0.25">
      <c r="A1931" s="4">
        <f>_xlfn.XLOOKUP(E1931,'Data Validation'!$M$3:$M$10,'Data Validation'!$N$3:$N$10)</f>
        <v>4</v>
      </c>
      <c r="B1931" s="4">
        <v>21</v>
      </c>
      <c r="C1931" s="4" t="s">
        <v>11</v>
      </c>
      <c r="D1931" s="7">
        <v>35.76</v>
      </c>
      <c r="E1931" s="4" t="s">
        <v>21</v>
      </c>
      <c r="F1931" s="4" t="s">
        <v>20</v>
      </c>
      <c r="G1931" s="4" t="s">
        <v>51</v>
      </c>
      <c r="H1931" s="4" t="s">
        <v>57</v>
      </c>
      <c r="I1931" s="5">
        <v>45585</v>
      </c>
      <c r="J1931" s="4">
        <f t="shared" si="30"/>
        <v>16</v>
      </c>
    </row>
    <row r="1932" spans="1:10" x14ac:dyDescent="0.25">
      <c r="A1932" s="4">
        <f>_xlfn.XLOOKUP(E1932,'Data Validation'!$M$3:$M$10,'Data Validation'!$N$3:$N$10)</f>
        <v>4</v>
      </c>
      <c r="B1932" s="4">
        <v>16</v>
      </c>
      <c r="C1932" s="4" t="s">
        <v>11</v>
      </c>
      <c r="D1932" s="7">
        <v>35.76</v>
      </c>
      <c r="E1932" s="4" t="s">
        <v>21</v>
      </c>
      <c r="F1932" s="4" t="s">
        <v>17</v>
      </c>
      <c r="G1932" s="4" t="s">
        <v>45</v>
      </c>
      <c r="H1932" s="4" t="s">
        <v>57</v>
      </c>
      <c r="I1932" s="5">
        <v>45586</v>
      </c>
      <c r="J1932" s="4">
        <f t="shared" si="30"/>
        <v>16</v>
      </c>
    </row>
    <row r="1933" spans="1:10" x14ac:dyDescent="0.25">
      <c r="A1933" s="4">
        <f>_xlfn.XLOOKUP(E1933,'Data Validation'!$M$3:$M$10,'Data Validation'!$N$3:$N$10)</f>
        <v>4</v>
      </c>
      <c r="B1933" s="4">
        <v>22</v>
      </c>
      <c r="C1933" s="4" t="s">
        <v>11</v>
      </c>
      <c r="D1933" s="7">
        <v>35.76</v>
      </c>
      <c r="E1933" s="4" t="s">
        <v>21</v>
      </c>
      <c r="F1933" s="4" t="s">
        <v>20</v>
      </c>
      <c r="G1933" s="4" t="s">
        <v>45</v>
      </c>
      <c r="H1933" s="4" t="s">
        <v>57</v>
      </c>
      <c r="I1933" s="5">
        <v>45586</v>
      </c>
      <c r="J1933" s="4">
        <f t="shared" si="30"/>
        <v>16</v>
      </c>
    </row>
    <row r="1934" spans="1:10" x14ac:dyDescent="0.25">
      <c r="A1934" s="4">
        <f>_xlfn.XLOOKUP(E1934,'Data Validation'!$M$3:$M$10,'Data Validation'!$N$3:$N$10)</f>
        <v>4</v>
      </c>
      <c r="B1934" s="4">
        <v>18</v>
      </c>
      <c r="C1934" s="4" t="s">
        <v>11</v>
      </c>
      <c r="D1934" s="7">
        <v>35.76</v>
      </c>
      <c r="E1934" s="4" t="s">
        <v>21</v>
      </c>
      <c r="F1934" s="4" t="s">
        <v>20</v>
      </c>
      <c r="G1934" s="4" t="s">
        <v>47</v>
      </c>
      <c r="H1934" s="4" t="s">
        <v>57</v>
      </c>
      <c r="I1934" s="5">
        <v>45588</v>
      </c>
      <c r="J1934" s="4">
        <f t="shared" si="30"/>
        <v>16</v>
      </c>
    </row>
    <row r="1935" spans="1:10" x14ac:dyDescent="0.25">
      <c r="A1935" s="4">
        <f>_xlfn.XLOOKUP(E1935,'Data Validation'!$M$3:$M$10,'Data Validation'!$N$3:$N$10)</f>
        <v>4</v>
      </c>
      <c r="B1935" s="4">
        <v>8</v>
      </c>
      <c r="C1935" s="4" t="s">
        <v>11</v>
      </c>
      <c r="D1935" s="7">
        <v>35.76</v>
      </c>
      <c r="E1935" s="4" t="s">
        <v>21</v>
      </c>
      <c r="F1935" s="4" t="s">
        <v>13</v>
      </c>
      <c r="G1935" s="4" t="s">
        <v>49</v>
      </c>
      <c r="H1935" s="4" t="s">
        <v>57</v>
      </c>
      <c r="I1935" s="5">
        <v>45590</v>
      </c>
      <c r="J1935" s="4">
        <f t="shared" si="30"/>
        <v>16</v>
      </c>
    </row>
    <row r="1936" spans="1:10" x14ac:dyDescent="0.25">
      <c r="A1936" s="4">
        <f>_xlfn.XLOOKUP(E1936,'Data Validation'!$M$3:$M$10,'Data Validation'!$N$3:$N$10)</f>
        <v>4</v>
      </c>
      <c r="B1936" s="4">
        <v>8</v>
      </c>
      <c r="C1936" s="4" t="s">
        <v>11</v>
      </c>
      <c r="D1936" s="7">
        <v>35.76</v>
      </c>
      <c r="E1936" s="4" t="s">
        <v>21</v>
      </c>
      <c r="F1936" s="4" t="s">
        <v>13</v>
      </c>
      <c r="G1936" s="4" t="s">
        <v>49</v>
      </c>
      <c r="H1936" s="4" t="s">
        <v>57</v>
      </c>
      <c r="I1936" s="5">
        <v>45590</v>
      </c>
      <c r="J1936" s="4">
        <f t="shared" si="30"/>
        <v>16</v>
      </c>
    </row>
    <row r="1937" spans="1:10" x14ac:dyDescent="0.25">
      <c r="A1937" s="4">
        <f>_xlfn.XLOOKUP(E1937,'Data Validation'!$M$3:$M$10,'Data Validation'!$N$3:$N$10)</f>
        <v>4</v>
      </c>
      <c r="B1937" s="4">
        <v>11</v>
      </c>
      <c r="C1937" s="4" t="s">
        <v>11</v>
      </c>
      <c r="D1937" s="7">
        <v>35.76</v>
      </c>
      <c r="E1937" s="4" t="s">
        <v>21</v>
      </c>
      <c r="F1937" s="4" t="s">
        <v>13</v>
      </c>
      <c r="G1937" s="4" t="s">
        <v>49</v>
      </c>
      <c r="H1937" s="4" t="s">
        <v>57</v>
      </c>
      <c r="I1937" s="5">
        <v>45590</v>
      </c>
      <c r="J1937" s="4">
        <f t="shared" si="30"/>
        <v>16</v>
      </c>
    </row>
    <row r="1938" spans="1:10" x14ac:dyDescent="0.25">
      <c r="A1938" s="4">
        <f>_xlfn.XLOOKUP(E1938,'Data Validation'!$M$3:$M$10,'Data Validation'!$N$3:$N$10)</f>
        <v>4</v>
      </c>
      <c r="B1938" s="4">
        <v>11</v>
      </c>
      <c r="C1938" s="4" t="s">
        <v>11</v>
      </c>
      <c r="D1938" s="7">
        <v>35.76</v>
      </c>
      <c r="E1938" s="4" t="s">
        <v>21</v>
      </c>
      <c r="F1938" s="4" t="s">
        <v>13</v>
      </c>
      <c r="G1938" s="4" t="s">
        <v>49</v>
      </c>
      <c r="H1938" s="4" t="s">
        <v>57</v>
      </c>
      <c r="I1938" s="5">
        <v>45590</v>
      </c>
      <c r="J1938" s="4">
        <f t="shared" si="30"/>
        <v>16</v>
      </c>
    </row>
    <row r="1939" spans="1:10" x14ac:dyDescent="0.25">
      <c r="A1939" s="4">
        <f>_xlfn.XLOOKUP(E1939,'Data Validation'!$M$3:$M$10,'Data Validation'!$N$3:$N$10)</f>
        <v>4</v>
      </c>
      <c r="B1939" s="4">
        <v>12</v>
      </c>
      <c r="C1939" s="4" t="s">
        <v>11</v>
      </c>
      <c r="D1939" s="7">
        <v>35.76</v>
      </c>
      <c r="E1939" s="4" t="s">
        <v>21</v>
      </c>
      <c r="F1939" s="4" t="s">
        <v>17</v>
      </c>
      <c r="G1939" s="4" t="s">
        <v>50</v>
      </c>
      <c r="H1939" s="4" t="s">
        <v>57</v>
      </c>
      <c r="I1939" s="5">
        <v>45591</v>
      </c>
      <c r="J1939" s="4">
        <f t="shared" si="30"/>
        <v>16</v>
      </c>
    </row>
    <row r="1940" spans="1:10" x14ac:dyDescent="0.25">
      <c r="A1940" s="4">
        <f>_xlfn.XLOOKUP(E1940,'Data Validation'!$M$3:$M$10,'Data Validation'!$N$3:$N$10)</f>
        <v>4</v>
      </c>
      <c r="B1940" s="4">
        <v>17</v>
      </c>
      <c r="C1940" s="4" t="s">
        <v>11</v>
      </c>
      <c r="D1940" s="7">
        <v>35.76</v>
      </c>
      <c r="E1940" s="4" t="s">
        <v>21</v>
      </c>
      <c r="F1940" s="4" t="s">
        <v>20</v>
      </c>
      <c r="G1940" s="4" t="s">
        <v>45</v>
      </c>
      <c r="H1940" s="4" t="s">
        <v>57</v>
      </c>
      <c r="I1940" s="5">
        <v>45593</v>
      </c>
      <c r="J1940" s="4">
        <f t="shared" si="30"/>
        <v>16</v>
      </c>
    </row>
    <row r="1941" spans="1:10" x14ac:dyDescent="0.25">
      <c r="A1941" s="4">
        <f>_xlfn.XLOOKUP(E1941,'Data Validation'!$M$3:$M$10,'Data Validation'!$N$3:$N$10)</f>
        <v>4</v>
      </c>
      <c r="B1941" s="4">
        <v>17</v>
      </c>
      <c r="C1941" s="4" t="s">
        <v>11</v>
      </c>
      <c r="D1941" s="7">
        <v>35.76</v>
      </c>
      <c r="E1941" s="4" t="s">
        <v>21</v>
      </c>
      <c r="F1941" s="4" t="s">
        <v>20</v>
      </c>
      <c r="G1941" s="4" t="s">
        <v>45</v>
      </c>
      <c r="H1941" s="4" t="s">
        <v>57</v>
      </c>
      <c r="I1941" s="5">
        <v>45593</v>
      </c>
      <c r="J1941" s="4">
        <f t="shared" si="30"/>
        <v>16</v>
      </c>
    </row>
    <row r="1942" spans="1:10" x14ac:dyDescent="0.25">
      <c r="A1942" s="4">
        <f>_xlfn.XLOOKUP(E1942,'Data Validation'!$M$3:$M$10,'Data Validation'!$N$3:$N$10)</f>
        <v>4</v>
      </c>
      <c r="B1942" s="4">
        <v>16</v>
      </c>
      <c r="C1942" s="4" t="s">
        <v>11</v>
      </c>
      <c r="D1942" s="7">
        <v>35.76</v>
      </c>
      <c r="E1942" s="4" t="s">
        <v>21</v>
      </c>
      <c r="F1942" s="4" t="s">
        <v>17</v>
      </c>
      <c r="G1942" s="4" t="s">
        <v>46</v>
      </c>
      <c r="H1942" s="4" t="s">
        <v>57</v>
      </c>
      <c r="I1942" s="5">
        <v>45594</v>
      </c>
      <c r="J1942" s="4">
        <f t="shared" si="30"/>
        <v>16</v>
      </c>
    </row>
    <row r="1943" spans="1:10" x14ac:dyDescent="0.25">
      <c r="A1943" s="4">
        <f>_xlfn.XLOOKUP(E1943,'Data Validation'!$M$3:$M$10,'Data Validation'!$N$3:$N$10)</f>
        <v>4</v>
      </c>
      <c r="B1943" s="4">
        <v>16</v>
      </c>
      <c r="C1943" s="4" t="s">
        <v>11</v>
      </c>
      <c r="D1943" s="7">
        <v>35.76</v>
      </c>
      <c r="E1943" s="4" t="s">
        <v>21</v>
      </c>
      <c r="F1943" s="4" t="s">
        <v>17</v>
      </c>
      <c r="G1943" s="4" t="s">
        <v>46</v>
      </c>
      <c r="H1943" s="4" t="s">
        <v>57</v>
      </c>
      <c r="I1943" s="5">
        <v>45594</v>
      </c>
      <c r="J1943" s="4">
        <f t="shared" si="30"/>
        <v>16</v>
      </c>
    </row>
    <row r="1944" spans="1:10" x14ac:dyDescent="0.25">
      <c r="A1944" s="4">
        <f>_xlfn.XLOOKUP(E1944,'Data Validation'!$M$3:$M$10,'Data Validation'!$N$3:$N$10)</f>
        <v>4</v>
      </c>
      <c r="B1944" s="4">
        <v>8</v>
      </c>
      <c r="C1944" s="4" t="s">
        <v>11</v>
      </c>
      <c r="D1944" s="7">
        <v>35.76</v>
      </c>
      <c r="E1944" s="4" t="s">
        <v>21</v>
      </c>
      <c r="F1944" s="4" t="s">
        <v>13</v>
      </c>
      <c r="G1944" s="4" t="s">
        <v>49</v>
      </c>
      <c r="H1944" s="4" t="s">
        <v>58</v>
      </c>
      <c r="I1944" s="5">
        <v>45597</v>
      </c>
      <c r="J1944" s="4">
        <f t="shared" si="30"/>
        <v>16</v>
      </c>
    </row>
    <row r="1945" spans="1:10" x14ac:dyDescent="0.25">
      <c r="A1945" s="4">
        <f>_xlfn.XLOOKUP(E1945,'Data Validation'!$M$3:$M$10,'Data Validation'!$N$3:$N$10)</f>
        <v>4</v>
      </c>
      <c r="B1945" s="4">
        <v>12</v>
      </c>
      <c r="C1945" s="4" t="s">
        <v>11</v>
      </c>
      <c r="D1945" s="7">
        <v>35.76</v>
      </c>
      <c r="E1945" s="4" t="s">
        <v>21</v>
      </c>
      <c r="F1945" s="4" t="s">
        <v>17</v>
      </c>
      <c r="G1945" s="4" t="s">
        <v>49</v>
      </c>
      <c r="H1945" s="4" t="s">
        <v>58</v>
      </c>
      <c r="I1945" s="5">
        <v>45597</v>
      </c>
      <c r="J1945" s="4">
        <f t="shared" si="30"/>
        <v>16</v>
      </c>
    </row>
    <row r="1946" spans="1:10" x14ac:dyDescent="0.25">
      <c r="A1946" s="4">
        <f>_xlfn.XLOOKUP(E1946,'Data Validation'!$M$3:$M$10,'Data Validation'!$N$3:$N$10)</f>
        <v>4</v>
      </c>
      <c r="B1946" s="4">
        <v>12</v>
      </c>
      <c r="C1946" s="4" t="s">
        <v>11</v>
      </c>
      <c r="D1946" s="7">
        <v>35.76</v>
      </c>
      <c r="E1946" s="4" t="s">
        <v>21</v>
      </c>
      <c r="F1946" s="4" t="s">
        <v>17</v>
      </c>
      <c r="G1946" s="4" t="s">
        <v>49</v>
      </c>
      <c r="H1946" s="4" t="s">
        <v>58</v>
      </c>
      <c r="I1946" s="5">
        <v>45597</v>
      </c>
      <c r="J1946" s="4">
        <f t="shared" si="30"/>
        <v>16</v>
      </c>
    </row>
    <row r="1947" spans="1:10" x14ac:dyDescent="0.25">
      <c r="A1947" s="4">
        <f>_xlfn.XLOOKUP(E1947,'Data Validation'!$M$3:$M$10,'Data Validation'!$N$3:$N$10)</f>
        <v>4</v>
      </c>
      <c r="B1947" s="4">
        <v>10</v>
      </c>
      <c r="C1947" s="4" t="s">
        <v>11</v>
      </c>
      <c r="D1947" s="7">
        <v>35.76</v>
      </c>
      <c r="E1947" s="4" t="s">
        <v>21</v>
      </c>
      <c r="F1947" s="4" t="s">
        <v>13</v>
      </c>
      <c r="G1947" s="4" t="s">
        <v>50</v>
      </c>
      <c r="H1947" s="4" t="s">
        <v>58</v>
      </c>
      <c r="I1947" s="5">
        <v>45598</v>
      </c>
      <c r="J1947" s="4">
        <f t="shared" si="30"/>
        <v>16</v>
      </c>
    </row>
    <row r="1948" spans="1:10" x14ac:dyDescent="0.25">
      <c r="A1948" s="4">
        <f>_xlfn.XLOOKUP(E1948,'Data Validation'!$M$3:$M$10,'Data Validation'!$N$3:$N$10)</f>
        <v>4</v>
      </c>
      <c r="B1948" s="4">
        <v>13</v>
      </c>
      <c r="C1948" s="4" t="s">
        <v>11</v>
      </c>
      <c r="D1948" s="7">
        <v>35.76</v>
      </c>
      <c r="E1948" s="4" t="s">
        <v>21</v>
      </c>
      <c r="F1948" s="4" t="s">
        <v>17</v>
      </c>
      <c r="G1948" s="4" t="s">
        <v>51</v>
      </c>
      <c r="H1948" s="4" t="s">
        <v>58</v>
      </c>
      <c r="I1948" s="5">
        <v>45599</v>
      </c>
      <c r="J1948" s="4">
        <f t="shared" si="30"/>
        <v>16</v>
      </c>
    </row>
    <row r="1949" spans="1:10" x14ac:dyDescent="0.25">
      <c r="A1949" s="4">
        <f>_xlfn.XLOOKUP(E1949,'Data Validation'!$M$3:$M$10,'Data Validation'!$N$3:$N$10)</f>
        <v>4</v>
      </c>
      <c r="B1949" s="4">
        <v>20</v>
      </c>
      <c r="C1949" s="4" t="s">
        <v>11</v>
      </c>
      <c r="D1949" s="7">
        <v>35.76</v>
      </c>
      <c r="E1949" s="4" t="s">
        <v>21</v>
      </c>
      <c r="F1949" s="4" t="s">
        <v>20</v>
      </c>
      <c r="G1949" s="4" t="s">
        <v>51</v>
      </c>
      <c r="H1949" s="4" t="s">
        <v>58</v>
      </c>
      <c r="I1949" s="5">
        <v>45599</v>
      </c>
      <c r="J1949" s="4">
        <f t="shared" si="30"/>
        <v>16</v>
      </c>
    </row>
    <row r="1950" spans="1:10" x14ac:dyDescent="0.25">
      <c r="A1950" s="4">
        <f>_xlfn.XLOOKUP(E1950,'Data Validation'!$M$3:$M$10,'Data Validation'!$N$3:$N$10)</f>
        <v>4</v>
      </c>
      <c r="B1950" s="4">
        <v>14</v>
      </c>
      <c r="C1950" s="4" t="s">
        <v>11</v>
      </c>
      <c r="D1950" s="7">
        <v>35.76</v>
      </c>
      <c r="E1950" s="4" t="s">
        <v>21</v>
      </c>
      <c r="F1950" s="4" t="s">
        <v>17</v>
      </c>
      <c r="G1950" s="4" t="s">
        <v>45</v>
      </c>
      <c r="H1950" s="4" t="s">
        <v>58</v>
      </c>
      <c r="I1950" s="5">
        <v>45600</v>
      </c>
      <c r="J1950" s="4">
        <f t="shared" si="30"/>
        <v>16</v>
      </c>
    </row>
    <row r="1951" spans="1:10" x14ac:dyDescent="0.25">
      <c r="A1951" s="4">
        <f>_xlfn.XLOOKUP(E1951,'Data Validation'!$M$3:$M$10,'Data Validation'!$N$3:$N$10)</f>
        <v>4</v>
      </c>
      <c r="B1951" s="4">
        <v>14</v>
      </c>
      <c r="C1951" s="4" t="s">
        <v>11</v>
      </c>
      <c r="D1951" s="7">
        <v>35.76</v>
      </c>
      <c r="E1951" s="4" t="s">
        <v>21</v>
      </c>
      <c r="F1951" s="4" t="s">
        <v>17</v>
      </c>
      <c r="G1951" s="4" t="s">
        <v>45</v>
      </c>
      <c r="H1951" s="4" t="s">
        <v>58</v>
      </c>
      <c r="I1951" s="5">
        <v>45600</v>
      </c>
      <c r="J1951" s="4">
        <f t="shared" si="30"/>
        <v>16</v>
      </c>
    </row>
    <row r="1952" spans="1:10" x14ac:dyDescent="0.25">
      <c r="A1952" s="4">
        <f>_xlfn.XLOOKUP(E1952,'Data Validation'!$M$3:$M$10,'Data Validation'!$N$3:$N$10)</f>
        <v>4</v>
      </c>
      <c r="B1952" s="4">
        <v>7</v>
      </c>
      <c r="C1952" s="4" t="s">
        <v>11</v>
      </c>
      <c r="D1952" s="7">
        <v>35.76</v>
      </c>
      <c r="E1952" s="4" t="s">
        <v>21</v>
      </c>
      <c r="F1952" s="4" t="s">
        <v>13</v>
      </c>
      <c r="G1952" s="4" t="s">
        <v>46</v>
      </c>
      <c r="H1952" s="4" t="s">
        <v>58</v>
      </c>
      <c r="I1952" s="5">
        <v>45601</v>
      </c>
      <c r="J1952" s="4">
        <f t="shared" si="30"/>
        <v>16</v>
      </c>
    </row>
    <row r="1953" spans="1:10" x14ac:dyDescent="0.25">
      <c r="A1953" s="4">
        <f>_xlfn.XLOOKUP(E1953,'Data Validation'!$M$3:$M$10,'Data Validation'!$N$3:$N$10)</f>
        <v>4</v>
      </c>
      <c r="B1953" s="4">
        <v>11</v>
      </c>
      <c r="C1953" s="4" t="s">
        <v>11</v>
      </c>
      <c r="D1953" s="7">
        <v>35.76</v>
      </c>
      <c r="E1953" s="4" t="s">
        <v>21</v>
      </c>
      <c r="F1953" s="4" t="s">
        <v>13</v>
      </c>
      <c r="G1953" s="4" t="s">
        <v>46</v>
      </c>
      <c r="H1953" s="4" t="s">
        <v>58</v>
      </c>
      <c r="I1953" s="5">
        <v>45601</v>
      </c>
      <c r="J1953" s="4">
        <f t="shared" si="30"/>
        <v>16</v>
      </c>
    </row>
    <row r="1954" spans="1:10" x14ac:dyDescent="0.25">
      <c r="A1954" s="4">
        <f>_xlfn.XLOOKUP(E1954,'Data Validation'!$M$3:$M$10,'Data Validation'!$N$3:$N$10)</f>
        <v>4</v>
      </c>
      <c r="B1954" s="4">
        <v>21</v>
      </c>
      <c r="C1954" s="4" t="s">
        <v>11</v>
      </c>
      <c r="D1954" s="7">
        <v>35.76</v>
      </c>
      <c r="E1954" s="4" t="s">
        <v>21</v>
      </c>
      <c r="F1954" s="4" t="s">
        <v>20</v>
      </c>
      <c r="G1954" s="4" t="s">
        <v>46</v>
      </c>
      <c r="H1954" s="4" t="s">
        <v>58</v>
      </c>
      <c r="I1954" s="5">
        <v>45601</v>
      </c>
      <c r="J1954" s="4">
        <f t="shared" si="30"/>
        <v>16</v>
      </c>
    </row>
    <row r="1955" spans="1:10" x14ac:dyDescent="0.25">
      <c r="A1955" s="4">
        <f>_xlfn.XLOOKUP(E1955,'Data Validation'!$M$3:$M$10,'Data Validation'!$N$3:$N$10)</f>
        <v>4</v>
      </c>
      <c r="B1955" s="4">
        <v>21</v>
      </c>
      <c r="C1955" s="4" t="s">
        <v>11</v>
      </c>
      <c r="D1955" s="7">
        <v>35.76</v>
      </c>
      <c r="E1955" s="4" t="s">
        <v>21</v>
      </c>
      <c r="F1955" s="4" t="s">
        <v>20</v>
      </c>
      <c r="G1955" s="4" t="s">
        <v>46</v>
      </c>
      <c r="H1955" s="4" t="s">
        <v>58</v>
      </c>
      <c r="I1955" s="5">
        <v>45601</v>
      </c>
      <c r="J1955" s="4">
        <f t="shared" si="30"/>
        <v>16</v>
      </c>
    </row>
    <row r="1956" spans="1:10" x14ac:dyDescent="0.25">
      <c r="A1956" s="4">
        <f>_xlfn.XLOOKUP(E1956,'Data Validation'!$M$3:$M$10,'Data Validation'!$N$3:$N$10)</f>
        <v>4</v>
      </c>
      <c r="B1956" s="4">
        <v>18</v>
      </c>
      <c r="C1956" s="4" t="s">
        <v>11</v>
      </c>
      <c r="D1956" s="7">
        <v>35.76</v>
      </c>
      <c r="E1956" s="4" t="s">
        <v>21</v>
      </c>
      <c r="F1956" s="4" t="s">
        <v>20</v>
      </c>
      <c r="G1956" s="4" t="s">
        <v>48</v>
      </c>
      <c r="H1956" s="4" t="s">
        <v>58</v>
      </c>
      <c r="I1956" s="5">
        <v>45603</v>
      </c>
      <c r="J1956" s="4">
        <f t="shared" si="30"/>
        <v>16</v>
      </c>
    </row>
    <row r="1957" spans="1:10" x14ac:dyDescent="0.25">
      <c r="A1957" s="4">
        <f>_xlfn.XLOOKUP(E1957,'Data Validation'!$M$3:$M$10,'Data Validation'!$N$3:$N$10)</f>
        <v>4</v>
      </c>
      <c r="B1957" s="4">
        <v>16</v>
      </c>
      <c r="C1957" s="4" t="s">
        <v>11</v>
      </c>
      <c r="D1957" s="7">
        <v>35.76</v>
      </c>
      <c r="E1957" s="4" t="s">
        <v>21</v>
      </c>
      <c r="F1957" s="4" t="s">
        <v>17</v>
      </c>
      <c r="G1957" s="4" t="s">
        <v>50</v>
      </c>
      <c r="H1957" s="4" t="s">
        <v>58</v>
      </c>
      <c r="I1957" s="5">
        <v>45605</v>
      </c>
      <c r="J1957" s="4">
        <f t="shared" si="30"/>
        <v>16</v>
      </c>
    </row>
    <row r="1958" spans="1:10" x14ac:dyDescent="0.25">
      <c r="A1958" s="4">
        <f>_xlfn.XLOOKUP(E1958,'Data Validation'!$M$3:$M$10,'Data Validation'!$N$3:$N$10)</f>
        <v>4</v>
      </c>
      <c r="B1958" s="4">
        <v>22</v>
      </c>
      <c r="C1958" s="4" t="s">
        <v>11</v>
      </c>
      <c r="D1958" s="7">
        <v>35.76</v>
      </c>
      <c r="E1958" s="4" t="s">
        <v>21</v>
      </c>
      <c r="F1958" s="4" t="s">
        <v>20</v>
      </c>
      <c r="G1958" s="4" t="s">
        <v>50</v>
      </c>
      <c r="H1958" s="4" t="s">
        <v>58</v>
      </c>
      <c r="I1958" s="5">
        <v>45605</v>
      </c>
      <c r="J1958" s="4">
        <f t="shared" si="30"/>
        <v>16</v>
      </c>
    </row>
    <row r="1959" spans="1:10" x14ac:dyDescent="0.25">
      <c r="A1959" s="4">
        <f>_xlfn.XLOOKUP(E1959,'Data Validation'!$M$3:$M$10,'Data Validation'!$N$3:$N$10)</f>
        <v>4</v>
      </c>
      <c r="B1959" s="4">
        <v>17</v>
      </c>
      <c r="C1959" s="4" t="s">
        <v>11</v>
      </c>
      <c r="D1959" s="7">
        <v>35.76</v>
      </c>
      <c r="E1959" s="4" t="s">
        <v>21</v>
      </c>
      <c r="F1959" s="4" t="s">
        <v>20</v>
      </c>
      <c r="G1959" s="4" t="s">
        <v>51</v>
      </c>
      <c r="H1959" s="4" t="s">
        <v>58</v>
      </c>
      <c r="I1959" s="5">
        <v>45606</v>
      </c>
      <c r="J1959" s="4">
        <f t="shared" si="30"/>
        <v>16</v>
      </c>
    </row>
    <row r="1960" spans="1:10" x14ac:dyDescent="0.25">
      <c r="A1960" s="4">
        <f>_xlfn.XLOOKUP(E1960,'Data Validation'!$M$3:$M$10,'Data Validation'!$N$3:$N$10)</f>
        <v>4</v>
      </c>
      <c r="B1960" s="4">
        <v>16</v>
      </c>
      <c r="C1960" s="4" t="s">
        <v>11</v>
      </c>
      <c r="D1960" s="7">
        <v>35.76</v>
      </c>
      <c r="E1960" s="4" t="s">
        <v>21</v>
      </c>
      <c r="F1960" s="4" t="s">
        <v>17</v>
      </c>
      <c r="G1960" s="4" t="s">
        <v>46</v>
      </c>
      <c r="H1960" s="4" t="s">
        <v>58</v>
      </c>
      <c r="I1960" s="5">
        <v>45608</v>
      </c>
      <c r="J1960" s="4">
        <f t="shared" si="30"/>
        <v>16</v>
      </c>
    </row>
    <row r="1961" spans="1:10" x14ac:dyDescent="0.25">
      <c r="A1961" s="4">
        <f>_xlfn.XLOOKUP(E1961,'Data Validation'!$M$3:$M$10,'Data Validation'!$N$3:$N$10)</f>
        <v>4</v>
      </c>
      <c r="B1961" s="4">
        <v>20</v>
      </c>
      <c r="C1961" s="4" t="s">
        <v>11</v>
      </c>
      <c r="D1961" s="7">
        <v>35.76</v>
      </c>
      <c r="E1961" s="4" t="s">
        <v>21</v>
      </c>
      <c r="F1961" s="4" t="s">
        <v>20</v>
      </c>
      <c r="G1961" s="4" t="s">
        <v>46</v>
      </c>
      <c r="H1961" s="4" t="s">
        <v>58</v>
      </c>
      <c r="I1961" s="5">
        <v>45608</v>
      </c>
      <c r="J1961" s="4">
        <f t="shared" si="30"/>
        <v>16</v>
      </c>
    </row>
    <row r="1962" spans="1:10" x14ac:dyDescent="0.25">
      <c r="A1962" s="4">
        <f>_xlfn.XLOOKUP(E1962,'Data Validation'!$M$3:$M$10,'Data Validation'!$N$3:$N$10)</f>
        <v>4</v>
      </c>
      <c r="B1962" s="4">
        <v>20</v>
      </c>
      <c r="C1962" s="4" t="s">
        <v>11</v>
      </c>
      <c r="D1962" s="7">
        <v>35.76</v>
      </c>
      <c r="E1962" s="4" t="s">
        <v>21</v>
      </c>
      <c r="F1962" s="4" t="s">
        <v>20</v>
      </c>
      <c r="G1962" s="4" t="s">
        <v>48</v>
      </c>
      <c r="H1962" s="4" t="s">
        <v>58</v>
      </c>
      <c r="I1962" s="5">
        <v>45610</v>
      </c>
      <c r="J1962" s="4">
        <f t="shared" si="30"/>
        <v>16</v>
      </c>
    </row>
    <row r="1963" spans="1:10" x14ac:dyDescent="0.25">
      <c r="A1963" s="4">
        <f>_xlfn.XLOOKUP(E1963,'Data Validation'!$M$3:$M$10,'Data Validation'!$N$3:$N$10)</f>
        <v>4</v>
      </c>
      <c r="B1963" s="4">
        <v>12</v>
      </c>
      <c r="C1963" s="4" t="s">
        <v>11</v>
      </c>
      <c r="D1963" s="7">
        <v>35.76</v>
      </c>
      <c r="E1963" s="4" t="s">
        <v>21</v>
      </c>
      <c r="F1963" s="4" t="s">
        <v>17</v>
      </c>
      <c r="G1963" s="4" t="s">
        <v>49</v>
      </c>
      <c r="H1963" s="4" t="s">
        <v>58</v>
      </c>
      <c r="I1963" s="5">
        <v>45611</v>
      </c>
      <c r="J1963" s="4">
        <f t="shared" si="30"/>
        <v>16</v>
      </c>
    </row>
    <row r="1964" spans="1:10" x14ac:dyDescent="0.25">
      <c r="A1964" s="4">
        <f>_xlfn.XLOOKUP(E1964,'Data Validation'!$M$3:$M$10,'Data Validation'!$N$3:$N$10)</f>
        <v>4</v>
      </c>
      <c r="B1964" s="4">
        <v>12</v>
      </c>
      <c r="C1964" s="4" t="s">
        <v>11</v>
      </c>
      <c r="D1964" s="7">
        <v>35.76</v>
      </c>
      <c r="E1964" s="4" t="s">
        <v>21</v>
      </c>
      <c r="F1964" s="4" t="s">
        <v>17</v>
      </c>
      <c r="G1964" s="4" t="s">
        <v>49</v>
      </c>
      <c r="H1964" s="4" t="s">
        <v>58</v>
      </c>
      <c r="I1964" s="5">
        <v>45611</v>
      </c>
      <c r="J1964" s="4">
        <f t="shared" si="30"/>
        <v>16</v>
      </c>
    </row>
    <row r="1965" spans="1:10" x14ac:dyDescent="0.25">
      <c r="A1965" s="4">
        <f>_xlfn.XLOOKUP(E1965,'Data Validation'!$M$3:$M$10,'Data Validation'!$N$3:$N$10)</f>
        <v>4</v>
      </c>
      <c r="B1965" s="4">
        <v>7</v>
      </c>
      <c r="C1965" s="4" t="s">
        <v>11</v>
      </c>
      <c r="D1965" s="7">
        <v>35.76</v>
      </c>
      <c r="E1965" s="4" t="s">
        <v>21</v>
      </c>
      <c r="F1965" s="4" t="s">
        <v>13</v>
      </c>
      <c r="G1965" s="4" t="s">
        <v>46</v>
      </c>
      <c r="H1965" s="4" t="s">
        <v>58</v>
      </c>
      <c r="I1965" s="5">
        <v>45615</v>
      </c>
      <c r="J1965" s="4">
        <f t="shared" si="30"/>
        <v>16</v>
      </c>
    </row>
    <row r="1966" spans="1:10" x14ac:dyDescent="0.25">
      <c r="A1966" s="4">
        <f>_xlfn.XLOOKUP(E1966,'Data Validation'!$M$3:$M$10,'Data Validation'!$N$3:$N$10)</f>
        <v>4</v>
      </c>
      <c r="B1966" s="4">
        <v>16</v>
      </c>
      <c r="C1966" s="4" t="s">
        <v>11</v>
      </c>
      <c r="D1966" s="7">
        <v>35.76</v>
      </c>
      <c r="E1966" s="4" t="s">
        <v>21</v>
      </c>
      <c r="F1966" s="4" t="s">
        <v>17</v>
      </c>
      <c r="G1966" s="4" t="s">
        <v>46</v>
      </c>
      <c r="H1966" s="4" t="s">
        <v>58</v>
      </c>
      <c r="I1966" s="5">
        <v>45615</v>
      </c>
      <c r="J1966" s="4">
        <f t="shared" si="30"/>
        <v>16</v>
      </c>
    </row>
    <row r="1967" spans="1:10" x14ac:dyDescent="0.25">
      <c r="A1967" s="4">
        <f>_xlfn.XLOOKUP(E1967,'Data Validation'!$M$3:$M$10,'Data Validation'!$N$3:$N$10)</f>
        <v>4</v>
      </c>
      <c r="B1967" s="4">
        <v>16</v>
      </c>
      <c r="C1967" s="4" t="s">
        <v>11</v>
      </c>
      <c r="D1967" s="7">
        <v>35.76</v>
      </c>
      <c r="E1967" s="4" t="s">
        <v>21</v>
      </c>
      <c r="F1967" s="4" t="s">
        <v>17</v>
      </c>
      <c r="G1967" s="4" t="s">
        <v>46</v>
      </c>
      <c r="H1967" s="4" t="s">
        <v>58</v>
      </c>
      <c r="I1967" s="5">
        <v>45615</v>
      </c>
      <c r="J1967" s="4">
        <f t="shared" si="30"/>
        <v>16</v>
      </c>
    </row>
    <row r="1968" spans="1:10" x14ac:dyDescent="0.25">
      <c r="A1968" s="4">
        <f>_xlfn.XLOOKUP(E1968,'Data Validation'!$M$3:$M$10,'Data Validation'!$N$3:$N$10)</f>
        <v>4</v>
      </c>
      <c r="B1968" s="4">
        <v>12</v>
      </c>
      <c r="C1968" s="4" t="s">
        <v>11</v>
      </c>
      <c r="D1968" s="7">
        <v>35.76</v>
      </c>
      <c r="E1968" s="4" t="s">
        <v>21</v>
      </c>
      <c r="F1968" s="4" t="s">
        <v>17</v>
      </c>
      <c r="G1968" s="4" t="s">
        <v>48</v>
      </c>
      <c r="H1968" s="4" t="s">
        <v>58</v>
      </c>
      <c r="I1968" s="5">
        <v>45617</v>
      </c>
      <c r="J1968" s="4">
        <f t="shared" si="30"/>
        <v>16</v>
      </c>
    </row>
    <row r="1969" spans="1:10" x14ac:dyDescent="0.25">
      <c r="A1969" s="4">
        <f>_xlfn.XLOOKUP(E1969,'Data Validation'!$M$3:$M$10,'Data Validation'!$N$3:$N$10)</f>
        <v>4</v>
      </c>
      <c r="B1969" s="4">
        <v>13</v>
      </c>
      <c r="C1969" s="4" t="s">
        <v>11</v>
      </c>
      <c r="D1969" s="7">
        <v>35.76</v>
      </c>
      <c r="E1969" s="4" t="s">
        <v>21</v>
      </c>
      <c r="F1969" s="4" t="s">
        <v>17</v>
      </c>
      <c r="G1969" s="4" t="s">
        <v>48</v>
      </c>
      <c r="H1969" s="4" t="s">
        <v>58</v>
      </c>
      <c r="I1969" s="5">
        <v>45617</v>
      </c>
      <c r="J1969" s="4">
        <f t="shared" si="30"/>
        <v>16</v>
      </c>
    </row>
    <row r="1970" spans="1:10" x14ac:dyDescent="0.25">
      <c r="A1970" s="4">
        <f>_xlfn.XLOOKUP(E1970,'Data Validation'!$M$3:$M$10,'Data Validation'!$N$3:$N$10)</f>
        <v>4</v>
      </c>
      <c r="B1970" s="4">
        <v>11</v>
      </c>
      <c r="C1970" s="4" t="s">
        <v>11</v>
      </c>
      <c r="D1970" s="7">
        <v>35.76</v>
      </c>
      <c r="E1970" s="4" t="s">
        <v>21</v>
      </c>
      <c r="F1970" s="4" t="s">
        <v>13</v>
      </c>
      <c r="G1970" s="4" t="s">
        <v>49</v>
      </c>
      <c r="H1970" s="4" t="s">
        <v>58</v>
      </c>
      <c r="I1970" s="5">
        <v>45618</v>
      </c>
      <c r="J1970" s="4">
        <f t="shared" si="30"/>
        <v>16</v>
      </c>
    </row>
    <row r="1971" spans="1:10" x14ac:dyDescent="0.25">
      <c r="A1971" s="4">
        <f>_xlfn.XLOOKUP(E1971,'Data Validation'!$M$3:$M$10,'Data Validation'!$N$3:$N$10)</f>
        <v>4</v>
      </c>
      <c r="B1971" s="4">
        <v>11</v>
      </c>
      <c r="C1971" s="4" t="s">
        <v>11</v>
      </c>
      <c r="D1971" s="7">
        <v>35.76</v>
      </c>
      <c r="E1971" s="4" t="s">
        <v>21</v>
      </c>
      <c r="F1971" s="4" t="s">
        <v>13</v>
      </c>
      <c r="G1971" s="4" t="s">
        <v>46</v>
      </c>
      <c r="H1971" s="4" t="s">
        <v>58</v>
      </c>
      <c r="I1971" s="5">
        <v>45622</v>
      </c>
      <c r="J1971" s="4">
        <f t="shared" si="30"/>
        <v>16</v>
      </c>
    </row>
    <row r="1972" spans="1:10" x14ac:dyDescent="0.25">
      <c r="A1972" s="4">
        <f>_xlfn.XLOOKUP(E1972,'Data Validation'!$M$3:$M$10,'Data Validation'!$N$3:$N$10)</f>
        <v>4</v>
      </c>
      <c r="B1972" s="4">
        <v>11</v>
      </c>
      <c r="C1972" s="4" t="s">
        <v>11</v>
      </c>
      <c r="D1972" s="7">
        <v>35.76</v>
      </c>
      <c r="E1972" s="4" t="s">
        <v>21</v>
      </c>
      <c r="F1972" s="4" t="s">
        <v>13</v>
      </c>
      <c r="G1972" s="4" t="s">
        <v>46</v>
      </c>
      <c r="H1972" s="4" t="s">
        <v>58</v>
      </c>
      <c r="I1972" s="5">
        <v>45622</v>
      </c>
      <c r="J1972" s="4">
        <f t="shared" si="30"/>
        <v>16</v>
      </c>
    </row>
    <row r="1973" spans="1:10" x14ac:dyDescent="0.25">
      <c r="A1973" s="4">
        <f>_xlfn.XLOOKUP(E1973,'Data Validation'!$M$3:$M$10,'Data Validation'!$N$3:$N$10)</f>
        <v>4</v>
      </c>
      <c r="B1973" s="4">
        <v>11</v>
      </c>
      <c r="C1973" s="4" t="s">
        <v>11</v>
      </c>
      <c r="D1973" s="7">
        <v>35.76</v>
      </c>
      <c r="E1973" s="4" t="s">
        <v>21</v>
      </c>
      <c r="F1973" s="4" t="s">
        <v>13</v>
      </c>
      <c r="G1973" s="4" t="s">
        <v>46</v>
      </c>
      <c r="H1973" s="4" t="s">
        <v>58</v>
      </c>
      <c r="I1973" s="5">
        <v>45622</v>
      </c>
      <c r="J1973" s="4">
        <f t="shared" si="30"/>
        <v>16</v>
      </c>
    </row>
    <row r="1974" spans="1:10" x14ac:dyDescent="0.25">
      <c r="A1974" s="4">
        <f>_xlfn.XLOOKUP(E1974,'Data Validation'!$M$3:$M$10,'Data Validation'!$N$3:$N$10)</f>
        <v>4</v>
      </c>
      <c r="B1974" s="4">
        <v>19</v>
      </c>
      <c r="C1974" s="4" t="s">
        <v>11</v>
      </c>
      <c r="D1974" s="7">
        <v>35.76</v>
      </c>
      <c r="E1974" s="4" t="s">
        <v>21</v>
      </c>
      <c r="F1974" s="4" t="s">
        <v>20</v>
      </c>
      <c r="G1974" s="4" t="s">
        <v>46</v>
      </c>
      <c r="H1974" s="4" t="s">
        <v>58</v>
      </c>
      <c r="I1974" s="5">
        <v>45622</v>
      </c>
      <c r="J1974" s="4">
        <f t="shared" si="30"/>
        <v>16</v>
      </c>
    </row>
    <row r="1975" spans="1:10" x14ac:dyDescent="0.25">
      <c r="A1975" s="4">
        <f>_xlfn.XLOOKUP(E1975,'Data Validation'!$M$3:$M$10,'Data Validation'!$N$3:$N$10)</f>
        <v>4</v>
      </c>
      <c r="B1975" s="4">
        <v>7</v>
      </c>
      <c r="C1975" s="4" t="s">
        <v>11</v>
      </c>
      <c r="D1975" s="7">
        <v>35.76</v>
      </c>
      <c r="E1975" s="4" t="s">
        <v>21</v>
      </c>
      <c r="F1975" s="4" t="s">
        <v>13</v>
      </c>
      <c r="G1975" s="4" t="s">
        <v>49</v>
      </c>
      <c r="H1975" s="4" t="s">
        <v>58</v>
      </c>
      <c r="I1975" s="5">
        <v>45625</v>
      </c>
      <c r="J1975" s="4">
        <f t="shared" si="30"/>
        <v>16</v>
      </c>
    </row>
    <row r="1976" spans="1:10" x14ac:dyDescent="0.25">
      <c r="A1976" s="4">
        <f>_xlfn.XLOOKUP(E1976,'Data Validation'!$M$3:$M$10,'Data Validation'!$N$3:$N$10)</f>
        <v>4</v>
      </c>
      <c r="B1976" s="4">
        <v>20</v>
      </c>
      <c r="C1976" s="4" t="s">
        <v>11</v>
      </c>
      <c r="D1976" s="7">
        <v>35.76</v>
      </c>
      <c r="E1976" s="4" t="s">
        <v>21</v>
      </c>
      <c r="F1976" s="4" t="s">
        <v>20</v>
      </c>
      <c r="G1976" s="4" t="s">
        <v>49</v>
      </c>
      <c r="H1976" s="4" t="s">
        <v>58</v>
      </c>
      <c r="I1976" s="5">
        <v>45625</v>
      </c>
      <c r="J1976" s="4">
        <f t="shared" si="30"/>
        <v>16</v>
      </c>
    </row>
    <row r="1977" spans="1:10" x14ac:dyDescent="0.25">
      <c r="A1977" s="4">
        <f>_xlfn.XLOOKUP(E1977,'Data Validation'!$M$3:$M$10,'Data Validation'!$N$3:$N$10)</f>
        <v>4</v>
      </c>
      <c r="B1977" s="4">
        <v>12</v>
      </c>
      <c r="C1977" s="4" t="s">
        <v>11</v>
      </c>
      <c r="D1977" s="7">
        <v>35.76</v>
      </c>
      <c r="E1977" s="4" t="s">
        <v>21</v>
      </c>
      <c r="F1977" s="4" t="s">
        <v>17</v>
      </c>
      <c r="G1977" s="4" t="s">
        <v>50</v>
      </c>
      <c r="H1977" s="4" t="s">
        <v>58</v>
      </c>
      <c r="I1977" s="5">
        <v>45626</v>
      </c>
      <c r="J1977" s="4">
        <f t="shared" si="30"/>
        <v>16</v>
      </c>
    </row>
    <row r="1978" spans="1:10" x14ac:dyDescent="0.25">
      <c r="A1978" s="4">
        <f>_xlfn.XLOOKUP(E1978,'Data Validation'!$M$3:$M$10,'Data Validation'!$N$3:$N$10)</f>
        <v>4</v>
      </c>
      <c r="B1978" s="4">
        <v>14</v>
      </c>
      <c r="C1978" s="4" t="s">
        <v>11</v>
      </c>
      <c r="D1978" s="7">
        <v>35.76</v>
      </c>
      <c r="E1978" s="4" t="s">
        <v>21</v>
      </c>
      <c r="F1978" s="4" t="s">
        <v>17</v>
      </c>
      <c r="G1978" s="4" t="s">
        <v>50</v>
      </c>
      <c r="H1978" s="4" t="s">
        <v>58</v>
      </c>
      <c r="I1978" s="5">
        <v>45626</v>
      </c>
      <c r="J1978" s="4">
        <f t="shared" si="30"/>
        <v>16</v>
      </c>
    </row>
    <row r="1979" spans="1:10" x14ac:dyDescent="0.25">
      <c r="A1979" s="4">
        <f>_xlfn.XLOOKUP(E1979,'Data Validation'!$M$3:$M$10,'Data Validation'!$N$3:$N$10)</f>
        <v>4</v>
      </c>
      <c r="B1979" s="4">
        <v>15</v>
      </c>
      <c r="C1979" s="4" t="s">
        <v>11</v>
      </c>
      <c r="D1979" s="7">
        <v>35.76</v>
      </c>
      <c r="E1979" s="4" t="s">
        <v>21</v>
      </c>
      <c r="F1979" s="4" t="s">
        <v>17</v>
      </c>
      <c r="G1979" s="4" t="s">
        <v>51</v>
      </c>
      <c r="H1979" s="4" t="s">
        <v>59</v>
      </c>
      <c r="I1979" s="5">
        <v>45627</v>
      </c>
      <c r="J1979" s="4">
        <f t="shared" si="30"/>
        <v>16</v>
      </c>
    </row>
    <row r="1980" spans="1:10" x14ac:dyDescent="0.25">
      <c r="A1980" s="4">
        <f>_xlfn.XLOOKUP(E1980,'Data Validation'!$M$3:$M$10,'Data Validation'!$N$3:$N$10)</f>
        <v>4</v>
      </c>
      <c r="B1980" s="4">
        <v>15</v>
      </c>
      <c r="C1980" s="4" t="s">
        <v>11</v>
      </c>
      <c r="D1980" s="7">
        <v>35.76</v>
      </c>
      <c r="E1980" s="4" t="s">
        <v>21</v>
      </c>
      <c r="F1980" s="4" t="s">
        <v>17</v>
      </c>
      <c r="G1980" s="4" t="s">
        <v>51</v>
      </c>
      <c r="H1980" s="4" t="s">
        <v>59</v>
      </c>
      <c r="I1980" s="5">
        <v>45627</v>
      </c>
      <c r="J1980" s="4">
        <f t="shared" si="30"/>
        <v>16</v>
      </c>
    </row>
    <row r="1981" spans="1:10" x14ac:dyDescent="0.25">
      <c r="A1981" s="4">
        <f>_xlfn.XLOOKUP(E1981,'Data Validation'!$M$3:$M$10,'Data Validation'!$N$3:$N$10)</f>
        <v>4</v>
      </c>
      <c r="B1981" s="4">
        <v>8</v>
      </c>
      <c r="C1981" s="4" t="s">
        <v>11</v>
      </c>
      <c r="D1981" s="7">
        <v>35.76</v>
      </c>
      <c r="E1981" s="4" t="s">
        <v>21</v>
      </c>
      <c r="F1981" s="4" t="s">
        <v>13</v>
      </c>
      <c r="G1981" s="4" t="s">
        <v>45</v>
      </c>
      <c r="H1981" s="4" t="s">
        <v>59</v>
      </c>
      <c r="I1981" s="5">
        <v>45628</v>
      </c>
      <c r="J1981" s="4">
        <f t="shared" si="30"/>
        <v>16</v>
      </c>
    </row>
    <row r="1982" spans="1:10" x14ac:dyDescent="0.25">
      <c r="A1982" s="4">
        <f>_xlfn.XLOOKUP(E1982,'Data Validation'!$M$3:$M$10,'Data Validation'!$N$3:$N$10)</f>
        <v>4</v>
      </c>
      <c r="B1982" s="4">
        <v>20</v>
      </c>
      <c r="C1982" s="4" t="s">
        <v>11</v>
      </c>
      <c r="D1982" s="7">
        <v>35.76</v>
      </c>
      <c r="E1982" s="4" t="s">
        <v>21</v>
      </c>
      <c r="F1982" s="4" t="s">
        <v>20</v>
      </c>
      <c r="G1982" s="4" t="s">
        <v>46</v>
      </c>
      <c r="H1982" s="4" t="s">
        <v>59</v>
      </c>
      <c r="I1982" s="5">
        <v>45629</v>
      </c>
      <c r="J1982" s="4">
        <f t="shared" si="30"/>
        <v>16</v>
      </c>
    </row>
    <row r="1983" spans="1:10" x14ac:dyDescent="0.25">
      <c r="A1983" s="4">
        <f>_xlfn.XLOOKUP(E1983,'Data Validation'!$M$3:$M$10,'Data Validation'!$N$3:$N$10)</f>
        <v>4</v>
      </c>
      <c r="B1983" s="4">
        <v>21</v>
      </c>
      <c r="C1983" s="4" t="s">
        <v>11</v>
      </c>
      <c r="D1983" s="7">
        <v>35.76</v>
      </c>
      <c r="E1983" s="4" t="s">
        <v>21</v>
      </c>
      <c r="F1983" s="4" t="s">
        <v>20</v>
      </c>
      <c r="G1983" s="4" t="s">
        <v>45</v>
      </c>
      <c r="H1983" s="4" t="s">
        <v>59</v>
      </c>
      <c r="I1983" s="5">
        <v>45635</v>
      </c>
      <c r="J1983" s="4">
        <f t="shared" si="30"/>
        <v>16</v>
      </c>
    </row>
    <row r="1984" spans="1:10" x14ac:dyDescent="0.25">
      <c r="A1984" s="4">
        <f>_xlfn.XLOOKUP(E1984,'Data Validation'!$M$3:$M$10,'Data Validation'!$N$3:$N$10)</f>
        <v>4</v>
      </c>
      <c r="B1984" s="4">
        <v>17</v>
      </c>
      <c r="C1984" s="4" t="s">
        <v>11</v>
      </c>
      <c r="D1984" s="7">
        <v>35.76</v>
      </c>
      <c r="E1984" s="4" t="s">
        <v>21</v>
      </c>
      <c r="F1984" s="4" t="s">
        <v>20</v>
      </c>
      <c r="G1984" s="4" t="s">
        <v>47</v>
      </c>
      <c r="H1984" s="4" t="s">
        <v>59</v>
      </c>
      <c r="I1984" s="5">
        <v>45637</v>
      </c>
      <c r="J1984" s="4">
        <f t="shared" si="30"/>
        <v>16</v>
      </c>
    </row>
    <row r="1985" spans="1:10" x14ac:dyDescent="0.25">
      <c r="A1985" s="4">
        <f>_xlfn.XLOOKUP(E1985,'Data Validation'!$M$3:$M$10,'Data Validation'!$N$3:$N$10)</f>
        <v>4</v>
      </c>
      <c r="B1985" s="4">
        <v>19</v>
      </c>
      <c r="C1985" s="4" t="s">
        <v>11</v>
      </c>
      <c r="D1985" s="7">
        <v>35.76</v>
      </c>
      <c r="E1985" s="4" t="s">
        <v>21</v>
      </c>
      <c r="F1985" s="4" t="s">
        <v>20</v>
      </c>
      <c r="G1985" s="4" t="s">
        <v>48</v>
      </c>
      <c r="H1985" s="4" t="s">
        <v>59</v>
      </c>
      <c r="I1985" s="5">
        <v>45638</v>
      </c>
      <c r="J1985" s="4">
        <f t="shared" si="30"/>
        <v>16</v>
      </c>
    </row>
    <row r="1986" spans="1:10" x14ac:dyDescent="0.25">
      <c r="A1986" s="4">
        <f>_xlfn.XLOOKUP(E1986,'Data Validation'!$M$3:$M$10,'Data Validation'!$N$3:$N$10)</f>
        <v>4</v>
      </c>
      <c r="B1986" s="4">
        <v>19</v>
      </c>
      <c r="C1986" s="4" t="s">
        <v>11</v>
      </c>
      <c r="D1986" s="7">
        <v>35.76</v>
      </c>
      <c r="E1986" s="4" t="s">
        <v>21</v>
      </c>
      <c r="F1986" s="4" t="s">
        <v>20</v>
      </c>
      <c r="G1986" s="4" t="s">
        <v>48</v>
      </c>
      <c r="H1986" s="4" t="s">
        <v>59</v>
      </c>
      <c r="I1986" s="5">
        <v>45638</v>
      </c>
      <c r="J1986" s="4">
        <f t="shared" si="30"/>
        <v>16</v>
      </c>
    </row>
    <row r="1987" spans="1:10" x14ac:dyDescent="0.25">
      <c r="A1987" s="4">
        <f>_xlfn.XLOOKUP(E1987,'Data Validation'!$M$3:$M$10,'Data Validation'!$N$3:$N$10)</f>
        <v>4</v>
      </c>
      <c r="B1987" s="4">
        <v>16</v>
      </c>
      <c r="C1987" s="4" t="s">
        <v>11</v>
      </c>
      <c r="D1987" s="7">
        <v>35.76</v>
      </c>
      <c r="E1987" s="4" t="s">
        <v>21</v>
      </c>
      <c r="F1987" s="4" t="s">
        <v>17</v>
      </c>
      <c r="G1987" s="4" t="s">
        <v>49</v>
      </c>
      <c r="H1987" s="4" t="s">
        <v>59</v>
      </c>
      <c r="I1987" s="5">
        <v>45639</v>
      </c>
      <c r="J1987" s="4">
        <f t="shared" ref="J1987:J2050" si="31">IF(OR(E1987&lt;&gt;E1986,D1987&lt;&gt;D1986),J1986+1,J1986)</f>
        <v>16</v>
      </c>
    </row>
    <row r="1988" spans="1:10" x14ac:dyDescent="0.25">
      <c r="A1988" s="4">
        <f>_xlfn.XLOOKUP(E1988,'Data Validation'!$M$3:$M$10,'Data Validation'!$N$3:$N$10)</f>
        <v>4</v>
      </c>
      <c r="B1988" s="4">
        <v>9</v>
      </c>
      <c r="C1988" s="4" t="s">
        <v>11</v>
      </c>
      <c r="D1988" s="7">
        <v>35.76</v>
      </c>
      <c r="E1988" s="4" t="s">
        <v>21</v>
      </c>
      <c r="F1988" s="4" t="s">
        <v>13</v>
      </c>
      <c r="G1988" s="4" t="s">
        <v>50</v>
      </c>
      <c r="H1988" s="4" t="s">
        <v>59</v>
      </c>
      <c r="I1988" s="5">
        <v>45640</v>
      </c>
      <c r="J1988" s="4">
        <f t="shared" si="31"/>
        <v>16</v>
      </c>
    </row>
    <row r="1989" spans="1:10" x14ac:dyDescent="0.25">
      <c r="A1989" s="4">
        <f>_xlfn.XLOOKUP(E1989,'Data Validation'!$M$3:$M$10,'Data Validation'!$N$3:$N$10)</f>
        <v>4</v>
      </c>
      <c r="B1989" s="4">
        <v>16</v>
      </c>
      <c r="C1989" s="4" t="s">
        <v>11</v>
      </c>
      <c r="D1989" s="7">
        <v>35.76</v>
      </c>
      <c r="E1989" s="4" t="s">
        <v>21</v>
      </c>
      <c r="F1989" s="4" t="s">
        <v>17</v>
      </c>
      <c r="G1989" s="4" t="s">
        <v>50</v>
      </c>
      <c r="H1989" s="4" t="s">
        <v>59</v>
      </c>
      <c r="I1989" s="5">
        <v>45640</v>
      </c>
      <c r="J1989" s="4">
        <f t="shared" si="31"/>
        <v>16</v>
      </c>
    </row>
    <row r="1990" spans="1:10" x14ac:dyDescent="0.25">
      <c r="A1990" s="4">
        <f>_xlfn.XLOOKUP(E1990,'Data Validation'!$M$3:$M$10,'Data Validation'!$N$3:$N$10)</f>
        <v>4</v>
      </c>
      <c r="B1990" s="4">
        <v>11</v>
      </c>
      <c r="C1990" s="4" t="s">
        <v>11</v>
      </c>
      <c r="D1990" s="7">
        <v>35.76</v>
      </c>
      <c r="E1990" s="4" t="s">
        <v>21</v>
      </c>
      <c r="F1990" s="4" t="s">
        <v>13</v>
      </c>
      <c r="G1990" s="4" t="s">
        <v>51</v>
      </c>
      <c r="H1990" s="4" t="s">
        <v>59</v>
      </c>
      <c r="I1990" s="5">
        <v>45641</v>
      </c>
      <c r="J1990" s="4">
        <f t="shared" si="31"/>
        <v>16</v>
      </c>
    </row>
    <row r="1991" spans="1:10" x14ac:dyDescent="0.25">
      <c r="A1991" s="4">
        <f>_xlfn.XLOOKUP(E1991,'Data Validation'!$M$3:$M$10,'Data Validation'!$N$3:$N$10)</f>
        <v>4</v>
      </c>
      <c r="B1991" s="4">
        <v>8</v>
      </c>
      <c r="C1991" s="4" t="s">
        <v>11</v>
      </c>
      <c r="D1991" s="7">
        <v>35.76</v>
      </c>
      <c r="E1991" s="4" t="s">
        <v>21</v>
      </c>
      <c r="F1991" s="4" t="s">
        <v>13</v>
      </c>
      <c r="G1991" s="4" t="s">
        <v>45</v>
      </c>
      <c r="H1991" s="4" t="s">
        <v>59</v>
      </c>
      <c r="I1991" s="5">
        <v>45642</v>
      </c>
      <c r="J1991" s="4">
        <f t="shared" si="31"/>
        <v>16</v>
      </c>
    </row>
    <row r="1992" spans="1:10" x14ac:dyDescent="0.25">
      <c r="A1992" s="4">
        <f>_xlfn.XLOOKUP(E1992,'Data Validation'!$M$3:$M$10,'Data Validation'!$N$3:$N$10)</f>
        <v>4</v>
      </c>
      <c r="B1992" s="4">
        <v>16</v>
      </c>
      <c r="C1992" s="4" t="s">
        <v>11</v>
      </c>
      <c r="D1992" s="7">
        <v>35.76</v>
      </c>
      <c r="E1992" s="4" t="s">
        <v>21</v>
      </c>
      <c r="F1992" s="4" t="s">
        <v>17</v>
      </c>
      <c r="G1992" s="4" t="s">
        <v>46</v>
      </c>
      <c r="H1992" s="4" t="s">
        <v>59</v>
      </c>
      <c r="I1992" s="5">
        <v>45643</v>
      </c>
      <c r="J1992" s="4">
        <f t="shared" si="31"/>
        <v>16</v>
      </c>
    </row>
    <row r="1993" spans="1:10" x14ac:dyDescent="0.25">
      <c r="A1993" s="4">
        <f>_xlfn.XLOOKUP(E1993,'Data Validation'!$M$3:$M$10,'Data Validation'!$N$3:$N$10)</f>
        <v>4</v>
      </c>
      <c r="B1993" s="4">
        <v>18</v>
      </c>
      <c r="C1993" s="4" t="s">
        <v>11</v>
      </c>
      <c r="D1993" s="7">
        <v>35.76</v>
      </c>
      <c r="E1993" s="4" t="s">
        <v>21</v>
      </c>
      <c r="F1993" s="4" t="s">
        <v>20</v>
      </c>
      <c r="G1993" s="4" t="s">
        <v>46</v>
      </c>
      <c r="H1993" s="4" t="s">
        <v>59</v>
      </c>
      <c r="I1993" s="5">
        <v>45643</v>
      </c>
      <c r="J1993" s="4">
        <f t="shared" si="31"/>
        <v>16</v>
      </c>
    </row>
    <row r="1994" spans="1:10" x14ac:dyDescent="0.25">
      <c r="A1994" s="4">
        <f>_xlfn.XLOOKUP(E1994,'Data Validation'!$M$3:$M$10,'Data Validation'!$N$3:$N$10)</f>
        <v>4</v>
      </c>
      <c r="B1994" s="4">
        <v>17</v>
      </c>
      <c r="C1994" s="4" t="s">
        <v>11</v>
      </c>
      <c r="D1994" s="7">
        <v>35.76</v>
      </c>
      <c r="E1994" s="4" t="s">
        <v>21</v>
      </c>
      <c r="F1994" s="4" t="s">
        <v>20</v>
      </c>
      <c r="G1994" s="4" t="s">
        <v>50</v>
      </c>
      <c r="H1994" s="4" t="s">
        <v>59</v>
      </c>
      <c r="I1994" s="5">
        <v>45647</v>
      </c>
      <c r="J1994" s="4">
        <f t="shared" si="31"/>
        <v>16</v>
      </c>
    </row>
    <row r="1995" spans="1:10" x14ac:dyDescent="0.25">
      <c r="A1995" s="4">
        <f>_xlfn.XLOOKUP(E1995,'Data Validation'!$M$3:$M$10,'Data Validation'!$N$3:$N$10)</f>
        <v>4</v>
      </c>
      <c r="B1995" s="4">
        <v>21</v>
      </c>
      <c r="C1995" s="4" t="s">
        <v>11</v>
      </c>
      <c r="D1995" s="7">
        <v>35.76</v>
      </c>
      <c r="E1995" s="4" t="s">
        <v>21</v>
      </c>
      <c r="F1995" s="4" t="s">
        <v>20</v>
      </c>
      <c r="G1995" s="4" t="s">
        <v>51</v>
      </c>
      <c r="H1995" s="4" t="s">
        <v>59</v>
      </c>
      <c r="I1995" s="5">
        <v>45648</v>
      </c>
      <c r="J1995" s="4">
        <f t="shared" si="31"/>
        <v>16</v>
      </c>
    </row>
    <row r="1996" spans="1:10" x14ac:dyDescent="0.25">
      <c r="A1996" s="4">
        <f>_xlfn.XLOOKUP(E1996,'Data Validation'!$M$3:$M$10,'Data Validation'!$N$3:$N$10)</f>
        <v>4</v>
      </c>
      <c r="B1996" s="4">
        <v>21</v>
      </c>
      <c r="C1996" s="4" t="s">
        <v>11</v>
      </c>
      <c r="D1996" s="7">
        <v>35.76</v>
      </c>
      <c r="E1996" s="4" t="s">
        <v>21</v>
      </c>
      <c r="F1996" s="4" t="s">
        <v>20</v>
      </c>
      <c r="G1996" s="4" t="s">
        <v>47</v>
      </c>
      <c r="H1996" s="4" t="s">
        <v>59</v>
      </c>
      <c r="I1996" s="5">
        <v>45651</v>
      </c>
      <c r="J1996" s="4">
        <f t="shared" si="31"/>
        <v>16</v>
      </c>
    </row>
    <row r="1997" spans="1:10" x14ac:dyDescent="0.25">
      <c r="A1997" s="4">
        <f>_xlfn.XLOOKUP(E1997,'Data Validation'!$M$3:$M$10,'Data Validation'!$N$3:$N$10)</f>
        <v>4</v>
      </c>
      <c r="B1997" s="4">
        <v>21</v>
      </c>
      <c r="C1997" s="4" t="s">
        <v>11</v>
      </c>
      <c r="D1997" s="7">
        <v>35.76</v>
      </c>
      <c r="E1997" s="4" t="s">
        <v>21</v>
      </c>
      <c r="F1997" s="4" t="s">
        <v>20</v>
      </c>
      <c r="G1997" s="4" t="s">
        <v>47</v>
      </c>
      <c r="H1997" s="4" t="s">
        <v>59</v>
      </c>
      <c r="I1997" s="5">
        <v>45651</v>
      </c>
      <c r="J1997" s="4">
        <f t="shared" si="31"/>
        <v>16</v>
      </c>
    </row>
    <row r="1998" spans="1:10" x14ac:dyDescent="0.25">
      <c r="A1998" s="4">
        <f>_xlfn.XLOOKUP(E1998,'Data Validation'!$M$3:$M$10,'Data Validation'!$N$3:$N$10)</f>
        <v>4</v>
      </c>
      <c r="B1998" s="4">
        <v>22</v>
      </c>
      <c r="C1998" s="4" t="s">
        <v>11</v>
      </c>
      <c r="D1998" s="7">
        <v>35.76</v>
      </c>
      <c r="E1998" s="4" t="s">
        <v>21</v>
      </c>
      <c r="F1998" s="4" t="s">
        <v>20</v>
      </c>
      <c r="G1998" s="4" t="s">
        <v>49</v>
      </c>
      <c r="H1998" s="4" t="s">
        <v>59</v>
      </c>
      <c r="I1998" s="5">
        <v>45653</v>
      </c>
      <c r="J1998" s="4">
        <f t="shared" si="31"/>
        <v>16</v>
      </c>
    </row>
    <row r="1999" spans="1:10" x14ac:dyDescent="0.25">
      <c r="A1999" s="4">
        <f>_xlfn.XLOOKUP(E1999,'Data Validation'!$M$3:$M$10,'Data Validation'!$N$3:$N$10)</f>
        <v>4</v>
      </c>
      <c r="B1999" s="4">
        <v>9</v>
      </c>
      <c r="C1999" s="4" t="s">
        <v>11</v>
      </c>
      <c r="D1999" s="7">
        <v>35.76</v>
      </c>
      <c r="E1999" s="4" t="s">
        <v>21</v>
      </c>
      <c r="F1999" s="4" t="s">
        <v>13</v>
      </c>
      <c r="G1999" s="4" t="s">
        <v>46</v>
      </c>
      <c r="H1999" s="4" t="s">
        <v>59</v>
      </c>
      <c r="I1999" s="5">
        <v>45657</v>
      </c>
      <c r="J1999" s="4">
        <f t="shared" si="31"/>
        <v>16</v>
      </c>
    </row>
    <row r="2000" spans="1:10" x14ac:dyDescent="0.25">
      <c r="A2000" s="4">
        <f>_xlfn.XLOOKUP(E2000,'Data Validation'!$M$3:$M$10,'Data Validation'!$N$3:$N$10)</f>
        <v>4</v>
      </c>
      <c r="B2000" s="4">
        <v>13</v>
      </c>
      <c r="C2000" s="4" t="s">
        <v>11</v>
      </c>
      <c r="D2000" s="7">
        <v>35.76</v>
      </c>
      <c r="E2000" s="4" t="s">
        <v>21</v>
      </c>
      <c r="F2000" s="4" t="s">
        <v>17</v>
      </c>
      <c r="G2000" s="4" t="s">
        <v>48</v>
      </c>
      <c r="H2000" s="4" t="s">
        <v>42</v>
      </c>
      <c r="I2000" s="5">
        <v>45659</v>
      </c>
      <c r="J2000" s="4">
        <f t="shared" si="31"/>
        <v>16</v>
      </c>
    </row>
    <row r="2001" spans="1:10" x14ac:dyDescent="0.25">
      <c r="A2001" s="4">
        <f>_xlfn.XLOOKUP(E2001,'Data Validation'!$M$3:$M$10,'Data Validation'!$N$3:$N$10)</f>
        <v>4</v>
      </c>
      <c r="B2001" s="4">
        <v>13</v>
      </c>
      <c r="C2001" s="4" t="s">
        <v>11</v>
      </c>
      <c r="D2001" s="7">
        <v>35.76</v>
      </c>
      <c r="E2001" s="4" t="s">
        <v>21</v>
      </c>
      <c r="F2001" s="4" t="s">
        <v>17</v>
      </c>
      <c r="G2001" s="4" t="s">
        <v>48</v>
      </c>
      <c r="H2001" s="4" t="s">
        <v>42</v>
      </c>
      <c r="I2001" s="5">
        <v>45659</v>
      </c>
      <c r="J2001" s="4">
        <f t="shared" si="31"/>
        <v>16</v>
      </c>
    </row>
    <row r="2002" spans="1:10" x14ac:dyDescent="0.25">
      <c r="A2002" s="4">
        <f>_xlfn.XLOOKUP(E2002,'Data Validation'!$M$3:$M$10,'Data Validation'!$N$3:$N$10)</f>
        <v>4</v>
      </c>
      <c r="B2002" s="4">
        <v>15</v>
      </c>
      <c r="C2002" s="4" t="s">
        <v>11</v>
      </c>
      <c r="D2002" s="7">
        <v>35.76</v>
      </c>
      <c r="E2002" s="4" t="s">
        <v>21</v>
      </c>
      <c r="F2002" s="4" t="s">
        <v>17</v>
      </c>
      <c r="G2002" s="4" t="s">
        <v>50</v>
      </c>
      <c r="H2002" s="4" t="s">
        <v>42</v>
      </c>
      <c r="I2002" s="5">
        <v>45661</v>
      </c>
      <c r="J2002" s="4">
        <f t="shared" si="31"/>
        <v>16</v>
      </c>
    </row>
    <row r="2003" spans="1:10" x14ac:dyDescent="0.25">
      <c r="A2003" s="4">
        <f>_xlfn.XLOOKUP(E2003,'Data Validation'!$M$3:$M$10,'Data Validation'!$N$3:$N$10)</f>
        <v>4</v>
      </c>
      <c r="B2003" s="4">
        <v>22</v>
      </c>
      <c r="C2003" s="4" t="s">
        <v>11</v>
      </c>
      <c r="D2003" s="7">
        <v>35.76</v>
      </c>
      <c r="E2003" s="4" t="s">
        <v>21</v>
      </c>
      <c r="F2003" s="4" t="s">
        <v>20</v>
      </c>
      <c r="G2003" s="4" t="s">
        <v>46</v>
      </c>
      <c r="H2003" s="4" t="s">
        <v>42</v>
      </c>
      <c r="I2003" s="5">
        <v>45664</v>
      </c>
      <c r="J2003" s="4">
        <f t="shared" si="31"/>
        <v>16</v>
      </c>
    </row>
    <row r="2004" spans="1:10" x14ac:dyDescent="0.25">
      <c r="A2004" s="4">
        <f>_xlfn.XLOOKUP(E2004,'Data Validation'!$M$3:$M$10,'Data Validation'!$N$3:$N$10)</f>
        <v>4</v>
      </c>
      <c r="B2004" s="4">
        <v>22</v>
      </c>
      <c r="C2004" s="4" t="s">
        <v>11</v>
      </c>
      <c r="D2004" s="7">
        <v>35.76</v>
      </c>
      <c r="E2004" s="4" t="s">
        <v>21</v>
      </c>
      <c r="F2004" s="4" t="s">
        <v>20</v>
      </c>
      <c r="G2004" s="4" t="s">
        <v>46</v>
      </c>
      <c r="H2004" s="4" t="s">
        <v>42</v>
      </c>
      <c r="I2004" s="5">
        <v>45664</v>
      </c>
      <c r="J2004" s="4">
        <f t="shared" si="31"/>
        <v>16</v>
      </c>
    </row>
    <row r="2005" spans="1:10" x14ac:dyDescent="0.25">
      <c r="A2005" s="4">
        <f>_xlfn.XLOOKUP(E2005,'Data Validation'!$M$3:$M$10,'Data Validation'!$N$3:$N$10)</f>
        <v>4</v>
      </c>
      <c r="B2005" s="4">
        <v>7</v>
      </c>
      <c r="C2005" s="4" t="s">
        <v>11</v>
      </c>
      <c r="D2005" s="7">
        <v>35.76</v>
      </c>
      <c r="E2005" s="4" t="s">
        <v>21</v>
      </c>
      <c r="F2005" s="4" t="s">
        <v>13</v>
      </c>
      <c r="G2005" s="4" t="s">
        <v>49</v>
      </c>
      <c r="H2005" s="4" t="s">
        <v>42</v>
      </c>
      <c r="I2005" s="5">
        <v>45674</v>
      </c>
      <c r="J2005" s="4">
        <f t="shared" si="31"/>
        <v>16</v>
      </c>
    </row>
    <row r="2006" spans="1:10" x14ac:dyDescent="0.25">
      <c r="A2006" s="4">
        <f>_xlfn.XLOOKUP(E2006,'Data Validation'!$M$3:$M$10,'Data Validation'!$N$3:$N$10)</f>
        <v>4</v>
      </c>
      <c r="B2006" s="4">
        <v>14</v>
      </c>
      <c r="C2006" s="4" t="s">
        <v>11</v>
      </c>
      <c r="D2006" s="7">
        <v>35.76</v>
      </c>
      <c r="E2006" s="4" t="s">
        <v>21</v>
      </c>
      <c r="F2006" s="4" t="s">
        <v>17</v>
      </c>
      <c r="G2006" s="4" t="s">
        <v>49</v>
      </c>
      <c r="H2006" s="4" t="s">
        <v>42</v>
      </c>
      <c r="I2006" s="5">
        <v>45674</v>
      </c>
      <c r="J2006" s="4">
        <f t="shared" si="31"/>
        <v>16</v>
      </c>
    </row>
    <row r="2007" spans="1:10" x14ac:dyDescent="0.25">
      <c r="A2007" s="4">
        <f>_xlfn.XLOOKUP(E2007,'Data Validation'!$M$3:$M$10,'Data Validation'!$N$3:$N$10)</f>
        <v>4</v>
      </c>
      <c r="B2007" s="4">
        <v>14</v>
      </c>
      <c r="C2007" s="4" t="s">
        <v>11</v>
      </c>
      <c r="D2007" s="7">
        <v>35.76</v>
      </c>
      <c r="E2007" s="4" t="s">
        <v>21</v>
      </c>
      <c r="F2007" s="4" t="s">
        <v>17</v>
      </c>
      <c r="G2007" s="4" t="s">
        <v>49</v>
      </c>
      <c r="H2007" s="4" t="s">
        <v>42</v>
      </c>
      <c r="I2007" s="5">
        <v>45674</v>
      </c>
      <c r="J2007" s="4">
        <f t="shared" si="31"/>
        <v>16</v>
      </c>
    </row>
    <row r="2008" spans="1:10" x14ac:dyDescent="0.25">
      <c r="A2008" s="4">
        <f>_xlfn.XLOOKUP(E2008,'Data Validation'!$M$3:$M$10,'Data Validation'!$N$3:$N$10)</f>
        <v>4</v>
      </c>
      <c r="B2008" s="4">
        <v>8</v>
      </c>
      <c r="C2008" s="4" t="s">
        <v>11</v>
      </c>
      <c r="D2008" s="7">
        <v>35.76</v>
      </c>
      <c r="E2008" s="4" t="s">
        <v>21</v>
      </c>
      <c r="F2008" s="4" t="s">
        <v>13</v>
      </c>
      <c r="G2008" s="4" t="s">
        <v>46</v>
      </c>
      <c r="H2008" s="4" t="s">
        <v>42</v>
      </c>
      <c r="I2008" s="5">
        <v>45678</v>
      </c>
      <c r="J2008" s="4">
        <f t="shared" si="31"/>
        <v>16</v>
      </c>
    </row>
    <row r="2009" spans="1:10" x14ac:dyDescent="0.25">
      <c r="A2009" s="4">
        <f>_xlfn.XLOOKUP(E2009,'Data Validation'!$M$3:$M$10,'Data Validation'!$N$3:$N$10)</f>
        <v>4</v>
      </c>
      <c r="B2009" s="4">
        <v>18</v>
      </c>
      <c r="C2009" s="4" t="s">
        <v>11</v>
      </c>
      <c r="D2009" s="7">
        <v>35.76</v>
      </c>
      <c r="E2009" s="4" t="s">
        <v>21</v>
      </c>
      <c r="F2009" s="4" t="s">
        <v>20</v>
      </c>
      <c r="G2009" s="4" t="s">
        <v>47</v>
      </c>
      <c r="H2009" s="4" t="s">
        <v>42</v>
      </c>
      <c r="I2009" s="5">
        <v>45679</v>
      </c>
      <c r="J2009" s="4">
        <f t="shared" si="31"/>
        <v>16</v>
      </c>
    </row>
    <row r="2010" spans="1:10" x14ac:dyDescent="0.25">
      <c r="A2010" s="4">
        <f>_xlfn.XLOOKUP(E2010,'Data Validation'!$M$3:$M$10,'Data Validation'!$N$3:$N$10)</f>
        <v>4</v>
      </c>
      <c r="B2010" s="4">
        <v>15</v>
      </c>
      <c r="C2010" s="4" t="s">
        <v>11</v>
      </c>
      <c r="D2010" s="7">
        <v>35.76</v>
      </c>
      <c r="E2010" s="4" t="s">
        <v>21</v>
      </c>
      <c r="F2010" s="4" t="s">
        <v>17</v>
      </c>
      <c r="G2010" s="4" t="s">
        <v>49</v>
      </c>
      <c r="H2010" s="4" t="s">
        <v>42</v>
      </c>
      <c r="I2010" s="5">
        <v>45681</v>
      </c>
      <c r="J2010" s="4">
        <f t="shared" si="31"/>
        <v>16</v>
      </c>
    </row>
    <row r="2011" spans="1:10" x14ac:dyDescent="0.25">
      <c r="A2011" s="4">
        <f>_xlfn.XLOOKUP(E2011,'Data Validation'!$M$3:$M$10,'Data Validation'!$N$3:$N$10)</f>
        <v>4</v>
      </c>
      <c r="B2011" s="4">
        <v>21</v>
      </c>
      <c r="C2011" s="4" t="s">
        <v>11</v>
      </c>
      <c r="D2011" s="7">
        <v>35.76</v>
      </c>
      <c r="E2011" s="4" t="s">
        <v>21</v>
      </c>
      <c r="F2011" s="4" t="s">
        <v>20</v>
      </c>
      <c r="G2011" s="4" t="s">
        <v>49</v>
      </c>
      <c r="H2011" s="4" t="s">
        <v>42</v>
      </c>
      <c r="I2011" s="5">
        <v>45681</v>
      </c>
      <c r="J2011" s="4">
        <f t="shared" si="31"/>
        <v>16</v>
      </c>
    </row>
    <row r="2012" spans="1:10" x14ac:dyDescent="0.25">
      <c r="A2012" s="4">
        <f>_xlfn.XLOOKUP(E2012,'Data Validation'!$M$3:$M$10,'Data Validation'!$N$3:$N$10)</f>
        <v>4</v>
      </c>
      <c r="B2012" s="4">
        <v>16</v>
      </c>
      <c r="C2012" s="4" t="s">
        <v>11</v>
      </c>
      <c r="D2012" s="7">
        <v>35.76</v>
      </c>
      <c r="E2012" s="4" t="s">
        <v>21</v>
      </c>
      <c r="F2012" s="4" t="s">
        <v>17</v>
      </c>
      <c r="G2012" s="4" t="s">
        <v>46</v>
      </c>
      <c r="H2012" s="4" t="s">
        <v>42</v>
      </c>
      <c r="I2012" s="5">
        <v>45685</v>
      </c>
      <c r="J2012" s="4">
        <f t="shared" si="31"/>
        <v>16</v>
      </c>
    </row>
    <row r="2013" spans="1:10" x14ac:dyDescent="0.25">
      <c r="A2013" s="4">
        <f>_xlfn.XLOOKUP(E2013,'Data Validation'!$M$3:$M$10,'Data Validation'!$N$3:$N$10)</f>
        <v>4</v>
      </c>
      <c r="B2013" s="4">
        <v>9</v>
      </c>
      <c r="C2013" s="4" t="s">
        <v>11</v>
      </c>
      <c r="D2013" s="7">
        <v>35.76</v>
      </c>
      <c r="E2013" s="4" t="s">
        <v>21</v>
      </c>
      <c r="F2013" s="4" t="s">
        <v>13</v>
      </c>
      <c r="G2013" s="4" t="s">
        <v>49</v>
      </c>
      <c r="H2013" s="4" t="s">
        <v>42</v>
      </c>
      <c r="I2013" s="5">
        <v>45688</v>
      </c>
      <c r="J2013" s="4">
        <f t="shared" si="31"/>
        <v>16</v>
      </c>
    </row>
    <row r="2014" spans="1:10" x14ac:dyDescent="0.25">
      <c r="A2014" s="4">
        <f>_xlfn.XLOOKUP(E2014,'Data Validation'!$M$3:$M$10,'Data Validation'!$N$3:$N$10)</f>
        <v>4</v>
      </c>
      <c r="B2014" s="4">
        <v>17</v>
      </c>
      <c r="C2014" s="4" t="s">
        <v>11</v>
      </c>
      <c r="D2014" s="7">
        <v>35.76</v>
      </c>
      <c r="E2014" s="4" t="s">
        <v>21</v>
      </c>
      <c r="F2014" s="4" t="s">
        <v>20</v>
      </c>
      <c r="G2014" s="4" t="s">
        <v>45</v>
      </c>
      <c r="H2014" s="4" t="s">
        <v>43</v>
      </c>
      <c r="I2014" s="5">
        <v>45691</v>
      </c>
      <c r="J2014" s="4">
        <f t="shared" si="31"/>
        <v>16</v>
      </c>
    </row>
    <row r="2015" spans="1:10" x14ac:dyDescent="0.25">
      <c r="A2015" s="4">
        <f>_xlfn.XLOOKUP(E2015,'Data Validation'!$M$3:$M$10,'Data Validation'!$N$3:$N$10)</f>
        <v>4</v>
      </c>
      <c r="B2015" s="4">
        <v>20</v>
      </c>
      <c r="C2015" s="4" t="s">
        <v>11</v>
      </c>
      <c r="D2015" s="7">
        <v>35.76</v>
      </c>
      <c r="E2015" s="4" t="s">
        <v>21</v>
      </c>
      <c r="F2015" s="4" t="s">
        <v>20</v>
      </c>
      <c r="G2015" s="4" t="s">
        <v>45</v>
      </c>
      <c r="H2015" s="4" t="s">
        <v>43</v>
      </c>
      <c r="I2015" s="5">
        <v>45691</v>
      </c>
      <c r="J2015" s="4">
        <f t="shared" si="31"/>
        <v>16</v>
      </c>
    </row>
    <row r="2016" spans="1:10" x14ac:dyDescent="0.25">
      <c r="A2016" s="4">
        <f>_xlfn.XLOOKUP(E2016,'Data Validation'!$M$3:$M$10,'Data Validation'!$N$3:$N$10)</f>
        <v>4</v>
      </c>
      <c r="B2016" s="4">
        <v>19</v>
      </c>
      <c r="C2016" s="4" t="s">
        <v>11</v>
      </c>
      <c r="D2016" s="7">
        <v>35.76</v>
      </c>
      <c r="E2016" s="4" t="s">
        <v>21</v>
      </c>
      <c r="F2016" s="4" t="s">
        <v>20</v>
      </c>
      <c r="G2016" s="4" t="s">
        <v>46</v>
      </c>
      <c r="H2016" s="4" t="s">
        <v>43</v>
      </c>
      <c r="I2016" s="5">
        <v>45692</v>
      </c>
      <c r="J2016" s="4">
        <f t="shared" si="31"/>
        <v>16</v>
      </c>
    </row>
    <row r="2017" spans="1:10" x14ac:dyDescent="0.25">
      <c r="A2017" s="4">
        <f>_xlfn.XLOOKUP(E2017,'Data Validation'!$M$3:$M$10,'Data Validation'!$N$3:$N$10)</f>
        <v>4</v>
      </c>
      <c r="B2017" s="4">
        <v>19</v>
      </c>
      <c r="C2017" s="4" t="s">
        <v>11</v>
      </c>
      <c r="D2017" s="7">
        <v>35.76</v>
      </c>
      <c r="E2017" s="4" t="s">
        <v>21</v>
      </c>
      <c r="F2017" s="4" t="s">
        <v>20</v>
      </c>
      <c r="G2017" s="4" t="s">
        <v>46</v>
      </c>
      <c r="H2017" s="4" t="s">
        <v>43</v>
      </c>
      <c r="I2017" s="5">
        <v>45692</v>
      </c>
      <c r="J2017" s="4">
        <f t="shared" si="31"/>
        <v>16</v>
      </c>
    </row>
    <row r="2018" spans="1:10" x14ac:dyDescent="0.25">
      <c r="A2018" s="4">
        <f>_xlfn.XLOOKUP(E2018,'Data Validation'!$M$3:$M$10,'Data Validation'!$N$3:$N$10)</f>
        <v>4</v>
      </c>
      <c r="B2018" s="4">
        <v>19</v>
      </c>
      <c r="C2018" s="4" t="s">
        <v>11</v>
      </c>
      <c r="D2018" s="7">
        <v>35.76</v>
      </c>
      <c r="E2018" s="4" t="s">
        <v>21</v>
      </c>
      <c r="F2018" s="4" t="s">
        <v>20</v>
      </c>
      <c r="G2018" s="4" t="s">
        <v>46</v>
      </c>
      <c r="H2018" s="4" t="s">
        <v>43</v>
      </c>
      <c r="I2018" s="5">
        <v>45692</v>
      </c>
      <c r="J2018" s="4">
        <f t="shared" si="31"/>
        <v>16</v>
      </c>
    </row>
    <row r="2019" spans="1:10" x14ac:dyDescent="0.25">
      <c r="A2019" s="4">
        <f>_xlfn.XLOOKUP(E2019,'Data Validation'!$M$3:$M$10,'Data Validation'!$N$3:$N$10)</f>
        <v>4</v>
      </c>
      <c r="B2019" s="4">
        <v>16</v>
      </c>
      <c r="C2019" s="4" t="s">
        <v>11</v>
      </c>
      <c r="D2019" s="7">
        <v>35.76</v>
      </c>
      <c r="E2019" s="4" t="s">
        <v>21</v>
      </c>
      <c r="F2019" s="4" t="s">
        <v>17</v>
      </c>
      <c r="G2019" s="4" t="s">
        <v>47</v>
      </c>
      <c r="H2019" s="4" t="s">
        <v>43</v>
      </c>
      <c r="I2019" s="5">
        <v>45693</v>
      </c>
      <c r="J2019" s="4">
        <f t="shared" si="31"/>
        <v>16</v>
      </c>
    </row>
    <row r="2020" spans="1:10" x14ac:dyDescent="0.25">
      <c r="A2020" s="4">
        <f>_xlfn.XLOOKUP(E2020,'Data Validation'!$M$3:$M$10,'Data Validation'!$N$3:$N$10)</f>
        <v>4</v>
      </c>
      <c r="B2020" s="4">
        <v>18</v>
      </c>
      <c r="C2020" s="4" t="s">
        <v>11</v>
      </c>
      <c r="D2020" s="7">
        <v>35.76</v>
      </c>
      <c r="E2020" s="4" t="s">
        <v>21</v>
      </c>
      <c r="F2020" s="4" t="s">
        <v>20</v>
      </c>
      <c r="G2020" s="4" t="s">
        <v>47</v>
      </c>
      <c r="H2020" s="4" t="s">
        <v>43</v>
      </c>
      <c r="I2020" s="5">
        <v>45693</v>
      </c>
      <c r="J2020" s="4">
        <f t="shared" si="31"/>
        <v>16</v>
      </c>
    </row>
    <row r="2021" spans="1:10" x14ac:dyDescent="0.25">
      <c r="A2021" s="4">
        <f>_xlfn.XLOOKUP(E2021,'Data Validation'!$M$3:$M$10,'Data Validation'!$N$3:$N$10)</f>
        <v>4</v>
      </c>
      <c r="B2021" s="4">
        <v>20</v>
      </c>
      <c r="C2021" s="4" t="s">
        <v>11</v>
      </c>
      <c r="D2021" s="7">
        <v>35.76</v>
      </c>
      <c r="E2021" s="4" t="s">
        <v>21</v>
      </c>
      <c r="F2021" s="4" t="s">
        <v>20</v>
      </c>
      <c r="G2021" s="4" t="s">
        <v>47</v>
      </c>
      <c r="H2021" s="4" t="s">
        <v>43</v>
      </c>
      <c r="I2021" s="5">
        <v>45693</v>
      </c>
      <c r="J2021" s="4">
        <f t="shared" si="31"/>
        <v>16</v>
      </c>
    </row>
    <row r="2022" spans="1:10" x14ac:dyDescent="0.25">
      <c r="A2022" s="4">
        <f>_xlfn.XLOOKUP(E2022,'Data Validation'!$M$3:$M$10,'Data Validation'!$N$3:$N$10)</f>
        <v>4</v>
      </c>
      <c r="B2022" s="4">
        <v>16</v>
      </c>
      <c r="C2022" s="4" t="s">
        <v>11</v>
      </c>
      <c r="D2022" s="7">
        <v>35.76</v>
      </c>
      <c r="E2022" s="4" t="s">
        <v>21</v>
      </c>
      <c r="F2022" s="4" t="s">
        <v>17</v>
      </c>
      <c r="G2022" s="4" t="s">
        <v>48</v>
      </c>
      <c r="H2022" s="4" t="s">
        <v>43</v>
      </c>
      <c r="I2022" s="5">
        <v>45694</v>
      </c>
      <c r="J2022" s="4">
        <f t="shared" si="31"/>
        <v>16</v>
      </c>
    </row>
    <row r="2023" spans="1:10" x14ac:dyDescent="0.25">
      <c r="A2023" s="4">
        <f>_xlfn.XLOOKUP(E2023,'Data Validation'!$M$3:$M$10,'Data Validation'!$N$3:$N$10)</f>
        <v>4</v>
      </c>
      <c r="B2023" s="4">
        <v>17</v>
      </c>
      <c r="C2023" s="4" t="s">
        <v>11</v>
      </c>
      <c r="D2023" s="7">
        <v>35.76</v>
      </c>
      <c r="E2023" s="4" t="s">
        <v>21</v>
      </c>
      <c r="F2023" s="4" t="s">
        <v>20</v>
      </c>
      <c r="G2023" s="4" t="s">
        <v>48</v>
      </c>
      <c r="H2023" s="4" t="s">
        <v>43</v>
      </c>
      <c r="I2023" s="5">
        <v>45694</v>
      </c>
      <c r="J2023" s="4">
        <f t="shared" si="31"/>
        <v>16</v>
      </c>
    </row>
    <row r="2024" spans="1:10" x14ac:dyDescent="0.25">
      <c r="A2024" s="4">
        <f>_xlfn.XLOOKUP(E2024,'Data Validation'!$M$3:$M$10,'Data Validation'!$N$3:$N$10)</f>
        <v>4</v>
      </c>
      <c r="B2024" s="4">
        <v>17</v>
      </c>
      <c r="C2024" s="4" t="s">
        <v>11</v>
      </c>
      <c r="D2024" s="7">
        <v>35.76</v>
      </c>
      <c r="E2024" s="4" t="s">
        <v>21</v>
      </c>
      <c r="F2024" s="4" t="s">
        <v>20</v>
      </c>
      <c r="G2024" s="4" t="s">
        <v>48</v>
      </c>
      <c r="H2024" s="4" t="s">
        <v>43</v>
      </c>
      <c r="I2024" s="5">
        <v>45694</v>
      </c>
      <c r="J2024" s="4">
        <f t="shared" si="31"/>
        <v>16</v>
      </c>
    </row>
    <row r="2025" spans="1:10" x14ac:dyDescent="0.25">
      <c r="A2025" s="4">
        <f>_xlfn.XLOOKUP(E2025,'Data Validation'!$M$3:$M$10,'Data Validation'!$N$3:$N$10)</f>
        <v>4</v>
      </c>
      <c r="B2025" s="4">
        <v>20</v>
      </c>
      <c r="C2025" s="4" t="s">
        <v>11</v>
      </c>
      <c r="D2025" s="7">
        <v>35.76</v>
      </c>
      <c r="E2025" s="4" t="s">
        <v>21</v>
      </c>
      <c r="F2025" s="4" t="s">
        <v>20</v>
      </c>
      <c r="G2025" s="4" t="s">
        <v>48</v>
      </c>
      <c r="H2025" s="4" t="s">
        <v>43</v>
      </c>
      <c r="I2025" s="5">
        <v>45694</v>
      </c>
      <c r="J2025" s="4">
        <f t="shared" si="31"/>
        <v>16</v>
      </c>
    </row>
    <row r="2026" spans="1:10" x14ac:dyDescent="0.25">
      <c r="A2026" s="4">
        <f>_xlfn.XLOOKUP(E2026,'Data Validation'!$M$3:$M$10,'Data Validation'!$N$3:$N$10)</f>
        <v>4</v>
      </c>
      <c r="B2026" s="4">
        <v>20</v>
      </c>
      <c r="C2026" s="4" t="s">
        <v>11</v>
      </c>
      <c r="D2026" s="7">
        <v>35.76</v>
      </c>
      <c r="E2026" s="4" t="s">
        <v>21</v>
      </c>
      <c r="F2026" s="4" t="s">
        <v>20</v>
      </c>
      <c r="G2026" s="4" t="s">
        <v>48</v>
      </c>
      <c r="H2026" s="4" t="s">
        <v>43</v>
      </c>
      <c r="I2026" s="5">
        <v>45694</v>
      </c>
      <c r="J2026" s="4">
        <f t="shared" si="31"/>
        <v>16</v>
      </c>
    </row>
    <row r="2027" spans="1:10" x14ac:dyDescent="0.25">
      <c r="A2027" s="4">
        <f>_xlfn.XLOOKUP(E2027,'Data Validation'!$M$3:$M$10,'Data Validation'!$N$3:$N$10)</f>
        <v>4</v>
      </c>
      <c r="B2027" s="4">
        <v>12</v>
      </c>
      <c r="C2027" s="4" t="s">
        <v>11</v>
      </c>
      <c r="D2027" s="7">
        <v>35.76</v>
      </c>
      <c r="E2027" s="4" t="s">
        <v>21</v>
      </c>
      <c r="F2027" s="4" t="s">
        <v>17</v>
      </c>
      <c r="G2027" s="4" t="s">
        <v>49</v>
      </c>
      <c r="H2027" s="4" t="s">
        <v>43</v>
      </c>
      <c r="I2027" s="5">
        <v>45695</v>
      </c>
      <c r="J2027" s="4">
        <f t="shared" si="31"/>
        <v>16</v>
      </c>
    </row>
    <row r="2028" spans="1:10" x14ac:dyDescent="0.25">
      <c r="A2028" s="4">
        <f>_xlfn.XLOOKUP(E2028,'Data Validation'!$M$3:$M$10,'Data Validation'!$N$3:$N$10)</f>
        <v>4</v>
      </c>
      <c r="B2028" s="4">
        <v>18</v>
      </c>
      <c r="C2028" s="4" t="s">
        <v>11</v>
      </c>
      <c r="D2028" s="7">
        <v>35.76</v>
      </c>
      <c r="E2028" s="4" t="s">
        <v>21</v>
      </c>
      <c r="F2028" s="4" t="s">
        <v>20</v>
      </c>
      <c r="G2028" s="4" t="s">
        <v>49</v>
      </c>
      <c r="H2028" s="4" t="s">
        <v>43</v>
      </c>
      <c r="I2028" s="5">
        <v>45695</v>
      </c>
      <c r="J2028" s="4">
        <f t="shared" si="31"/>
        <v>16</v>
      </c>
    </row>
    <row r="2029" spans="1:10" x14ac:dyDescent="0.25">
      <c r="A2029" s="4">
        <f>_xlfn.XLOOKUP(E2029,'Data Validation'!$M$3:$M$10,'Data Validation'!$N$3:$N$10)</f>
        <v>4</v>
      </c>
      <c r="B2029" s="4">
        <v>18</v>
      </c>
      <c r="C2029" s="4" t="s">
        <v>11</v>
      </c>
      <c r="D2029" s="7">
        <v>35.76</v>
      </c>
      <c r="E2029" s="4" t="s">
        <v>21</v>
      </c>
      <c r="F2029" s="4" t="s">
        <v>20</v>
      </c>
      <c r="G2029" s="4" t="s">
        <v>49</v>
      </c>
      <c r="H2029" s="4" t="s">
        <v>43</v>
      </c>
      <c r="I2029" s="5">
        <v>45695</v>
      </c>
      <c r="J2029" s="4">
        <f t="shared" si="31"/>
        <v>16</v>
      </c>
    </row>
    <row r="2030" spans="1:10" x14ac:dyDescent="0.25">
      <c r="A2030" s="4">
        <f>_xlfn.XLOOKUP(E2030,'Data Validation'!$M$3:$M$10,'Data Validation'!$N$3:$N$10)</f>
        <v>4</v>
      </c>
      <c r="B2030" s="4">
        <v>18</v>
      </c>
      <c r="C2030" s="4" t="s">
        <v>11</v>
      </c>
      <c r="D2030" s="7">
        <v>35.76</v>
      </c>
      <c r="E2030" s="4" t="s">
        <v>21</v>
      </c>
      <c r="F2030" s="4" t="s">
        <v>20</v>
      </c>
      <c r="G2030" s="4" t="s">
        <v>49</v>
      </c>
      <c r="H2030" s="4" t="s">
        <v>43</v>
      </c>
      <c r="I2030" s="5">
        <v>45695</v>
      </c>
      <c r="J2030" s="4">
        <f t="shared" si="31"/>
        <v>16</v>
      </c>
    </row>
    <row r="2031" spans="1:10" x14ac:dyDescent="0.25">
      <c r="A2031" s="4">
        <f>_xlfn.XLOOKUP(E2031,'Data Validation'!$M$3:$M$10,'Data Validation'!$N$3:$N$10)</f>
        <v>4</v>
      </c>
      <c r="B2031" s="4">
        <v>20</v>
      </c>
      <c r="C2031" s="4" t="s">
        <v>11</v>
      </c>
      <c r="D2031" s="7">
        <v>35.76</v>
      </c>
      <c r="E2031" s="4" t="s">
        <v>21</v>
      </c>
      <c r="F2031" s="4" t="s">
        <v>20</v>
      </c>
      <c r="G2031" s="4" t="s">
        <v>49</v>
      </c>
      <c r="H2031" s="4" t="s">
        <v>43</v>
      </c>
      <c r="I2031" s="5">
        <v>45695</v>
      </c>
      <c r="J2031" s="4">
        <f t="shared" si="31"/>
        <v>16</v>
      </c>
    </row>
    <row r="2032" spans="1:10" x14ac:dyDescent="0.25">
      <c r="A2032" s="4">
        <f>_xlfn.XLOOKUP(E2032,'Data Validation'!$M$3:$M$10,'Data Validation'!$N$3:$N$10)</f>
        <v>4</v>
      </c>
      <c r="B2032" s="4">
        <v>8</v>
      </c>
      <c r="C2032" s="4" t="s">
        <v>11</v>
      </c>
      <c r="D2032" s="7">
        <v>35.76</v>
      </c>
      <c r="E2032" s="4" t="s">
        <v>21</v>
      </c>
      <c r="F2032" s="4" t="s">
        <v>13</v>
      </c>
      <c r="G2032" s="4" t="s">
        <v>51</v>
      </c>
      <c r="H2032" s="4" t="s">
        <v>43</v>
      </c>
      <c r="I2032" s="5">
        <v>45697</v>
      </c>
      <c r="J2032" s="4">
        <f t="shared" si="31"/>
        <v>16</v>
      </c>
    </row>
    <row r="2033" spans="1:10" x14ac:dyDescent="0.25">
      <c r="A2033" s="4">
        <f>_xlfn.XLOOKUP(E2033,'Data Validation'!$M$3:$M$10,'Data Validation'!$N$3:$N$10)</f>
        <v>4</v>
      </c>
      <c r="B2033" s="4">
        <v>15</v>
      </c>
      <c r="C2033" s="4" t="s">
        <v>11</v>
      </c>
      <c r="D2033" s="7">
        <v>35.76</v>
      </c>
      <c r="E2033" s="4" t="s">
        <v>21</v>
      </c>
      <c r="F2033" s="4" t="s">
        <v>17</v>
      </c>
      <c r="G2033" s="4" t="s">
        <v>51</v>
      </c>
      <c r="H2033" s="4" t="s">
        <v>43</v>
      </c>
      <c r="I2033" s="5">
        <v>45697</v>
      </c>
      <c r="J2033" s="4">
        <f t="shared" si="31"/>
        <v>16</v>
      </c>
    </row>
    <row r="2034" spans="1:10" x14ac:dyDescent="0.25">
      <c r="A2034" s="4">
        <f>_xlfn.XLOOKUP(E2034,'Data Validation'!$M$3:$M$10,'Data Validation'!$N$3:$N$10)</f>
        <v>4</v>
      </c>
      <c r="B2034" s="4">
        <v>15</v>
      </c>
      <c r="C2034" s="4" t="s">
        <v>11</v>
      </c>
      <c r="D2034" s="7">
        <v>35.76</v>
      </c>
      <c r="E2034" s="4" t="s">
        <v>21</v>
      </c>
      <c r="F2034" s="4" t="s">
        <v>17</v>
      </c>
      <c r="G2034" s="4" t="s">
        <v>51</v>
      </c>
      <c r="H2034" s="4" t="s">
        <v>43</v>
      </c>
      <c r="I2034" s="5">
        <v>45697</v>
      </c>
      <c r="J2034" s="4">
        <f t="shared" si="31"/>
        <v>16</v>
      </c>
    </row>
    <row r="2035" spans="1:10" x14ac:dyDescent="0.25">
      <c r="A2035" s="4">
        <f>_xlfn.XLOOKUP(E2035,'Data Validation'!$M$3:$M$10,'Data Validation'!$N$3:$N$10)</f>
        <v>4</v>
      </c>
      <c r="B2035" s="4">
        <v>13</v>
      </c>
      <c r="C2035" s="4" t="s">
        <v>11</v>
      </c>
      <c r="D2035" s="7">
        <v>35.76</v>
      </c>
      <c r="E2035" s="4" t="s">
        <v>21</v>
      </c>
      <c r="F2035" s="4" t="s">
        <v>17</v>
      </c>
      <c r="G2035" s="4" t="s">
        <v>45</v>
      </c>
      <c r="H2035" s="4" t="s">
        <v>43</v>
      </c>
      <c r="I2035" s="5">
        <v>45698</v>
      </c>
      <c r="J2035" s="4">
        <f t="shared" si="31"/>
        <v>16</v>
      </c>
    </row>
    <row r="2036" spans="1:10" x14ac:dyDescent="0.25">
      <c r="A2036" s="4">
        <f>_xlfn.XLOOKUP(E2036,'Data Validation'!$M$3:$M$10,'Data Validation'!$N$3:$N$10)</f>
        <v>4</v>
      </c>
      <c r="B2036" s="4">
        <v>14</v>
      </c>
      <c r="C2036" s="4" t="s">
        <v>11</v>
      </c>
      <c r="D2036" s="7">
        <v>35.76</v>
      </c>
      <c r="E2036" s="4" t="s">
        <v>21</v>
      </c>
      <c r="F2036" s="4" t="s">
        <v>17</v>
      </c>
      <c r="G2036" s="4" t="s">
        <v>45</v>
      </c>
      <c r="H2036" s="4" t="s">
        <v>43</v>
      </c>
      <c r="I2036" s="5">
        <v>45698</v>
      </c>
      <c r="J2036" s="4">
        <f t="shared" si="31"/>
        <v>16</v>
      </c>
    </row>
    <row r="2037" spans="1:10" x14ac:dyDescent="0.25">
      <c r="A2037" s="4">
        <f>_xlfn.XLOOKUP(E2037,'Data Validation'!$M$3:$M$10,'Data Validation'!$N$3:$N$10)</f>
        <v>4</v>
      </c>
      <c r="B2037" s="4">
        <v>14</v>
      </c>
      <c r="C2037" s="4" t="s">
        <v>11</v>
      </c>
      <c r="D2037" s="7">
        <v>35.76</v>
      </c>
      <c r="E2037" s="4" t="s">
        <v>21</v>
      </c>
      <c r="F2037" s="4" t="s">
        <v>17</v>
      </c>
      <c r="G2037" s="4" t="s">
        <v>45</v>
      </c>
      <c r="H2037" s="4" t="s">
        <v>43</v>
      </c>
      <c r="I2037" s="5">
        <v>45698</v>
      </c>
      <c r="J2037" s="4">
        <f t="shared" si="31"/>
        <v>16</v>
      </c>
    </row>
    <row r="2038" spans="1:10" x14ac:dyDescent="0.25">
      <c r="A2038" s="4">
        <f>_xlfn.XLOOKUP(E2038,'Data Validation'!$M$3:$M$10,'Data Validation'!$N$3:$N$10)</f>
        <v>4</v>
      </c>
      <c r="B2038" s="4">
        <v>16</v>
      </c>
      <c r="C2038" s="4" t="s">
        <v>11</v>
      </c>
      <c r="D2038" s="7">
        <v>35.76</v>
      </c>
      <c r="E2038" s="4" t="s">
        <v>21</v>
      </c>
      <c r="F2038" s="4" t="s">
        <v>17</v>
      </c>
      <c r="G2038" s="4" t="s">
        <v>45</v>
      </c>
      <c r="H2038" s="4" t="s">
        <v>43</v>
      </c>
      <c r="I2038" s="5">
        <v>45698</v>
      </c>
      <c r="J2038" s="4">
        <f t="shared" si="31"/>
        <v>16</v>
      </c>
    </row>
    <row r="2039" spans="1:10" x14ac:dyDescent="0.25">
      <c r="A2039" s="4">
        <f>_xlfn.XLOOKUP(E2039,'Data Validation'!$M$3:$M$10,'Data Validation'!$N$3:$N$10)</f>
        <v>4</v>
      </c>
      <c r="B2039" s="4">
        <v>11</v>
      </c>
      <c r="C2039" s="4" t="s">
        <v>11</v>
      </c>
      <c r="D2039" s="7">
        <v>35.76</v>
      </c>
      <c r="E2039" s="4" t="s">
        <v>21</v>
      </c>
      <c r="F2039" s="4" t="s">
        <v>13</v>
      </c>
      <c r="G2039" s="4" t="s">
        <v>46</v>
      </c>
      <c r="H2039" s="4" t="s">
        <v>43</v>
      </c>
      <c r="I2039" s="5">
        <v>45699</v>
      </c>
      <c r="J2039" s="4">
        <f t="shared" si="31"/>
        <v>16</v>
      </c>
    </row>
    <row r="2040" spans="1:10" x14ac:dyDescent="0.25">
      <c r="A2040" s="4">
        <f>_xlfn.XLOOKUP(E2040,'Data Validation'!$M$3:$M$10,'Data Validation'!$N$3:$N$10)</f>
        <v>4</v>
      </c>
      <c r="B2040" s="4">
        <v>19</v>
      </c>
      <c r="C2040" s="4" t="s">
        <v>11</v>
      </c>
      <c r="D2040" s="7">
        <v>35.76</v>
      </c>
      <c r="E2040" s="4" t="s">
        <v>21</v>
      </c>
      <c r="F2040" s="4" t="s">
        <v>20</v>
      </c>
      <c r="G2040" s="4" t="s">
        <v>46</v>
      </c>
      <c r="H2040" s="4" t="s">
        <v>43</v>
      </c>
      <c r="I2040" s="5">
        <v>45699</v>
      </c>
      <c r="J2040" s="4">
        <f t="shared" si="31"/>
        <v>16</v>
      </c>
    </row>
    <row r="2041" spans="1:10" x14ac:dyDescent="0.25">
      <c r="A2041" s="4">
        <f>_xlfn.XLOOKUP(E2041,'Data Validation'!$M$3:$M$10,'Data Validation'!$N$3:$N$10)</f>
        <v>4</v>
      </c>
      <c r="B2041" s="4">
        <v>8</v>
      </c>
      <c r="C2041" s="4" t="s">
        <v>11</v>
      </c>
      <c r="D2041" s="7">
        <v>35.76</v>
      </c>
      <c r="E2041" s="4" t="s">
        <v>21</v>
      </c>
      <c r="F2041" s="4" t="s">
        <v>13</v>
      </c>
      <c r="G2041" s="4" t="s">
        <v>47</v>
      </c>
      <c r="H2041" s="4" t="s">
        <v>43</v>
      </c>
      <c r="I2041" s="5">
        <v>45700</v>
      </c>
      <c r="J2041" s="4">
        <f t="shared" si="31"/>
        <v>16</v>
      </c>
    </row>
    <row r="2042" spans="1:10" x14ac:dyDescent="0.25">
      <c r="A2042" s="4">
        <f>_xlfn.XLOOKUP(E2042,'Data Validation'!$M$3:$M$10,'Data Validation'!$N$3:$N$10)</f>
        <v>4</v>
      </c>
      <c r="B2042" s="4">
        <v>20</v>
      </c>
      <c r="C2042" s="4" t="s">
        <v>11</v>
      </c>
      <c r="D2042" s="7">
        <v>35.76</v>
      </c>
      <c r="E2042" s="4" t="s">
        <v>21</v>
      </c>
      <c r="F2042" s="4" t="s">
        <v>20</v>
      </c>
      <c r="G2042" s="4" t="s">
        <v>47</v>
      </c>
      <c r="H2042" s="4" t="s">
        <v>43</v>
      </c>
      <c r="I2042" s="5">
        <v>45700</v>
      </c>
      <c r="J2042" s="4">
        <f t="shared" si="31"/>
        <v>16</v>
      </c>
    </row>
    <row r="2043" spans="1:10" x14ac:dyDescent="0.25">
      <c r="A2043" s="4">
        <f>_xlfn.XLOOKUP(E2043,'Data Validation'!$M$3:$M$10,'Data Validation'!$N$3:$N$10)</f>
        <v>4</v>
      </c>
      <c r="B2043" s="4">
        <v>9</v>
      </c>
      <c r="C2043" s="4" t="s">
        <v>11</v>
      </c>
      <c r="D2043" s="7">
        <v>35.76</v>
      </c>
      <c r="E2043" s="4" t="s">
        <v>21</v>
      </c>
      <c r="F2043" s="4" t="s">
        <v>13</v>
      </c>
      <c r="G2043" s="4" t="s">
        <v>48</v>
      </c>
      <c r="H2043" s="4" t="s">
        <v>43</v>
      </c>
      <c r="I2043" s="5">
        <v>45701</v>
      </c>
      <c r="J2043" s="4">
        <f t="shared" si="31"/>
        <v>16</v>
      </c>
    </row>
    <row r="2044" spans="1:10" x14ac:dyDescent="0.25">
      <c r="A2044" s="4">
        <f>_xlfn.XLOOKUP(E2044,'Data Validation'!$M$3:$M$10,'Data Validation'!$N$3:$N$10)</f>
        <v>4</v>
      </c>
      <c r="B2044" s="4">
        <v>17</v>
      </c>
      <c r="C2044" s="4" t="s">
        <v>11</v>
      </c>
      <c r="D2044" s="7">
        <v>35.76</v>
      </c>
      <c r="E2044" s="4" t="s">
        <v>21</v>
      </c>
      <c r="F2044" s="4" t="s">
        <v>20</v>
      </c>
      <c r="G2044" s="4" t="s">
        <v>49</v>
      </c>
      <c r="H2044" s="4" t="s">
        <v>43</v>
      </c>
      <c r="I2044" s="5">
        <v>45702</v>
      </c>
      <c r="J2044" s="4">
        <f t="shared" si="31"/>
        <v>16</v>
      </c>
    </row>
    <row r="2045" spans="1:10" x14ac:dyDescent="0.25">
      <c r="A2045" s="4">
        <f>_xlfn.XLOOKUP(E2045,'Data Validation'!$M$3:$M$10,'Data Validation'!$N$3:$N$10)</f>
        <v>4</v>
      </c>
      <c r="B2045" s="4">
        <v>13</v>
      </c>
      <c r="C2045" s="4" t="s">
        <v>11</v>
      </c>
      <c r="D2045" s="7">
        <v>35.76</v>
      </c>
      <c r="E2045" s="4" t="s">
        <v>21</v>
      </c>
      <c r="F2045" s="4" t="s">
        <v>17</v>
      </c>
      <c r="G2045" s="4" t="s">
        <v>46</v>
      </c>
      <c r="H2045" s="4" t="s">
        <v>43</v>
      </c>
      <c r="I2045" s="5">
        <v>45706</v>
      </c>
      <c r="J2045" s="4">
        <f t="shared" si="31"/>
        <v>16</v>
      </c>
    </row>
    <row r="2046" spans="1:10" x14ac:dyDescent="0.25">
      <c r="A2046" s="4">
        <f>_xlfn.XLOOKUP(E2046,'Data Validation'!$M$3:$M$10,'Data Validation'!$N$3:$N$10)</f>
        <v>4</v>
      </c>
      <c r="B2046" s="4">
        <v>17</v>
      </c>
      <c r="C2046" s="4" t="s">
        <v>11</v>
      </c>
      <c r="D2046" s="7">
        <v>35.76</v>
      </c>
      <c r="E2046" s="4" t="s">
        <v>21</v>
      </c>
      <c r="F2046" s="4" t="s">
        <v>20</v>
      </c>
      <c r="G2046" s="4" t="s">
        <v>46</v>
      </c>
      <c r="H2046" s="4" t="s">
        <v>43</v>
      </c>
      <c r="I2046" s="5">
        <v>45706</v>
      </c>
      <c r="J2046" s="4">
        <f t="shared" si="31"/>
        <v>16</v>
      </c>
    </row>
    <row r="2047" spans="1:10" x14ac:dyDescent="0.25">
      <c r="A2047" s="4">
        <f>_xlfn.XLOOKUP(E2047,'Data Validation'!$M$3:$M$10,'Data Validation'!$N$3:$N$10)</f>
        <v>4</v>
      </c>
      <c r="B2047" s="4">
        <v>17</v>
      </c>
      <c r="C2047" s="4" t="s">
        <v>11</v>
      </c>
      <c r="D2047" s="7">
        <v>35.76</v>
      </c>
      <c r="E2047" s="4" t="s">
        <v>21</v>
      </c>
      <c r="F2047" s="4" t="s">
        <v>20</v>
      </c>
      <c r="G2047" s="4" t="s">
        <v>46</v>
      </c>
      <c r="H2047" s="4" t="s">
        <v>43</v>
      </c>
      <c r="I2047" s="5">
        <v>45706</v>
      </c>
      <c r="J2047" s="4">
        <f t="shared" si="31"/>
        <v>16</v>
      </c>
    </row>
    <row r="2048" spans="1:10" x14ac:dyDescent="0.25">
      <c r="A2048" s="4">
        <f>_xlfn.XLOOKUP(E2048,'Data Validation'!$M$3:$M$10,'Data Validation'!$N$3:$N$10)</f>
        <v>4</v>
      </c>
      <c r="B2048" s="4">
        <v>19</v>
      </c>
      <c r="C2048" s="4" t="s">
        <v>11</v>
      </c>
      <c r="D2048" s="7">
        <v>35.76</v>
      </c>
      <c r="E2048" s="4" t="s">
        <v>21</v>
      </c>
      <c r="F2048" s="4" t="s">
        <v>20</v>
      </c>
      <c r="G2048" s="4" t="s">
        <v>46</v>
      </c>
      <c r="H2048" s="4" t="s">
        <v>43</v>
      </c>
      <c r="I2048" s="5">
        <v>45706</v>
      </c>
      <c r="J2048" s="4">
        <f t="shared" si="31"/>
        <v>16</v>
      </c>
    </row>
    <row r="2049" spans="1:10" x14ac:dyDescent="0.25">
      <c r="A2049" s="4">
        <f>_xlfn.XLOOKUP(E2049,'Data Validation'!$M$3:$M$10,'Data Validation'!$N$3:$N$10)</f>
        <v>4</v>
      </c>
      <c r="B2049" s="4">
        <v>20</v>
      </c>
      <c r="C2049" s="4" t="s">
        <v>11</v>
      </c>
      <c r="D2049" s="7">
        <v>35.76</v>
      </c>
      <c r="E2049" s="4" t="s">
        <v>21</v>
      </c>
      <c r="F2049" s="4" t="s">
        <v>20</v>
      </c>
      <c r="G2049" s="4" t="s">
        <v>46</v>
      </c>
      <c r="H2049" s="4" t="s">
        <v>43</v>
      </c>
      <c r="I2049" s="5">
        <v>45706</v>
      </c>
      <c r="J2049" s="4">
        <f t="shared" si="31"/>
        <v>16</v>
      </c>
    </row>
    <row r="2050" spans="1:10" x14ac:dyDescent="0.25">
      <c r="A2050" s="4">
        <f>_xlfn.XLOOKUP(E2050,'Data Validation'!$M$3:$M$10,'Data Validation'!$N$3:$N$10)</f>
        <v>4</v>
      </c>
      <c r="B2050" s="4">
        <v>12</v>
      </c>
      <c r="C2050" s="4" t="s">
        <v>11</v>
      </c>
      <c r="D2050" s="7">
        <v>35.76</v>
      </c>
      <c r="E2050" s="4" t="s">
        <v>21</v>
      </c>
      <c r="F2050" s="4" t="s">
        <v>17</v>
      </c>
      <c r="G2050" s="4" t="s">
        <v>47</v>
      </c>
      <c r="H2050" s="4" t="s">
        <v>43</v>
      </c>
      <c r="I2050" s="5">
        <v>45707</v>
      </c>
      <c r="J2050" s="4">
        <f t="shared" si="31"/>
        <v>16</v>
      </c>
    </row>
    <row r="2051" spans="1:10" x14ac:dyDescent="0.25">
      <c r="A2051" s="4">
        <f>_xlfn.XLOOKUP(E2051,'Data Validation'!$M$3:$M$10,'Data Validation'!$N$3:$N$10)</f>
        <v>4</v>
      </c>
      <c r="B2051" s="4">
        <v>19</v>
      </c>
      <c r="C2051" s="4" t="s">
        <v>11</v>
      </c>
      <c r="D2051" s="7">
        <v>35.76</v>
      </c>
      <c r="E2051" s="4" t="s">
        <v>21</v>
      </c>
      <c r="F2051" s="4" t="s">
        <v>20</v>
      </c>
      <c r="G2051" s="4" t="s">
        <v>47</v>
      </c>
      <c r="H2051" s="4" t="s">
        <v>43</v>
      </c>
      <c r="I2051" s="5">
        <v>45707</v>
      </c>
      <c r="J2051" s="4">
        <f t="shared" ref="J2051:J2114" si="32">IF(OR(E2051&lt;&gt;E2050,D2051&lt;&gt;D2050),J2050+1,J2050)</f>
        <v>16</v>
      </c>
    </row>
    <row r="2052" spans="1:10" x14ac:dyDescent="0.25">
      <c r="A2052" s="4">
        <f>_xlfn.XLOOKUP(E2052,'Data Validation'!$M$3:$M$10,'Data Validation'!$N$3:$N$10)</f>
        <v>4</v>
      </c>
      <c r="B2052" s="4">
        <v>20</v>
      </c>
      <c r="C2052" s="4" t="s">
        <v>11</v>
      </c>
      <c r="D2052" s="7">
        <v>35.76</v>
      </c>
      <c r="E2052" s="4" t="s">
        <v>21</v>
      </c>
      <c r="F2052" s="4" t="s">
        <v>20</v>
      </c>
      <c r="G2052" s="4" t="s">
        <v>47</v>
      </c>
      <c r="H2052" s="4" t="s">
        <v>43</v>
      </c>
      <c r="I2052" s="5">
        <v>45707</v>
      </c>
      <c r="J2052" s="4">
        <f t="shared" si="32"/>
        <v>16</v>
      </c>
    </row>
    <row r="2053" spans="1:10" x14ac:dyDescent="0.25">
      <c r="A2053" s="4">
        <f>_xlfn.XLOOKUP(E2053,'Data Validation'!$M$3:$M$10,'Data Validation'!$N$3:$N$10)</f>
        <v>4</v>
      </c>
      <c r="B2053" s="4">
        <v>19</v>
      </c>
      <c r="C2053" s="4" t="s">
        <v>11</v>
      </c>
      <c r="D2053" s="7">
        <v>35.76</v>
      </c>
      <c r="E2053" s="4" t="s">
        <v>21</v>
      </c>
      <c r="F2053" s="4" t="s">
        <v>20</v>
      </c>
      <c r="G2053" s="4" t="s">
        <v>48</v>
      </c>
      <c r="H2053" s="4" t="s">
        <v>43</v>
      </c>
      <c r="I2053" s="5">
        <v>45708</v>
      </c>
      <c r="J2053" s="4">
        <f t="shared" si="32"/>
        <v>16</v>
      </c>
    </row>
    <row r="2054" spans="1:10" x14ac:dyDescent="0.25">
      <c r="A2054" s="4">
        <f>_xlfn.XLOOKUP(E2054,'Data Validation'!$M$3:$M$10,'Data Validation'!$N$3:$N$10)</f>
        <v>4</v>
      </c>
      <c r="B2054" s="4">
        <v>16</v>
      </c>
      <c r="C2054" s="4" t="s">
        <v>11</v>
      </c>
      <c r="D2054" s="7">
        <v>35.76</v>
      </c>
      <c r="E2054" s="4" t="s">
        <v>21</v>
      </c>
      <c r="F2054" s="4" t="s">
        <v>17</v>
      </c>
      <c r="G2054" s="4" t="s">
        <v>49</v>
      </c>
      <c r="H2054" s="4" t="s">
        <v>43</v>
      </c>
      <c r="I2054" s="5">
        <v>45709</v>
      </c>
      <c r="J2054" s="4">
        <f t="shared" si="32"/>
        <v>16</v>
      </c>
    </row>
    <row r="2055" spans="1:10" x14ac:dyDescent="0.25">
      <c r="A2055" s="4">
        <f>_xlfn.XLOOKUP(E2055,'Data Validation'!$M$3:$M$10,'Data Validation'!$N$3:$N$10)</f>
        <v>4</v>
      </c>
      <c r="B2055" s="4">
        <v>19</v>
      </c>
      <c r="C2055" s="4" t="s">
        <v>11</v>
      </c>
      <c r="D2055" s="7">
        <v>35.76</v>
      </c>
      <c r="E2055" s="4" t="s">
        <v>21</v>
      </c>
      <c r="F2055" s="4" t="s">
        <v>20</v>
      </c>
      <c r="G2055" s="4" t="s">
        <v>49</v>
      </c>
      <c r="H2055" s="4" t="s">
        <v>43</v>
      </c>
      <c r="I2055" s="5">
        <v>45709</v>
      </c>
      <c r="J2055" s="4">
        <f t="shared" si="32"/>
        <v>16</v>
      </c>
    </row>
    <row r="2056" spans="1:10" x14ac:dyDescent="0.25">
      <c r="A2056" s="4">
        <f>_xlfn.XLOOKUP(E2056,'Data Validation'!$M$3:$M$10,'Data Validation'!$N$3:$N$10)</f>
        <v>4</v>
      </c>
      <c r="B2056" s="4">
        <v>19</v>
      </c>
      <c r="C2056" s="4" t="s">
        <v>11</v>
      </c>
      <c r="D2056" s="7">
        <v>35.76</v>
      </c>
      <c r="E2056" s="4" t="s">
        <v>21</v>
      </c>
      <c r="F2056" s="4" t="s">
        <v>20</v>
      </c>
      <c r="G2056" s="4" t="s">
        <v>49</v>
      </c>
      <c r="H2056" s="4" t="s">
        <v>43</v>
      </c>
      <c r="I2056" s="5">
        <v>45709</v>
      </c>
      <c r="J2056" s="4">
        <f t="shared" si="32"/>
        <v>16</v>
      </c>
    </row>
    <row r="2057" spans="1:10" x14ac:dyDescent="0.25">
      <c r="A2057" s="4">
        <f>_xlfn.XLOOKUP(E2057,'Data Validation'!$M$3:$M$10,'Data Validation'!$N$3:$N$10)</f>
        <v>4</v>
      </c>
      <c r="B2057" s="4">
        <v>14</v>
      </c>
      <c r="C2057" s="4" t="s">
        <v>11</v>
      </c>
      <c r="D2057" s="7">
        <v>35.76</v>
      </c>
      <c r="E2057" s="4" t="s">
        <v>21</v>
      </c>
      <c r="F2057" s="4" t="s">
        <v>17</v>
      </c>
      <c r="G2057" s="4" t="s">
        <v>51</v>
      </c>
      <c r="H2057" s="4" t="s">
        <v>43</v>
      </c>
      <c r="I2057" s="5">
        <v>45711</v>
      </c>
      <c r="J2057" s="4">
        <f t="shared" si="32"/>
        <v>16</v>
      </c>
    </row>
    <row r="2058" spans="1:10" x14ac:dyDescent="0.25">
      <c r="A2058" s="4">
        <f>_xlfn.XLOOKUP(E2058,'Data Validation'!$M$3:$M$10,'Data Validation'!$N$3:$N$10)</f>
        <v>4</v>
      </c>
      <c r="B2058" s="4">
        <v>10</v>
      </c>
      <c r="C2058" s="4" t="s">
        <v>11</v>
      </c>
      <c r="D2058" s="7">
        <v>35.76</v>
      </c>
      <c r="E2058" s="4" t="s">
        <v>21</v>
      </c>
      <c r="F2058" s="4" t="s">
        <v>13</v>
      </c>
      <c r="G2058" s="4" t="s">
        <v>45</v>
      </c>
      <c r="H2058" s="4" t="s">
        <v>43</v>
      </c>
      <c r="I2058" s="5">
        <v>45712</v>
      </c>
      <c r="J2058" s="4">
        <f t="shared" si="32"/>
        <v>16</v>
      </c>
    </row>
    <row r="2059" spans="1:10" x14ac:dyDescent="0.25">
      <c r="A2059" s="4">
        <f>_xlfn.XLOOKUP(E2059,'Data Validation'!$M$3:$M$10,'Data Validation'!$N$3:$N$10)</f>
        <v>4</v>
      </c>
      <c r="B2059" s="4">
        <v>13</v>
      </c>
      <c r="C2059" s="4" t="s">
        <v>11</v>
      </c>
      <c r="D2059" s="7">
        <v>35.76</v>
      </c>
      <c r="E2059" s="4" t="s">
        <v>21</v>
      </c>
      <c r="F2059" s="4" t="s">
        <v>17</v>
      </c>
      <c r="G2059" s="4" t="s">
        <v>45</v>
      </c>
      <c r="H2059" s="4" t="s">
        <v>43</v>
      </c>
      <c r="I2059" s="5">
        <v>45712</v>
      </c>
      <c r="J2059" s="4">
        <f t="shared" si="32"/>
        <v>16</v>
      </c>
    </row>
    <row r="2060" spans="1:10" x14ac:dyDescent="0.25">
      <c r="A2060" s="4">
        <f>_xlfn.XLOOKUP(E2060,'Data Validation'!$M$3:$M$10,'Data Validation'!$N$3:$N$10)</f>
        <v>4</v>
      </c>
      <c r="B2060" s="4">
        <v>16</v>
      </c>
      <c r="C2060" s="4" t="s">
        <v>11</v>
      </c>
      <c r="D2060" s="7">
        <v>35.76</v>
      </c>
      <c r="E2060" s="4" t="s">
        <v>21</v>
      </c>
      <c r="F2060" s="4" t="s">
        <v>17</v>
      </c>
      <c r="G2060" s="4" t="s">
        <v>45</v>
      </c>
      <c r="H2060" s="4" t="s">
        <v>43</v>
      </c>
      <c r="I2060" s="5">
        <v>45712</v>
      </c>
      <c r="J2060" s="4">
        <f t="shared" si="32"/>
        <v>16</v>
      </c>
    </row>
    <row r="2061" spans="1:10" x14ac:dyDescent="0.25">
      <c r="A2061" s="4">
        <f>_xlfn.XLOOKUP(E2061,'Data Validation'!$M$3:$M$10,'Data Validation'!$N$3:$N$10)</f>
        <v>4</v>
      </c>
      <c r="B2061" s="4">
        <v>19</v>
      </c>
      <c r="C2061" s="4" t="s">
        <v>11</v>
      </c>
      <c r="D2061" s="7">
        <v>35.76</v>
      </c>
      <c r="E2061" s="4" t="s">
        <v>21</v>
      </c>
      <c r="F2061" s="4" t="s">
        <v>20</v>
      </c>
      <c r="G2061" s="4" t="s">
        <v>45</v>
      </c>
      <c r="H2061" s="4" t="s">
        <v>43</v>
      </c>
      <c r="I2061" s="5">
        <v>45712</v>
      </c>
      <c r="J2061" s="4">
        <f t="shared" si="32"/>
        <v>16</v>
      </c>
    </row>
    <row r="2062" spans="1:10" x14ac:dyDescent="0.25">
      <c r="A2062" s="4">
        <f>_xlfn.XLOOKUP(E2062,'Data Validation'!$M$3:$M$10,'Data Validation'!$N$3:$N$10)</f>
        <v>4</v>
      </c>
      <c r="B2062" s="4">
        <v>20</v>
      </c>
      <c r="C2062" s="4" t="s">
        <v>11</v>
      </c>
      <c r="D2062" s="7">
        <v>35.76</v>
      </c>
      <c r="E2062" s="4" t="s">
        <v>21</v>
      </c>
      <c r="F2062" s="4" t="s">
        <v>20</v>
      </c>
      <c r="G2062" s="4" t="s">
        <v>45</v>
      </c>
      <c r="H2062" s="4" t="s">
        <v>43</v>
      </c>
      <c r="I2062" s="5">
        <v>45712</v>
      </c>
      <c r="J2062" s="4">
        <f t="shared" si="32"/>
        <v>16</v>
      </c>
    </row>
    <row r="2063" spans="1:10" x14ac:dyDescent="0.25">
      <c r="A2063" s="4">
        <f>_xlfn.XLOOKUP(E2063,'Data Validation'!$M$3:$M$10,'Data Validation'!$N$3:$N$10)</f>
        <v>4</v>
      </c>
      <c r="B2063" s="4">
        <v>18</v>
      </c>
      <c r="C2063" s="4" t="s">
        <v>11</v>
      </c>
      <c r="D2063" s="7">
        <v>35.76</v>
      </c>
      <c r="E2063" s="4" t="s">
        <v>21</v>
      </c>
      <c r="F2063" s="4" t="s">
        <v>20</v>
      </c>
      <c r="G2063" s="4" t="s">
        <v>46</v>
      </c>
      <c r="H2063" s="4" t="s">
        <v>43</v>
      </c>
      <c r="I2063" s="5">
        <v>45713</v>
      </c>
      <c r="J2063" s="4">
        <f t="shared" si="32"/>
        <v>16</v>
      </c>
    </row>
    <row r="2064" spans="1:10" x14ac:dyDescent="0.25">
      <c r="A2064" s="4">
        <f>_xlfn.XLOOKUP(E2064,'Data Validation'!$M$3:$M$10,'Data Validation'!$N$3:$N$10)</f>
        <v>4</v>
      </c>
      <c r="B2064" s="4">
        <v>13</v>
      </c>
      <c r="C2064" s="4" t="s">
        <v>11</v>
      </c>
      <c r="D2064" s="7">
        <v>35.76</v>
      </c>
      <c r="E2064" s="4" t="s">
        <v>21</v>
      </c>
      <c r="F2064" s="4" t="s">
        <v>17</v>
      </c>
      <c r="G2064" s="4" t="s">
        <v>47</v>
      </c>
      <c r="H2064" s="4" t="s">
        <v>43</v>
      </c>
      <c r="I2064" s="5">
        <v>45714</v>
      </c>
      <c r="J2064" s="4">
        <f t="shared" si="32"/>
        <v>16</v>
      </c>
    </row>
    <row r="2065" spans="1:10" x14ac:dyDescent="0.25">
      <c r="A2065" s="4">
        <f>_xlfn.XLOOKUP(E2065,'Data Validation'!$M$3:$M$10,'Data Validation'!$N$3:$N$10)</f>
        <v>4</v>
      </c>
      <c r="B2065" s="4">
        <v>11</v>
      </c>
      <c r="C2065" s="4" t="s">
        <v>11</v>
      </c>
      <c r="D2065" s="7">
        <v>35.76</v>
      </c>
      <c r="E2065" s="4" t="s">
        <v>21</v>
      </c>
      <c r="F2065" s="4" t="s">
        <v>13</v>
      </c>
      <c r="G2065" s="4" t="s">
        <v>48</v>
      </c>
      <c r="H2065" s="4" t="s">
        <v>43</v>
      </c>
      <c r="I2065" s="5">
        <v>45715</v>
      </c>
      <c r="J2065" s="4">
        <f t="shared" si="32"/>
        <v>16</v>
      </c>
    </row>
    <row r="2066" spans="1:10" x14ac:dyDescent="0.25">
      <c r="A2066" s="4">
        <f>_xlfn.XLOOKUP(E2066,'Data Validation'!$M$3:$M$10,'Data Validation'!$N$3:$N$10)</f>
        <v>4</v>
      </c>
      <c r="B2066" s="4">
        <v>12</v>
      </c>
      <c r="C2066" s="4" t="s">
        <v>11</v>
      </c>
      <c r="D2066" s="7">
        <v>35.76</v>
      </c>
      <c r="E2066" s="4" t="s">
        <v>21</v>
      </c>
      <c r="F2066" s="4" t="s">
        <v>17</v>
      </c>
      <c r="G2066" s="4" t="s">
        <v>48</v>
      </c>
      <c r="H2066" s="4" t="s">
        <v>43</v>
      </c>
      <c r="I2066" s="5">
        <v>45715</v>
      </c>
      <c r="J2066" s="4">
        <f t="shared" si="32"/>
        <v>16</v>
      </c>
    </row>
    <row r="2067" spans="1:10" x14ac:dyDescent="0.25">
      <c r="A2067" s="4">
        <f>_xlfn.XLOOKUP(E2067,'Data Validation'!$M$3:$M$10,'Data Validation'!$N$3:$N$10)</f>
        <v>4</v>
      </c>
      <c r="B2067" s="4">
        <v>18</v>
      </c>
      <c r="C2067" s="4" t="s">
        <v>11</v>
      </c>
      <c r="D2067" s="7">
        <v>35.76</v>
      </c>
      <c r="E2067" s="4" t="s">
        <v>21</v>
      </c>
      <c r="F2067" s="4" t="s">
        <v>20</v>
      </c>
      <c r="G2067" s="4" t="s">
        <v>48</v>
      </c>
      <c r="H2067" s="4" t="s">
        <v>43</v>
      </c>
      <c r="I2067" s="5">
        <v>45715</v>
      </c>
      <c r="J2067" s="4">
        <f t="shared" si="32"/>
        <v>16</v>
      </c>
    </row>
    <row r="2068" spans="1:10" x14ac:dyDescent="0.25">
      <c r="A2068" s="4">
        <f>_xlfn.XLOOKUP(E2068,'Data Validation'!$M$3:$M$10,'Data Validation'!$N$3:$N$10)</f>
        <v>4</v>
      </c>
      <c r="B2068" s="4">
        <v>18</v>
      </c>
      <c r="C2068" s="4" t="s">
        <v>11</v>
      </c>
      <c r="D2068" s="7">
        <v>35.76</v>
      </c>
      <c r="E2068" s="4" t="s">
        <v>21</v>
      </c>
      <c r="F2068" s="4" t="s">
        <v>20</v>
      </c>
      <c r="G2068" s="4" t="s">
        <v>48</v>
      </c>
      <c r="H2068" s="4" t="s">
        <v>43</v>
      </c>
      <c r="I2068" s="5">
        <v>45715</v>
      </c>
      <c r="J2068" s="4">
        <f t="shared" si="32"/>
        <v>16</v>
      </c>
    </row>
    <row r="2069" spans="1:10" x14ac:dyDescent="0.25">
      <c r="A2069" s="4">
        <f>_xlfn.XLOOKUP(E2069,'Data Validation'!$M$3:$M$10,'Data Validation'!$N$3:$N$10)</f>
        <v>4</v>
      </c>
      <c r="B2069" s="4">
        <v>16</v>
      </c>
      <c r="C2069" s="4" t="s">
        <v>11</v>
      </c>
      <c r="D2069" s="7">
        <v>35.76</v>
      </c>
      <c r="E2069" s="4" t="s">
        <v>21</v>
      </c>
      <c r="F2069" s="4" t="s">
        <v>17</v>
      </c>
      <c r="G2069" s="4" t="s">
        <v>49</v>
      </c>
      <c r="H2069" s="4" t="s">
        <v>43</v>
      </c>
      <c r="I2069" s="5">
        <v>45716</v>
      </c>
      <c r="J2069" s="4">
        <f t="shared" si="32"/>
        <v>16</v>
      </c>
    </row>
    <row r="2070" spans="1:10" x14ac:dyDescent="0.25">
      <c r="A2070" s="4">
        <f>_xlfn.XLOOKUP(E2070,'Data Validation'!$M$3:$M$10,'Data Validation'!$N$3:$N$10)</f>
        <v>4</v>
      </c>
      <c r="B2070" s="4">
        <v>9</v>
      </c>
      <c r="C2070" s="4" t="s">
        <v>11</v>
      </c>
      <c r="D2070" s="7">
        <v>35.76</v>
      </c>
      <c r="E2070" s="4" t="s">
        <v>21</v>
      </c>
      <c r="F2070" s="4" t="s">
        <v>13</v>
      </c>
      <c r="G2070" s="4" t="s">
        <v>51</v>
      </c>
      <c r="H2070" s="4" t="s">
        <v>44</v>
      </c>
      <c r="I2070" s="5">
        <v>45718</v>
      </c>
      <c r="J2070" s="4">
        <f t="shared" si="32"/>
        <v>16</v>
      </c>
    </row>
    <row r="2071" spans="1:10" x14ac:dyDescent="0.25">
      <c r="A2071" s="4">
        <f>_xlfn.XLOOKUP(E2071,'Data Validation'!$M$3:$M$10,'Data Validation'!$N$3:$N$10)</f>
        <v>4</v>
      </c>
      <c r="B2071" s="4">
        <v>9</v>
      </c>
      <c r="C2071" s="4" t="s">
        <v>11</v>
      </c>
      <c r="D2071" s="7">
        <v>35.76</v>
      </c>
      <c r="E2071" s="4" t="s">
        <v>21</v>
      </c>
      <c r="F2071" s="4" t="s">
        <v>13</v>
      </c>
      <c r="G2071" s="4" t="s">
        <v>45</v>
      </c>
      <c r="H2071" s="4" t="s">
        <v>44</v>
      </c>
      <c r="I2071" s="5">
        <v>45719</v>
      </c>
      <c r="J2071" s="4">
        <f t="shared" si="32"/>
        <v>16</v>
      </c>
    </row>
    <row r="2072" spans="1:10" x14ac:dyDescent="0.25">
      <c r="A2072" s="4">
        <f>_xlfn.XLOOKUP(E2072,'Data Validation'!$M$3:$M$10,'Data Validation'!$N$3:$N$10)</f>
        <v>4</v>
      </c>
      <c r="B2072" s="4">
        <v>16</v>
      </c>
      <c r="C2072" s="4" t="s">
        <v>11</v>
      </c>
      <c r="D2072" s="7">
        <v>35.76</v>
      </c>
      <c r="E2072" s="4" t="s">
        <v>21</v>
      </c>
      <c r="F2072" s="4" t="s">
        <v>17</v>
      </c>
      <c r="G2072" s="4" t="s">
        <v>45</v>
      </c>
      <c r="H2072" s="4" t="s">
        <v>44</v>
      </c>
      <c r="I2072" s="5">
        <v>45719</v>
      </c>
      <c r="J2072" s="4">
        <f t="shared" si="32"/>
        <v>16</v>
      </c>
    </row>
    <row r="2073" spans="1:10" x14ac:dyDescent="0.25">
      <c r="A2073" s="4">
        <f>_xlfn.XLOOKUP(E2073,'Data Validation'!$M$3:$M$10,'Data Validation'!$N$3:$N$10)</f>
        <v>4</v>
      </c>
      <c r="B2073" s="4">
        <v>12</v>
      </c>
      <c r="C2073" s="4" t="s">
        <v>11</v>
      </c>
      <c r="D2073" s="7">
        <v>35.76</v>
      </c>
      <c r="E2073" s="4" t="s">
        <v>21</v>
      </c>
      <c r="F2073" s="4" t="s">
        <v>17</v>
      </c>
      <c r="G2073" s="4" t="s">
        <v>46</v>
      </c>
      <c r="H2073" s="4" t="s">
        <v>44</v>
      </c>
      <c r="I2073" s="5">
        <v>45720</v>
      </c>
      <c r="J2073" s="4">
        <f t="shared" si="32"/>
        <v>16</v>
      </c>
    </row>
    <row r="2074" spans="1:10" x14ac:dyDescent="0.25">
      <c r="A2074" s="4">
        <f>_xlfn.XLOOKUP(E2074,'Data Validation'!$M$3:$M$10,'Data Validation'!$N$3:$N$10)</f>
        <v>4</v>
      </c>
      <c r="B2074" s="4">
        <v>18</v>
      </c>
      <c r="C2074" s="4" t="s">
        <v>11</v>
      </c>
      <c r="D2074" s="7">
        <v>35.76</v>
      </c>
      <c r="E2074" s="4" t="s">
        <v>21</v>
      </c>
      <c r="F2074" s="4" t="s">
        <v>20</v>
      </c>
      <c r="G2074" s="4" t="s">
        <v>46</v>
      </c>
      <c r="H2074" s="4" t="s">
        <v>44</v>
      </c>
      <c r="I2074" s="5">
        <v>45720</v>
      </c>
      <c r="J2074" s="4">
        <f t="shared" si="32"/>
        <v>16</v>
      </c>
    </row>
    <row r="2075" spans="1:10" x14ac:dyDescent="0.25">
      <c r="A2075" s="4">
        <f>_xlfn.XLOOKUP(E2075,'Data Validation'!$M$3:$M$10,'Data Validation'!$N$3:$N$10)</f>
        <v>4</v>
      </c>
      <c r="B2075" s="4">
        <v>11</v>
      </c>
      <c r="C2075" s="4" t="s">
        <v>11</v>
      </c>
      <c r="D2075" s="7">
        <v>35.76</v>
      </c>
      <c r="E2075" s="4" t="s">
        <v>21</v>
      </c>
      <c r="F2075" s="4" t="s">
        <v>13</v>
      </c>
      <c r="G2075" s="4" t="s">
        <v>47</v>
      </c>
      <c r="H2075" s="4" t="s">
        <v>44</v>
      </c>
      <c r="I2075" s="5">
        <v>45721</v>
      </c>
      <c r="J2075" s="4">
        <f t="shared" si="32"/>
        <v>16</v>
      </c>
    </row>
    <row r="2076" spans="1:10" x14ac:dyDescent="0.25">
      <c r="A2076" s="4">
        <f>_xlfn.XLOOKUP(E2076,'Data Validation'!$M$3:$M$10,'Data Validation'!$N$3:$N$10)</f>
        <v>4</v>
      </c>
      <c r="B2076" s="4">
        <v>19</v>
      </c>
      <c r="C2076" s="4" t="s">
        <v>11</v>
      </c>
      <c r="D2076" s="7">
        <v>35.76</v>
      </c>
      <c r="E2076" s="4" t="s">
        <v>21</v>
      </c>
      <c r="F2076" s="4" t="s">
        <v>20</v>
      </c>
      <c r="G2076" s="4" t="s">
        <v>47</v>
      </c>
      <c r="H2076" s="4" t="s">
        <v>44</v>
      </c>
      <c r="I2076" s="5">
        <v>45721</v>
      </c>
      <c r="J2076" s="4">
        <f t="shared" si="32"/>
        <v>16</v>
      </c>
    </row>
    <row r="2077" spans="1:10" x14ac:dyDescent="0.25">
      <c r="A2077" s="4">
        <f>_xlfn.XLOOKUP(E2077,'Data Validation'!$M$3:$M$10,'Data Validation'!$N$3:$N$10)</f>
        <v>4</v>
      </c>
      <c r="B2077" s="4">
        <v>17</v>
      </c>
      <c r="C2077" s="4" t="s">
        <v>11</v>
      </c>
      <c r="D2077" s="7">
        <v>35.76</v>
      </c>
      <c r="E2077" s="4" t="s">
        <v>21</v>
      </c>
      <c r="F2077" s="4" t="s">
        <v>20</v>
      </c>
      <c r="G2077" s="4" t="s">
        <v>48</v>
      </c>
      <c r="H2077" s="4" t="s">
        <v>44</v>
      </c>
      <c r="I2077" s="5">
        <v>45722</v>
      </c>
      <c r="J2077" s="4">
        <f t="shared" si="32"/>
        <v>16</v>
      </c>
    </row>
    <row r="2078" spans="1:10" x14ac:dyDescent="0.25">
      <c r="A2078" s="4">
        <f>_xlfn.XLOOKUP(E2078,'Data Validation'!$M$3:$M$10,'Data Validation'!$N$3:$N$10)</f>
        <v>4</v>
      </c>
      <c r="B2078" s="4">
        <v>10</v>
      </c>
      <c r="C2078" s="4" t="s">
        <v>11</v>
      </c>
      <c r="D2078" s="7">
        <v>35.76</v>
      </c>
      <c r="E2078" s="4" t="s">
        <v>21</v>
      </c>
      <c r="F2078" s="4" t="s">
        <v>13</v>
      </c>
      <c r="G2078" s="4" t="s">
        <v>49</v>
      </c>
      <c r="H2078" s="4" t="s">
        <v>44</v>
      </c>
      <c r="I2078" s="5">
        <v>45723</v>
      </c>
      <c r="J2078" s="4">
        <f t="shared" si="32"/>
        <v>16</v>
      </c>
    </row>
    <row r="2079" spans="1:10" x14ac:dyDescent="0.25">
      <c r="A2079" s="4">
        <f>_xlfn.XLOOKUP(E2079,'Data Validation'!$M$3:$M$10,'Data Validation'!$N$3:$N$10)</f>
        <v>4</v>
      </c>
      <c r="B2079" s="4">
        <v>11</v>
      </c>
      <c r="C2079" s="4" t="s">
        <v>11</v>
      </c>
      <c r="D2079" s="7">
        <v>35.76</v>
      </c>
      <c r="E2079" s="4" t="s">
        <v>21</v>
      </c>
      <c r="F2079" s="4" t="s">
        <v>13</v>
      </c>
      <c r="G2079" s="4" t="s">
        <v>49</v>
      </c>
      <c r="H2079" s="4" t="s">
        <v>44</v>
      </c>
      <c r="I2079" s="5">
        <v>45723</v>
      </c>
      <c r="J2079" s="4">
        <f t="shared" si="32"/>
        <v>16</v>
      </c>
    </row>
    <row r="2080" spans="1:10" x14ac:dyDescent="0.25">
      <c r="A2080" s="4">
        <f>_xlfn.XLOOKUP(E2080,'Data Validation'!$M$3:$M$10,'Data Validation'!$N$3:$N$10)</f>
        <v>4</v>
      </c>
      <c r="B2080" s="4">
        <v>15</v>
      </c>
      <c r="C2080" s="4" t="s">
        <v>11</v>
      </c>
      <c r="D2080" s="7">
        <v>35.76</v>
      </c>
      <c r="E2080" s="4" t="s">
        <v>21</v>
      </c>
      <c r="F2080" s="4" t="s">
        <v>17</v>
      </c>
      <c r="G2080" s="4" t="s">
        <v>51</v>
      </c>
      <c r="H2080" s="4" t="s">
        <v>44</v>
      </c>
      <c r="I2080" s="5">
        <v>45725</v>
      </c>
      <c r="J2080" s="4">
        <f t="shared" si="32"/>
        <v>16</v>
      </c>
    </row>
    <row r="2081" spans="1:10" x14ac:dyDescent="0.25">
      <c r="A2081" s="4">
        <f>_xlfn.XLOOKUP(E2081,'Data Validation'!$M$3:$M$10,'Data Validation'!$N$3:$N$10)</f>
        <v>4</v>
      </c>
      <c r="B2081" s="4">
        <v>9</v>
      </c>
      <c r="C2081" s="4" t="s">
        <v>11</v>
      </c>
      <c r="D2081" s="7">
        <v>35.76</v>
      </c>
      <c r="E2081" s="4" t="s">
        <v>21</v>
      </c>
      <c r="F2081" s="4" t="s">
        <v>13</v>
      </c>
      <c r="G2081" s="4" t="s">
        <v>45</v>
      </c>
      <c r="H2081" s="4" t="s">
        <v>44</v>
      </c>
      <c r="I2081" s="5">
        <v>45726</v>
      </c>
      <c r="J2081" s="4">
        <f t="shared" si="32"/>
        <v>16</v>
      </c>
    </row>
    <row r="2082" spans="1:10" x14ac:dyDescent="0.25">
      <c r="A2082" s="4">
        <f>_xlfn.XLOOKUP(E2082,'Data Validation'!$M$3:$M$10,'Data Validation'!$N$3:$N$10)</f>
        <v>4</v>
      </c>
      <c r="B2082" s="4">
        <v>16</v>
      </c>
      <c r="C2082" s="4" t="s">
        <v>11</v>
      </c>
      <c r="D2082" s="7">
        <v>35.76</v>
      </c>
      <c r="E2082" s="4" t="s">
        <v>21</v>
      </c>
      <c r="F2082" s="4" t="s">
        <v>17</v>
      </c>
      <c r="G2082" s="4" t="s">
        <v>46</v>
      </c>
      <c r="H2082" s="4" t="s">
        <v>44</v>
      </c>
      <c r="I2082" s="5">
        <v>45727</v>
      </c>
      <c r="J2082" s="4">
        <f t="shared" si="32"/>
        <v>16</v>
      </c>
    </row>
    <row r="2083" spans="1:10" x14ac:dyDescent="0.25">
      <c r="A2083" s="4">
        <f>_xlfn.XLOOKUP(E2083,'Data Validation'!$M$3:$M$10,'Data Validation'!$N$3:$N$10)</f>
        <v>4</v>
      </c>
      <c r="B2083" s="4">
        <v>20</v>
      </c>
      <c r="C2083" s="4" t="s">
        <v>11</v>
      </c>
      <c r="D2083" s="7">
        <v>35.76</v>
      </c>
      <c r="E2083" s="4" t="s">
        <v>21</v>
      </c>
      <c r="F2083" s="4" t="s">
        <v>20</v>
      </c>
      <c r="G2083" s="4" t="s">
        <v>46</v>
      </c>
      <c r="H2083" s="4" t="s">
        <v>44</v>
      </c>
      <c r="I2083" s="5">
        <v>45727</v>
      </c>
      <c r="J2083" s="4">
        <f t="shared" si="32"/>
        <v>16</v>
      </c>
    </row>
    <row r="2084" spans="1:10" x14ac:dyDescent="0.25">
      <c r="A2084" s="4">
        <f>_xlfn.XLOOKUP(E2084,'Data Validation'!$M$3:$M$10,'Data Validation'!$N$3:$N$10)</f>
        <v>4</v>
      </c>
      <c r="B2084" s="4">
        <v>11</v>
      </c>
      <c r="C2084" s="4" t="s">
        <v>11</v>
      </c>
      <c r="D2084" s="7">
        <v>35.76</v>
      </c>
      <c r="E2084" s="4" t="s">
        <v>21</v>
      </c>
      <c r="F2084" s="4" t="s">
        <v>13</v>
      </c>
      <c r="G2084" s="4" t="s">
        <v>47</v>
      </c>
      <c r="H2084" s="4" t="s">
        <v>44</v>
      </c>
      <c r="I2084" s="5">
        <v>45728</v>
      </c>
      <c r="J2084" s="4">
        <f t="shared" si="32"/>
        <v>16</v>
      </c>
    </row>
    <row r="2085" spans="1:10" x14ac:dyDescent="0.25">
      <c r="A2085" s="4">
        <f>_xlfn.XLOOKUP(E2085,'Data Validation'!$M$3:$M$10,'Data Validation'!$N$3:$N$10)</f>
        <v>4</v>
      </c>
      <c r="B2085" s="4">
        <v>18</v>
      </c>
      <c r="C2085" s="4" t="s">
        <v>11</v>
      </c>
      <c r="D2085" s="7">
        <v>35.76</v>
      </c>
      <c r="E2085" s="4" t="s">
        <v>21</v>
      </c>
      <c r="F2085" s="4" t="s">
        <v>20</v>
      </c>
      <c r="G2085" s="4" t="s">
        <v>47</v>
      </c>
      <c r="H2085" s="4" t="s">
        <v>44</v>
      </c>
      <c r="I2085" s="5">
        <v>45728</v>
      </c>
      <c r="J2085" s="4">
        <f t="shared" si="32"/>
        <v>16</v>
      </c>
    </row>
    <row r="2086" spans="1:10" x14ac:dyDescent="0.25">
      <c r="A2086" s="4">
        <f>_xlfn.XLOOKUP(E2086,'Data Validation'!$M$3:$M$10,'Data Validation'!$N$3:$N$10)</f>
        <v>4</v>
      </c>
      <c r="B2086" s="4">
        <v>16</v>
      </c>
      <c r="C2086" s="4" t="s">
        <v>11</v>
      </c>
      <c r="D2086" s="7">
        <v>35.76</v>
      </c>
      <c r="E2086" s="4" t="s">
        <v>21</v>
      </c>
      <c r="F2086" s="4" t="s">
        <v>17</v>
      </c>
      <c r="G2086" s="4" t="s">
        <v>49</v>
      </c>
      <c r="H2086" s="4" t="s">
        <v>44</v>
      </c>
      <c r="I2086" s="5">
        <v>45730</v>
      </c>
      <c r="J2086" s="4">
        <f t="shared" si="32"/>
        <v>16</v>
      </c>
    </row>
    <row r="2087" spans="1:10" x14ac:dyDescent="0.25">
      <c r="A2087" s="4">
        <f>_xlfn.XLOOKUP(E2087,'Data Validation'!$M$3:$M$10,'Data Validation'!$N$3:$N$10)</f>
        <v>4</v>
      </c>
      <c r="B2087" s="4">
        <v>16</v>
      </c>
      <c r="C2087" s="4" t="s">
        <v>11</v>
      </c>
      <c r="D2087" s="7">
        <v>35.76</v>
      </c>
      <c r="E2087" s="4" t="s">
        <v>21</v>
      </c>
      <c r="F2087" s="4" t="s">
        <v>17</v>
      </c>
      <c r="G2087" s="4" t="s">
        <v>49</v>
      </c>
      <c r="H2087" s="4" t="s">
        <v>44</v>
      </c>
      <c r="I2087" s="5">
        <v>45730</v>
      </c>
      <c r="J2087" s="4">
        <f t="shared" si="32"/>
        <v>16</v>
      </c>
    </row>
    <row r="2088" spans="1:10" x14ac:dyDescent="0.25">
      <c r="A2088" s="4">
        <f>_xlfn.XLOOKUP(E2088,'Data Validation'!$M$3:$M$10,'Data Validation'!$N$3:$N$10)</f>
        <v>4</v>
      </c>
      <c r="B2088" s="4">
        <v>16</v>
      </c>
      <c r="C2088" s="4" t="s">
        <v>11</v>
      </c>
      <c r="D2088" s="7">
        <v>35.76</v>
      </c>
      <c r="E2088" s="4" t="s">
        <v>21</v>
      </c>
      <c r="F2088" s="4" t="s">
        <v>17</v>
      </c>
      <c r="G2088" s="4" t="s">
        <v>49</v>
      </c>
      <c r="H2088" s="4" t="s">
        <v>44</v>
      </c>
      <c r="I2088" s="5">
        <v>45730</v>
      </c>
      <c r="J2088" s="4">
        <f t="shared" si="32"/>
        <v>16</v>
      </c>
    </row>
    <row r="2089" spans="1:10" x14ac:dyDescent="0.25">
      <c r="A2089" s="4">
        <f>_xlfn.XLOOKUP(E2089,'Data Validation'!$M$3:$M$10,'Data Validation'!$N$3:$N$10)</f>
        <v>4</v>
      </c>
      <c r="B2089" s="4">
        <v>14</v>
      </c>
      <c r="C2089" s="4" t="s">
        <v>11</v>
      </c>
      <c r="D2089" s="7">
        <v>35.76</v>
      </c>
      <c r="E2089" s="4" t="s">
        <v>21</v>
      </c>
      <c r="F2089" s="4" t="s">
        <v>17</v>
      </c>
      <c r="G2089" s="4" t="s">
        <v>45</v>
      </c>
      <c r="H2089" s="4" t="s">
        <v>44</v>
      </c>
      <c r="I2089" s="5">
        <v>45733</v>
      </c>
      <c r="J2089" s="4">
        <f t="shared" si="32"/>
        <v>16</v>
      </c>
    </row>
    <row r="2090" spans="1:10" x14ac:dyDescent="0.25">
      <c r="A2090" s="4">
        <f>_xlfn.XLOOKUP(E2090,'Data Validation'!$M$3:$M$10,'Data Validation'!$N$3:$N$10)</f>
        <v>4</v>
      </c>
      <c r="B2090" s="4">
        <v>14</v>
      </c>
      <c r="C2090" s="4" t="s">
        <v>11</v>
      </c>
      <c r="D2090" s="7">
        <v>35.76</v>
      </c>
      <c r="E2090" s="4" t="s">
        <v>21</v>
      </c>
      <c r="F2090" s="4" t="s">
        <v>17</v>
      </c>
      <c r="G2090" s="4" t="s">
        <v>45</v>
      </c>
      <c r="H2090" s="4" t="s">
        <v>44</v>
      </c>
      <c r="I2090" s="5">
        <v>45733</v>
      </c>
      <c r="J2090" s="4">
        <f t="shared" si="32"/>
        <v>16</v>
      </c>
    </row>
    <row r="2091" spans="1:10" x14ac:dyDescent="0.25">
      <c r="A2091" s="4">
        <f>_xlfn.XLOOKUP(E2091,'Data Validation'!$M$3:$M$10,'Data Validation'!$N$3:$N$10)</f>
        <v>4</v>
      </c>
      <c r="B2091" s="4">
        <v>18</v>
      </c>
      <c r="C2091" s="4" t="s">
        <v>11</v>
      </c>
      <c r="D2091" s="7">
        <v>35.76</v>
      </c>
      <c r="E2091" s="4" t="s">
        <v>21</v>
      </c>
      <c r="F2091" s="4" t="s">
        <v>20</v>
      </c>
      <c r="G2091" s="4" t="s">
        <v>46</v>
      </c>
      <c r="H2091" s="4" t="s">
        <v>44</v>
      </c>
      <c r="I2091" s="5">
        <v>45734</v>
      </c>
      <c r="J2091" s="4">
        <f t="shared" si="32"/>
        <v>16</v>
      </c>
    </row>
    <row r="2092" spans="1:10" x14ac:dyDescent="0.25">
      <c r="A2092" s="4">
        <f>_xlfn.XLOOKUP(E2092,'Data Validation'!$M$3:$M$10,'Data Validation'!$N$3:$N$10)</f>
        <v>4</v>
      </c>
      <c r="B2092" s="4">
        <v>18</v>
      </c>
      <c r="C2092" s="4" t="s">
        <v>11</v>
      </c>
      <c r="D2092" s="7">
        <v>35.76</v>
      </c>
      <c r="E2092" s="4" t="s">
        <v>21</v>
      </c>
      <c r="F2092" s="4" t="s">
        <v>20</v>
      </c>
      <c r="G2092" s="4" t="s">
        <v>46</v>
      </c>
      <c r="H2092" s="4" t="s">
        <v>44</v>
      </c>
      <c r="I2092" s="5">
        <v>45734</v>
      </c>
      <c r="J2092" s="4">
        <f t="shared" si="32"/>
        <v>16</v>
      </c>
    </row>
    <row r="2093" spans="1:10" x14ac:dyDescent="0.25">
      <c r="A2093" s="4">
        <f>_xlfn.XLOOKUP(E2093,'Data Validation'!$M$3:$M$10,'Data Validation'!$N$3:$N$10)</f>
        <v>4</v>
      </c>
      <c r="B2093" s="4">
        <v>20</v>
      </c>
      <c r="C2093" s="4" t="s">
        <v>11</v>
      </c>
      <c r="D2093" s="7">
        <v>35.76</v>
      </c>
      <c r="E2093" s="4" t="s">
        <v>21</v>
      </c>
      <c r="F2093" s="4" t="s">
        <v>20</v>
      </c>
      <c r="G2093" s="4" t="s">
        <v>46</v>
      </c>
      <c r="H2093" s="4" t="s">
        <v>44</v>
      </c>
      <c r="I2093" s="5">
        <v>45734</v>
      </c>
      <c r="J2093" s="4">
        <f t="shared" si="32"/>
        <v>16</v>
      </c>
    </row>
    <row r="2094" spans="1:10" x14ac:dyDescent="0.25">
      <c r="A2094" s="4">
        <f>_xlfn.XLOOKUP(E2094,'Data Validation'!$M$3:$M$10,'Data Validation'!$N$3:$N$10)</f>
        <v>4</v>
      </c>
      <c r="B2094" s="4">
        <v>20</v>
      </c>
      <c r="C2094" s="4" t="s">
        <v>11</v>
      </c>
      <c r="D2094" s="7">
        <v>35.76</v>
      </c>
      <c r="E2094" s="4" t="s">
        <v>21</v>
      </c>
      <c r="F2094" s="4" t="s">
        <v>20</v>
      </c>
      <c r="G2094" s="4" t="s">
        <v>46</v>
      </c>
      <c r="H2094" s="4" t="s">
        <v>44</v>
      </c>
      <c r="I2094" s="5">
        <v>45734</v>
      </c>
      <c r="J2094" s="4">
        <f t="shared" si="32"/>
        <v>16</v>
      </c>
    </row>
    <row r="2095" spans="1:10" x14ac:dyDescent="0.25">
      <c r="A2095" s="4">
        <f>_xlfn.XLOOKUP(E2095,'Data Validation'!$M$3:$M$10,'Data Validation'!$N$3:$N$10)</f>
        <v>4</v>
      </c>
      <c r="B2095" s="4">
        <v>17</v>
      </c>
      <c r="C2095" s="4" t="s">
        <v>11</v>
      </c>
      <c r="D2095" s="7">
        <v>35.76</v>
      </c>
      <c r="E2095" s="4" t="s">
        <v>21</v>
      </c>
      <c r="F2095" s="4" t="s">
        <v>20</v>
      </c>
      <c r="G2095" s="4" t="s">
        <v>47</v>
      </c>
      <c r="H2095" s="4" t="s">
        <v>44</v>
      </c>
      <c r="I2095" s="5">
        <v>45735</v>
      </c>
      <c r="J2095" s="4">
        <f t="shared" si="32"/>
        <v>16</v>
      </c>
    </row>
    <row r="2096" spans="1:10" x14ac:dyDescent="0.25">
      <c r="A2096" s="4">
        <f>_xlfn.XLOOKUP(E2096,'Data Validation'!$M$3:$M$10,'Data Validation'!$N$3:$N$10)</f>
        <v>4</v>
      </c>
      <c r="B2096" s="4">
        <v>19</v>
      </c>
      <c r="C2096" s="4" t="s">
        <v>11</v>
      </c>
      <c r="D2096" s="7">
        <v>35.76</v>
      </c>
      <c r="E2096" s="4" t="s">
        <v>21</v>
      </c>
      <c r="F2096" s="4" t="s">
        <v>20</v>
      </c>
      <c r="G2096" s="4" t="s">
        <v>48</v>
      </c>
      <c r="H2096" s="4" t="s">
        <v>44</v>
      </c>
      <c r="I2096" s="5">
        <v>45736</v>
      </c>
      <c r="J2096" s="4">
        <f t="shared" si="32"/>
        <v>16</v>
      </c>
    </row>
    <row r="2097" spans="1:10" x14ac:dyDescent="0.25">
      <c r="A2097" s="4">
        <f>_xlfn.XLOOKUP(E2097,'Data Validation'!$M$3:$M$10,'Data Validation'!$N$3:$N$10)</f>
        <v>4</v>
      </c>
      <c r="B2097" s="4">
        <v>11</v>
      </c>
      <c r="C2097" s="4" t="s">
        <v>11</v>
      </c>
      <c r="D2097" s="7">
        <v>35.76</v>
      </c>
      <c r="E2097" s="4" t="s">
        <v>21</v>
      </c>
      <c r="F2097" s="4" t="s">
        <v>13</v>
      </c>
      <c r="G2097" s="4" t="s">
        <v>50</v>
      </c>
      <c r="H2097" s="4" t="s">
        <v>44</v>
      </c>
      <c r="I2097" s="5">
        <v>45738</v>
      </c>
      <c r="J2097" s="4">
        <f t="shared" si="32"/>
        <v>16</v>
      </c>
    </row>
    <row r="2098" spans="1:10" x14ac:dyDescent="0.25">
      <c r="A2098" s="4">
        <f>_xlfn.XLOOKUP(E2098,'Data Validation'!$M$3:$M$10,'Data Validation'!$N$3:$N$10)</f>
        <v>4</v>
      </c>
      <c r="B2098" s="4">
        <v>14</v>
      </c>
      <c r="C2098" s="4" t="s">
        <v>11</v>
      </c>
      <c r="D2098" s="7">
        <v>35.76</v>
      </c>
      <c r="E2098" s="4" t="s">
        <v>21</v>
      </c>
      <c r="F2098" s="4" t="s">
        <v>17</v>
      </c>
      <c r="G2098" s="4" t="s">
        <v>51</v>
      </c>
      <c r="H2098" s="4" t="s">
        <v>44</v>
      </c>
      <c r="I2098" s="5">
        <v>45739</v>
      </c>
      <c r="J2098" s="4">
        <f t="shared" si="32"/>
        <v>16</v>
      </c>
    </row>
    <row r="2099" spans="1:10" x14ac:dyDescent="0.25">
      <c r="A2099" s="4">
        <f>_xlfn.XLOOKUP(E2099,'Data Validation'!$M$3:$M$10,'Data Validation'!$N$3:$N$10)</f>
        <v>4</v>
      </c>
      <c r="B2099" s="4">
        <v>14</v>
      </c>
      <c r="C2099" s="4" t="s">
        <v>11</v>
      </c>
      <c r="D2099" s="7">
        <v>35.76</v>
      </c>
      <c r="E2099" s="4" t="s">
        <v>21</v>
      </c>
      <c r="F2099" s="4" t="s">
        <v>17</v>
      </c>
      <c r="G2099" s="4" t="s">
        <v>51</v>
      </c>
      <c r="H2099" s="4" t="s">
        <v>44</v>
      </c>
      <c r="I2099" s="5">
        <v>45739</v>
      </c>
      <c r="J2099" s="4">
        <f t="shared" si="32"/>
        <v>16</v>
      </c>
    </row>
    <row r="2100" spans="1:10" x14ac:dyDescent="0.25">
      <c r="A2100" s="4">
        <f>_xlfn.XLOOKUP(E2100,'Data Validation'!$M$3:$M$10,'Data Validation'!$N$3:$N$10)</f>
        <v>5</v>
      </c>
      <c r="B2100" s="4">
        <v>11</v>
      </c>
      <c r="C2100" s="4" t="s">
        <v>11</v>
      </c>
      <c r="D2100" s="7">
        <v>28.9</v>
      </c>
      <c r="E2100" s="4" t="s">
        <v>24</v>
      </c>
      <c r="F2100" s="4" t="s">
        <v>13</v>
      </c>
      <c r="G2100" s="4" t="s">
        <v>51</v>
      </c>
      <c r="H2100" s="4" t="s">
        <v>44</v>
      </c>
      <c r="I2100" s="5">
        <v>45354</v>
      </c>
      <c r="J2100" s="4">
        <f t="shared" si="32"/>
        <v>17</v>
      </c>
    </row>
    <row r="2101" spans="1:10" x14ac:dyDescent="0.25">
      <c r="A2101" s="4">
        <f>_xlfn.XLOOKUP(E2101,'Data Validation'!$M$3:$M$10,'Data Validation'!$N$3:$N$10)</f>
        <v>5</v>
      </c>
      <c r="B2101" s="4">
        <v>17</v>
      </c>
      <c r="C2101" s="4" t="s">
        <v>11</v>
      </c>
      <c r="D2101" s="7">
        <v>28.9</v>
      </c>
      <c r="E2101" s="4" t="s">
        <v>24</v>
      </c>
      <c r="F2101" s="4" t="s">
        <v>20</v>
      </c>
      <c r="G2101" s="4" t="s">
        <v>51</v>
      </c>
      <c r="H2101" s="4" t="s">
        <v>44</v>
      </c>
      <c r="I2101" s="5">
        <v>45354</v>
      </c>
      <c r="J2101" s="4">
        <f t="shared" si="32"/>
        <v>17</v>
      </c>
    </row>
    <row r="2102" spans="1:10" x14ac:dyDescent="0.25">
      <c r="A2102" s="4">
        <f>_xlfn.XLOOKUP(E2102,'Data Validation'!$M$3:$M$10,'Data Validation'!$N$3:$N$10)</f>
        <v>5</v>
      </c>
      <c r="B2102" s="4">
        <v>17</v>
      </c>
      <c r="C2102" s="4" t="s">
        <v>11</v>
      </c>
      <c r="D2102" s="7">
        <v>28.9</v>
      </c>
      <c r="E2102" s="4" t="s">
        <v>24</v>
      </c>
      <c r="F2102" s="4" t="s">
        <v>20</v>
      </c>
      <c r="G2102" s="4" t="s">
        <v>46</v>
      </c>
      <c r="H2102" s="4" t="s">
        <v>44</v>
      </c>
      <c r="I2102" s="5">
        <v>45356</v>
      </c>
      <c r="J2102" s="4">
        <f t="shared" si="32"/>
        <v>17</v>
      </c>
    </row>
    <row r="2103" spans="1:10" x14ac:dyDescent="0.25">
      <c r="A2103" s="4">
        <f>_xlfn.XLOOKUP(E2103,'Data Validation'!$M$3:$M$10,'Data Validation'!$N$3:$N$10)</f>
        <v>5</v>
      </c>
      <c r="B2103" s="4">
        <v>13</v>
      </c>
      <c r="C2103" s="4" t="s">
        <v>11</v>
      </c>
      <c r="D2103" s="7">
        <v>28.9</v>
      </c>
      <c r="E2103" s="4" t="s">
        <v>24</v>
      </c>
      <c r="F2103" s="4" t="s">
        <v>17</v>
      </c>
      <c r="G2103" s="4" t="s">
        <v>47</v>
      </c>
      <c r="H2103" s="4" t="s">
        <v>44</v>
      </c>
      <c r="I2103" s="5">
        <v>45357</v>
      </c>
      <c r="J2103" s="4">
        <f t="shared" si="32"/>
        <v>17</v>
      </c>
    </row>
    <row r="2104" spans="1:10" x14ac:dyDescent="0.25">
      <c r="A2104" s="4">
        <f>_xlfn.XLOOKUP(E2104,'Data Validation'!$M$3:$M$10,'Data Validation'!$N$3:$N$10)</f>
        <v>5</v>
      </c>
      <c r="B2104" s="4">
        <v>10</v>
      </c>
      <c r="C2104" s="4" t="s">
        <v>11</v>
      </c>
      <c r="D2104" s="7">
        <v>28.9</v>
      </c>
      <c r="E2104" s="4" t="s">
        <v>24</v>
      </c>
      <c r="F2104" s="4" t="s">
        <v>13</v>
      </c>
      <c r="G2104" s="4" t="s">
        <v>49</v>
      </c>
      <c r="H2104" s="4" t="s">
        <v>44</v>
      </c>
      <c r="I2104" s="5">
        <v>45359</v>
      </c>
      <c r="J2104" s="4">
        <f t="shared" si="32"/>
        <v>17</v>
      </c>
    </row>
    <row r="2105" spans="1:10" x14ac:dyDescent="0.25">
      <c r="A2105" s="4">
        <f>_xlfn.XLOOKUP(E2105,'Data Validation'!$M$3:$M$10,'Data Validation'!$N$3:$N$10)</f>
        <v>5</v>
      </c>
      <c r="B2105" s="4">
        <v>13</v>
      </c>
      <c r="C2105" s="4" t="s">
        <v>11</v>
      </c>
      <c r="D2105" s="7">
        <v>28.9</v>
      </c>
      <c r="E2105" s="4" t="s">
        <v>24</v>
      </c>
      <c r="F2105" s="4" t="s">
        <v>17</v>
      </c>
      <c r="G2105" s="4" t="s">
        <v>50</v>
      </c>
      <c r="H2105" s="4" t="s">
        <v>44</v>
      </c>
      <c r="I2105" s="5">
        <v>45360</v>
      </c>
      <c r="J2105" s="4">
        <f t="shared" si="32"/>
        <v>17</v>
      </c>
    </row>
    <row r="2106" spans="1:10" x14ac:dyDescent="0.25">
      <c r="A2106" s="4">
        <f>_xlfn.XLOOKUP(E2106,'Data Validation'!$M$3:$M$10,'Data Validation'!$N$3:$N$10)</f>
        <v>5</v>
      </c>
      <c r="B2106" s="4">
        <v>19</v>
      </c>
      <c r="C2106" s="4" t="s">
        <v>11</v>
      </c>
      <c r="D2106" s="7">
        <v>28.9</v>
      </c>
      <c r="E2106" s="4" t="s">
        <v>24</v>
      </c>
      <c r="F2106" s="4" t="s">
        <v>20</v>
      </c>
      <c r="G2106" s="4" t="s">
        <v>51</v>
      </c>
      <c r="H2106" s="4" t="s">
        <v>44</v>
      </c>
      <c r="I2106" s="5">
        <v>45361</v>
      </c>
      <c r="J2106" s="4">
        <f t="shared" si="32"/>
        <v>17</v>
      </c>
    </row>
    <row r="2107" spans="1:10" x14ac:dyDescent="0.25">
      <c r="A2107" s="4">
        <f>_xlfn.XLOOKUP(E2107,'Data Validation'!$M$3:$M$10,'Data Validation'!$N$3:$N$10)</f>
        <v>5</v>
      </c>
      <c r="B2107" s="4">
        <v>16</v>
      </c>
      <c r="C2107" s="4" t="s">
        <v>11</v>
      </c>
      <c r="D2107" s="7">
        <v>28.9</v>
      </c>
      <c r="E2107" s="4" t="s">
        <v>24</v>
      </c>
      <c r="F2107" s="4" t="s">
        <v>17</v>
      </c>
      <c r="G2107" s="4" t="s">
        <v>45</v>
      </c>
      <c r="H2107" s="4" t="s">
        <v>44</v>
      </c>
      <c r="I2107" s="5">
        <v>45362</v>
      </c>
      <c r="J2107" s="4">
        <f t="shared" si="32"/>
        <v>17</v>
      </c>
    </row>
    <row r="2108" spans="1:10" x14ac:dyDescent="0.25">
      <c r="A2108" s="4">
        <f>_xlfn.XLOOKUP(E2108,'Data Validation'!$M$3:$M$10,'Data Validation'!$N$3:$N$10)</f>
        <v>5</v>
      </c>
      <c r="B2108" s="4">
        <v>10</v>
      </c>
      <c r="C2108" s="4" t="s">
        <v>11</v>
      </c>
      <c r="D2108" s="7">
        <v>28.9</v>
      </c>
      <c r="E2108" s="4" t="s">
        <v>24</v>
      </c>
      <c r="F2108" s="4" t="s">
        <v>13</v>
      </c>
      <c r="G2108" s="4" t="s">
        <v>46</v>
      </c>
      <c r="H2108" s="4" t="s">
        <v>44</v>
      </c>
      <c r="I2108" s="5">
        <v>45363</v>
      </c>
      <c r="J2108" s="4">
        <f t="shared" si="32"/>
        <v>17</v>
      </c>
    </row>
    <row r="2109" spans="1:10" x14ac:dyDescent="0.25">
      <c r="A2109" s="4">
        <f>_xlfn.XLOOKUP(E2109,'Data Validation'!$M$3:$M$10,'Data Validation'!$N$3:$N$10)</f>
        <v>5</v>
      </c>
      <c r="B2109" s="4">
        <v>13</v>
      </c>
      <c r="C2109" s="4" t="s">
        <v>11</v>
      </c>
      <c r="D2109" s="7">
        <v>28.9</v>
      </c>
      <c r="E2109" s="4" t="s">
        <v>24</v>
      </c>
      <c r="F2109" s="4" t="s">
        <v>17</v>
      </c>
      <c r="G2109" s="4" t="s">
        <v>48</v>
      </c>
      <c r="H2109" s="4" t="s">
        <v>44</v>
      </c>
      <c r="I2109" s="5">
        <v>45365</v>
      </c>
      <c r="J2109" s="4">
        <f t="shared" si="32"/>
        <v>17</v>
      </c>
    </row>
    <row r="2110" spans="1:10" x14ac:dyDescent="0.25">
      <c r="A2110" s="4">
        <f>_xlfn.XLOOKUP(E2110,'Data Validation'!$M$3:$M$10,'Data Validation'!$N$3:$N$10)</f>
        <v>5</v>
      </c>
      <c r="B2110" s="4">
        <v>19</v>
      </c>
      <c r="C2110" s="4" t="s">
        <v>11</v>
      </c>
      <c r="D2110" s="7">
        <v>28.9</v>
      </c>
      <c r="E2110" s="4" t="s">
        <v>24</v>
      </c>
      <c r="F2110" s="4" t="s">
        <v>20</v>
      </c>
      <c r="G2110" s="4" t="s">
        <v>48</v>
      </c>
      <c r="H2110" s="4" t="s">
        <v>44</v>
      </c>
      <c r="I2110" s="5">
        <v>45365</v>
      </c>
      <c r="J2110" s="4">
        <f t="shared" si="32"/>
        <v>17</v>
      </c>
    </row>
    <row r="2111" spans="1:10" x14ac:dyDescent="0.25">
      <c r="A2111" s="4">
        <f>_xlfn.XLOOKUP(E2111,'Data Validation'!$M$3:$M$10,'Data Validation'!$N$3:$N$10)</f>
        <v>5</v>
      </c>
      <c r="B2111" s="4">
        <v>15</v>
      </c>
      <c r="C2111" s="4" t="s">
        <v>11</v>
      </c>
      <c r="D2111" s="7">
        <v>28.9</v>
      </c>
      <c r="E2111" s="4" t="s">
        <v>24</v>
      </c>
      <c r="F2111" s="4" t="s">
        <v>17</v>
      </c>
      <c r="G2111" s="4" t="s">
        <v>50</v>
      </c>
      <c r="H2111" s="4" t="s">
        <v>44</v>
      </c>
      <c r="I2111" s="5">
        <v>45367</v>
      </c>
      <c r="J2111" s="4">
        <f t="shared" si="32"/>
        <v>17</v>
      </c>
    </row>
    <row r="2112" spans="1:10" x14ac:dyDescent="0.25">
      <c r="A2112" s="4">
        <f>_xlfn.XLOOKUP(E2112,'Data Validation'!$M$3:$M$10,'Data Validation'!$N$3:$N$10)</f>
        <v>5</v>
      </c>
      <c r="B2112" s="4">
        <v>16</v>
      </c>
      <c r="C2112" s="4" t="s">
        <v>11</v>
      </c>
      <c r="D2112" s="7">
        <v>28.9</v>
      </c>
      <c r="E2112" s="4" t="s">
        <v>24</v>
      </c>
      <c r="F2112" s="4" t="s">
        <v>17</v>
      </c>
      <c r="G2112" s="4" t="s">
        <v>50</v>
      </c>
      <c r="H2112" s="4" t="s">
        <v>44</v>
      </c>
      <c r="I2112" s="5">
        <v>45367</v>
      </c>
      <c r="J2112" s="4">
        <f t="shared" si="32"/>
        <v>17</v>
      </c>
    </row>
    <row r="2113" spans="1:10" x14ac:dyDescent="0.25">
      <c r="A2113" s="4">
        <f>_xlfn.XLOOKUP(E2113,'Data Validation'!$M$3:$M$10,'Data Validation'!$N$3:$N$10)</f>
        <v>5</v>
      </c>
      <c r="B2113" s="4">
        <v>16</v>
      </c>
      <c r="C2113" s="4" t="s">
        <v>11</v>
      </c>
      <c r="D2113" s="7">
        <v>28.9</v>
      </c>
      <c r="E2113" s="4" t="s">
        <v>24</v>
      </c>
      <c r="F2113" s="4" t="s">
        <v>17</v>
      </c>
      <c r="G2113" s="4" t="s">
        <v>50</v>
      </c>
      <c r="H2113" s="4" t="s">
        <v>44</v>
      </c>
      <c r="I2113" s="5">
        <v>45367</v>
      </c>
      <c r="J2113" s="4">
        <f t="shared" si="32"/>
        <v>17</v>
      </c>
    </row>
    <row r="2114" spans="1:10" x14ac:dyDescent="0.25">
      <c r="A2114" s="4">
        <f>_xlfn.XLOOKUP(E2114,'Data Validation'!$M$3:$M$10,'Data Validation'!$N$3:$N$10)</f>
        <v>5</v>
      </c>
      <c r="B2114" s="4">
        <v>12</v>
      </c>
      <c r="C2114" s="4" t="s">
        <v>11</v>
      </c>
      <c r="D2114" s="7">
        <v>28.9</v>
      </c>
      <c r="E2114" s="4" t="s">
        <v>24</v>
      </c>
      <c r="F2114" s="4" t="s">
        <v>17</v>
      </c>
      <c r="G2114" s="4" t="s">
        <v>51</v>
      </c>
      <c r="H2114" s="4" t="s">
        <v>44</v>
      </c>
      <c r="I2114" s="5">
        <v>45368</v>
      </c>
      <c r="J2114" s="4">
        <f t="shared" si="32"/>
        <v>17</v>
      </c>
    </row>
    <row r="2115" spans="1:10" x14ac:dyDescent="0.25">
      <c r="A2115" s="4">
        <f>_xlfn.XLOOKUP(E2115,'Data Validation'!$M$3:$M$10,'Data Validation'!$N$3:$N$10)</f>
        <v>5</v>
      </c>
      <c r="B2115" s="4">
        <v>11</v>
      </c>
      <c r="C2115" s="4" t="s">
        <v>11</v>
      </c>
      <c r="D2115" s="7">
        <v>28.9</v>
      </c>
      <c r="E2115" s="4" t="s">
        <v>24</v>
      </c>
      <c r="F2115" s="4" t="s">
        <v>13</v>
      </c>
      <c r="G2115" s="4" t="s">
        <v>45</v>
      </c>
      <c r="H2115" s="4" t="s">
        <v>44</v>
      </c>
      <c r="I2115" s="5">
        <v>45369</v>
      </c>
      <c r="J2115" s="4">
        <f t="shared" ref="J2115:J2178" si="33">IF(OR(E2115&lt;&gt;E2114,D2115&lt;&gt;D2114),J2114+1,J2114)</f>
        <v>17</v>
      </c>
    </row>
    <row r="2116" spans="1:10" x14ac:dyDescent="0.25">
      <c r="A2116" s="4">
        <f>_xlfn.XLOOKUP(E2116,'Data Validation'!$M$3:$M$10,'Data Validation'!$N$3:$N$10)</f>
        <v>5</v>
      </c>
      <c r="B2116" s="4">
        <v>11</v>
      </c>
      <c r="C2116" s="4" t="s">
        <v>11</v>
      </c>
      <c r="D2116" s="7">
        <v>28.9</v>
      </c>
      <c r="E2116" s="4" t="s">
        <v>24</v>
      </c>
      <c r="F2116" s="4" t="s">
        <v>13</v>
      </c>
      <c r="G2116" s="4" t="s">
        <v>47</v>
      </c>
      <c r="H2116" s="4" t="s">
        <v>44</v>
      </c>
      <c r="I2116" s="5">
        <v>45371</v>
      </c>
      <c r="J2116" s="4">
        <f t="shared" si="33"/>
        <v>17</v>
      </c>
    </row>
    <row r="2117" spans="1:10" x14ac:dyDescent="0.25">
      <c r="A2117" s="4">
        <f>_xlfn.XLOOKUP(E2117,'Data Validation'!$M$3:$M$10,'Data Validation'!$N$3:$N$10)</f>
        <v>5</v>
      </c>
      <c r="B2117" s="4">
        <v>12</v>
      </c>
      <c r="C2117" s="4" t="s">
        <v>11</v>
      </c>
      <c r="D2117" s="7">
        <v>28.9</v>
      </c>
      <c r="E2117" s="4" t="s">
        <v>24</v>
      </c>
      <c r="F2117" s="4" t="s">
        <v>17</v>
      </c>
      <c r="G2117" s="4" t="s">
        <v>47</v>
      </c>
      <c r="H2117" s="4" t="s">
        <v>44</v>
      </c>
      <c r="I2117" s="5">
        <v>45371</v>
      </c>
      <c r="J2117" s="4">
        <f t="shared" si="33"/>
        <v>17</v>
      </c>
    </row>
    <row r="2118" spans="1:10" x14ac:dyDescent="0.25">
      <c r="A2118" s="4">
        <f>_xlfn.XLOOKUP(E2118,'Data Validation'!$M$3:$M$10,'Data Validation'!$N$3:$N$10)</f>
        <v>5</v>
      </c>
      <c r="B2118" s="4">
        <v>12</v>
      </c>
      <c r="C2118" s="4" t="s">
        <v>11</v>
      </c>
      <c r="D2118" s="7">
        <v>28.9</v>
      </c>
      <c r="E2118" s="4" t="s">
        <v>24</v>
      </c>
      <c r="F2118" s="4" t="s">
        <v>17</v>
      </c>
      <c r="G2118" s="4" t="s">
        <v>48</v>
      </c>
      <c r="H2118" s="4" t="s">
        <v>44</v>
      </c>
      <c r="I2118" s="5">
        <v>45372</v>
      </c>
      <c r="J2118" s="4">
        <f t="shared" si="33"/>
        <v>17</v>
      </c>
    </row>
    <row r="2119" spans="1:10" x14ac:dyDescent="0.25">
      <c r="A2119" s="4">
        <f>_xlfn.XLOOKUP(E2119,'Data Validation'!$M$3:$M$10,'Data Validation'!$N$3:$N$10)</f>
        <v>5</v>
      </c>
      <c r="B2119" s="4">
        <v>17</v>
      </c>
      <c r="C2119" s="4" t="s">
        <v>11</v>
      </c>
      <c r="D2119" s="7">
        <v>28.9</v>
      </c>
      <c r="E2119" s="4" t="s">
        <v>24</v>
      </c>
      <c r="F2119" s="4" t="s">
        <v>20</v>
      </c>
      <c r="G2119" s="4" t="s">
        <v>48</v>
      </c>
      <c r="H2119" s="4" t="s">
        <v>44</v>
      </c>
      <c r="I2119" s="5">
        <v>45372</v>
      </c>
      <c r="J2119" s="4">
        <f t="shared" si="33"/>
        <v>17</v>
      </c>
    </row>
    <row r="2120" spans="1:10" x14ac:dyDescent="0.25">
      <c r="A2120" s="4">
        <f>_xlfn.XLOOKUP(E2120,'Data Validation'!$M$3:$M$10,'Data Validation'!$N$3:$N$10)</f>
        <v>5</v>
      </c>
      <c r="B2120" s="4">
        <v>16</v>
      </c>
      <c r="C2120" s="4" t="s">
        <v>11</v>
      </c>
      <c r="D2120" s="7">
        <v>28.9</v>
      </c>
      <c r="E2120" s="4" t="s">
        <v>24</v>
      </c>
      <c r="F2120" s="4" t="s">
        <v>17</v>
      </c>
      <c r="G2120" s="4" t="s">
        <v>50</v>
      </c>
      <c r="H2120" s="4" t="s">
        <v>44</v>
      </c>
      <c r="I2120" s="5">
        <v>45374</v>
      </c>
      <c r="J2120" s="4">
        <f t="shared" si="33"/>
        <v>17</v>
      </c>
    </row>
    <row r="2121" spans="1:10" x14ac:dyDescent="0.25">
      <c r="A2121" s="4">
        <f>_xlfn.XLOOKUP(E2121,'Data Validation'!$M$3:$M$10,'Data Validation'!$N$3:$N$10)</f>
        <v>5</v>
      </c>
      <c r="B2121" s="4">
        <v>11</v>
      </c>
      <c r="C2121" s="4" t="s">
        <v>11</v>
      </c>
      <c r="D2121" s="7">
        <v>28.9</v>
      </c>
      <c r="E2121" s="4" t="s">
        <v>24</v>
      </c>
      <c r="F2121" s="4" t="s">
        <v>13</v>
      </c>
      <c r="G2121" s="4" t="s">
        <v>46</v>
      </c>
      <c r="H2121" s="4" t="s">
        <v>44</v>
      </c>
      <c r="I2121" s="5">
        <v>45377</v>
      </c>
      <c r="J2121" s="4">
        <f t="shared" si="33"/>
        <v>17</v>
      </c>
    </row>
    <row r="2122" spans="1:10" x14ac:dyDescent="0.25">
      <c r="A2122" s="4">
        <f>_xlfn.XLOOKUP(E2122,'Data Validation'!$M$3:$M$10,'Data Validation'!$N$3:$N$10)</f>
        <v>5</v>
      </c>
      <c r="B2122" s="4">
        <v>13</v>
      </c>
      <c r="C2122" s="4" t="s">
        <v>11</v>
      </c>
      <c r="D2122" s="7">
        <v>28.9</v>
      </c>
      <c r="E2122" s="4" t="s">
        <v>24</v>
      </c>
      <c r="F2122" s="4" t="s">
        <v>17</v>
      </c>
      <c r="G2122" s="4" t="s">
        <v>46</v>
      </c>
      <c r="H2122" s="4" t="s">
        <v>44</v>
      </c>
      <c r="I2122" s="5">
        <v>45377</v>
      </c>
      <c r="J2122" s="4">
        <f t="shared" si="33"/>
        <v>17</v>
      </c>
    </row>
    <row r="2123" spans="1:10" x14ac:dyDescent="0.25">
      <c r="A2123" s="4">
        <f>_xlfn.XLOOKUP(E2123,'Data Validation'!$M$3:$M$10,'Data Validation'!$N$3:$N$10)</f>
        <v>5</v>
      </c>
      <c r="B2123" s="4">
        <v>13</v>
      </c>
      <c r="C2123" s="4" t="s">
        <v>11</v>
      </c>
      <c r="D2123" s="7">
        <v>28.9</v>
      </c>
      <c r="E2123" s="4" t="s">
        <v>24</v>
      </c>
      <c r="F2123" s="4" t="s">
        <v>17</v>
      </c>
      <c r="G2123" s="4" t="s">
        <v>46</v>
      </c>
      <c r="H2123" s="4" t="s">
        <v>44</v>
      </c>
      <c r="I2123" s="5">
        <v>45377</v>
      </c>
      <c r="J2123" s="4">
        <f t="shared" si="33"/>
        <v>17</v>
      </c>
    </row>
    <row r="2124" spans="1:10" x14ac:dyDescent="0.25">
      <c r="A2124" s="4">
        <f>_xlfn.XLOOKUP(E2124,'Data Validation'!$M$3:$M$10,'Data Validation'!$N$3:$N$10)</f>
        <v>5</v>
      </c>
      <c r="B2124" s="4">
        <v>11</v>
      </c>
      <c r="C2124" s="4" t="s">
        <v>11</v>
      </c>
      <c r="D2124" s="7">
        <v>28.9</v>
      </c>
      <c r="E2124" s="4" t="s">
        <v>24</v>
      </c>
      <c r="F2124" s="4" t="s">
        <v>13</v>
      </c>
      <c r="G2124" s="4" t="s">
        <v>47</v>
      </c>
      <c r="H2124" s="4" t="s">
        <v>44</v>
      </c>
      <c r="I2124" s="5">
        <v>45378</v>
      </c>
      <c r="J2124" s="4">
        <f t="shared" si="33"/>
        <v>17</v>
      </c>
    </row>
    <row r="2125" spans="1:10" x14ac:dyDescent="0.25">
      <c r="A2125" s="4">
        <f>_xlfn.XLOOKUP(E2125,'Data Validation'!$M$3:$M$10,'Data Validation'!$N$3:$N$10)</f>
        <v>5</v>
      </c>
      <c r="B2125" s="4">
        <v>18</v>
      </c>
      <c r="C2125" s="4" t="s">
        <v>11</v>
      </c>
      <c r="D2125" s="7">
        <v>28.9</v>
      </c>
      <c r="E2125" s="4" t="s">
        <v>24</v>
      </c>
      <c r="F2125" s="4" t="s">
        <v>20</v>
      </c>
      <c r="G2125" s="4" t="s">
        <v>47</v>
      </c>
      <c r="H2125" s="4" t="s">
        <v>44</v>
      </c>
      <c r="I2125" s="5">
        <v>45378</v>
      </c>
      <c r="J2125" s="4">
        <f t="shared" si="33"/>
        <v>17</v>
      </c>
    </row>
    <row r="2126" spans="1:10" x14ac:dyDescent="0.25">
      <c r="A2126" s="4">
        <f>_xlfn.XLOOKUP(E2126,'Data Validation'!$M$3:$M$10,'Data Validation'!$N$3:$N$10)</f>
        <v>5</v>
      </c>
      <c r="B2126" s="4">
        <v>14</v>
      </c>
      <c r="C2126" s="4" t="s">
        <v>11</v>
      </c>
      <c r="D2126" s="7">
        <v>28.9</v>
      </c>
      <c r="E2126" s="4" t="s">
        <v>24</v>
      </c>
      <c r="F2126" s="4" t="s">
        <v>17</v>
      </c>
      <c r="G2126" s="4" t="s">
        <v>48</v>
      </c>
      <c r="H2126" s="4" t="s">
        <v>44</v>
      </c>
      <c r="I2126" s="5">
        <v>45379</v>
      </c>
      <c r="J2126" s="4">
        <f t="shared" si="33"/>
        <v>17</v>
      </c>
    </row>
    <row r="2127" spans="1:10" x14ac:dyDescent="0.25">
      <c r="A2127" s="4">
        <f>_xlfn.XLOOKUP(E2127,'Data Validation'!$M$3:$M$10,'Data Validation'!$N$3:$N$10)</f>
        <v>5</v>
      </c>
      <c r="B2127" s="4">
        <v>17</v>
      </c>
      <c r="C2127" s="4" t="s">
        <v>11</v>
      </c>
      <c r="D2127" s="7">
        <v>28.9</v>
      </c>
      <c r="E2127" s="4" t="s">
        <v>24</v>
      </c>
      <c r="F2127" s="4" t="s">
        <v>20</v>
      </c>
      <c r="G2127" s="4" t="s">
        <v>48</v>
      </c>
      <c r="H2127" s="4" t="s">
        <v>44</v>
      </c>
      <c r="I2127" s="5">
        <v>45379</v>
      </c>
      <c r="J2127" s="4">
        <f t="shared" si="33"/>
        <v>17</v>
      </c>
    </row>
    <row r="2128" spans="1:10" x14ac:dyDescent="0.25">
      <c r="A2128" s="4">
        <f>_xlfn.XLOOKUP(E2128,'Data Validation'!$M$3:$M$10,'Data Validation'!$N$3:$N$10)</f>
        <v>5</v>
      </c>
      <c r="B2128" s="4">
        <v>16</v>
      </c>
      <c r="C2128" s="4" t="s">
        <v>11</v>
      </c>
      <c r="D2128" s="7">
        <v>28.9</v>
      </c>
      <c r="E2128" s="4" t="s">
        <v>24</v>
      </c>
      <c r="F2128" s="4" t="s">
        <v>17</v>
      </c>
      <c r="G2128" s="4" t="s">
        <v>46</v>
      </c>
      <c r="H2128" s="4" t="s">
        <v>52</v>
      </c>
      <c r="I2128" s="5">
        <v>45384</v>
      </c>
      <c r="J2128" s="4">
        <f t="shared" si="33"/>
        <v>17</v>
      </c>
    </row>
    <row r="2129" spans="1:10" x14ac:dyDescent="0.25">
      <c r="A2129" s="4">
        <f>_xlfn.XLOOKUP(E2129,'Data Validation'!$M$3:$M$10,'Data Validation'!$N$3:$N$10)</f>
        <v>5</v>
      </c>
      <c r="B2129" s="4">
        <v>10</v>
      </c>
      <c r="C2129" s="4" t="s">
        <v>11</v>
      </c>
      <c r="D2129" s="7">
        <v>28.9</v>
      </c>
      <c r="E2129" s="4" t="s">
        <v>24</v>
      </c>
      <c r="F2129" s="4" t="s">
        <v>13</v>
      </c>
      <c r="G2129" s="4" t="s">
        <v>47</v>
      </c>
      <c r="H2129" s="4" t="s">
        <v>52</v>
      </c>
      <c r="I2129" s="5">
        <v>45385</v>
      </c>
      <c r="J2129" s="4">
        <f t="shared" si="33"/>
        <v>17</v>
      </c>
    </row>
    <row r="2130" spans="1:10" x14ac:dyDescent="0.25">
      <c r="A2130" s="4">
        <f>_xlfn.XLOOKUP(E2130,'Data Validation'!$M$3:$M$10,'Data Validation'!$N$3:$N$10)</f>
        <v>5</v>
      </c>
      <c r="B2130" s="4">
        <v>12</v>
      </c>
      <c r="C2130" s="4" t="s">
        <v>11</v>
      </c>
      <c r="D2130" s="7">
        <v>28.9</v>
      </c>
      <c r="E2130" s="4" t="s">
        <v>24</v>
      </c>
      <c r="F2130" s="4" t="s">
        <v>17</v>
      </c>
      <c r="G2130" s="4" t="s">
        <v>48</v>
      </c>
      <c r="H2130" s="4" t="s">
        <v>52</v>
      </c>
      <c r="I2130" s="5">
        <v>45386</v>
      </c>
      <c r="J2130" s="4">
        <f t="shared" si="33"/>
        <v>17</v>
      </c>
    </row>
    <row r="2131" spans="1:10" x14ac:dyDescent="0.25">
      <c r="A2131" s="4">
        <f>_xlfn.XLOOKUP(E2131,'Data Validation'!$M$3:$M$10,'Data Validation'!$N$3:$N$10)</f>
        <v>5</v>
      </c>
      <c r="B2131" s="4">
        <v>11</v>
      </c>
      <c r="C2131" s="4" t="s">
        <v>11</v>
      </c>
      <c r="D2131" s="7">
        <v>28.9</v>
      </c>
      <c r="E2131" s="4" t="s">
        <v>24</v>
      </c>
      <c r="F2131" s="4" t="s">
        <v>13</v>
      </c>
      <c r="G2131" s="4" t="s">
        <v>49</v>
      </c>
      <c r="H2131" s="4" t="s">
        <v>52</v>
      </c>
      <c r="I2131" s="5">
        <v>45387</v>
      </c>
      <c r="J2131" s="4">
        <f t="shared" si="33"/>
        <v>17</v>
      </c>
    </row>
    <row r="2132" spans="1:10" x14ac:dyDescent="0.25">
      <c r="A2132" s="4">
        <f>_xlfn.XLOOKUP(E2132,'Data Validation'!$M$3:$M$10,'Data Validation'!$N$3:$N$10)</f>
        <v>5</v>
      </c>
      <c r="B2132" s="4">
        <v>14</v>
      </c>
      <c r="C2132" s="4" t="s">
        <v>11</v>
      </c>
      <c r="D2132" s="7">
        <v>28.9</v>
      </c>
      <c r="E2132" s="4" t="s">
        <v>24</v>
      </c>
      <c r="F2132" s="4" t="s">
        <v>17</v>
      </c>
      <c r="G2132" s="4" t="s">
        <v>49</v>
      </c>
      <c r="H2132" s="4" t="s">
        <v>52</v>
      </c>
      <c r="I2132" s="5">
        <v>45387</v>
      </c>
      <c r="J2132" s="4">
        <f t="shared" si="33"/>
        <v>17</v>
      </c>
    </row>
    <row r="2133" spans="1:10" x14ac:dyDescent="0.25">
      <c r="A2133" s="4">
        <f>_xlfn.XLOOKUP(E2133,'Data Validation'!$M$3:$M$10,'Data Validation'!$N$3:$N$10)</f>
        <v>5</v>
      </c>
      <c r="B2133" s="4">
        <v>14</v>
      </c>
      <c r="C2133" s="4" t="s">
        <v>11</v>
      </c>
      <c r="D2133" s="7">
        <v>28.9</v>
      </c>
      <c r="E2133" s="4" t="s">
        <v>24</v>
      </c>
      <c r="F2133" s="4" t="s">
        <v>17</v>
      </c>
      <c r="G2133" s="4" t="s">
        <v>51</v>
      </c>
      <c r="H2133" s="4" t="s">
        <v>52</v>
      </c>
      <c r="I2133" s="5">
        <v>45389</v>
      </c>
      <c r="J2133" s="4">
        <f t="shared" si="33"/>
        <v>17</v>
      </c>
    </row>
    <row r="2134" spans="1:10" x14ac:dyDescent="0.25">
      <c r="A2134" s="4">
        <f>_xlfn.XLOOKUP(E2134,'Data Validation'!$M$3:$M$10,'Data Validation'!$N$3:$N$10)</f>
        <v>5</v>
      </c>
      <c r="B2134" s="4">
        <v>19</v>
      </c>
      <c r="C2134" s="4" t="s">
        <v>11</v>
      </c>
      <c r="D2134" s="7">
        <v>28.9</v>
      </c>
      <c r="E2134" s="4" t="s">
        <v>24</v>
      </c>
      <c r="F2134" s="4" t="s">
        <v>20</v>
      </c>
      <c r="G2134" s="4" t="s">
        <v>49</v>
      </c>
      <c r="H2134" s="4" t="s">
        <v>52</v>
      </c>
      <c r="I2134" s="5">
        <v>45394</v>
      </c>
      <c r="J2134" s="4">
        <f t="shared" si="33"/>
        <v>17</v>
      </c>
    </row>
    <row r="2135" spans="1:10" x14ac:dyDescent="0.25">
      <c r="A2135" s="4">
        <f>_xlfn.XLOOKUP(E2135,'Data Validation'!$M$3:$M$10,'Data Validation'!$N$3:$N$10)</f>
        <v>5</v>
      </c>
      <c r="B2135" s="4">
        <v>13</v>
      </c>
      <c r="C2135" s="4" t="s">
        <v>11</v>
      </c>
      <c r="D2135" s="7">
        <v>28.9</v>
      </c>
      <c r="E2135" s="4" t="s">
        <v>24</v>
      </c>
      <c r="F2135" s="4" t="s">
        <v>17</v>
      </c>
      <c r="G2135" s="4" t="s">
        <v>51</v>
      </c>
      <c r="H2135" s="4" t="s">
        <v>52</v>
      </c>
      <c r="I2135" s="5">
        <v>45396</v>
      </c>
      <c r="J2135" s="4">
        <f t="shared" si="33"/>
        <v>17</v>
      </c>
    </row>
    <row r="2136" spans="1:10" x14ac:dyDescent="0.25">
      <c r="A2136" s="4">
        <f>_xlfn.XLOOKUP(E2136,'Data Validation'!$M$3:$M$10,'Data Validation'!$N$3:$N$10)</f>
        <v>5</v>
      </c>
      <c r="B2136" s="4">
        <v>16</v>
      </c>
      <c r="C2136" s="4" t="s">
        <v>11</v>
      </c>
      <c r="D2136" s="7">
        <v>28.9</v>
      </c>
      <c r="E2136" s="4" t="s">
        <v>24</v>
      </c>
      <c r="F2136" s="4" t="s">
        <v>17</v>
      </c>
      <c r="G2136" s="4" t="s">
        <v>51</v>
      </c>
      <c r="H2136" s="4" t="s">
        <v>52</v>
      </c>
      <c r="I2136" s="5">
        <v>45396</v>
      </c>
      <c r="J2136" s="4">
        <f t="shared" si="33"/>
        <v>17</v>
      </c>
    </row>
    <row r="2137" spans="1:10" x14ac:dyDescent="0.25">
      <c r="A2137" s="4">
        <f>_xlfn.XLOOKUP(E2137,'Data Validation'!$M$3:$M$10,'Data Validation'!$N$3:$N$10)</f>
        <v>5</v>
      </c>
      <c r="B2137" s="4">
        <v>12</v>
      </c>
      <c r="C2137" s="4" t="s">
        <v>11</v>
      </c>
      <c r="D2137" s="7">
        <v>28.9</v>
      </c>
      <c r="E2137" s="4" t="s">
        <v>24</v>
      </c>
      <c r="F2137" s="4" t="s">
        <v>17</v>
      </c>
      <c r="G2137" s="4" t="s">
        <v>46</v>
      </c>
      <c r="H2137" s="4" t="s">
        <v>52</v>
      </c>
      <c r="I2137" s="5">
        <v>45398</v>
      </c>
      <c r="J2137" s="4">
        <f t="shared" si="33"/>
        <v>17</v>
      </c>
    </row>
    <row r="2138" spans="1:10" x14ac:dyDescent="0.25">
      <c r="A2138" s="4">
        <f>_xlfn.XLOOKUP(E2138,'Data Validation'!$M$3:$M$10,'Data Validation'!$N$3:$N$10)</f>
        <v>5</v>
      </c>
      <c r="B2138" s="4">
        <v>18</v>
      </c>
      <c r="C2138" s="4" t="s">
        <v>11</v>
      </c>
      <c r="D2138" s="7">
        <v>28.9</v>
      </c>
      <c r="E2138" s="4" t="s">
        <v>24</v>
      </c>
      <c r="F2138" s="4" t="s">
        <v>20</v>
      </c>
      <c r="G2138" s="4" t="s">
        <v>47</v>
      </c>
      <c r="H2138" s="4" t="s">
        <v>52</v>
      </c>
      <c r="I2138" s="5">
        <v>45399</v>
      </c>
      <c r="J2138" s="4">
        <f t="shared" si="33"/>
        <v>17</v>
      </c>
    </row>
    <row r="2139" spans="1:10" x14ac:dyDescent="0.25">
      <c r="A2139" s="4">
        <f>_xlfn.XLOOKUP(E2139,'Data Validation'!$M$3:$M$10,'Data Validation'!$N$3:$N$10)</f>
        <v>5</v>
      </c>
      <c r="B2139" s="4">
        <v>13</v>
      </c>
      <c r="C2139" s="4" t="s">
        <v>11</v>
      </c>
      <c r="D2139" s="7">
        <v>28.9</v>
      </c>
      <c r="E2139" s="4" t="s">
        <v>24</v>
      </c>
      <c r="F2139" s="4" t="s">
        <v>17</v>
      </c>
      <c r="G2139" s="4" t="s">
        <v>48</v>
      </c>
      <c r="H2139" s="4" t="s">
        <v>52</v>
      </c>
      <c r="I2139" s="5">
        <v>45400</v>
      </c>
      <c r="J2139" s="4">
        <f t="shared" si="33"/>
        <v>17</v>
      </c>
    </row>
    <row r="2140" spans="1:10" x14ac:dyDescent="0.25">
      <c r="A2140" s="4">
        <f>_xlfn.XLOOKUP(E2140,'Data Validation'!$M$3:$M$10,'Data Validation'!$N$3:$N$10)</f>
        <v>5</v>
      </c>
      <c r="B2140" s="4">
        <v>16</v>
      </c>
      <c r="C2140" s="4" t="s">
        <v>11</v>
      </c>
      <c r="D2140" s="7">
        <v>27.92</v>
      </c>
      <c r="E2140" s="4" t="s">
        <v>24</v>
      </c>
      <c r="F2140" s="4" t="s">
        <v>17</v>
      </c>
      <c r="G2140" s="4" t="s">
        <v>49</v>
      </c>
      <c r="H2140" s="4" t="s">
        <v>52</v>
      </c>
      <c r="I2140" s="5">
        <v>45408</v>
      </c>
      <c r="J2140" s="4">
        <f t="shared" si="33"/>
        <v>18</v>
      </c>
    </row>
    <row r="2141" spans="1:10" x14ac:dyDescent="0.25">
      <c r="A2141" s="4">
        <f>_xlfn.XLOOKUP(E2141,'Data Validation'!$M$3:$M$10,'Data Validation'!$N$3:$N$10)</f>
        <v>5</v>
      </c>
      <c r="B2141" s="4">
        <v>11</v>
      </c>
      <c r="C2141" s="4" t="s">
        <v>11</v>
      </c>
      <c r="D2141" s="7">
        <v>27.92</v>
      </c>
      <c r="E2141" s="4" t="s">
        <v>24</v>
      </c>
      <c r="F2141" s="4" t="s">
        <v>13</v>
      </c>
      <c r="G2141" s="4" t="s">
        <v>45</v>
      </c>
      <c r="H2141" s="4" t="s">
        <v>52</v>
      </c>
      <c r="I2141" s="5">
        <v>45411</v>
      </c>
      <c r="J2141" s="4">
        <f t="shared" si="33"/>
        <v>18</v>
      </c>
    </row>
    <row r="2142" spans="1:10" x14ac:dyDescent="0.25">
      <c r="A2142" s="4">
        <f>_xlfn.XLOOKUP(E2142,'Data Validation'!$M$3:$M$10,'Data Validation'!$N$3:$N$10)</f>
        <v>5</v>
      </c>
      <c r="B2142" s="4">
        <v>13</v>
      </c>
      <c r="C2142" s="4" t="s">
        <v>11</v>
      </c>
      <c r="D2142" s="7">
        <v>27.92</v>
      </c>
      <c r="E2142" s="4" t="s">
        <v>24</v>
      </c>
      <c r="F2142" s="4" t="s">
        <v>17</v>
      </c>
      <c r="G2142" s="4" t="s">
        <v>45</v>
      </c>
      <c r="H2142" s="4" t="s">
        <v>52</v>
      </c>
      <c r="I2142" s="5">
        <v>45411</v>
      </c>
      <c r="J2142" s="4">
        <f t="shared" si="33"/>
        <v>18</v>
      </c>
    </row>
    <row r="2143" spans="1:10" x14ac:dyDescent="0.25">
      <c r="A2143" s="4">
        <f>_xlfn.XLOOKUP(E2143,'Data Validation'!$M$3:$M$10,'Data Validation'!$N$3:$N$10)</f>
        <v>5</v>
      </c>
      <c r="B2143" s="4">
        <v>13</v>
      </c>
      <c r="C2143" s="4" t="s">
        <v>11</v>
      </c>
      <c r="D2143" s="7">
        <v>27.92</v>
      </c>
      <c r="E2143" s="4" t="s">
        <v>24</v>
      </c>
      <c r="F2143" s="4" t="s">
        <v>17</v>
      </c>
      <c r="G2143" s="4" t="s">
        <v>45</v>
      </c>
      <c r="H2143" s="4" t="s">
        <v>52</v>
      </c>
      <c r="I2143" s="5">
        <v>45411</v>
      </c>
      <c r="J2143" s="4">
        <f t="shared" si="33"/>
        <v>18</v>
      </c>
    </row>
    <row r="2144" spans="1:10" x14ac:dyDescent="0.25">
      <c r="A2144" s="4">
        <f>_xlfn.XLOOKUP(E2144,'Data Validation'!$M$3:$M$10,'Data Validation'!$N$3:$N$10)</f>
        <v>5</v>
      </c>
      <c r="B2144" s="4">
        <v>10</v>
      </c>
      <c r="C2144" s="4" t="s">
        <v>11</v>
      </c>
      <c r="D2144" s="7">
        <v>27.92</v>
      </c>
      <c r="E2144" s="4" t="s">
        <v>24</v>
      </c>
      <c r="F2144" s="4" t="s">
        <v>13</v>
      </c>
      <c r="G2144" s="4" t="s">
        <v>45</v>
      </c>
      <c r="H2144" s="4" t="s">
        <v>32</v>
      </c>
      <c r="I2144" s="5">
        <v>45418</v>
      </c>
      <c r="J2144" s="4">
        <f t="shared" si="33"/>
        <v>18</v>
      </c>
    </row>
    <row r="2145" spans="1:10" x14ac:dyDescent="0.25">
      <c r="A2145" s="4">
        <f>_xlfn.XLOOKUP(E2145,'Data Validation'!$M$3:$M$10,'Data Validation'!$N$3:$N$10)</f>
        <v>5</v>
      </c>
      <c r="B2145" s="4">
        <v>13</v>
      </c>
      <c r="C2145" s="4" t="s">
        <v>11</v>
      </c>
      <c r="D2145" s="7">
        <v>27.92</v>
      </c>
      <c r="E2145" s="4" t="s">
        <v>24</v>
      </c>
      <c r="F2145" s="4" t="s">
        <v>17</v>
      </c>
      <c r="G2145" s="4" t="s">
        <v>45</v>
      </c>
      <c r="H2145" s="4" t="s">
        <v>32</v>
      </c>
      <c r="I2145" s="5">
        <v>45418</v>
      </c>
      <c r="J2145" s="4">
        <f t="shared" si="33"/>
        <v>18</v>
      </c>
    </row>
    <row r="2146" spans="1:10" x14ac:dyDescent="0.25">
      <c r="A2146" s="4">
        <f>_xlfn.XLOOKUP(E2146,'Data Validation'!$M$3:$M$10,'Data Validation'!$N$3:$N$10)</f>
        <v>5</v>
      </c>
      <c r="B2146" s="4">
        <v>11</v>
      </c>
      <c r="C2146" s="4" t="s">
        <v>11</v>
      </c>
      <c r="D2146" s="7">
        <v>27.92</v>
      </c>
      <c r="E2146" s="4" t="s">
        <v>24</v>
      </c>
      <c r="F2146" s="4" t="s">
        <v>13</v>
      </c>
      <c r="G2146" s="4" t="s">
        <v>46</v>
      </c>
      <c r="H2146" s="4" t="s">
        <v>32</v>
      </c>
      <c r="I2146" s="5">
        <v>45419</v>
      </c>
      <c r="J2146" s="4">
        <f t="shared" si="33"/>
        <v>18</v>
      </c>
    </row>
    <row r="2147" spans="1:10" x14ac:dyDescent="0.25">
      <c r="A2147" s="4">
        <f>_xlfn.XLOOKUP(E2147,'Data Validation'!$M$3:$M$10,'Data Validation'!$N$3:$N$10)</f>
        <v>5</v>
      </c>
      <c r="B2147" s="4">
        <v>13</v>
      </c>
      <c r="C2147" s="4" t="s">
        <v>11</v>
      </c>
      <c r="D2147" s="7">
        <v>27.92</v>
      </c>
      <c r="E2147" s="4" t="s">
        <v>24</v>
      </c>
      <c r="F2147" s="4" t="s">
        <v>17</v>
      </c>
      <c r="G2147" s="4" t="s">
        <v>46</v>
      </c>
      <c r="H2147" s="4" t="s">
        <v>32</v>
      </c>
      <c r="I2147" s="5">
        <v>45419</v>
      </c>
      <c r="J2147" s="4">
        <f t="shared" si="33"/>
        <v>18</v>
      </c>
    </row>
    <row r="2148" spans="1:10" x14ac:dyDescent="0.25">
      <c r="A2148" s="4">
        <f>_xlfn.XLOOKUP(E2148,'Data Validation'!$M$3:$M$10,'Data Validation'!$N$3:$N$10)</f>
        <v>5</v>
      </c>
      <c r="B2148" s="4">
        <v>14</v>
      </c>
      <c r="C2148" s="4" t="s">
        <v>11</v>
      </c>
      <c r="D2148" s="7">
        <v>27.92</v>
      </c>
      <c r="E2148" s="4" t="s">
        <v>24</v>
      </c>
      <c r="F2148" s="4" t="s">
        <v>17</v>
      </c>
      <c r="G2148" s="4" t="s">
        <v>47</v>
      </c>
      <c r="H2148" s="4" t="s">
        <v>32</v>
      </c>
      <c r="I2148" s="5">
        <v>45427</v>
      </c>
      <c r="J2148" s="4">
        <f t="shared" si="33"/>
        <v>18</v>
      </c>
    </row>
    <row r="2149" spans="1:10" x14ac:dyDescent="0.25">
      <c r="A2149" s="4">
        <f>_xlfn.XLOOKUP(E2149,'Data Validation'!$M$3:$M$10,'Data Validation'!$N$3:$N$10)</f>
        <v>5</v>
      </c>
      <c r="B2149" s="4">
        <v>14</v>
      </c>
      <c r="C2149" s="4" t="s">
        <v>11</v>
      </c>
      <c r="D2149" s="7">
        <v>27.92</v>
      </c>
      <c r="E2149" s="4" t="s">
        <v>24</v>
      </c>
      <c r="F2149" s="4" t="s">
        <v>17</v>
      </c>
      <c r="G2149" s="4" t="s">
        <v>47</v>
      </c>
      <c r="H2149" s="4" t="s">
        <v>32</v>
      </c>
      <c r="I2149" s="5">
        <v>45427</v>
      </c>
      <c r="J2149" s="4">
        <f t="shared" si="33"/>
        <v>18</v>
      </c>
    </row>
    <row r="2150" spans="1:10" x14ac:dyDescent="0.25">
      <c r="A2150" s="4">
        <f>_xlfn.XLOOKUP(E2150,'Data Validation'!$M$3:$M$10,'Data Validation'!$N$3:$N$10)</f>
        <v>5</v>
      </c>
      <c r="B2150" s="4">
        <v>20</v>
      </c>
      <c r="C2150" s="4" t="s">
        <v>11</v>
      </c>
      <c r="D2150" s="7">
        <v>27.92</v>
      </c>
      <c r="E2150" s="4" t="s">
        <v>24</v>
      </c>
      <c r="F2150" s="4" t="s">
        <v>20</v>
      </c>
      <c r="G2150" s="4" t="s">
        <v>45</v>
      </c>
      <c r="H2150" s="4" t="s">
        <v>32</v>
      </c>
      <c r="I2150" s="5">
        <v>45432</v>
      </c>
      <c r="J2150" s="4">
        <f t="shared" si="33"/>
        <v>18</v>
      </c>
    </row>
    <row r="2151" spans="1:10" x14ac:dyDescent="0.25">
      <c r="A2151" s="4">
        <f>_xlfn.XLOOKUP(E2151,'Data Validation'!$M$3:$M$10,'Data Validation'!$N$3:$N$10)</f>
        <v>5</v>
      </c>
      <c r="B2151" s="4">
        <v>11</v>
      </c>
      <c r="C2151" s="4" t="s">
        <v>11</v>
      </c>
      <c r="D2151" s="7">
        <v>27.92</v>
      </c>
      <c r="E2151" s="4" t="s">
        <v>24</v>
      </c>
      <c r="F2151" s="4" t="s">
        <v>13</v>
      </c>
      <c r="G2151" s="4" t="s">
        <v>47</v>
      </c>
      <c r="H2151" s="4" t="s">
        <v>32</v>
      </c>
      <c r="I2151" s="5">
        <v>45434</v>
      </c>
      <c r="J2151" s="4">
        <f t="shared" si="33"/>
        <v>18</v>
      </c>
    </row>
    <row r="2152" spans="1:10" x14ac:dyDescent="0.25">
      <c r="A2152" s="4">
        <f>_xlfn.XLOOKUP(E2152,'Data Validation'!$M$3:$M$10,'Data Validation'!$N$3:$N$10)</f>
        <v>5</v>
      </c>
      <c r="B2152" s="4">
        <v>19</v>
      </c>
      <c r="C2152" s="4" t="s">
        <v>11</v>
      </c>
      <c r="D2152" s="7">
        <v>27.92</v>
      </c>
      <c r="E2152" s="4" t="s">
        <v>24</v>
      </c>
      <c r="F2152" s="4" t="s">
        <v>20</v>
      </c>
      <c r="G2152" s="4" t="s">
        <v>48</v>
      </c>
      <c r="H2152" s="4" t="s">
        <v>32</v>
      </c>
      <c r="I2152" s="5">
        <v>45435</v>
      </c>
      <c r="J2152" s="4">
        <f t="shared" si="33"/>
        <v>18</v>
      </c>
    </row>
    <row r="2153" spans="1:10" x14ac:dyDescent="0.25">
      <c r="A2153" s="4">
        <f>_xlfn.XLOOKUP(E2153,'Data Validation'!$M$3:$M$10,'Data Validation'!$N$3:$N$10)</f>
        <v>5</v>
      </c>
      <c r="B2153" s="4">
        <v>11</v>
      </c>
      <c r="C2153" s="4" t="s">
        <v>11</v>
      </c>
      <c r="D2153" s="7">
        <v>27.92</v>
      </c>
      <c r="E2153" s="4" t="s">
        <v>24</v>
      </c>
      <c r="F2153" s="4" t="s">
        <v>13</v>
      </c>
      <c r="G2153" s="4" t="s">
        <v>49</v>
      </c>
      <c r="H2153" s="4" t="s">
        <v>32</v>
      </c>
      <c r="I2153" s="5">
        <v>45436</v>
      </c>
      <c r="J2153" s="4">
        <f t="shared" si="33"/>
        <v>18</v>
      </c>
    </row>
    <row r="2154" spans="1:10" x14ac:dyDescent="0.25">
      <c r="A2154" s="4">
        <f>_xlfn.XLOOKUP(E2154,'Data Validation'!$M$3:$M$10,'Data Validation'!$N$3:$N$10)</f>
        <v>5</v>
      </c>
      <c r="B2154" s="4">
        <v>18</v>
      </c>
      <c r="C2154" s="4" t="s">
        <v>11</v>
      </c>
      <c r="D2154" s="7">
        <v>27.92</v>
      </c>
      <c r="E2154" s="4" t="s">
        <v>24</v>
      </c>
      <c r="F2154" s="4" t="s">
        <v>20</v>
      </c>
      <c r="G2154" s="4" t="s">
        <v>49</v>
      </c>
      <c r="H2154" s="4" t="s">
        <v>32</v>
      </c>
      <c r="I2154" s="5">
        <v>45436</v>
      </c>
      <c r="J2154" s="4">
        <f t="shared" si="33"/>
        <v>18</v>
      </c>
    </row>
    <row r="2155" spans="1:10" x14ac:dyDescent="0.25">
      <c r="A2155" s="4">
        <f>_xlfn.XLOOKUP(E2155,'Data Validation'!$M$3:$M$10,'Data Validation'!$N$3:$N$10)</f>
        <v>5</v>
      </c>
      <c r="B2155" s="4">
        <v>18</v>
      </c>
      <c r="C2155" s="4" t="s">
        <v>11</v>
      </c>
      <c r="D2155" s="7">
        <v>27.92</v>
      </c>
      <c r="E2155" s="4" t="s">
        <v>24</v>
      </c>
      <c r="F2155" s="4" t="s">
        <v>20</v>
      </c>
      <c r="G2155" s="4" t="s">
        <v>49</v>
      </c>
      <c r="H2155" s="4" t="s">
        <v>32</v>
      </c>
      <c r="I2155" s="5">
        <v>45436</v>
      </c>
      <c r="J2155" s="4">
        <f t="shared" si="33"/>
        <v>18</v>
      </c>
    </row>
    <row r="2156" spans="1:10" x14ac:dyDescent="0.25">
      <c r="A2156" s="4">
        <f>_xlfn.XLOOKUP(E2156,'Data Validation'!$M$3:$M$10,'Data Validation'!$N$3:$N$10)</f>
        <v>5</v>
      </c>
      <c r="B2156" s="4">
        <v>14</v>
      </c>
      <c r="C2156" s="4" t="s">
        <v>11</v>
      </c>
      <c r="D2156" s="7">
        <v>27.92</v>
      </c>
      <c r="E2156" s="4" t="s">
        <v>24</v>
      </c>
      <c r="F2156" s="4" t="s">
        <v>17</v>
      </c>
      <c r="G2156" s="4" t="s">
        <v>51</v>
      </c>
      <c r="H2156" s="4" t="s">
        <v>32</v>
      </c>
      <c r="I2156" s="5">
        <v>45438</v>
      </c>
      <c r="J2156" s="4">
        <f t="shared" si="33"/>
        <v>18</v>
      </c>
    </row>
    <row r="2157" spans="1:10" x14ac:dyDescent="0.25">
      <c r="A2157" s="4">
        <f>_xlfn.XLOOKUP(E2157,'Data Validation'!$M$3:$M$10,'Data Validation'!$N$3:$N$10)</f>
        <v>5</v>
      </c>
      <c r="B2157" s="4">
        <v>21</v>
      </c>
      <c r="C2157" s="4" t="s">
        <v>11</v>
      </c>
      <c r="D2157" s="7">
        <v>27.92</v>
      </c>
      <c r="E2157" s="4" t="s">
        <v>24</v>
      </c>
      <c r="F2157" s="4" t="s">
        <v>20</v>
      </c>
      <c r="G2157" s="4" t="s">
        <v>51</v>
      </c>
      <c r="H2157" s="4" t="s">
        <v>32</v>
      </c>
      <c r="I2157" s="5">
        <v>45438</v>
      </c>
      <c r="J2157" s="4">
        <f t="shared" si="33"/>
        <v>18</v>
      </c>
    </row>
    <row r="2158" spans="1:10" x14ac:dyDescent="0.25">
      <c r="A2158" s="4">
        <f>_xlfn.XLOOKUP(E2158,'Data Validation'!$M$3:$M$10,'Data Validation'!$N$3:$N$10)</f>
        <v>5</v>
      </c>
      <c r="B2158" s="4">
        <v>16</v>
      </c>
      <c r="C2158" s="4" t="s">
        <v>11</v>
      </c>
      <c r="D2158" s="7">
        <v>27.92</v>
      </c>
      <c r="E2158" s="4" t="s">
        <v>24</v>
      </c>
      <c r="F2158" s="4" t="s">
        <v>17</v>
      </c>
      <c r="G2158" s="4" t="s">
        <v>46</v>
      </c>
      <c r="H2158" s="4" t="s">
        <v>32</v>
      </c>
      <c r="I2158" s="5">
        <v>45440</v>
      </c>
      <c r="J2158" s="4">
        <f t="shared" si="33"/>
        <v>18</v>
      </c>
    </row>
    <row r="2159" spans="1:10" x14ac:dyDescent="0.25">
      <c r="A2159" s="4">
        <f>_xlfn.XLOOKUP(E2159,'Data Validation'!$M$3:$M$10,'Data Validation'!$N$3:$N$10)</f>
        <v>5</v>
      </c>
      <c r="B2159" s="4">
        <v>18</v>
      </c>
      <c r="C2159" s="4" t="s">
        <v>11</v>
      </c>
      <c r="D2159" s="7">
        <v>27.92</v>
      </c>
      <c r="E2159" s="4" t="s">
        <v>24</v>
      </c>
      <c r="F2159" s="4" t="s">
        <v>20</v>
      </c>
      <c r="G2159" s="4" t="s">
        <v>47</v>
      </c>
      <c r="H2159" s="4" t="s">
        <v>32</v>
      </c>
      <c r="I2159" s="5">
        <v>45441</v>
      </c>
      <c r="J2159" s="4">
        <f t="shared" si="33"/>
        <v>18</v>
      </c>
    </row>
    <row r="2160" spans="1:10" x14ac:dyDescent="0.25">
      <c r="A2160" s="4">
        <f>_xlfn.XLOOKUP(E2160,'Data Validation'!$M$3:$M$10,'Data Validation'!$N$3:$N$10)</f>
        <v>5</v>
      </c>
      <c r="B2160" s="4">
        <v>22</v>
      </c>
      <c r="C2160" s="4" t="s">
        <v>11</v>
      </c>
      <c r="D2160" s="7">
        <v>27.92</v>
      </c>
      <c r="E2160" s="4" t="s">
        <v>24</v>
      </c>
      <c r="F2160" s="4" t="s">
        <v>20</v>
      </c>
      <c r="G2160" s="4" t="s">
        <v>49</v>
      </c>
      <c r="H2160" s="4" t="s">
        <v>32</v>
      </c>
      <c r="I2160" s="5">
        <v>45443</v>
      </c>
      <c r="J2160" s="4">
        <f t="shared" si="33"/>
        <v>18</v>
      </c>
    </row>
    <row r="2161" spans="1:10" x14ac:dyDescent="0.25">
      <c r="A2161" s="4">
        <f>_xlfn.XLOOKUP(E2161,'Data Validation'!$M$3:$M$10,'Data Validation'!$N$3:$N$10)</f>
        <v>5</v>
      </c>
      <c r="B2161" s="4">
        <v>8</v>
      </c>
      <c r="C2161" s="4" t="s">
        <v>11</v>
      </c>
      <c r="D2161" s="7">
        <v>27.92</v>
      </c>
      <c r="E2161" s="4" t="s">
        <v>24</v>
      </c>
      <c r="F2161" s="4" t="s">
        <v>13</v>
      </c>
      <c r="G2161" s="4" t="s">
        <v>50</v>
      </c>
      <c r="H2161" s="4" t="s">
        <v>53</v>
      </c>
      <c r="I2161" s="5">
        <v>45444</v>
      </c>
      <c r="J2161" s="4">
        <f t="shared" si="33"/>
        <v>18</v>
      </c>
    </row>
    <row r="2162" spans="1:10" x14ac:dyDescent="0.25">
      <c r="A2162" s="4">
        <f>_xlfn.XLOOKUP(E2162,'Data Validation'!$M$3:$M$10,'Data Validation'!$N$3:$N$10)</f>
        <v>5</v>
      </c>
      <c r="B2162" s="4">
        <v>9</v>
      </c>
      <c r="C2162" s="4" t="s">
        <v>11</v>
      </c>
      <c r="D2162" s="7">
        <v>27.92</v>
      </c>
      <c r="E2162" s="4" t="s">
        <v>24</v>
      </c>
      <c r="F2162" s="4" t="s">
        <v>13</v>
      </c>
      <c r="G2162" s="4" t="s">
        <v>46</v>
      </c>
      <c r="H2162" s="4" t="s">
        <v>53</v>
      </c>
      <c r="I2162" s="5">
        <v>45447</v>
      </c>
      <c r="J2162" s="4">
        <f t="shared" si="33"/>
        <v>18</v>
      </c>
    </row>
    <row r="2163" spans="1:10" x14ac:dyDescent="0.25">
      <c r="A2163" s="4">
        <f>_xlfn.XLOOKUP(E2163,'Data Validation'!$M$3:$M$10,'Data Validation'!$N$3:$N$10)</f>
        <v>5</v>
      </c>
      <c r="B2163" s="4">
        <v>17</v>
      </c>
      <c r="C2163" s="4" t="s">
        <v>11</v>
      </c>
      <c r="D2163" s="7">
        <v>27.92</v>
      </c>
      <c r="E2163" s="4" t="s">
        <v>24</v>
      </c>
      <c r="F2163" s="4" t="s">
        <v>20</v>
      </c>
      <c r="G2163" s="4" t="s">
        <v>46</v>
      </c>
      <c r="H2163" s="4" t="s">
        <v>53</v>
      </c>
      <c r="I2163" s="5">
        <v>45447</v>
      </c>
      <c r="J2163" s="4">
        <f t="shared" si="33"/>
        <v>18</v>
      </c>
    </row>
    <row r="2164" spans="1:10" x14ac:dyDescent="0.25">
      <c r="A2164" s="4">
        <f>_xlfn.XLOOKUP(E2164,'Data Validation'!$M$3:$M$10,'Data Validation'!$N$3:$N$10)</f>
        <v>5</v>
      </c>
      <c r="B2164" s="4">
        <v>21</v>
      </c>
      <c r="C2164" s="4" t="s">
        <v>11</v>
      </c>
      <c r="D2164" s="7">
        <v>27.92</v>
      </c>
      <c r="E2164" s="4" t="s">
        <v>24</v>
      </c>
      <c r="F2164" s="4" t="s">
        <v>20</v>
      </c>
      <c r="G2164" s="4" t="s">
        <v>46</v>
      </c>
      <c r="H2164" s="4" t="s">
        <v>53</v>
      </c>
      <c r="I2164" s="5">
        <v>45447</v>
      </c>
      <c r="J2164" s="4">
        <f t="shared" si="33"/>
        <v>18</v>
      </c>
    </row>
    <row r="2165" spans="1:10" x14ac:dyDescent="0.25">
      <c r="A2165" s="4">
        <f>_xlfn.XLOOKUP(E2165,'Data Validation'!$M$3:$M$10,'Data Validation'!$N$3:$N$10)</f>
        <v>5</v>
      </c>
      <c r="B2165" s="4">
        <v>20</v>
      </c>
      <c r="C2165" s="4" t="s">
        <v>11</v>
      </c>
      <c r="D2165" s="7">
        <v>27.92</v>
      </c>
      <c r="E2165" s="4" t="s">
        <v>24</v>
      </c>
      <c r="F2165" s="4" t="s">
        <v>20</v>
      </c>
      <c r="G2165" s="4" t="s">
        <v>47</v>
      </c>
      <c r="H2165" s="4" t="s">
        <v>53</v>
      </c>
      <c r="I2165" s="5">
        <v>45448</v>
      </c>
      <c r="J2165" s="4">
        <f t="shared" si="33"/>
        <v>18</v>
      </c>
    </row>
    <row r="2166" spans="1:10" x14ac:dyDescent="0.25">
      <c r="A2166" s="4">
        <f>_xlfn.XLOOKUP(E2166,'Data Validation'!$M$3:$M$10,'Data Validation'!$N$3:$N$10)</f>
        <v>5</v>
      </c>
      <c r="B2166" s="4">
        <v>16</v>
      </c>
      <c r="C2166" s="4" t="s">
        <v>11</v>
      </c>
      <c r="D2166" s="7">
        <v>27.92</v>
      </c>
      <c r="E2166" s="4" t="s">
        <v>24</v>
      </c>
      <c r="F2166" s="4" t="s">
        <v>17</v>
      </c>
      <c r="G2166" s="4" t="s">
        <v>49</v>
      </c>
      <c r="H2166" s="4" t="s">
        <v>53</v>
      </c>
      <c r="I2166" s="5">
        <v>45450</v>
      </c>
      <c r="J2166" s="4">
        <f t="shared" si="33"/>
        <v>18</v>
      </c>
    </row>
    <row r="2167" spans="1:10" x14ac:dyDescent="0.25">
      <c r="A2167" s="4">
        <f>_xlfn.XLOOKUP(E2167,'Data Validation'!$M$3:$M$10,'Data Validation'!$N$3:$N$10)</f>
        <v>5</v>
      </c>
      <c r="B2167" s="4">
        <v>16</v>
      </c>
      <c r="C2167" s="4" t="s">
        <v>11</v>
      </c>
      <c r="D2167" s="7">
        <v>27.92</v>
      </c>
      <c r="E2167" s="4" t="s">
        <v>24</v>
      </c>
      <c r="F2167" s="4" t="s">
        <v>17</v>
      </c>
      <c r="G2167" s="4" t="s">
        <v>49</v>
      </c>
      <c r="H2167" s="4" t="s">
        <v>53</v>
      </c>
      <c r="I2167" s="5">
        <v>45450</v>
      </c>
      <c r="J2167" s="4">
        <f t="shared" si="33"/>
        <v>18</v>
      </c>
    </row>
    <row r="2168" spans="1:10" x14ac:dyDescent="0.25">
      <c r="A2168" s="4">
        <f>_xlfn.XLOOKUP(E2168,'Data Validation'!$M$3:$M$10,'Data Validation'!$N$3:$N$10)</f>
        <v>5</v>
      </c>
      <c r="B2168" s="4">
        <v>9</v>
      </c>
      <c r="C2168" s="4" t="s">
        <v>11</v>
      </c>
      <c r="D2168" s="7">
        <v>27.92</v>
      </c>
      <c r="E2168" s="4" t="s">
        <v>24</v>
      </c>
      <c r="F2168" s="4" t="s">
        <v>13</v>
      </c>
      <c r="G2168" s="4" t="s">
        <v>50</v>
      </c>
      <c r="H2168" s="4" t="s">
        <v>53</v>
      </c>
      <c r="I2168" s="5">
        <v>45451</v>
      </c>
      <c r="J2168" s="4">
        <f t="shared" si="33"/>
        <v>18</v>
      </c>
    </row>
    <row r="2169" spans="1:10" x14ac:dyDescent="0.25">
      <c r="A2169" s="4">
        <f>_xlfn.XLOOKUP(E2169,'Data Validation'!$M$3:$M$10,'Data Validation'!$N$3:$N$10)</f>
        <v>5</v>
      </c>
      <c r="B2169" s="4">
        <v>11</v>
      </c>
      <c r="C2169" s="4" t="s">
        <v>11</v>
      </c>
      <c r="D2169" s="7">
        <v>27.92</v>
      </c>
      <c r="E2169" s="4" t="s">
        <v>24</v>
      </c>
      <c r="F2169" s="4" t="s">
        <v>13</v>
      </c>
      <c r="G2169" s="4" t="s">
        <v>51</v>
      </c>
      <c r="H2169" s="4" t="s">
        <v>53</v>
      </c>
      <c r="I2169" s="5">
        <v>45452</v>
      </c>
      <c r="J2169" s="4">
        <f t="shared" si="33"/>
        <v>18</v>
      </c>
    </row>
    <row r="2170" spans="1:10" x14ac:dyDescent="0.25">
      <c r="A2170" s="4">
        <f>_xlfn.XLOOKUP(E2170,'Data Validation'!$M$3:$M$10,'Data Validation'!$N$3:$N$10)</f>
        <v>5</v>
      </c>
      <c r="B2170" s="4">
        <v>15</v>
      </c>
      <c r="C2170" s="4" t="s">
        <v>11</v>
      </c>
      <c r="D2170" s="7">
        <v>27.92</v>
      </c>
      <c r="E2170" s="4" t="s">
        <v>24</v>
      </c>
      <c r="F2170" s="4" t="s">
        <v>17</v>
      </c>
      <c r="G2170" s="4" t="s">
        <v>51</v>
      </c>
      <c r="H2170" s="4" t="s">
        <v>53</v>
      </c>
      <c r="I2170" s="5">
        <v>45452</v>
      </c>
      <c r="J2170" s="4">
        <f t="shared" si="33"/>
        <v>18</v>
      </c>
    </row>
    <row r="2171" spans="1:10" x14ac:dyDescent="0.25">
      <c r="A2171" s="4">
        <f>_xlfn.XLOOKUP(E2171,'Data Validation'!$M$3:$M$10,'Data Validation'!$N$3:$N$10)</f>
        <v>5</v>
      </c>
      <c r="B2171" s="4">
        <v>9</v>
      </c>
      <c r="C2171" s="4" t="s">
        <v>11</v>
      </c>
      <c r="D2171" s="7">
        <v>27.92</v>
      </c>
      <c r="E2171" s="4" t="s">
        <v>24</v>
      </c>
      <c r="F2171" s="4" t="s">
        <v>13</v>
      </c>
      <c r="G2171" s="4" t="s">
        <v>48</v>
      </c>
      <c r="H2171" s="4" t="s">
        <v>53</v>
      </c>
      <c r="I2171" s="5">
        <v>45456</v>
      </c>
      <c r="J2171" s="4">
        <f t="shared" si="33"/>
        <v>18</v>
      </c>
    </row>
    <row r="2172" spans="1:10" x14ac:dyDescent="0.25">
      <c r="A2172" s="4">
        <f>_xlfn.XLOOKUP(E2172,'Data Validation'!$M$3:$M$10,'Data Validation'!$N$3:$N$10)</f>
        <v>5</v>
      </c>
      <c r="B2172" s="4">
        <v>7</v>
      </c>
      <c r="C2172" s="4" t="s">
        <v>11</v>
      </c>
      <c r="D2172" s="7">
        <v>27.92</v>
      </c>
      <c r="E2172" s="4" t="s">
        <v>24</v>
      </c>
      <c r="F2172" s="4" t="s">
        <v>13</v>
      </c>
      <c r="G2172" s="4" t="s">
        <v>49</v>
      </c>
      <c r="H2172" s="4" t="s">
        <v>53</v>
      </c>
      <c r="I2172" s="5">
        <v>45457</v>
      </c>
      <c r="J2172" s="4">
        <f t="shared" si="33"/>
        <v>18</v>
      </c>
    </row>
    <row r="2173" spans="1:10" x14ac:dyDescent="0.25">
      <c r="A2173" s="4">
        <f>_xlfn.XLOOKUP(E2173,'Data Validation'!$M$3:$M$10,'Data Validation'!$N$3:$N$10)</f>
        <v>5</v>
      </c>
      <c r="B2173" s="4">
        <v>10</v>
      </c>
      <c r="C2173" s="4" t="s">
        <v>11</v>
      </c>
      <c r="D2173" s="7">
        <v>27.92</v>
      </c>
      <c r="E2173" s="4" t="s">
        <v>24</v>
      </c>
      <c r="F2173" s="4" t="s">
        <v>13</v>
      </c>
      <c r="G2173" s="4" t="s">
        <v>45</v>
      </c>
      <c r="H2173" s="4" t="s">
        <v>53</v>
      </c>
      <c r="I2173" s="5">
        <v>45460</v>
      </c>
      <c r="J2173" s="4">
        <f t="shared" si="33"/>
        <v>18</v>
      </c>
    </row>
    <row r="2174" spans="1:10" x14ac:dyDescent="0.25">
      <c r="A2174" s="4">
        <f>_xlfn.XLOOKUP(E2174,'Data Validation'!$M$3:$M$10,'Data Validation'!$N$3:$N$10)</f>
        <v>5</v>
      </c>
      <c r="B2174" s="4">
        <v>10</v>
      </c>
      <c r="C2174" s="4" t="s">
        <v>11</v>
      </c>
      <c r="D2174" s="7">
        <v>27.92</v>
      </c>
      <c r="E2174" s="4" t="s">
        <v>24</v>
      </c>
      <c r="F2174" s="4" t="s">
        <v>13</v>
      </c>
      <c r="G2174" s="4" t="s">
        <v>45</v>
      </c>
      <c r="H2174" s="4" t="s">
        <v>53</v>
      </c>
      <c r="I2174" s="5">
        <v>45460</v>
      </c>
      <c r="J2174" s="4">
        <f t="shared" si="33"/>
        <v>18</v>
      </c>
    </row>
    <row r="2175" spans="1:10" x14ac:dyDescent="0.25">
      <c r="A2175" s="4">
        <f>_xlfn.XLOOKUP(E2175,'Data Validation'!$M$3:$M$10,'Data Validation'!$N$3:$N$10)</f>
        <v>5</v>
      </c>
      <c r="B2175" s="4">
        <v>20</v>
      </c>
      <c r="C2175" s="4" t="s">
        <v>11</v>
      </c>
      <c r="D2175" s="7">
        <v>27.92</v>
      </c>
      <c r="E2175" s="4" t="s">
        <v>24</v>
      </c>
      <c r="F2175" s="4" t="s">
        <v>20</v>
      </c>
      <c r="G2175" s="4" t="s">
        <v>46</v>
      </c>
      <c r="H2175" s="4" t="s">
        <v>53</v>
      </c>
      <c r="I2175" s="5">
        <v>45461</v>
      </c>
      <c r="J2175" s="4">
        <f t="shared" si="33"/>
        <v>18</v>
      </c>
    </row>
    <row r="2176" spans="1:10" x14ac:dyDescent="0.25">
      <c r="A2176" s="4">
        <f>_xlfn.XLOOKUP(E2176,'Data Validation'!$M$3:$M$10,'Data Validation'!$N$3:$N$10)</f>
        <v>5</v>
      </c>
      <c r="B2176" s="4">
        <v>8</v>
      </c>
      <c r="C2176" s="4" t="s">
        <v>11</v>
      </c>
      <c r="D2176" s="7">
        <v>27.92</v>
      </c>
      <c r="E2176" s="4" t="s">
        <v>24</v>
      </c>
      <c r="F2176" s="4" t="s">
        <v>13</v>
      </c>
      <c r="G2176" s="4" t="s">
        <v>47</v>
      </c>
      <c r="H2176" s="4" t="s">
        <v>53</v>
      </c>
      <c r="I2176" s="5">
        <v>45462</v>
      </c>
      <c r="J2176" s="4">
        <f t="shared" si="33"/>
        <v>18</v>
      </c>
    </row>
    <row r="2177" spans="1:10" x14ac:dyDescent="0.25">
      <c r="A2177" s="4">
        <f>_xlfn.XLOOKUP(E2177,'Data Validation'!$M$3:$M$10,'Data Validation'!$N$3:$N$10)</f>
        <v>5</v>
      </c>
      <c r="B2177" s="4">
        <v>8</v>
      </c>
      <c r="C2177" s="4" t="s">
        <v>11</v>
      </c>
      <c r="D2177" s="7">
        <v>27.92</v>
      </c>
      <c r="E2177" s="4" t="s">
        <v>24</v>
      </c>
      <c r="F2177" s="4" t="s">
        <v>13</v>
      </c>
      <c r="G2177" s="4" t="s">
        <v>50</v>
      </c>
      <c r="H2177" s="4" t="s">
        <v>53</v>
      </c>
      <c r="I2177" s="5">
        <v>45465</v>
      </c>
      <c r="J2177" s="4">
        <f t="shared" si="33"/>
        <v>18</v>
      </c>
    </row>
    <row r="2178" spans="1:10" x14ac:dyDescent="0.25">
      <c r="A2178" s="4">
        <f>_xlfn.XLOOKUP(E2178,'Data Validation'!$M$3:$M$10,'Data Validation'!$N$3:$N$10)</f>
        <v>5</v>
      </c>
      <c r="B2178" s="4">
        <v>16</v>
      </c>
      <c r="C2178" s="4" t="s">
        <v>11</v>
      </c>
      <c r="D2178" s="7">
        <v>27.92</v>
      </c>
      <c r="E2178" s="4" t="s">
        <v>24</v>
      </c>
      <c r="F2178" s="4" t="s">
        <v>17</v>
      </c>
      <c r="G2178" s="4" t="s">
        <v>48</v>
      </c>
      <c r="H2178" s="4" t="s">
        <v>53</v>
      </c>
      <c r="I2178" s="5">
        <v>45470</v>
      </c>
      <c r="J2178" s="4">
        <f t="shared" si="33"/>
        <v>18</v>
      </c>
    </row>
    <row r="2179" spans="1:10" x14ac:dyDescent="0.25">
      <c r="A2179" s="4">
        <f>_xlfn.XLOOKUP(E2179,'Data Validation'!$M$3:$M$10,'Data Validation'!$N$3:$N$10)</f>
        <v>5</v>
      </c>
      <c r="B2179" s="4">
        <v>8</v>
      </c>
      <c r="C2179" s="4" t="s">
        <v>11</v>
      </c>
      <c r="D2179" s="7">
        <v>27.92</v>
      </c>
      <c r="E2179" s="4" t="s">
        <v>24</v>
      </c>
      <c r="F2179" s="4" t="s">
        <v>13</v>
      </c>
      <c r="G2179" s="4" t="s">
        <v>49</v>
      </c>
      <c r="H2179" s="4" t="s">
        <v>53</v>
      </c>
      <c r="I2179" s="5">
        <v>45471</v>
      </c>
      <c r="J2179" s="4">
        <f t="shared" ref="J2179:J2242" si="34">IF(OR(E2179&lt;&gt;E2178,D2179&lt;&gt;D2178),J2178+1,J2178)</f>
        <v>18</v>
      </c>
    </row>
    <row r="2180" spans="1:10" x14ac:dyDescent="0.25">
      <c r="A2180" s="4">
        <f>_xlfn.XLOOKUP(E2180,'Data Validation'!$M$3:$M$10,'Data Validation'!$N$3:$N$10)</f>
        <v>5</v>
      </c>
      <c r="B2180" s="4">
        <v>8</v>
      </c>
      <c r="C2180" s="4" t="s">
        <v>11</v>
      </c>
      <c r="D2180" s="7">
        <v>23.02</v>
      </c>
      <c r="E2180" s="4" t="s">
        <v>24</v>
      </c>
      <c r="F2180" s="4" t="s">
        <v>13</v>
      </c>
      <c r="G2180" s="4" t="s">
        <v>49</v>
      </c>
      <c r="H2180" s="4" t="s">
        <v>54</v>
      </c>
      <c r="I2180" s="5">
        <v>45485</v>
      </c>
      <c r="J2180" s="4">
        <f t="shared" si="34"/>
        <v>19</v>
      </c>
    </row>
    <row r="2181" spans="1:10" x14ac:dyDescent="0.25">
      <c r="A2181" s="4">
        <f>_xlfn.XLOOKUP(E2181,'Data Validation'!$M$3:$M$10,'Data Validation'!$N$3:$N$10)</f>
        <v>5</v>
      </c>
      <c r="B2181" s="4">
        <v>11</v>
      </c>
      <c r="C2181" s="4" t="s">
        <v>11</v>
      </c>
      <c r="D2181" s="7">
        <v>23.02</v>
      </c>
      <c r="E2181" s="4" t="s">
        <v>24</v>
      </c>
      <c r="F2181" s="4" t="s">
        <v>13</v>
      </c>
      <c r="G2181" s="4" t="s">
        <v>48</v>
      </c>
      <c r="H2181" s="4" t="s">
        <v>54</v>
      </c>
      <c r="I2181" s="5">
        <v>45491</v>
      </c>
      <c r="J2181" s="4">
        <f t="shared" si="34"/>
        <v>19</v>
      </c>
    </row>
    <row r="2182" spans="1:10" x14ac:dyDescent="0.25">
      <c r="A2182" s="4">
        <f>_xlfn.XLOOKUP(E2182,'Data Validation'!$M$3:$M$10,'Data Validation'!$N$3:$N$10)</f>
        <v>5</v>
      </c>
      <c r="B2182" s="4">
        <v>13</v>
      </c>
      <c r="C2182" s="4" t="s">
        <v>11</v>
      </c>
      <c r="D2182" s="7">
        <v>23.02</v>
      </c>
      <c r="E2182" s="4" t="s">
        <v>24</v>
      </c>
      <c r="F2182" s="4" t="s">
        <v>17</v>
      </c>
      <c r="G2182" s="4" t="s">
        <v>51</v>
      </c>
      <c r="H2182" s="4" t="s">
        <v>54</v>
      </c>
      <c r="I2182" s="5">
        <v>45494</v>
      </c>
      <c r="J2182" s="4">
        <f t="shared" si="34"/>
        <v>19</v>
      </c>
    </row>
    <row r="2183" spans="1:10" x14ac:dyDescent="0.25">
      <c r="A2183" s="4">
        <f>_xlfn.XLOOKUP(E2183,'Data Validation'!$M$3:$M$10,'Data Validation'!$N$3:$N$10)</f>
        <v>5</v>
      </c>
      <c r="B2183" s="4">
        <v>21</v>
      </c>
      <c r="C2183" s="4" t="s">
        <v>11</v>
      </c>
      <c r="D2183" s="7">
        <v>23.02</v>
      </c>
      <c r="E2183" s="4" t="s">
        <v>24</v>
      </c>
      <c r="F2183" s="4" t="s">
        <v>20</v>
      </c>
      <c r="G2183" s="4" t="s">
        <v>48</v>
      </c>
      <c r="H2183" s="4" t="s">
        <v>54</v>
      </c>
      <c r="I2183" s="5">
        <v>45498</v>
      </c>
      <c r="J2183" s="4">
        <f t="shared" si="34"/>
        <v>19</v>
      </c>
    </row>
    <row r="2184" spans="1:10" x14ac:dyDescent="0.25">
      <c r="A2184" s="4">
        <f>_xlfn.XLOOKUP(E2184,'Data Validation'!$M$3:$M$10,'Data Validation'!$N$3:$N$10)</f>
        <v>5</v>
      </c>
      <c r="B2184" s="4">
        <v>22</v>
      </c>
      <c r="C2184" s="4" t="s">
        <v>11</v>
      </c>
      <c r="D2184" s="7">
        <v>23.02</v>
      </c>
      <c r="E2184" s="4" t="s">
        <v>24</v>
      </c>
      <c r="F2184" s="4" t="s">
        <v>20</v>
      </c>
      <c r="G2184" s="4" t="s">
        <v>48</v>
      </c>
      <c r="H2184" s="4" t="s">
        <v>54</v>
      </c>
      <c r="I2184" s="5">
        <v>45498</v>
      </c>
      <c r="J2184" s="4">
        <f t="shared" si="34"/>
        <v>19</v>
      </c>
    </row>
    <row r="2185" spans="1:10" x14ac:dyDescent="0.25">
      <c r="A2185" s="4">
        <f>_xlfn.XLOOKUP(E2185,'Data Validation'!$M$3:$M$10,'Data Validation'!$N$3:$N$10)</f>
        <v>5</v>
      </c>
      <c r="B2185" s="4">
        <v>9</v>
      </c>
      <c r="C2185" s="4" t="s">
        <v>11</v>
      </c>
      <c r="D2185" s="7">
        <v>23.02</v>
      </c>
      <c r="E2185" s="4" t="s">
        <v>24</v>
      </c>
      <c r="F2185" s="4" t="s">
        <v>13</v>
      </c>
      <c r="G2185" s="4" t="s">
        <v>49</v>
      </c>
      <c r="H2185" s="4" t="s">
        <v>54</v>
      </c>
      <c r="I2185" s="5">
        <v>45499</v>
      </c>
      <c r="J2185" s="4">
        <f t="shared" si="34"/>
        <v>19</v>
      </c>
    </row>
    <row r="2186" spans="1:10" x14ac:dyDescent="0.25">
      <c r="A2186" s="4">
        <f>_xlfn.XLOOKUP(E2186,'Data Validation'!$M$3:$M$10,'Data Validation'!$N$3:$N$10)</f>
        <v>5</v>
      </c>
      <c r="B2186" s="4">
        <v>9</v>
      </c>
      <c r="C2186" s="4" t="s">
        <v>11</v>
      </c>
      <c r="D2186" s="7">
        <v>23.02</v>
      </c>
      <c r="E2186" s="4" t="s">
        <v>24</v>
      </c>
      <c r="F2186" s="4" t="s">
        <v>13</v>
      </c>
      <c r="G2186" s="4" t="s">
        <v>49</v>
      </c>
      <c r="H2186" s="4" t="s">
        <v>54</v>
      </c>
      <c r="I2186" s="5">
        <v>45499</v>
      </c>
      <c r="J2186" s="4">
        <f t="shared" si="34"/>
        <v>19</v>
      </c>
    </row>
    <row r="2187" spans="1:10" x14ac:dyDescent="0.25">
      <c r="A2187" s="4">
        <f>_xlfn.XLOOKUP(E2187,'Data Validation'!$M$3:$M$10,'Data Validation'!$N$3:$N$10)</f>
        <v>5</v>
      </c>
      <c r="B2187" s="4">
        <v>8</v>
      </c>
      <c r="C2187" s="4" t="s">
        <v>11</v>
      </c>
      <c r="D2187" s="7">
        <v>23.02</v>
      </c>
      <c r="E2187" s="4" t="s">
        <v>24</v>
      </c>
      <c r="F2187" s="4" t="s">
        <v>13</v>
      </c>
      <c r="G2187" s="4" t="s">
        <v>46</v>
      </c>
      <c r="H2187" s="4" t="s">
        <v>54</v>
      </c>
      <c r="I2187" s="5">
        <v>45503</v>
      </c>
      <c r="J2187" s="4">
        <f t="shared" si="34"/>
        <v>19</v>
      </c>
    </row>
    <row r="2188" spans="1:10" x14ac:dyDescent="0.25">
      <c r="A2188" s="4">
        <f>_xlfn.XLOOKUP(E2188,'Data Validation'!$M$3:$M$10,'Data Validation'!$N$3:$N$10)</f>
        <v>5</v>
      </c>
      <c r="B2188" s="4">
        <v>10</v>
      </c>
      <c r="C2188" s="4" t="s">
        <v>11</v>
      </c>
      <c r="D2188" s="7">
        <v>23.02</v>
      </c>
      <c r="E2188" s="4" t="s">
        <v>24</v>
      </c>
      <c r="F2188" s="4" t="s">
        <v>13</v>
      </c>
      <c r="G2188" s="4" t="s">
        <v>46</v>
      </c>
      <c r="H2188" s="4" t="s">
        <v>54</v>
      </c>
      <c r="I2188" s="5">
        <v>45503</v>
      </c>
      <c r="J2188" s="4">
        <f t="shared" si="34"/>
        <v>19</v>
      </c>
    </row>
    <row r="2189" spans="1:10" x14ac:dyDescent="0.25">
      <c r="A2189" s="4">
        <f>_xlfn.XLOOKUP(E2189,'Data Validation'!$M$3:$M$10,'Data Validation'!$N$3:$N$10)</f>
        <v>5</v>
      </c>
      <c r="B2189" s="4">
        <v>16</v>
      </c>
      <c r="C2189" s="4" t="s">
        <v>11</v>
      </c>
      <c r="D2189" s="7">
        <v>23.02</v>
      </c>
      <c r="E2189" s="4" t="s">
        <v>24</v>
      </c>
      <c r="F2189" s="4" t="s">
        <v>17</v>
      </c>
      <c r="G2189" s="4" t="s">
        <v>46</v>
      </c>
      <c r="H2189" s="4" t="s">
        <v>54</v>
      </c>
      <c r="I2189" s="5">
        <v>45503</v>
      </c>
      <c r="J2189" s="4">
        <f t="shared" si="34"/>
        <v>19</v>
      </c>
    </row>
    <row r="2190" spans="1:10" x14ac:dyDescent="0.25">
      <c r="A2190" s="4">
        <f>_xlfn.XLOOKUP(E2190,'Data Validation'!$M$3:$M$10,'Data Validation'!$N$3:$N$10)</f>
        <v>5</v>
      </c>
      <c r="B2190" s="4">
        <v>17</v>
      </c>
      <c r="C2190" s="4" t="s">
        <v>11</v>
      </c>
      <c r="D2190" s="7">
        <v>23.02</v>
      </c>
      <c r="E2190" s="4" t="s">
        <v>24</v>
      </c>
      <c r="F2190" s="4" t="s">
        <v>20</v>
      </c>
      <c r="G2190" s="4" t="s">
        <v>47</v>
      </c>
      <c r="H2190" s="4" t="s">
        <v>54</v>
      </c>
      <c r="I2190" s="5">
        <v>45504</v>
      </c>
      <c r="J2190" s="4">
        <f t="shared" si="34"/>
        <v>19</v>
      </c>
    </row>
    <row r="2191" spans="1:10" x14ac:dyDescent="0.25">
      <c r="A2191" s="4">
        <f>_xlfn.XLOOKUP(E2191,'Data Validation'!$M$3:$M$10,'Data Validation'!$N$3:$N$10)</f>
        <v>5</v>
      </c>
      <c r="B2191" s="4">
        <v>19</v>
      </c>
      <c r="C2191" s="4" t="s">
        <v>11</v>
      </c>
      <c r="D2191" s="7">
        <v>23.02</v>
      </c>
      <c r="E2191" s="4" t="s">
        <v>24</v>
      </c>
      <c r="F2191" s="4" t="s">
        <v>20</v>
      </c>
      <c r="G2191" s="4" t="s">
        <v>47</v>
      </c>
      <c r="H2191" s="4" t="s">
        <v>54</v>
      </c>
      <c r="I2191" s="5">
        <v>45504</v>
      </c>
      <c r="J2191" s="4">
        <f t="shared" si="34"/>
        <v>19</v>
      </c>
    </row>
    <row r="2192" spans="1:10" x14ac:dyDescent="0.25">
      <c r="A2192" s="4">
        <f>_xlfn.XLOOKUP(E2192,'Data Validation'!$M$3:$M$10,'Data Validation'!$N$3:$N$10)</f>
        <v>5</v>
      </c>
      <c r="B2192" s="4">
        <v>20</v>
      </c>
      <c r="C2192" s="4" t="s">
        <v>11</v>
      </c>
      <c r="D2192" s="7">
        <v>23.02</v>
      </c>
      <c r="E2192" s="4" t="s">
        <v>24</v>
      </c>
      <c r="F2192" s="4" t="s">
        <v>20</v>
      </c>
      <c r="G2192" s="4" t="s">
        <v>47</v>
      </c>
      <c r="H2192" s="4" t="s">
        <v>54</v>
      </c>
      <c r="I2192" s="5">
        <v>45504</v>
      </c>
      <c r="J2192" s="4">
        <f t="shared" si="34"/>
        <v>19</v>
      </c>
    </row>
    <row r="2193" spans="1:10" x14ac:dyDescent="0.25">
      <c r="A2193" s="4">
        <f>_xlfn.XLOOKUP(E2193,'Data Validation'!$M$3:$M$10,'Data Validation'!$N$3:$N$10)</f>
        <v>5</v>
      </c>
      <c r="B2193" s="4">
        <v>20</v>
      </c>
      <c r="C2193" s="4" t="s">
        <v>11</v>
      </c>
      <c r="D2193" s="7">
        <v>23.02</v>
      </c>
      <c r="E2193" s="4" t="s">
        <v>24</v>
      </c>
      <c r="F2193" s="4" t="s">
        <v>20</v>
      </c>
      <c r="G2193" s="4" t="s">
        <v>47</v>
      </c>
      <c r="H2193" s="4" t="s">
        <v>54</v>
      </c>
      <c r="I2193" s="5">
        <v>45504</v>
      </c>
      <c r="J2193" s="4">
        <f t="shared" si="34"/>
        <v>19</v>
      </c>
    </row>
    <row r="2194" spans="1:10" x14ac:dyDescent="0.25">
      <c r="A2194" s="4">
        <f>_xlfn.XLOOKUP(E2194,'Data Validation'!$M$3:$M$10,'Data Validation'!$N$3:$N$10)</f>
        <v>5</v>
      </c>
      <c r="B2194" s="4">
        <v>13</v>
      </c>
      <c r="C2194" s="4" t="s">
        <v>11</v>
      </c>
      <c r="D2194" s="7">
        <v>23.02</v>
      </c>
      <c r="E2194" s="4" t="s">
        <v>24</v>
      </c>
      <c r="F2194" s="4" t="s">
        <v>17</v>
      </c>
      <c r="G2194" s="4" t="s">
        <v>48</v>
      </c>
      <c r="H2194" s="4" t="s">
        <v>55</v>
      </c>
      <c r="I2194" s="5">
        <v>45505</v>
      </c>
      <c r="J2194" s="4">
        <f t="shared" si="34"/>
        <v>19</v>
      </c>
    </row>
    <row r="2195" spans="1:10" x14ac:dyDescent="0.25">
      <c r="A2195" s="4">
        <f>_xlfn.XLOOKUP(E2195,'Data Validation'!$M$3:$M$10,'Data Validation'!$N$3:$N$10)</f>
        <v>5</v>
      </c>
      <c r="B2195" s="4">
        <v>11</v>
      </c>
      <c r="C2195" s="4" t="s">
        <v>11</v>
      </c>
      <c r="D2195" s="7">
        <v>23.02</v>
      </c>
      <c r="E2195" s="4" t="s">
        <v>24</v>
      </c>
      <c r="F2195" s="4" t="s">
        <v>13</v>
      </c>
      <c r="G2195" s="4" t="s">
        <v>49</v>
      </c>
      <c r="H2195" s="4" t="s">
        <v>55</v>
      </c>
      <c r="I2195" s="5">
        <v>45506</v>
      </c>
      <c r="J2195" s="4">
        <f t="shared" si="34"/>
        <v>19</v>
      </c>
    </row>
    <row r="2196" spans="1:10" x14ac:dyDescent="0.25">
      <c r="A2196" s="4">
        <f>_xlfn.XLOOKUP(E2196,'Data Validation'!$M$3:$M$10,'Data Validation'!$N$3:$N$10)</f>
        <v>5</v>
      </c>
      <c r="B2196" s="4">
        <v>11</v>
      </c>
      <c r="C2196" s="4" t="s">
        <v>11</v>
      </c>
      <c r="D2196" s="7">
        <v>23.02</v>
      </c>
      <c r="E2196" s="4" t="s">
        <v>24</v>
      </c>
      <c r="F2196" s="4" t="s">
        <v>13</v>
      </c>
      <c r="G2196" s="4" t="s">
        <v>50</v>
      </c>
      <c r="H2196" s="4" t="s">
        <v>55</v>
      </c>
      <c r="I2196" s="5">
        <v>45507</v>
      </c>
      <c r="J2196" s="4">
        <f t="shared" si="34"/>
        <v>19</v>
      </c>
    </row>
    <row r="2197" spans="1:10" x14ac:dyDescent="0.25">
      <c r="A2197" s="4">
        <f>_xlfn.XLOOKUP(E2197,'Data Validation'!$M$3:$M$10,'Data Validation'!$N$3:$N$10)</f>
        <v>5</v>
      </c>
      <c r="B2197" s="4">
        <v>11</v>
      </c>
      <c r="C2197" s="4" t="s">
        <v>11</v>
      </c>
      <c r="D2197" s="7">
        <v>23.02</v>
      </c>
      <c r="E2197" s="4" t="s">
        <v>24</v>
      </c>
      <c r="F2197" s="4" t="s">
        <v>13</v>
      </c>
      <c r="G2197" s="4" t="s">
        <v>50</v>
      </c>
      <c r="H2197" s="4" t="s">
        <v>55</v>
      </c>
      <c r="I2197" s="5">
        <v>45507</v>
      </c>
      <c r="J2197" s="4">
        <f t="shared" si="34"/>
        <v>19</v>
      </c>
    </row>
    <row r="2198" spans="1:10" x14ac:dyDescent="0.25">
      <c r="A2198" s="4">
        <f>_xlfn.XLOOKUP(E2198,'Data Validation'!$M$3:$M$10,'Data Validation'!$N$3:$N$10)</f>
        <v>5</v>
      </c>
      <c r="B2198" s="4">
        <v>8</v>
      </c>
      <c r="C2198" s="4" t="s">
        <v>11</v>
      </c>
      <c r="D2198" s="7">
        <v>23.02</v>
      </c>
      <c r="E2198" s="4" t="s">
        <v>24</v>
      </c>
      <c r="F2198" s="4" t="s">
        <v>13</v>
      </c>
      <c r="G2198" s="4" t="s">
        <v>45</v>
      </c>
      <c r="H2198" s="4" t="s">
        <v>55</v>
      </c>
      <c r="I2198" s="5">
        <v>45509</v>
      </c>
      <c r="J2198" s="4">
        <f t="shared" si="34"/>
        <v>19</v>
      </c>
    </row>
    <row r="2199" spans="1:10" x14ac:dyDescent="0.25">
      <c r="A2199" s="4">
        <f>_xlfn.XLOOKUP(E2199,'Data Validation'!$M$3:$M$10,'Data Validation'!$N$3:$N$10)</f>
        <v>5</v>
      </c>
      <c r="B2199" s="4">
        <v>11</v>
      </c>
      <c r="C2199" s="4" t="s">
        <v>11</v>
      </c>
      <c r="D2199" s="7">
        <v>23.02</v>
      </c>
      <c r="E2199" s="4" t="s">
        <v>24</v>
      </c>
      <c r="F2199" s="4" t="s">
        <v>13</v>
      </c>
      <c r="G2199" s="4" t="s">
        <v>45</v>
      </c>
      <c r="H2199" s="4" t="s">
        <v>55</v>
      </c>
      <c r="I2199" s="5">
        <v>45509</v>
      </c>
      <c r="J2199" s="4">
        <f t="shared" si="34"/>
        <v>19</v>
      </c>
    </row>
    <row r="2200" spans="1:10" x14ac:dyDescent="0.25">
      <c r="A2200" s="4">
        <f>_xlfn.XLOOKUP(E2200,'Data Validation'!$M$3:$M$10,'Data Validation'!$N$3:$N$10)</f>
        <v>5</v>
      </c>
      <c r="B2200" s="4">
        <v>10</v>
      </c>
      <c r="C2200" s="4" t="s">
        <v>11</v>
      </c>
      <c r="D2200" s="7">
        <v>23.02</v>
      </c>
      <c r="E2200" s="4" t="s">
        <v>24</v>
      </c>
      <c r="F2200" s="4" t="s">
        <v>13</v>
      </c>
      <c r="G2200" s="4" t="s">
        <v>46</v>
      </c>
      <c r="H2200" s="4" t="s">
        <v>55</v>
      </c>
      <c r="I2200" s="5">
        <v>45510</v>
      </c>
      <c r="J2200" s="4">
        <f t="shared" si="34"/>
        <v>19</v>
      </c>
    </row>
    <row r="2201" spans="1:10" x14ac:dyDescent="0.25">
      <c r="A2201" s="4">
        <f>_xlfn.XLOOKUP(E2201,'Data Validation'!$M$3:$M$10,'Data Validation'!$N$3:$N$10)</f>
        <v>5</v>
      </c>
      <c r="B2201" s="4">
        <v>8</v>
      </c>
      <c r="C2201" s="4" t="s">
        <v>11</v>
      </c>
      <c r="D2201" s="7">
        <v>23.02</v>
      </c>
      <c r="E2201" s="4" t="s">
        <v>24</v>
      </c>
      <c r="F2201" s="4" t="s">
        <v>13</v>
      </c>
      <c r="G2201" s="4" t="s">
        <v>48</v>
      </c>
      <c r="H2201" s="4" t="s">
        <v>55</v>
      </c>
      <c r="I2201" s="5">
        <v>45512</v>
      </c>
      <c r="J2201" s="4">
        <f t="shared" si="34"/>
        <v>19</v>
      </c>
    </row>
    <row r="2202" spans="1:10" x14ac:dyDescent="0.25">
      <c r="A2202" s="4">
        <f>_xlfn.XLOOKUP(E2202,'Data Validation'!$M$3:$M$10,'Data Validation'!$N$3:$N$10)</f>
        <v>5</v>
      </c>
      <c r="B2202" s="4">
        <v>12</v>
      </c>
      <c r="C2202" s="4" t="s">
        <v>11</v>
      </c>
      <c r="D2202" s="7">
        <v>23.02</v>
      </c>
      <c r="E2202" s="4" t="s">
        <v>24</v>
      </c>
      <c r="F2202" s="4" t="s">
        <v>17</v>
      </c>
      <c r="G2202" s="4" t="s">
        <v>48</v>
      </c>
      <c r="H2202" s="4" t="s">
        <v>55</v>
      </c>
      <c r="I2202" s="5">
        <v>45512</v>
      </c>
      <c r="J2202" s="4">
        <f t="shared" si="34"/>
        <v>19</v>
      </c>
    </row>
    <row r="2203" spans="1:10" x14ac:dyDescent="0.25">
      <c r="A2203" s="4">
        <f>_xlfn.XLOOKUP(E2203,'Data Validation'!$M$3:$M$10,'Data Validation'!$N$3:$N$10)</f>
        <v>5</v>
      </c>
      <c r="B2203" s="4">
        <v>12</v>
      </c>
      <c r="C2203" s="4" t="s">
        <v>11</v>
      </c>
      <c r="D2203" s="7">
        <v>23.02</v>
      </c>
      <c r="E2203" s="4" t="s">
        <v>24</v>
      </c>
      <c r="F2203" s="4" t="s">
        <v>17</v>
      </c>
      <c r="G2203" s="4" t="s">
        <v>48</v>
      </c>
      <c r="H2203" s="4" t="s">
        <v>55</v>
      </c>
      <c r="I2203" s="5">
        <v>45512</v>
      </c>
      <c r="J2203" s="4">
        <f t="shared" si="34"/>
        <v>19</v>
      </c>
    </row>
    <row r="2204" spans="1:10" x14ac:dyDescent="0.25">
      <c r="A2204" s="4">
        <f>_xlfn.XLOOKUP(E2204,'Data Validation'!$M$3:$M$10,'Data Validation'!$N$3:$N$10)</f>
        <v>5</v>
      </c>
      <c r="B2204" s="4">
        <v>10</v>
      </c>
      <c r="C2204" s="4" t="s">
        <v>11</v>
      </c>
      <c r="D2204" s="7">
        <v>23.02</v>
      </c>
      <c r="E2204" s="4" t="s">
        <v>24</v>
      </c>
      <c r="F2204" s="4" t="s">
        <v>13</v>
      </c>
      <c r="G2204" s="4" t="s">
        <v>49</v>
      </c>
      <c r="H2204" s="4" t="s">
        <v>55</v>
      </c>
      <c r="I2204" s="5">
        <v>45513</v>
      </c>
      <c r="J2204" s="4">
        <f t="shared" si="34"/>
        <v>19</v>
      </c>
    </row>
    <row r="2205" spans="1:10" x14ac:dyDescent="0.25">
      <c r="A2205" s="4">
        <f>_xlfn.XLOOKUP(E2205,'Data Validation'!$M$3:$M$10,'Data Validation'!$N$3:$N$10)</f>
        <v>5</v>
      </c>
      <c r="B2205" s="4">
        <v>8</v>
      </c>
      <c r="C2205" s="4" t="s">
        <v>11</v>
      </c>
      <c r="D2205" s="7">
        <v>23.02</v>
      </c>
      <c r="E2205" s="4" t="s">
        <v>24</v>
      </c>
      <c r="F2205" s="4" t="s">
        <v>13</v>
      </c>
      <c r="G2205" s="4" t="s">
        <v>50</v>
      </c>
      <c r="H2205" s="4" t="s">
        <v>55</v>
      </c>
      <c r="I2205" s="5">
        <v>45514</v>
      </c>
      <c r="J2205" s="4">
        <f t="shared" si="34"/>
        <v>19</v>
      </c>
    </row>
    <row r="2206" spans="1:10" x14ac:dyDescent="0.25">
      <c r="A2206" s="4">
        <f>_xlfn.XLOOKUP(E2206,'Data Validation'!$M$3:$M$10,'Data Validation'!$N$3:$N$10)</f>
        <v>5</v>
      </c>
      <c r="B2206" s="4">
        <v>11</v>
      </c>
      <c r="C2206" s="4" t="s">
        <v>11</v>
      </c>
      <c r="D2206" s="7">
        <v>23.02</v>
      </c>
      <c r="E2206" s="4" t="s">
        <v>24</v>
      </c>
      <c r="F2206" s="4" t="s">
        <v>13</v>
      </c>
      <c r="G2206" s="4" t="s">
        <v>50</v>
      </c>
      <c r="H2206" s="4" t="s">
        <v>55</v>
      </c>
      <c r="I2206" s="5">
        <v>45514</v>
      </c>
      <c r="J2206" s="4">
        <f t="shared" si="34"/>
        <v>19</v>
      </c>
    </row>
    <row r="2207" spans="1:10" x14ac:dyDescent="0.25">
      <c r="A2207" s="4">
        <f>_xlfn.XLOOKUP(E2207,'Data Validation'!$M$3:$M$10,'Data Validation'!$N$3:$N$10)</f>
        <v>5</v>
      </c>
      <c r="B2207" s="4">
        <v>12</v>
      </c>
      <c r="C2207" s="4" t="s">
        <v>11</v>
      </c>
      <c r="D2207" s="7">
        <v>23.02</v>
      </c>
      <c r="E2207" s="4" t="s">
        <v>24</v>
      </c>
      <c r="F2207" s="4" t="s">
        <v>17</v>
      </c>
      <c r="G2207" s="4" t="s">
        <v>51</v>
      </c>
      <c r="H2207" s="4" t="s">
        <v>55</v>
      </c>
      <c r="I2207" s="5">
        <v>45515</v>
      </c>
      <c r="J2207" s="4">
        <f t="shared" si="34"/>
        <v>19</v>
      </c>
    </row>
    <row r="2208" spans="1:10" x14ac:dyDescent="0.25">
      <c r="A2208" s="4">
        <f>_xlfn.XLOOKUP(E2208,'Data Validation'!$M$3:$M$10,'Data Validation'!$N$3:$N$10)</f>
        <v>5</v>
      </c>
      <c r="B2208" s="4">
        <v>21</v>
      </c>
      <c r="C2208" s="4" t="s">
        <v>11</v>
      </c>
      <c r="D2208" s="7">
        <v>23.02</v>
      </c>
      <c r="E2208" s="4" t="s">
        <v>24</v>
      </c>
      <c r="F2208" s="4" t="s">
        <v>20</v>
      </c>
      <c r="G2208" s="4" t="s">
        <v>51</v>
      </c>
      <c r="H2208" s="4" t="s">
        <v>55</v>
      </c>
      <c r="I2208" s="5">
        <v>45515</v>
      </c>
      <c r="J2208" s="4">
        <f t="shared" si="34"/>
        <v>19</v>
      </c>
    </row>
    <row r="2209" spans="1:10" x14ac:dyDescent="0.25">
      <c r="A2209" s="4">
        <f>_xlfn.XLOOKUP(E2209,'Data Validation'!$M$3:$M$10,'Data Validation'!$N$3:$N$10)</f>
        <v>5</v>
      </c>
      <c r="B2209" s="4">
        <v>10</v>
      </c>
      <c r="C2209" s="4" t="s">
        <v>11</v>
      </c>
      <c r="D2209" s="7">
        <v>23.02</v>
      </c>
      <c r="E2209" s="4" t="s">
        <v>24</v>
      </c>
      <c r="F2209" s="4" t="s">
        <v>13</v>
      </c>
      <c r="G2209" s="4" t="s">
        <v>46</v>
      </c>
      <c r="H2209" s="4" t="s">
        <v>55</v>
      </c>
      <c r="I2209" s="5">
        <v>45517</v>
      </c>
      <c r="J2209" s="4">
        <f t="shared" si="34"/>
        <v>19</v>
      </c>
    </row>
    <row r="2210" spans="1:10" x14ac:dyDescent="0.25">
      <c r="A2210" s="4">
        <f>_xlfn.XLOOKUP(E2210,'Data Validation'!$M$3:$M$10,'Data Validation'!$N$3:$N$10)</f>
        <v>5</v>
      </c>
      <c r="B2210" s="4">
        <v>21</v>
      </c>
      <c r="C2210" s="4" t="s">
        <v>11</v>
      </c>
      <c r="D2210" s="7">
        <v>23.02</v>
      </c>
      <c r="E2210" s="4" t="s">
        <v>24</v>
      </c>
      <c r="F2210" s="4" t="s">
        <v>20</v>
      </c>
      <c r="G2210" s="4" t="s">
        <v>46</v>
      </c>
      <c r="H2210" s="4" t="s">
        <v>55</v>
      </c>
      <c r="I2210" s="5">
        <v>45517</v>
      </c>
      <c r="J2210" s="4">
        <f t="shared" si="34"/>
        <v>19</v>
      </c>
    </row>
    <row r="2211" spans="1:10" x14ac:dyDescent="0.25">
      <c r="A2211" s="4">
        <f>_xlfn.XLOOKUP(E2211,'Data Validation'!$M$3:$M$10,'Data Validation'!$N$3:$N$10)</f>
        <v>5</v>
      </c>
      <c r="B2211" s="4">
        <v>10</v>
      </c>
      <c r="C2211" s="4" t="s">
        <v>11</v>
      </c>
      <c r="D2211" s="7">
        <v>23.02</v>
      </c>
      <c r="E2211" s="4" t="s">
        <v>24</v>
      </c>
      <c r="F2211" s="4" t="s">
        <v>13</v>
      </c>
      <c r="G2211" s="4" t="s">
        <v>47</v>
      </c>
      <c r="H2211" s="4" t="s">
        <v>55</v>
      </c>
      <c r="I2211" s="5">
        <v>45518</v>
      </c>
      <c r="J2211" s="4">
        <f t="shared" si="34"/>
        <v>19</v>
      </c>
    </row>
    <row r="2212" spans="1:10" x14ac:dyDescent="0.25">
      <c r="A2212" s="4">
        <f>_xlfn.XLOOKUP(E2212,'Data Validation'!$M$3:$M$10,'Data Validation'!$N$3:$N$10)</f>
        <v>5</v>
      </c>
      <c r="B2212" s="4">
        <v>18</v>
      </c>
      <c r="C2212" s="4" t="s">
        <v>11</v>
      </c>
      <c r="D2212" s="7">
        <v>23.02</v>
      </c>
      <c r="E2212" s="4" t="s">
        <v>24</v>
      </c>
      <c r="F2212" s="4" t="s">
        <v>20</v>
      </c>
      <c r="G2212" s="4" t="s">
        <v>47</v>
      </c>
      <c r="H2212" s="4" t="s">
        <v>55</v>
      </c>
      <c r="I2212" s="5">
        <v>45518</v>
      </c>
      <c r="J2212" s="4">
        <f t="shared" si="34"/>
        <v>19</v>
      </c>
    </row>
    <row r="2213" spans="1:10" x14ac:dyDescent="0.25">
      <c r="A2213" s="4">
        <f>_xlfn.XLOOKUP(E2213,'Data Validation'!$M$3:$M$10,'Data Validation'!$N$3:$N$10)</f>
        <v>5</v>
      </c>
      <c r="B2213" s="4">
        <v>19</v>
      </c>
      <c r="C2213" s="4" t="s">
        <v>11</v>
      </c>
      <c r="D2213" s="7">
        <v>23.02</v>
      </c>
      <c r="E2213" s="4" t="s">
        <v>24</v>
      </c>
      <c r="F2213" s="4" t="s">
        <v>20</v>
      </c>
      <c r="G2213" s="4" t="s">
        <v>47</v>
      </c>
      <c r="H2213" s="4" t="s">
        <v>55</v>
      </c>
      <c r="I2213" s="5">
        <v>45518</v>
      </c>
      <c r="J2213" s="4">
        <f t="shared" si="34"/>
        <v>19</v>
      </c>
    </row>
    <row r="2214" spans="1:10" x14ac:dyDescent="0.25">
      <c r="A2214" s="4">
        <f>_xlfn.XLOOKUP(E2214,'Data Validation'!$M$3:$M$10,'Data Validation'!$N$3:$N$10)</f>
        <v>5</v>
      </c>
      <c r="B2214" s="4">
        <v>9</v>
      </c>
      <c r="C2214" s="4" t="s">
        <v>11</v>
      </c>
      <c r="D2214" s="7">
        <v>23.02</v>
      </c>
      <c r="E2214" s="4" t="s">
        <v>24</v>
      </c>
      <c r="F2214" s="4" t="s">
        <v>13</v>
      </c>
      <c r="G2214" s="4" t="s">
        <v>48</v>
      </c>
      <c r="H2214" s="4" t="s">
        <v>55</v>
      </c>
      <c r="I2214" s="5">
        <v>45519</v>
      </c>
      <c r="J2214" s="4">
        <f t="shared" si="34"/>
        <v>19</v>
      </c>
    </row>
    <row r="2215" spans="1:10" x14ac:dyDescent="0.25">
      <c r="A2215" s="4">
        <f>_xlfn.XLOOKUP(E2215,'Data Validation'!$M$3:$M$10,'Data Validation'!$N$3:$N$10)</f>
        <v>5</v>
      </c>
      <c r="B2215" s="4">
        <v>11</v>
      </c>
      <c r="C2215" s="4" t="s">
        <v>11</v>
      </c>
      <c r="D2215" s="7">
        <v>23.02</v>
      </c>
      <c r="E2215" s="4" t="s">
        <v>24</v>
      </c>
      <c r="F2215" s="4" t="s">
        <v>13</v>
      </c>
      <c r="G2215" s="4" t="s">
        <v>50</v>
      </c>
      <c r="H2215" s="4" t="s">
        <v>55</v>
      </c>
      <c r="I2215" s="5">
        <v>45521</v>
      </c>
      <c r="J2215" s="4">
        <f t="shared" si="34"/>
        <v>19</v>
      </c>
    </row>
    <row r="2216" spans="1:10" x14ac:dyDescent="0.25">
      <c r="A2216" s="4">
        <f>_xlfn.XLOOKUP(E2216,'Data Validation'!$M$3:$M$10,'Data Validation'!$N$3:$N$10)</f>
        <v>5</v>
      </c>
      <c r="B2216" s="4">
        <v>11</v>
      </c>
      <c r="C2216" s="4" t="s">
        <v>11</v>
      </c>
      <c r="D2216" s="7">
        <v>23.02</v>
      </c>
      <c r="E2216" s="4" t="s">
        <v>24</v>
      </c>
      <c r="F2216" s="4" t="s">
        <v>13</v>
      </c>
      <c r="G2216" s="4" t="s">
        <v>50</v>
      </c>
      <c r="H2216" s="4" t="s">
        <v>55</v>
      </c>
      <c r="I2216" s="5">
        <v>45521</v>
      </c>
      <c r="J2216" s="4">
        <f t="shared" si="34"/>
        <v>19</v>
      </c>
    </row>
    <row r="2217" spans="1:10" x14ac:dyDescent="0.25">
      <c r="A2217" s="4">
        <f>_xlfn.XLOOKUP(E2217,'Data Validation'!$M$3:$M$10,'Data Validation'!$N$3:$N$10)</f>
        <v>5</v>
      </c>
      <c r="B2217" s="4">
        <v>16</v>
      </c>
      <c r="C2217" s="4" t="s">
        <v>11</v>
      </c>
      <c r="D2217" s="7">
        <v>23.02</v>
      </c>
      <c r="E2217" s="4" t="s">
        <v>24</v>
      </c>
      <c r="F2217" s="4" t="s">
        <v>17</v>
      </c>
      <c r="G2217" s="4" t="s">
        <v>50</v>
      </c>
      <c r="H2217" s="4" t="s">
        <v>55</v>
      </c>
      <c r="I2217" s="5">
        <v>45521</v>
      </c>
      <c r="J2217" s="4">
        <f t="shared" si="34"/>
        <v>19</v>
      </c>
    </row>
    <row r="2218" spans="1:10" x14ac:dyDescent="0.25">
      <c r="A2218" s="4">
        <f>_xlfn.XLOOKUP(E2218,'Data Validation'!$M$3:$M$10,'Data Validation'!$N$3:$N$10)</f>
        <v>5</v>
      </c>
      <c r="B2218" s="4">
        <v>8</v>
      </c>
      <c r="C2218" s="4" t="s">
        <v>11</v>
      </c>
      <c r="D2218" s="7">
        <v>23.02</v>
      </c>
      <c r="E2218" s="4" t="s">
        <v>24</v>
      </c>
      <c r="F2218" s="4" t="s">
        <v>13</v>
      </c>
      <c r="G2218" s="4" t="s">
        <v>51</v>
      </c>
      <c r="H2218" s="4" t="s">
        <v>55</v>
      </c>
      <c r="I2218" s="5">
        <v>45522</v>
      </c>
      <c r="J2218" s="4">
        <f t="shared" si="34"/>
        <v>19</v>
      </c>
    </row>
    <row r="2219" spans="1:10" x14ac:dyDescent="0.25">
      <c r="A2219" s="4">
        <f>_xlfn.XLOOKUP(E2219,'Data Validation'!$M$3:$M$10,'Data Validation'!$N$3:$N$10)</f>
        <v>5</v>
      </c>
      <c r="B2219" s="4">
        <v>8</v>
      </c>
      <c r="C2219" s="4" t="s">
        <v>11</v>
      </c>
      <c r="D2219" s="7">
        <v>23.02</v>
      </c>
      <c r="E2219" s="4" t="s">
        <v>24</v>
      </c>
      <c r="F2219" s="4" t="s">
        <v>13</v>
      </c>
      <c r="G2219" s="4" t="s">
        <v>46</v>
      </c>
      <c r="H2219" s="4" t="s">
        <v>55</v>
      </c>
      <c r="I2219" s="5">
        <v>45524</v>
      </c>
      <c r="J2219" s="4">
        <f t="shared" si="34"/>
        <v>19</v>
      </c>
    </row>
    <row r="2220" spans="1:10" x14ac:dyDescent="0.25">
      <c r="A2220" s="4">
        <f>_xlfn.XLOOKUP(E2220,'Data Validation'!$M$3:$M$10,'Data Validation'!$N$3:$N$10)</f>
        <v>5</v>
      </c>
      <c r="B2220" s="4">
        <v>8</v>
      </c>
      <c r="C2220" s="4" t="s">
        <v>11</v>
      </c>
      <c r="D2220" s="7">
        <v>23.02</v>
      </c>
      <c r="E2220" s="4" t="s">
        <v>24</v>
      </c>
      <c r="F2220" s="4" t="s">
        <v>13</v>
      </c>
      <c r="G2220" s="4" t="s">
        <v>46</v>
      </c>
      <c r="H2220" s="4" t="s">
        <v>55</v>
      </c>
      <c r="I2220" s="5">
        <v>45524</v>
      </c>
      <c r="J2220" s="4">
        <f t="shared" si="34"/>
        <v>19</v>
      </c>
    </row>
    <row r="2221" spans="1:10" x14ac:dyDescent="0.25">
      <c r="A2221" s="4">
        <f>_xlfn.XLOOKUP(E2221,'Data Validation'!$M$3:$M$10,'Data Validation'!$N$3:$N$10)</f>
        <v>5</v>
      </c>
      <c r="B2221" s="4">
        <v>8</v>
      </c>
      <c r="C2221" s="4" t="s">
        <v>11</v>
      </c>
      <c r="D2221" s="7">
        <v>23.02</v>
      </c>
      <c r="E2221" s="4" t="s">
        <v>24</v>
      </c>
      <c r="F2221" s="4" t="s">
        <v>13</v>
      </c>
      <c r="G2221" s="4" t="s">
        <v>47</v>
      </c>
      <c r="H2221" s="4" t="s">
        <v>55</v>
      </c>
      <c r="I2221" s="5">
        <v>45525</v>
      </c>
      <c r="J2221" s="4">
        <f t="shared" si="34"/>
        <v>19</v>
      </c>
    </row>
    <row r="2222" spans="1:10" x14ac:dyDescent="0.25">
      <c r="A2222" s="4">
        <f>_xlfn.XLOOKUP(E2222,'Data Validation'!$M$3:$M$10,'Data Validation'!$N$3:$N$10)</f>
        <v>5</v>
      </c>
      <c r="B2222" s="4">
        <v>11</v>
      </c>
      <c r="C2222" s="4" t="s">
        <v>11</v>
      </c>
      <c r="D2222" s="7">
        <v>23.02</v>
      </c>
      <c r="E2222" s="4" t="s">
        <v>24</v>
      </c>
      <c r="F2222" s="4" t="s">
        <v>13</v>
      </c>
      <c r="G2222" s="4" t="s">
        <v>47</v>
      </c>
      <c r="H2222" s="4" t="s">
        <v>55</v>
      </c>
      <c r="I2222" s="5">
        <v>45525</v>
      </c>
      <c r="J2222" s="4">
        <f t="shared" si="34"/>
        <v>19</v>
      </c>
    </row>
    <row r="2223" spans="1:10" x14ac:dyDescent="0.25">
      <c r="A2223" s="4">
        <f>_xlfn.XLOOKUP(E2223,'Data Validation'!$M$3:$M$10,'Data Validation'!$N$3:$N$10)</f>
        <v>5</v>
      </c>
      <c r="B2223" s="4">
        <v>9</v>
      </c>
      <c r="C2223" s="4" t="s">
        <v>11</v>
      </c>
      <c r="D2223" s="7">
        <v>23.02</v>
      </c>
      <c r="E2223" s="4" t="s">
        <v>24</v>
      </c>
      <c r="F2223" s="4" t="s">
        <v>13</v>
      </c>
      <c r="G2223" s="4" t="s">
        <v>48</v>
      </c>
      <c r="H2223" s="4" t="s">
        <v>55</v>
      </c>
      <c r="I2223" s="5">
        <v>45526</v>
      </c>
      <c r="J2223" s="4">
        <f t="shared" si="34"/>
        <v>19</v>
      </c>
    </row>
    <row r="2224" spans="1:10" x14ac:dyDescent="0.25">
      <c r="A2224" s="4">
        <f>_xlfn.XLOOKUP(E2224,'Data Validation'!$M$3:$M$10,'Data Validation'!$N$3:$N$10)</f>
        <v>5</v>
      </c>
      <c r="B2224" s="4">
        <v>8</v>
      </c>
      <c r="C2224" s="4" t="s">
        <v>11</v>
      </c>
      <c r="D2224" s="7">
        <v>23.02</v>
      </c>
      <c r="E2224" s="4" t="s">
        <v>24</v>
      </c>
      <c r="F2224" s="4" t="s">
        <v>13</v>
      </c>
      <c r="G2224" s="4" t="s">
        <v>49</v>
      </c>
      <c r="H2224" s="4" t="s">
        <v>55</v>
      </c>
      <c r="I2224" s="5">
        <v>45527</v>
      </c>
      <c r="J2224" s="4">
        <f t="shared" si="34"/>
        <v>19</v>
      </c>
    </row>
    <row r="2225" spans="1:10" x14ac:dyDescent="0.25">
      <c r="A2225" s="4">
        <f>_xlfn.XLOOKUP(E2225,'Data Validation'!$M$3:$M$10,'Data Validation'!$N$3:$N$10)</f>
        <v>5</v>
      </c>
      <c r="B2225" s="4">
        <v>10</v>
      </c>
      <c r="C2225" s="4" t="s">
        <v>11</v>
      </c>
      <c r="D2225" s="7">
        <v>23.02</v>
      </c>
      <c r="E2225" s="4" t="s">
        <v>24</v>
      </c>
      <c r="F2225" s="4" t="s">
        <v>13</v>
      </c>
      <c r="G2225" s="4" t="s">
        <v>49</v>
      </c>
      <c r="H2225" s="4" t="s">
        <v>55</v>
      </c>
      <c r="I2225" s="5">
        <v>45527</v>
      </c>
      <c r="J2225" s="4">
        <f t="shared" si="34"/>
        <v>19</v>
      </c>
    </row>
    <row r="2226" spans="1:10" x14ac:dyDescent="0.25">
      <c r="A2226" s="4">
        <f>_xlfn.XLOOKUP(E2226,'Data Validation'!$M$3:$M$10,'Data Validation'!$N$3:$N$10)</f>
        <v>5</v>
      </c>
      <c r="B2226" s="4">
        <v>8</v>
      </c>
      <c r="C2226" s="4" t="s">
        <v>11</v>
      </c>
      <c r="D2226" s="7">
        <v>23.02</v>
      </c>
      <c r="E2226" s="4" t="s">
        <v>24</v>
      </c>
      <c r="F2226" s="4" t="s">
        <v>13</v>
      </c>
      <c r="G2226" s="4" t="s">
        <v>50</v>
      </c>
      <c r="H2226" s="4" t="s">
        <v>55</v>
      </c>
      <c r="I2226" s="5">
        <v>45528</v>
      </c>
      <c r="J2226" s="4">
        <f t="shared" si="34"/>
        <v>19</v>
      </c>
    </row>
    <row r="2227" spans="1:10" x14ac:dyDescent="0.25">
      <c r="A2227" s="4">
        <f>_xlfn.XLOOKUP(E2227,'Data Validation'!$M$3:$M$10,'Data Validation'!$N$3:$N$10)</f>
        <v>5</v>
      </c>
      <c r="B2227" s="4">
        <v>8</v>
      </c>
      <c r="C2227" s="4" t="s">
        <v>11</v>
      </c>
      <c r="D2227" s="7">
        <v>23.02</v>
      </c>
      <c r="E2227" s="4" t="s">
        <v>24</v>
      </c>
      <c r="F2227" s="4" t="s">
        <v>13</v>
      </c>
      <c r="G2227" s="4" t="s">
        <v>50</v>
      </c>
      <c r="H2227" s="4" t="s">
        <v>55</v>
      </c>
      <c r="I2227" s="5">
        <v>45528</v>
      </c>
      <c r="J2227" s="4">
        <f t="shared" si="34"/>
        <v>19</v>
      </c>
    </row>
    <row r="2228" spans="1:10" x14ac:dyDescent="0.25">
      <c r="A2228" s="4">
        <f>_xlfn.XLOOKUP(E2228,'Data Validation'!$M$3:$M$10,'Data Validation'!$N$3:$N$10)</f>
        <v>5</v>
      </c>
      <c r="B2228" s="4">
        <v>8</v>
      </c>
      <c r="C2228" s="4" t="s">
        <v>11</v>
      </c>
      <c r="D2228" s="7">
        <v>23.02</v>
      </c>
      <c r="E2228" s="4" t="s">
        <v>24</v>
      </c>
      <c r="F2228" s="4" t="s">
        <v>13</v>
      </c>
      <c r="G2228" s="4" t="s">
        <v>50</v>
      </c>
      <c r="H2228" s="4" t="s">
        <v>55</v>
      </c>
      <c r="I2228" s="5">
        <v>45528</v>
      </c>
      <c r="J2228" s="4">
        <f t="shared" si="34"/>
        <v>19</v>
      </c>
    </row>
    <row r="2229" spans="1:10" x14ac:dyDescent="0.25">
      <c r="A2229" s="4">
        <f>_xlfn.XLOOKUP(E2229,'Data Validation'!$M$3:$M$10,'Data Validation'!$N$3:$N$10)</f>
        <v>5</v>
      </c>
      <c r="B2229" s="4">
        <v>8</v>
      </c>
      <c r="C2229" s="4" t="s">
        <v>11</v>
      </c>
      <c r="D2229" s="7">
        <v>23.02</v>
      </c>
      <c r="E2229" s="4" t="s">
        <v>24</v>
      </c>
      <c r="F2229" s="4" t="s">
        <v>13</v>
      </c>
      <c r="G2229" s="4" t="s">
        <v>51</v>
      </c>
      <c r="H2229" s="4" t="s">
        <v>55</v>
      </c>
      <c r="I2229" s="5">
        <v>45529</v>
      </c>
      <c r="J2229" s="4">
        <f t="shared" si="34"/>
        <v>19</v>
      </c>
    </row>
    <row r="2230" spans="1:10" x14ac:dyDescent="0.25">
      <c r="A2230" s="4">
        <f>_xlfn.XLOOKUP(E2230,'Data Validation'!$M$3:$M$10,'Data Validation'!$N$3:$N$10)</f>
        <v>5</v>
      </c>
      <c r="B2230" s="4">
        <v>8</v>
      </c>
      <c r="C2230" s="4" t="s">
        <v>11</v>
      </c>
      <c r="D2230" s="7">
        <v>23.02</v>
      </c>
      <c r="E2230" s="4" t="s">
        <v>24</v>
      </c>
      <c r="F2230" s="4" t="s">
        <v>13</v>
      </c>
      <c r="G2230" s="4" t="s">
        <v>45</v>
      </c>
      <c r="H2230" s="4" t="s">
        <v>55</v>
      </c>
      <c r="I2230" s="5">
        <v>45530</v>
      </c>
      <c r="J2230" s="4">
        <f t="shared" si="34"/>
        <v>19</v>
      </c>
    </row>
    <row r="2231" spans="1:10" x14ac:dyDescent="0.25">
      <c r="A2231" s="4">
        <f>_xlfn.XLOOKUP(E2231,'Data Validation'!$M$3:$M$10,'Data Validation'!$N$3:$N$10)</f>
        <v>5</v>
      </c>
      <c r="B2231" s="4">
        <v>9</v>
      </c>
      <c r="C2231" s="4" t="s">
        <v>11</v>
      </c>
      <c r="D2231" s="7">
        <v>23.02</v>
      </c>
      <c r="E2231" s="4" t="s">
        <v>24</v>
      </c>
      <c r="F2231" s="4" t="s">
        <v>13</v>
      </c>
      <c r="G2231" s="4" t="s">
        <v>50</v>
      </c>
      <c r="H2231" s="4" t="s">
        <v>55</v>
      </c>
      <c r="I2231" s="5">
        <v>45535</v>
      </c>
      <c r="J2231" s="4">
        <f t="shared" si="34"/>
        <v>19</v>
      </c>
    </row>
    <row r="2232" spans="1:10" x14ac:dyDescent="0.25">
      <c r="A2232" s="4">
        <f>_xlfn.XLOOKUP(E2232,'Data Validation'!$M$3:$M$10,'Data Validation'!$N$3:$N$10)</f>
        <v>5</v>
      </c>
      <c r="B2232" s="4">
        <v>11</v>
      </c>
      <c r="C2232" s="4" t="s">
        <v>11</v>
      </c>
      <c r="D2232" s="7">
        <v>23.02</v>
      </c>
      <c r="E2232" s="4" t="s">
        <v>24</v>
      </c>
      <c r="F2232" s="4" t="s">
        <v>13</v>
      </c>
      <c r="G2232" s="4" t="s">
        <v>50</v>
      </c>
      <c r="H2232" s="4" t="s">
        <v>55</v>
      </c>
      <c r="I2232" s="5">
        <v>45535</v>
      </c>
      <c r="J2232" s="4">
        <f t="shared" si="34"/>
        <v>19</v>
      </c>
    </row>
    <row r="2233" spans="1:10" x14ac:dyDescent="0.25">
      <c r="A2233" s="4">
        <f>_xlfn.XLOOKUP(E2233,'Data Validation'!$M$3:$M$10,'Data Validation'!$N$3:$N$10)</f>
        <v>5</v>
      </c>
      <c r="B2233" s="4">
        <v>11</v>
      </c>
      <c r="C2233" s="4" t="s">
        <v>11</v>
      </c>
      <c r="D2233" s="7">
        <v>23.02</v>
      </c>
      <c r="E2233" s="4" t="s">
        <v>24</v>
      </c>
      <c r="F2233" s="4" t="s">
        <v>13</v>
      </c>
      <c r="G2233" s="4" t="s">
        <v>50</v>
      </c>
      <c r="H2233" s="4" t="s">
        <v>55</v>
      </c>
      <c r="I2233" s="5">
        <v>45535</v>
      </c>
      <c r="J2233" s="4">
        <f t="shared" si="34"/>
        <v>19</v>
      </c>
    </row>
    <row r="2234" spans="1:10" x14ac:dyDescent="0.25">
      <c r="A2234" s="4">
        <f>_xlfn.XLOOKUP(E2234,'Data Validation'!$M$3:$M$10,'Data Validation'!$N$3:$N$10)</f>
        <v>5</v>
      </c>
      <c r="B2234" s="4">
        <v>9</v>
      </c>
      <c r="C2234" s="4" t="s">
        <v>11</v>
      </c>
      <c r="D2234" s="7">
        <v>23.02</v>
      </c>
      <c r="E2234" s="4" t="s">
        <v>24</v>
      </c>
      <c r="F2234" s="4" t="s">
        <v>13</v>
      </c>
      <c r="G2234" s="4" t="s">
        <v>51</v>
      </c>
      <c r="H2234" s="4" t="s">
        <v>56</v>
      </c>
      <c r="I2234" s="5">
        <v>45536</v>
      </c>
      <c r="J2234" s="4">
        <f t="shared" si="34"/>
        <v>19</v>
      </c>
    </row>
    <row r="2235" spans="1:10" x14ac:dyDescent="0.25">
      <c r="A2235" s="4">
        <f>_xlfn.XLOOKUP(E2235,'Data Validation'!$M$3:$M$10,'Data Validation'!$N$3:$N$10)</f>
        <v>5</v>
      </c>
      <c r="B2235" s="4">
        <v>12</v>
      </c>
      <c r="C2235" s="4" t="s">
        <v>11</v>
      </c>
      <c r="D2235" s="7">
        <v>23.02</v>
      </c>
      <c r="E2235" s="4" t="s">
        <v>24</v>
      </c>
      <c r="F2235" s="4" t="s">
        <v>17</v>
      </c>
      <c r="G2235" s="4" t="s">
        <v>46</v>
      </c>
      <c r="H2235" s="4" t="s">
        <v>56</v>
      </c>
      <c r="I2235" s="5">
        <v>45538</v>
      </c>
      <c r="J2235" s="4">
        <f t="shared" si="34"/>
        <v>19</v>
      </c>
    </row>
    <row r="2236" spans="1:10" x14ac:dyDescent="0.25">
      <c r="A2236" s="4">
        <f>_xlfn.XLOOKUP(E2236,'Data Validation'!$M$3:$M$10,'Data Validation'!$N$3:$N$10)</f>
        <v>5</v>
      </c>
      <c r="B2236" s="4">
        <v>9</v>
      </c>
      <c r="C2236" s="4" t="s">
        <v>11</v>
      </c>
      <c r="D2236" s="7">
        <v>23.02</v>
      </c>
      <c r="E2236" s="4" t="s">
        <v>24</v>
      </c>
      <c r="F2236" s="4" t="s">
        <v>13</v>
      </c>
      <c r="G2236" s="4" t="s">
        <v>50</v>
      </c>
      <c r="H2236" s="4" t="s">
        <v>56</v>
      </c>
      <c r="I2236" s="5">
        <v>45542</v>
      </c>
      <c r="J2236" s="4">
        <f t="shared" si="34"/>
        <v>19</v>
      </c>
    </row>
    <row r="2237" spans="1:10" x14ac:dyDescent="0.25">
      <c r="A2237" s="4">
        <f>_xlfn.XLOOKUP(E2237,'Data Validation'!$M$3:$M$10,'Data Validation'!$N$3:$N$10)</f>
        <v>5</v>
      </c>
      <c r="B2237" s="4">
        <v>9</v>
      </c>
      <c r="C2237" s="4" t="s">
        <v>11</v>
      </c>
      <c r="D2237" s="7">
        <v>23.02</v>
      </c>
      <c r="E2237" s="4" t="s">
        <v>24</v>
      </c>
      <c r="F2237" s="4" t="s">
        <v>13</v>
      </c>
      <c r="G2237" s="4" t="s">
        <v>50</v>
      </c>
      <c r="H2237" s="4" t="s">
        <v>56</v>
      </c>
      <c r="I2237" s="5">
        <v>45542</v>
      </c>
      <c r="J2237" s="4">
        <f t="shared" si="34"/>
        <v>19</v>
      </c>
    </row>
    <row r="2238" spans="1:10" x14ac:dyDescent="0.25">
      <c r="A2238" s="4">
        <f>_xlfn.XLOOKUP(E2238,'Data Validation'!$M$3:$M$10,'Data Validation'!$N$3:$N$10)</f>
        <v>5</v>
      </c>
      <c r="B2238" s="4">
        <v>9</v>
      </c>
      <c r="C2238" s="4" t="s">
        <v>11</v>
      </c>
      <c r="D2238" s="7">
        <v>23.02</v>
      </c>
      <c r="E2238" s="4" t="s">
        <v>24</v>
      </c>
      <c r="F2238" s="4" t="s">
        <v>13</v>
      </c>
      <c r="G2238" s="4" t="s">
        <v>50</v>
      </c>
      <c r="H2238" s="4" t="s">
        <v>56</v>
      </c>
      <c r="I2238" s="5">
        <v>45542</v>
      </c>
      <c r="J2238" s="4">
        <f t="shared" si="34"/>
        <v>19</v>
      </c>
    </row>
    <row r="2239" spans="1:10" x14ac:dyDescent="0.25">
      <c r="A2239" s="4">
        <f>_xlfn.XLOOKUP(E2239,'Data Validation'!$M$3:$M$10,'Data Validation'!$N$3:$N$10)</f>
        <v>5</v>
      </c>
      <c r="B2239" s="4">
        <v>10</v>
      </c>
      <c r="C2239" s="4" t="s">
        <v>11</v>
      </c>
      <c r="D2239" s="7">
        <v>23.02</v>
      </c>
      <c r="E2239" s="4" t="s">
        <v>24</v>
      </c>
      <c r="F2239" s="4" t="s">
        <v>13</v>
      </c>
      <c r="G2239" s="4" t="s">
        <v>50</v>
      </c>
      <c r="H2239" s="4" t="s">
        <v>56</v>
      </c>
      <c r="I2239" s="5">
        <v>45542</v>
      </c>
      <c r="J2239" s="4">
        <f t="shared" si="34"/>
        <v>19</v>
      </c>
    </row>
    <row r="2240" spans="1:10" x14ac:dyDescent="0.25">
      <c r="A2240" s="4">
        <f>_xlfn.XLOOKUP(E2240,'Data Validation'!$M$3:$M$10,'Data Validation'!$N$3:$N$10)</f>
        <v>5</v>
      </c>
      <c r="B2240" s="4">
        <v>8</v>
      </c>
      <c r="C2240" s="4" t="s">
        <v>11</v>
      </c>
      <c r="D2240" s="7">
        <v>23.02</v>
      </c>
      <c r="E2240" s="4" t="s">
        <v>24</v>
      </c>
      <c r="F2240" s="4" t="s">
        <v>13</v>
      </c>
      <c r="G2240" s="4" t="s">
        <v>51</v>
      </c>
      <c r="H2240" s="4" t="s">
        <v>56</v>
      </c>
      <c r="I2240" s="5">
        <v>45543</v>
      </c>
      <c r="J2240" s="4">
        <f t="shared" si="34"/>
        <v>19</v>
      </c>
    </row>
    <row r="2241" spans="1:10" x14ac:dyDescent="0.25">
      <c r="A2241" s="4">
        <f>_xlfn.XLOOKUP(E2241,'Data Validation'!$M$3:$M$10,'Data Validation'!$N$3:$N$10)</f>
        <v>5</v>
      </c>
      <c r="B2241" s="4">
        <v>9</v>
      </c>
      <c r="C2241" s="4" t="s">
        <v>11</v>
      </c>
      <c r="D2241" s="7">
        <v>23.02</v>
      </c>
      <c r="E2241" s="4" t="s">
        <v>24</v>
      </c>
      <c r="F2241" s="4" t="s">
        <v>13</v>
      </c>
      <c r="G2241" s="4" t="s">
        <v>51</v>
      </c>
      <c r="H2241" s="4" t="s">
        <v>56</v>
      </c>
      <c r="I2241" s="5">
        <v>45543</v>
      </c>
      <c r="J2241" s="4">
        <f t="shared" si="34"/>
        <v>19</v>
      </c>
    </row>
    <row r="2242" spans="1:10" x14ac:dyDescent="0.25">
      <c r="A2242" s="4">
        <f>_xlfn.XLOOKUP(E2242,'Data Validation'!$M$3:$M$10,'Data Validation'!$N$3:$N$10)</f>
        <v>5</v>
      </c>
      <c r="B2242" s="4">
        <v>9</v>
      </c>
      <c r="C2242" s="4" t="s">
        <v>11</v>
      </c>
      <c r="D2242" s="7">
        <v>23.02</v>
      </c>
      <c r="E2242" s="4" t="s">
        <v>24</v>
      </c>
      <c r="F2242" s="4" t="s">
        <v>13</v>
      </c>
      <c r="G2242" s="4" t="s">
        <v>51</v>
      </c>
      <c r="H2242" s="4" t="s">
        <v>56</v>
      </c>
      <c r="I2242" s="5">
        <v>45543</v>
      </c>
      <c r="J2242" s="4">
        <f t="shared" si="34"/>
        <v>19</v>
      </c>
    </row>
    <row r="2243" spans="1:10" x14ac:dyDescent="0.25">
      <c r="A2243" s="4">
        <f>_xlfn.XLOOKUP(E2243,'Data Validation'!$M$3:$M$10,'Data Validation'!$N$3:$N$10)</f>
        <v>5</v>
      </c>
      <c r="B2243" s="4">
        <v>10</v>
      </c>
      <c r="C2243" s="4" t="s">
        <v>11</v>
      </c>
      <c r="D2243" s="7">
        <v>23.02</v>
      </c>
      <c r="E2243" s="4" t="s">
        <v>24</v>
      </c>
      <c r="F2243" s="4" t="s">
        <v>13</v>
      </c>
      <c r="G2243" s="4" t="s">
        <v>51</v>
      </c>
      <c r="H2243" s="4" t="s">
        <v>56</v>
      </c>
      <c r="I2243" s="5">
        <v>45543</v>
      </c>
      <c r="J2243" s="4">
        <f t="shared" ref="J2243:J2306" si="35">IF(OR(E2243&lt;&gt;E2242,D2243&lt;&gt;D2242),J2242+1,J2242)</f>
        <v>19</v>
      </c>
    </row>
    <row r="2244" spans="1:10" x14ac:dyDescent="0.25">
      <c r="A2244" s="4">
        <f>_xlfn.XLOOKUP(E2244,'Data Validation'!$M$3:$M$10,'Data Validation'!$N$3:$N$10)</f>
        <v>5</v>
      </c>
      <c r="B2244" s="4">
        <v>12</v>
      </c>
      <c r="C2244" s="4" t="s">
        <v>11</v>
      </c>
      <c r="D2244" s="7">
        <v>23.02</v>
      </c>
      <c r="E2244" s="4" t="s">
        <v>24</v>
      </c>
      <c r="F2244" s="4" t="s">
        <v>17</v>
      </c>
      <c r="G2244" s="4" t="s">
        <v>51</v>
      </c>
      <c r="H2244" s="4" t="s">
        <v>56</v>
      </c>
      <c r="I2244" s="5">
        <v>45543</v>
      </c>
      <c r="J2244" s="4">
        <f t="shared" si="35"/>
        <v>19</v>
      </c>
    </row>
    <row r="2245" spans="1:10" x14ac:dyDescent="0.25">
      <c r="A2245" s="4">
        <f>_xlfn.XLOOKUP(E2245,'Data Validation'!$M$3:$M$10,'Data Validation'!$N$3:$N$10)</f>
        <v>5</v>
      </c>
      <c r="B2245" s="4">
        <v>15</v>
      </c>
      <c r="C2245" s="4" t="s">
        <v>11</v>
      </c>
      <c r="D2245" s="7">
        <v>23.02</v>
      </c>
      <c r="E2245" s="4" t="s">
        <v>24</v>
      </c>
      <c r="F2245" s="4" t="s">
        <v>17</v>
      </c>
      <c r="G2245" s="4" t="s">
        <v>46</v>
      </c>
      <c r="H2245" s="4" t="s">
        <v>56</v>
      </c>
      <c r="I2245" s="5">
        <v>45545</v>
      </c>
      <c r="J2245" s="4">
        <f t="shared" si="35"/>
        <v>19</v>
      </c>
    </row>
    <row r="2246" spans="1:10" x14ac:dyDescent="0.25">
      <c r="A2246" s="4">
        <f>_xlfn.XLOOKUP(E2246,'Data Validation'!$M$3:$M$10,'Data Validation'!$N$3:$N$10)</f>
        <v>5</v>
      </c>
      <c r="B2246" s="4">
        <v>15</v>
      </c>
      <c r="C2246" s="4" t="s">
        <v>11</v>
      </c>
      <c r="D2246" s="7">
        <v>23.02</v>
      </c>
      <c r="E2246" s="4" t="s">
        <v>24</v>
      </c>
      <c r="F2246" s="4" t="s">
        <v>17</v>
      </c>
      <c r="G2246" s="4" t="s">
        <v>46</v>
      </c>
      <c r="H2246" s="4" t="s">
        <v>56</v>
      </c>
      <c r="I2246" s="5">
        <v>45545</v>
      </c>
      <c r="J2246" s="4">
        <f t="shared" si="35"/>
        <v>19</v>
      </c>
    </row>
    <row r="2247" spans="1:10" x14ac:dyDescent="0.25">
      <c r="A2247" s="4">
        <f>_xlfn.XLOOKUP(E2247,'Data Validation'!$M$3:$M$10,'Data Validation'!$N$3:$N$10)</f>
        <v>5</v>
      </c>
      <c r="B2247" s="4">
        <v>21</v>
      </c>
      <c r="C2247" s="4" t="s">
        <v>11</v>
      </c>
      <c r="D2247" s="7">
        <v>23.02</v>
      </c>
      <c r="E2247" s="4" t="s">
        <v>24</v>
      </c>
      <c r="F2247" s="4" t="s">
        <v>20</v>
      </c>
      <c r="G2247" s="4" t="s">
        <v>47</v>
      </c>
      <c r="H2247" s="4" t="s">
        <v>56</v>
      </c>
      <c r="I2247" s="5">
        <v>45546</v>
      </c>
      <c r="J2247" s="4">
        <f t="shared" si="35"/>
        <v>19</v>
      </c>
    </row>
    <row r="2248" spans="1:10" x14ac:dyDescent="0.25">
      <c r="A2248" s="4">
        <f>_xlfn.XLOOKUP(E2248,'Data Validation'!$M$3:$M$10,'Data Validation'!$N$3:$N$10)</f>
        <v>5</v>
      </c>
      <c r="B2248" s="4">
        <v>12</v>
      </c>
      <c r="C2248" s="4" t="s">
        <v>11</v>
      </c>
      <c r="D2248" s="7">
        <v>23.02</v>
      </c>
      <c r="E2248" s="4" t="s">
        <v>24</v>
      </c>
      <c r="F2248" s="4" t="s">
        <v>17</v>
      </c>
      <c r="G2248" s="4" t="s">
        <v>48</v>
      </c>
      <c r="H2248" s="4" t="s">
        <v>56</v>
      </c>
      <c r="I2248" s="5">
        <v>45547</v>
      </c>
      <c r="J2248" s="4">
        <f t="shared" si="35"/>
        <v>19</v>
      </c>
    </row>
    <row r="2249" spans="1:10" x14ac:dyDescent="0.25">
      <c r="A2249" s="4">
        <f>_xlfn.XLOOKUP(E2249,'Data Validation'!$M$3:$M$10,'Data Validation'!$N$3:$N$10)</f>
        <v>5</v>
      </c>
      <c r="B2249" s="4">
        <v>12</v>
      </c>
      <c r="C2249" s="4" t="s">
        <v>11</v>
      </c>
      <c r="D2249" s="7">
        <v>23.02</v>
      </c>
      <c r="E2249" s="4" t="s">
        <v>24</v>
      </c>
      <c r="F2249" s="4" t="s">
        <v>17</v>
      </c>
      <c r="G2249" s="4" t="s">
        <v>48</v>
      </c>
      <c r="H2249" s="4" t="s">
        <v>56</v>
      </c>
      <c r="I2249" s="5">
        <v>45547</v>
      </c>
      <c r="J2249" s="4">
        <f t="shared" si="35"/>
        <v>19</v>
      </c>
    </row>
    <row r="2250" spans="1:10" x14ac:dyDescent="0.25">
      <c r="A2250" s="4">
        <f>_xlfn.XLOOKUP(E2250,'Data Validation'!$M$3:$M$10,'Data Validation'!$N$3:$N$10)</f>
        <v>5</v>
      </c>
      <c r="B2250" s="4">
        <v>12</v>
      </c>
      <c r="C2250" s="4" t="s">
        <v>11</v>
      </c>
      <c r="D2250" s="7">
        <v>23.02</v>
      </c>
      <c r="E2250" s="4" t="s">
        <v>24</v>
      </c>
      <c r="F2250" s="4" t="s">
        <v>17</v>
      </c>
      <c r="G2250" s="4" t="s">
        <v>48</v>
      </c>
      <c r="H2250" s="4" t="s">
        <v>56</v>
      </c>
      <c r="I2250" s="5">
        <v>45547</v>
      </c>
      <c r="J2250" s="4">
        <f t="shared" si="35"/>
        <v>19</v>
      </c>
    </row>
    <row r="2251" spans="1:10" x14ac:dyDescent="0.25">
      <c r="A2251" s="4">
        <f>_xlfn.XLOOKUP(E2251,'Data Validation'!$M$3:$M$10,'Data Validation'!$N$3:$N$10)</f>
        <v>5</v>
      </c>
      <c r="B2251" s="4">
        <v>12</v>
      </c>
      <c r="C2251" s="4" t="s">
        <v>11</v>
      </c>
      <c r="D2251" s="7">
        <v>23.02</v>
      </c>
      <c r="E2251" s="4" t="s">
        <v>24</v>
      </c>
      <c r="F2251" s="4" t="s">
        <v>17</v>
      </c>
      <c r="G2251" s="4" t="s">
        <v>48</v>
      </c>
      <c r="H2251" s="4" t="s">
        <v>56</v>
      </c>
      <c r="I2251" s="5">
        <v>45547</v>
      </c>
      <c r="J2251" s="4">
        <f t="shared" si="35"/>
        <v>19</v>
      </c>
    </row>
    <row r="2252" spans="1:10" x14ac:dyDescent="0.25">
      <c r="A2252" s="4">
        <f>_xlfn.XLOOKUP(E2252,'Data Validation'!$M$3:$M$10,'Data Validation'!$N$3:$N$10)</f>
        <v>5</v>
      </c>
      <c r="B2252" s="4">
        <v>21</v>
      </c>
      <c r="C2252" s="4" t="s">
        <v>11</v>
      </c>
      <c r="D2252" s="7">
        <v>23.02</v>
      </c>
      <c r="E2252" s="4" t="s">
        <v>24</v>
      </c>
      <c r="F2252" s="4" t="s">
        <v>20</v>
      </c>
      <c r="G2252" s="4" t="s">
        <v>48</v>
      </c>
      <c r="H2252" s="4" t="s">
        <v>56</v>
      </c>
      <c r="I2252" s="5">
        <v>45547</v>
      </c>
      <c r="J2252" s="4">
        <f t="shared" si="35"/>
        <v>19</v>
      </c>
    </row>
    <row r="2253" spans="1:10" x14ac:dyDescent="0.25">
      <c r="A2253" s="4">
        <f>_xlfn.XLOOKUP(E2253,'Data Validation'!$M$3:$M$10,'Data Validation'!$N$3:$N$10)</f>
        <v>5</v>
      </c>
      <c r="B2253" s="4">
        <v>14</v>
      </c>
      <c r="C2253" s="4" t="s">
        <v>11</v>
      </c>
      <c r="D2253" s="7">
        <v>23.02</v>
      </c>
      <c r="E2253" s="4" t="s">
        <v>24</v>
      </c>
      <c r="F2253" s="4" t="s">
        <v>17</v>
      </c>
      <c r="G2253" s="4" t="s">
        <v>51</v>
      </c>
      <c r="H2253" s="4" t="s">
        <v>56</v>
      </c>
      <c r="I2253" s="5">
        <v>45550</v>
      </c>
      <c r="J2253" s="4">
        <f t="shared" si="35"/>
        <v>19</v>
      </c>
    </row>
    <row r="2254" spans="1:10" x14ac:dyDescent="0.25">
      <c r="A2254" s="4">
        <f>_xlfn.XLOOKUP(E2254,'Data Validation'!$M$3:$M$10,'Data Validation'!$N$3:$N$10)</f>
        <v>5</v>
      </c>
      <c r="B2254" s="4">
        <v>14</v>
      </c>
      <c r="C2254" s="4" t="s">
        <v>11</v>
      </c>
      <c r="D2254" s="7">
        <v>23.02</v>
      </c>
      <c r="E2254" s="4" t="s">
        <v>24</v>
      </c>
      <c r="F2254" s="4" t="s">
        <v>17</v>
      </c>
      <c r="G2254" s="4" t="s">
        <v>51</v>
      </c>
      <c r="H2254" s="4" t="s">
        <v>56</v>
      </c>
      <c r="I2254" s="5">
        <v>45550</v>
      </c>
      <c r="J2254" s="4">
        <f t="shared" si="35"/>
        <v>19</v>
      </c>
    </row>
    <row r="2255" spans="1:10" x14ac:dyDescent="0.25">
      <c r="A2255" s="4">
        <f>_xlfn.XLOOKUP(E2255,'Data Validation'!$M$3:$M$10,'Data Validation'!$N$3:$N$10)</f>
        <v>5</v>
      </c>
      <c r="B2255" s="4">
        <v>7</v>
      </c>
      <c r="C2255" s="4" t="s">
        <v>11</v>
      </c>
      <c r="D2255" s="7">
        <v>23.02</v>
      </c>
      <c r="E2255" s="4" t="s">
        <v>24</v>
      </c>
      <c r="F2255" s="4" t="s">
        <v>13</v>
      </c>
      <c r="G2255" s="4" t="s">
        <v>46</v>
      </c>
      <c r="H2255" s="4" t="s">
        <v>56</v>
      </c>
      <c r="I2255" s="5">
        <v>45552</v>
      </c>
      <c r="J2255" s="4">
        <f t="shared" si="35"/>
        <v>19</v>
      </c>
    </row>
    <row r="2256" spans="1:10" x14ac:dyDescent="0.25">
      <c r="A2256" s="4">
        <f>_xlfn.XLOOKUP(E2256,'Data Validation'!$M$3:$M$10,'Data Validation'!$N$3:$N$10)</f>
        <v>5</v>
      </c>
      <c r="B2256" s="4">
        <v>8</v>
      </c>
      <c r="C2256" s="4" t="s">
        <v>11</v>
      </c>
      <c r="D2256" s="7">
        <v>23.02</v>
      </c>
      <c r="E2256" s="4" t="s">
        <v>24</v>
      </c>
      <c r="F2256" s="4" t="s">
        <v>13</v>
      </c>
      <c r="G2256" s="4" t="s">
        <v>46</v>
      </c>
      <c r="H2256" s="4" t="s">
        <v>56</v>
      </c>
      <c r="I2256" s="5">
        <v>45552</v>
      </c>
      <c r="J2256" s="4">
        <f t="shared" si="35"/>
        <v>19</v>
      </c>
    </row>
    <row r="2257" spans="1:10" x14ac:dyDescent="0.25">
      <c r="A2257" s="4">
        <f>_xlfn.XLOOKUP(E2257,'Data Validation'!$M$3:$M$10,'Data Validation'!$N$3:$N$10)</f>
        <v>5</v>
      </c>
      <c r="B2257" s="4">
        <v>13</v>
      </c>
      <c r="C2257" s="4" t="s">
        <v>11</v>
      </c>
      <c r="D2257" s="7">
        <v>23.02</v>
      </c>
      <c r="E2257" s="4" t="s">
        <v>24</v>
      </c>
      <c r="F2257" s="4" t="s">
        <v>17</v>
      </c>
      <c r="G2257" s="4" t="s">
        <v>46</v>
      </c>
      <c r="H2257" s="4" t="s">
        <v>56</v>
      </c>
      <c r="I2257" s="5">
        <v>45552</v>
      </c>
      <c r="J2257" s="4">
        <f t="shared" si="35"/>
        <v>19</v>
      </c>
    </row>
    <row r="2258" spans="1:10" x14ac:dyDescent="0.25">
      <c r="A2258" s="4">
        <f>_xlfn.XLOOKUP(E2258,'Data Validation'!$M$3:$M$10,'Data Validation'!$N$3:$N$10)</f>
        <v>5</v>
      </c>
      <c r="B2258" s="4">
        <v>8</v>
      </c>
      <c r="C2258" s="4" t="s">
        <v>11</v>
      </c>
      <c r="D2258" s="7">
        <v>23.02</v>
      </c>
      <c r="E2258" s="4" t="s">
        <v>24</v>
      </c>
      <c r="F2258" s="4" t="s">
        <v>13</v>
      </c>
      <c r="G2258" s="4" t="s">
        <v>48</v>
      </c>
      <c r="H2258" s="4" t="s">
        <v>56</v>
      </c>
      <c r="I2258" s="5">
        <v>45554</v>
      </c>
      <c r="J2258" s="4">
        <f t="shared" si="35"/>
        <v>19</v>
      </c>
    </row>
    <row r="2259" spans="1:10" x14ac:dyDescent="0.25">
      <c r="A2259" s="4">
        <f>_xlfn.XLOOKUP(E2259,'Data Validation'!$M$3:$M$10,'Data Validation'!$N$3:$N$10)</f>
        <v>5</v>
      </c>
      <c r="B2259" s="4">
        <v>13</v>
      </c>
      <c r="C2259" s="4" t="s">
        <v>11</v>
      </c>
      <c r="D2259" s="7">
        <v>23.02</v>
      </c>
      <c r="E2259" s="4" t="s">
        <v>24</v>
      </c>
      <c r="F2259" s="4" t="s">
        <v>17</v>
      </c>
      <c r="G2259" s="4" t="s">
        <v>48</v>
      </c>
      <c r="H2259" s="4" t="s">
        <v>56</v>
      </c>
      <c r="I2259" s="5">
        <v>45554</v>
      </c>
      <c r="J2259" s="4">
        <f t="shared" si="35"/>
        <v>19</v>
      </c>
    </row>
    <row r="2260" spans="1:10" x14ac:dyDescent="0.25">
      <c r="A2260" s="4">
        <f>_xlfn.XLOOKUP(E2260,'Data Validation'!$M$3:$M$10,'Data Validation'!$N$3:$N$10)</f>
        <v>5</v>
      </c>
      <c r="B2260" s="4">
        <v>11</v>
      </c>
      <c r="C2260" s="4" t="s">
        <v>11</v>
      </c>
      <c r="D2260" s="7">
        <v>23.02</v>
      </c>
      <c r="E2260" s="4" t="s">
        <v>24</v>
      </c>
      <c r="F2260" s="4" t="s">
        <v>13</v>
      </c>
      <c r="G2260" s="4" t="s">
        <v>50</v>
      </c>
      <c r="H2260" s="4" t="s">
        <v>56</v>
      </c>
      <c r="I2260" s="5">
        <v>45556</v>
      </c>
      <c r="J2260" s="4">
        <f t="shared" si="35"/>
        <v>19</v>
      </c>
    </row>
    <row r="2261" spans="1:10" x14ac:dyDescent="0.25">
      <c r="A2261" s="4">
        <f>_xlfn.XLOOKUP(E2261,'Data Validation'!$M$3:$M$10,'Data Validation'!$N$3:$N$10)</f>
        <v>5</v>
      </c>
      <c r="B2261" s="4">
        <v>11</v>
      </c>
      <c r="C2261" s="4" t="s">
        <v>11</v>
      </c>
      <c r="D2261" s="7">
        <v>23.02</v>
      </c>
      <c r="E2261" s="4" t="s">
        <v>24</v>
      </c>
      <c r="F2261" s="4" t="s">
        <v>13</v>
      </c>
      <c r="G2261" s="4" t="s">
        <v>50</v>
      </c>
      <c r="H2261" s="4" t="s">
        <v>56</v>
      </c>
      <c r="I2261" s="5">
        <v>45556</v>
      </c>
      <c r="J2261" s="4">
        <f t="shared" si="35"/>
        <v>19</v>
      </c>
    </row>
    <row r="2262" spans="1:10" x14ac:dyDescent="0.25">
      <c r="A2262" s="4">
        <f>_xlfn.XLOOKUP(E2262,'Data Validation'!$M$3:$M$10,'Data Validation'!$N$3:$N$10)</f>
        <v>5</v>
      </c>
      <c r="B2262" s="4">
        <v>11</v>
      </c>
      <c r="C2262" s="4" t="s">
        <v>11</v>
      </c>
      <c r="D2262" s="7">
        <v>23.02</v>
      </c>
      <c r="E2262" s="4" t="s">
        <v>24</v>
      </c>
      <c r="F2262" s="4" t="s">
        <v>13</v>
      </c>
      <c r="G2262" s="4" t="s">
        <v>51</v>
      </c>
      <c r="H2262" s="4" t="s">
        <v>56</v>
      </c>
      <c r="I2262" s="5">
        <v>45557</v>
      </c>
      <c r="J2262" s="4">
        <f t="shared" si="35"/>
        <v>19</v>
      </c>
    </row>
    <row r="2263" spans="1:10" x14ac:dyDescent="0.25">
      <c r="A2263" s="4">
        <f>_xlfn.XLOOKUP(E2263,'Data Validation'!$M$3:$M$10,'Data Validation'!$N$3:$N$10)</f>
        <v>5</v>
      </c>
      <c r="B2263" s="4">
        <v>11</v>
      </c>
      <c r="C2263" s="4" t="s">
        <v>11</v>
      </c>
      <c r="D2263" s="7">
        <v>23.02</v>
      </c>
      <c r="E2263" s="4" t="s">
        <v>24</v>
      </c>
      <c r="F2263" s="4" t="s">
        <v>13</v>
      </c>
      <c r="G2263" s="4" t="s">
        <v>51</v>
      </c>
      <c r="H2263" s="4" t="s">
        <v>56</v>
      </c>
      <c r="I2263" s="5">
        <v>45557</v>
      </c>
      <c r="J2263" s="4">
        <f t="shared" si="35"/>
        <v>19</v>
      </c>
    </row>
    <row r="2264" spans="1:10" x14ac:dyDescent="0.25">
      <c r="A2264" s="4">
        <f>_xlfn.XLOOKUP(E2264,'Data Validation'!$M$3:$M$10,'Data Validation'!$N$3:$N$10)</f>
        <v>5</v>
      </c>
      <c r="B2264" s="4">
        <v>10</v>
      </c>
      <c r="C2264" s="4" t="s">
        <v>11</v>
      </c>
      <c r="D2264" s="7">
        <v>23.02</v>
      </c>
      <c r="E2264" s="4" t="s">
        <v>24</v>
      </c>
      <c r="F2264" s="4" t="s">
        <v>13</v>
      </c>
      <c r="G2264" s="4" t="s">
        <v>45</v>
      </c>
      <c r="H2264" s="4" t="s">
        <v>56</v>
      </c>
      <c r="I2264" s="5">
        <v>45558</v>
      </c>
      <c r="J2264" s="4">
        <f t="shared" si="35"/>
        <v>19</v>
      </c>
    </row>
    <row r="2265" spans="1:10" x14ac:dyDescent="0.25">
      <c r="A2265" s="4">
        <f>_xlfn.XLOOKUP(E2265,'Data Validation'!$M$3:$M$10,'Data Validation'!$N$3:$N$10)</f>
        <v>5</v>
      </c>
      <c r="B2265" s="4">
        <v>14</v>
      </c>
      <c r="C2265" s="4" t="s">
        <v>11</v>
      </c>
      <c r="D2265" s="7">
        <v>23.02</v>
      </c>
      <c r="E2265" s="4" t="s">
        <v>24</v>
      </c>
      <c r="F2265" s="4" t="s">
        <v>17</v>
      </c>
      <c r="G2265" s="4" t="s">
        <v>46</v>
      </c>
      <c r="H2265" s="4" t="s">
        <v>56</v>
      </c>
      <c r="I2265" s="5">
        <v>45559</v>
      </c>
      <c r="J2265" s="4">
        <f t="shared" si="35"/>
        <v>19</v>
      </c>
    </row>
    <row r="2266" spans="1:10" x14ac:dyDescent="0.25">
      <c r="A2266" s="4">
        <f>_xlfn.XLOOKUP(E2266,'Data Validation'!$M$3:$M$10,'Data Validation'!$N$3:$N$10)</f>
        <v>5</v>
      </c>
      <c r="B2266" s="4">
        <v>11</v>
      </c>
      <c r="C2266" s="4" t="s">
        <v>11</v>
      </c>
      <c r="D2266" s="7">
        <v>23.02</v>
      </c>
      <c r="E2266" s="4" t="s">
        <v>24</v>
      </c>
      <c r="F2266" s="4" t="s">
        <v>13</v>
      </c>
      <c r="G2266" s="4" t="s">
        <v>47</v>
      </c>
      <c r="H2266" s="4" t="s">
        <v>56</v>
      </c>
      <c r="I2266" s="5">
        <v>45560</v>
      </c>
      <c r="J2266" s="4">
        <f t="shared" si="35"/>
        <v>19</v>
      </c>
    </row>
    <row r="2267" spans="1:10" x14ac:dyDescent="0.25">
      <c r="A2267" s="4">
        <f>_xlfn.XLOOKUP(E2267,'Data Validation'!$M$3:$M$10,'Data Validation'!$N$3:$N$10)</f>
        <v>5</v>
      </c>
      <c r="B2267" s="4">
        <v>22</v>
      </c>
      <c r="C2267" s="4" t="s">
        <v>11</v>
      </c>
      <c r="D2267" s="7">
        <v>23.02</v>
      </c>
      <c r="E2267" s="4" t="s">
        <v>24</v>
      </c>
      <c r="F2267" s="4" t="s">
        <v>20</v>
      </c>
      <c r="G2267" s="4" t="s">
        <v>48</v>
      </c>
      <c r="H2267" s="4" t="s">
        <v>56</v>
      </c>
      <c r="I2267" s="5">
        <v>45561</v>
      </c>
      <c r="J2267" s="4">
        <f t="shared" si="35"/>
        <v>19</v>
      </c>
    </row>
    <row r="2268" spans="1:10" x14ac:dyDescent="0.25">
      <c r="A2268" s="4">
        <f>_xlfn.XLOOKUP(E2268,'Data Validation'!$M$3:$M$10,'Data Validation'!$N$3:$N$10)</f>
        <v>5</v>
      </c>
      <c r="B2268" s="4">
        <v>9</v>
      </c>
      <c r="C2268" s="4" t="s">
        <v>11</v>
      </c>
      <c r="D2268" s="7">
        <v>23.02</v>
      </c>
      <c r="E2268" s="4" t="s">
        <v>24</v>
      </c>
      <c r="F2268" s="4" t="s">
        <v>13</v>
      </c>
      <c r="G2268" s="4" t="s">
        <v>49</v>
      </c>
      <c r="H2268" s="4" t="s">
        <v>56</v>
      </c>
      <c r="I2268" s="5">
        <v>45562</v>
      </c>
      <c r="J2268" s="4">
        <f t="shared" si="35"/>
        <v>19</v>
      </c>
    </row>
    <row r="2269" spans="1:10" x14ac:dyDescent="0.25">
      <c r="A2269" s="4">
        <f>_xlfn.XLOOKUP(E2269,'Data Validation'!$M$3:$M$10,'Data Validation'!$N$3:$N$10)</f>
        <v>5</v>
      </c>
      <c r="B2269" s="4">
        <v>22</v>
      </c>
      <c r="C2269" s="4" t="s">
        <v>11</v>
      </c>
      <c r="D2269" s="7">
        <v>25.96</v>
      </c>
      <c r="E2269" s="4" t="s">
        <v>24</v>
      </c>
      <c r="F2269" s="4" t="s">
        <v>20</v>
      </c>
      <c r="G2269" s="4" t="s">
        <v>50</v>
      </c>
      <c r="H2269" s="4" t="s">
        <v>56</v>
      </c>
      <c r="I2269" s="5">
        <v>45563</v>
      </c>
      <c r="J2269" s="4">
        <f t="shared" si="35"/>
        <v>20</v>
      </c>
    </row>
    <row r="2270" spans="1:10" x14ac:dyDescent="0.25">
      <c r="A2270" s="4">
        <f>_xlfn.XLOOKUP(E2270,'Data Validation'!$M$3:$M$10,'Data Validation'!$N$3:$N$10)</f>
        <v>5</v>
      </c>
      <c r="B2270" s="4">
        <v>12</v>
      </c>
      <c r="C2270" s="4" t="s">
        <v>11</v>
      </c>
      <c r="D2270" s="7">
        <v>25.96</v>
      </c>
      <c r="E2270" s="4" t="s">
        <v>24</v>
      </c>
      <c r="F2270" s="4" t="s">
        <v>17</v>
      </c>
      <c r="G2270" s="4" t="s">
        <v>51</v>
      </c>
      <c r="H2270" s="4" t="s">
        <v>56</v>
      </c>
      <c r="I2270" s="5">
        <v>45564</v>
      </c>
      <c r="J2270" s="4">
        <f t="shared" si="35"/>
        <v>20</v>
      </c>
    </row>
    <row r="2271" spans="1:10" x14ac:dyDescent="0.25">
      <c r="A2271" s="4">
        <f>_xlfn.XLOOKUP(E2271,'Data Validation'!$M$3:$M$10,'Data Validation'!$N$3:$N$10)</f>
        <v>5</v>
      </c>
      <c r="B2271" s="4">
        <v>8</v>
      </c>
      <c r="C2271" s="4" t="s">
        <v>11</v>
      </c>
      <c r="D2271" s="7">
        <v>25.96</v>
      </c>
      <c r="E2271" s="4" t="s">
        <v>24</v>
      </c>
      <c r="F2271" s="4" t="s">
        <v>13</v>
      </c>
      <c r="G2271" s="4" t="s">
        <v>45</v>
      </c>
      <c r="H2271" s="4" t="s">
        <v>56</v>
      </c>
      <c r="I2271" s="5">
        <v>45565</v>
      </c>
      <c r="J2271" s="4">
        <f t="shared" si="35"/>
        <v>20</v>
      </c>
    </row>
    <row r="2272" spans="1:10" x14ac:dyDescent="0.25">
      <c r="A2272" s="4">
        <f>_xlfn.XLOOKUP(E2272,'Data Validation'!$M$3:$M$10,'Data Validation'!$N$3:$N$10)</f>
        <v>5</v>
      </c>
      <c r="B2272" s="4">
        <v>8</v>
      </c>
      <c r="C2272" s="4" t="s">
        <v>11</v>
      </c>
      <c r="D2272" s="7">
        <v>25.96</v>
      </c>
      <c r="E2272" s="4" t="s">
        <v>24</v>
      </c>
      <c r="F2272" s="4" t="s">
        <v>13</v>
      </c>
      <c r="G2272" s="4" t="s">
        <v>45</v>
      </c>
      <c r="H2272" s="4" t="s">
        <v>56</v>
      </c>
      <c r="I2272" s="5">
        <v>45565</v>
      </c>
      <c r="J2272" s="4">
        <f t="shared" si="35"/>
        <v>20</v>
      </c>
    </row>
    <row r="2273" spans="1:10" x14ac:dyDescent="0.25">
      <c r="A2273" s="4">
        <f>_xlfn.XLOOKUP(E2273,'Data Validation'!$M$3:$M$10,'Data Validation'!$N$3:$N$10)</f>
        <v>5</v>
      </c>
      <c r="B2273" s="4">
        <v>10</v>
      </c>
      <c r="C2273" s="4" t="s">
        <v>11</v>
      </c>
      <c r="D2273" s="7">
        <v>25.96</v>
      </c>
      <c r="E2273" s="4" t="s">
        <v>24</v>
      </c>
      <c r="F2273" s="4" t="s">
        <v>13</v>
      </c>
      <c r="G2273" s="4" t="s">
        <v>45</v>
      </c>
      <c r="H2273" s="4" t="s">
        <v>56</v>
      </c>
      <c r="I2273" s="5">
        <v>45565</v>
      </c>
      <c r="J2273" s="4">
        <f t="shared" si="35"/>
        <v>20</v>
      </c>
    </row>
    <row r="2274" spans="1:10" x14ac:dyDescent="0.25">
      <c r="A2274" s="4">
        <f>_xlfn.XLOOKUP(E2274,'Data Validation'!$M$3:$M$10,'Data Validation'!$N$3:$N$10)</f>
        <v>5</v>
      </c>
      <c r="B2274" s="4">
        <v>19</v>
      </c>
      <c r="C2274" s="4" t="s">
        <v>11</v>
      </c>
      <c r="D2274" s="7">
        <v>25.96</v>
      </c>
      <c r="E2274" s="4" t="s">
        <v>24</v>
      </c>
      <c r="F2274" s="4" t="s">
        <v>20</v>
      </c>
      <c r="G2274" s="4" t="s">
        <v>45</v>
      </c>
      <c r="H2274" s="4" t="s">
        <v>56</v>
      </c>
      <c r="I2274" s="5">
        <v>45565</v>
      </c>
      <c r="J2274" s="4">
        <f t="shared" si="35"/>
        <v>20</v>
      </c>
    </row>
    <row r="2275" spans="1:10" x14ac:dyDescent="0.25">
      <c r="A2275" s="4">
        <f>_xlfn.XLOOKUP(E2275,'Data Validation'!$M$3:$M$10,'Data Validation'!$N$3:$N$10)</f>
        <v>5</v>
      </c>
      <c r="B2275" s="4">
        <v>8</v>
      </c>
      <c r="C2275" s="4" t="s">
        <v>11</v>
      </c>
      <c r="D2275" s="7">
        <v>25.96</v>
      </c>
      <c r="E2275" s="4" t="s">
        <v>24</v>
      </c>
      <c r="F2275" s="4" t="s">
        <v>13</v>
      </c>
      <c r="G2275" s="4" t="s">
        <v>47</v>
      </c>
      <c r="H2275" s="4" t="s">
        <v>57</v>
      </c>
      <c r="I2275" s="5">
        <v>45567</v>
      </c>
      <c r="J2275" s="4">
        <f t="shared" si="35"/>
        <v>20</v>
      </c>
    </row>
    <row r="2276" spans="1:10" x14ac:dyDescent="0.25">
      <c r="A2276" s="4">
        <f>_xlfn.XLOOKUP(E2276,'Data Validation'!$M$3:$M$10,'Data Validation'!$N$3:$N$10)</f>
        <v>5</v>
      </c>
      <c r="B2276" s="4">
        <v>20</v>
      </c>
      <c r="C2276" s="4" t="s">
        <v>11</v>
      </c>
      <c r="D2276" s="7">
        <v>25.96</v>
      </c>
      <c r="E2276" s="4" t="s">
        <v>24</v>
      </c>
      <c r="F2276" s="4" t="s">
        <v>20</v>
      </c>
      <c r="G2276" s="4" t="s">
        <v>48</v>
      </c>
      <c r="H2276" s="4" t="s">
        <v>57</v>
      </c>
      <c r="I2276" s="5">
        <v>45568</v>
      </c>
      <c r="J2276" s="4">
        <f t="shared" si="35"/>
        <v>20</v>
      </c>
    </row>
    <row r="2277" spans="1:10" x14ac:dyDescent="0.25">
      <c r="A2277" s="4">
        <f>_xlfn.XLOOKUP(E2277,'Data Validation'!$M$3:$M$10,'Data Validation'!$N$3:$N$10)</f>
        <v>5</v>
      </c>
      <c r="B2277" s="4">
        <v>9</v>
      </c>
      <c r="C2277" s="4" t="s">
        <v>11</v>
      </c>
      <c r="D2277" s="7">
        <v>25.96</v>
      </c>
      <c r="E2277" s="4" t="s">
        <v>24</v>
      </c>
      <c r="F2277" s="4" t="s">
        <v>13</v>
      </c>
      <c r="G2277" s="4" t="s">
        <v>49</v>
      </c>
      <c r="H2277" s="4" t="s">
        <v>57</v>
      </c>
      <c r="I2277" s="5">
        <v>45569</v>
      </c>
      <c r="J2277" s="4">
        <f t="shared" si="35"/>
        <v>20</v>
      </c>
    </row>
    <row r="2278" spans="1:10" x14ac:dyDescent="0.25">
      <c r="A2278" s="4">
        <f>_xlfn.XLOOKUP(E2278,'Data Validation'!$M$3:$M$10,'Data Validation'!$N$3:$N$10)</f>
        <v>5</v>
      </c>
      <c r="B2278" s="4">
        <v>9</v>
      </c>
      <c r="C2278" s="4" t="s">
        <v>11</v>
      </c>
      <c r="D2278" s="7">
        <v>25.96</v>
      </c>
      <c r="E2278" s="4" t="s">
        <v>24</v>
      </c>
      <c r="F2278" s="4" t="s">
        <v>13</v>
      </c>
      <c r="G2278" s="4" t="s">
        <v>49</v>
      </c>
      <c r="H2278" s="4" t="s">
        <v>57</v>
      </c>
      <c r="I2278" s="5">
        <v>45569</v>
      </c>
      <c r="J2278" s="4">
        <f t="shared" si="35"/>
        <v>20</v>
      </c>
    </row>
    <row r="2279" spans="1:10" x14ac:dyDescent="0.25">
      <c r="A2279" s="4">
        <f>_xlfn.XLOOKUP(E2279,'Data Validation'!$M$3:$M$10,'Data Validation'!$N$3:$N$10)</f>
        <v>5</v>
      </c>
      <c r="B2279" s="4">
        <v>9</v>
      </c>
      <c r="C2279" s="4" t="s">
        <v>11</v>
      </c>
      <c r="D2279" s="7">
        <v>25.96</v>
      </c>
      <c r="E2279" s="4" t="s">
        <v>24</v>
      </c>
      <c r="F2279" s="4" t="s">
        <v>13</v>
      </c>
      <c r="G2279" s="4" t="s">
        <v>50</v>
      </c>
      <c r="H2279" s="4" t="s">
        <v>57</v>
      </c>
      <c r="I2279" s="5">
        <v>45570</v>
      </c>
      <c r="J2279" s="4">
        <f t="shared" si="35"/>
        <v>20</v>
      </c>
    </row>
    <row r="2280" spans="1:10" x14ac:dyDescent="0.25">
      <c r="A2280" s="4">
        <f>_xlfn.XLOOKUP(E2280,'Data Validation'!$M$3:$M$10,'Data Validation'!$N$3:$N$10)</f>
        <v>5</v>
      </c>
      <c r="B2280" s="4">
        <v>9</v>
      </c>
      <c r="C2280" s="4" t="s">
        <v>11</v>
      </c>
      <c r="D2280" s="7">
        <v>25.96</v>
      </c>
      <c r="E2280" s="4" t="s">
        <v>24</v>
      </c>
      <c r="F2280" s="4" t="s">
        <v>13</v>
      </c>
      <c r="G2280" s="4" t="s">
        <v>50</v>
      </c>
      <c r="H2280" s="4" t="s">
        <v>57</v>
      </c>
      <c r="I2280" s="5">
        <v>45570</v>
      </c>
      <c r="J2280" s="4">
        <f t="shared" si="35"/>
        <v>20</v>
      </c>
    </row>
    <row r="2281" spans="1:10" x14ac:dyDescent="0.25">
      <c r="A2281" s="4">
        <f>_xlfn.XLOOKUP(E2281,'Data Validation'!$M$3:$M$10,'Data Validation'!$N$3:$N$10)</f>
        <v>5</v>
      </c>
      <c r="B2281" s="4">
        <v>8</v>
      </c>
      <c r="C2281" s="4" t="s">
        <v>11</v>
      </c>
      <c r="D2281" s="7">
        <v>25.96</v>
      </c>
      <c r="E2281" s="4" t="s">
        <v>24</v>
      </c>
      <c r="F2281" s="4" t="s">
        <v>13</v>
      </c>
      <c r="G2281" s="4" t="s">
        <v>51</v>
      </c>
      <c r="H2281" s="4" t="s">
        <v>57</v>
      </c>
      <c r="I2281" s="5">
        <v>45571</v>
      </c>
      <c r="J2281" s="4">
        <f t="shared" si="35"/>
        <v>20</v>
      </c>
    </row>
    <row r="2282" spans="1:10" x14ac:dyDescent="0.25">
      <c r="A2282" s="4">
        <f>_xlfn.XLOOKUP(E2282,'Data Validation'!$M$3:$M$10,'Data Validation'!$N$3:$N$10)</f>
        <v>5</v>
      </c>
      <c r="B2282" s="4">
        <v>10</v>
      </c>
      <c r="C2282" s="4" t="s">
        <v>11</v>
      </c>
      <c r="D2282" s="7">
        <v>25.96</v>
      </c>
      <c r="E2282" s="4" t="s">
        <v>24</v>
      </c>
      <c r="F2282" s="4" t="s">
        <v>13</v>
      </c>
      <c r="G2282" s="4" t="s">
        <v>51</v>
      </c>
      <c r="H2282" s="4" t="s">
        <v>57</v>
      </c>
      <c r="I2282" s="5">
        <v>45571</v>
      </c>
      <c r="J2282" s="4">
        <f t="shared" si="35"/>
        <v>20</v>
      </c>
    </row>
    <row r="2283" spans="1:10" x14ac:dyDescent="0.25">
      <c r="A2283" s="4">
        <f>_xlfn.XLOOKUP(E2283,'Data Validation'!$M$3:$M$10,'Data Validation'!$N$3:$N$10)</f>
        <v>5</v>
      </c>
      <c r="B2283" s="4">
        <v>10</v>
      </c>
      <c r="C2283" s="4" t="s">
        <v>11</v>
      </c>
      <c r="D2283" s="7">
        <v>25.96</v>
      </c>
      <c r="E2283" s="4" t="s">
        <v>24</v>
      </c>
      <c r="F2283" s="4" t="s">
        <v>13</v>
      </c>
      <c r="G2283" s="4" t="s">
        <v>48</v>
      </c>
      <c r="H2283" s="4" t="s">
        <v>57</v>
      </c>
      <c r="I2283" s="5">
        <v>45575</v>
      </c>
      <c r="J2283" s="4">
        <f t="shared" si="35"/>
        <v>20</v>
      </c>
    </row>
    <row r="2284" spans="1:10" x14ac:dyDescent="0.25">
      <c r="A2284" s="4">
        <f>_xlfn.XLOOKUP(E2284,'Data Validation'!$M$3:$M$10,'Data Validation'!$N$3:$N$10)</f>
        <v>5</v>
      </c>
      <c r="B2284" s="4">
        <v>10</v>
      </c>
      <c r="C2284" s="4" t="s">
        <v>11</v>
      </c>
      <c r="D2284" s="7">
        <v>25.96</v>
      </c>
      <c r="E2284" s="4" t="s">
        <v>24</v>
      </c>
      <c r="F2284" s="4" t="s">
        <v>13</v>
      </c>
      <c r="G2284" s="4" t="s">
        <v>48</v>
      </c>
      <c r="H2284" s="4" t="s">
        <v>57</v>
      </c>
      <c r="I2284" s="5">
        <v>45575</v>
      </c>
      <c r="J2284" s="4">
        <f t="shared" si="35"/>
        <v>20</v>
      </c>
    </row>
    <row r="2285" spans="1:10" x14ac:dyDescent="0.25">
      <c r="A2285" s="4">
        <f>_xlfn.XLOOKUP(E2285,'Data Validation'!$M$3:$M$10,'Data Validation'!$N$3:$N$10)</f>
        <v>5</v>
      </c>
      <c r="B2285" s="4">
        <v>8</v>
      </c>
      <c r="C2285" s="4" t="s">
        <v>11</v>
      </c>
      <c r="D2285" s="7">
        <v>25.96</v>
      </c>
      <c r="E2285" s="4" t="s">
        <v>24</v>
      </c>
      <c r="F2285" s="4" t="s">
        <v>13</v>
      </c>
      <c r="G2285" s="4" t="s">
        <v>49</v>
      </c>
      <c r="H2285" s="4" t="s">
        <v>57</v>
      </c>
      <c r="I2285" s="5">
        <v>45576</v>
      </c>
      <c r="J2285" s="4">
        <f t="shared" si="35"/>
        <v>20</v>
      </c>
    </row>
    <row r="2286" spans="1:10" x14ac:dyDescent="0.25">
      <c r="A2286" s="4">
        <f>_xlfn.XLOOKUP(E2286,'Data Validation'!$M$3:$M$10,'Data Validation'!$N$3:$N$10)</f>
        <v>5</v>
      </c>
      <c r="B2286" s="4">
        <v>9</v>
      </c>
      <c r="C2286" s="4" t="s">
        <v>11</v>
      </c>
      <c r="D2286" s="7">
        <v>25.96</v>
      </c>
      <c r="E2286" s="4" t="s">
        <v>24</v>
      </c>
      <c r="F2286" s="4" t="s">
        <v>13</v>
      </c>
      <c r="G2286" s="4" t="s">
        <v>49</v>
      </c>
      <c r="H2286" s="4" t="s">
        <v>57</v>
      </c>
      <c r="I2286" s="5">
        <v>45576</v>
      </c>
      <c r="J2286" s="4">
        <f t="shared" si="35"/>
        <v>20</v>
      </c>
    </row>
    <row r="2287" spans="1:10" x14ac:dyDescent="0.25">
      <c r="A2287" s="4">
        <f>_xlfn.XLOOKUP(E2287,'Data Validation'!$M$3:$M$10,'Data Validation'!$N$3:$N$10)</f>
        <v>5</v>
      </c>
      <c r="B2287" s="4">
        <v>8</v>
      </c>
      <c r="C2287" s="4" t="s">
        <v>11</v>
      </c>
      <c r="D2287" s="7">
        <v>25.96</v>
      </c>
      <c r="E2287" s="4" t="s">
        <v>24</v>
      </c>
      <c r="F2287" s="4" t="s">
        <v>13</v>
      </c>
      <c r="G2287" s="4" t="s">
        <v>50</v>
      </c>
      <c r="H2287" s="4" t="s">
        <v>57</v>
      </c>
      <c r="I2287" s="5">
        <v>45577</v>
      </c>
      <c r="J2287" s="4">
        <f t="shared" si="35"/>
        <v>20</v>
      </c>
    </row>
    <row r="2288" spans="1:10" x14ac:dyDescent="0.25">
      <c r="A2288" s="4">
        <f>_xlfn.XLOOKUP(E2288,'Data Validation'!$M$3:$M$10,'Data Validation'!$N$3:$N$10)</f>
        <v>5</v>
      </c>
      <c r="B2288" s="4">
        <v>10</v>
      </c>
      <c r="C2288" s="4" t="s">
        <v>11</v>
      </c>
      <c r="D2288" s="7">
        <v>25.96</v>
      </c>
      <c r="E2288" s="4" t="s">
        <v>24</v>
      </c>
      <c r="F2288" s="4" t="s">
        <v>13</v>
      </c>
      <c r="G2288" s="4" t="s">
        <v>50</v>
      </c>
      <c r="H2288" s="4" t="s">
        <v>57</v>
      </c>
      <c r="I2288" s="5">
        <v>45577</v>
      </c>
      <c r="J2288" s="4">
        <f t="shared" si="35"/>
        <v>20</v>
      </c>
    </row>
    <row r="2289" spans="1:10" x14ac:dyDescent="0.25">
      <c r="A2289" s="4">
        <f>_xlfn.XLOOKUP(E2289,'Data Validation'!$M$3:$M$10,'Data Validation'!$N$3:$N$10)</f>
        <v>5</v>
      </c>
      <c r="B2289" s="4">
        <v>10</v>
      </c>
      <c r="C2289" s="4" t="s">
        <v>11</v>
      </c>
      <c r="D2289" s="7">
        <v>25.96</v>
      </c>
      <c r="E2289" s="4" t="s">
        <v>24</v>
      </c>
      <c r="F2289" s="4" t="s">
        <v>13</v>
      </c>
      <c r="G2289" s="4" t="s">
        <v>50</v>
      </c>
      <c r="H2289" s="4" t="s">
        <v>57</v>
      </c>
      <c r="I2289" s="5">
        <v>45577</v>
      </c>
      <c r="J2289" s="4">
        <f t="shared" si="35"/>
        <v>20</v>
      </c>
    </row>
    <row r="2290" spans="1:10" x14ac:dyDescent="0.25">
      <c r="A2290" s="4">
        <f>_xlfn.XLOOKUP(E2290,'Data Validation'!$M$3:$M$10,'Data Validation'!$N$3:$N$10)</f>
        <v>5</v>
      </c>
      <c r="B2290" s="4">
        <v>9</v>
      </c>
      <c r="C2290" s="4" t="s">
        <v>11</v>
      </c>
      <c r="D2290" s="7">
        <v>25.96</v>
      </c>
      <c r="E2290" s="4" t="s">
        <v>24</v>
      </c>
      <c r="F2290" s="4" t="s">
        <v>13</v>
      </c>
      <c r="G2290" s="4" t="s">
        <v>51</v>
      </c>
      <c r="H2290" s="4" t="s">
        <v>57</v>
      </c>
      <c r="I2290" s="5">
        <v>45578</v>
      </c>
      <c r="J2290" s="4">
        <f t="shared" si="35"/>
        <v>20</v>
      </c>
    </row>
    <row r="2291" spans="1:10" x14ac:dyDescent="0.25">
      <c r="A2291" s="4">
        <f>_xlfn.XLOOKUP(E2291,'Data Validation'!$M$3:$M$10,'Data Validation'!$N$3:$N$10)</f>
        <v>5</v>
      </c>
      <c r="B2291" s="4">
        <v>13</v>
      </c>
      <c r="C2291" s="4" t="s">
        <v>11</v>
      </c>
      <c r="D2291" s="7">
        <v>25.96</v>
      </c>
      <c r="E2291" s="4" t="s">
        <v>24</v>
      </c>
      <c r="F2291" s="4" t="s">
        <v>17</v>
      </c>
      <c r="G2291" s="4" t="s">
        <v>51</v>
      </c>
      <c r="H2291" s="4" t="s">
        <v>57</v>
      </c>
      <c r="I2291" s="5">
        <v>45578</v>
      </c>
      <c r="J2291" s="4">
        <f t="shared" si="35"/>
        <v>20</v>
      </c>
    </row>
    <row r="2292" spans="1:10" x14ac:dyDescent="0.25">
      <c r="A2292" s="4">
        <f>_xlfn.XLOOKUP(E2292,'Data Validation'!$M$3:$M$10,'Data Validation'!$N$3:$N$10)</f>
        <v>5</v>
      </c>
      <c r="B2292" s="4">
        <v>13</v>
      </c>
      <c r="C2292" s="4" t="s">
        <v>11</v>
      </c>
      <c r="D2292" s="7">
        <v>25.96</v>
      </c>
      <c r="E2292" s="4" t="s">
        <v>24</v>
      </c>
      <c r="F2292" s="4" t="s">
        <v>17</v>
      </c>
      <c r="G2292" s="4" t="s">
        <v>51</v>
      </c>
      <c r="H2292" s="4" t="s">
        <v>57</v>
      </c>
      <c r="I2292" s="5">
        <v>45578</v>
      </c>
      <c r="J2292" s="4">
        <f t="shared" si="35"/>
        <v>20</v>
      </c>
    </row>
    <row r="2293" spans="1:10" x14ac:dyDescent="0.25">
      <c r="A2293" s="4">
        <f>_xlfn.XLOOKUP(E2293,'Data Validation'!$M$3:$M$10,'Data Validation'!$N$3:$N$10)</f>
        <v>5</v>
      </c>
      <c r="B2293" s="4">
        <v>10</v>
      </c>
      <c r="C2293" s="4" t="s">
        <v>11</v>
      </c>
      <c r="D2293" s="7">
        <v>25.96</v>
      </c>
      <c r="E2293" s="4" t="s">
        <v>24</v>
      </c>
      <c r="F2293" s="4" t="s">
        <v>13</v>
      </c>
      <c r="G2293" s="4" t="s">
        <v>45</v>
      </c>
      <c r="H2293" s="4" t="s">
        <v>57</v>
      </c>
      <c r="I2293" s="5">
        <v>45579</v>
      </c>
      <c r="J2293" s="4">
        <f t="shared" si="35"/>
        <v>20</v>
      </c>
    </row>
    <row r="2294" spans="1:10" x14ac:dyDescent="0.25">
      <c r="A2294" s="4">
        <f>_xlfn.XLOOKUP(E2294,'Data Validation'!$M$3:$M$10,'Data Validation'!$N$3:$N$10)</f>
        <v>5</v>
      </c>
      <c r="B2294" s="4">
        <v>8</v>
      </c>
      <c r="C2294" s="4" t="s">
        <v>11</v>
      </c>
      <c r="D2294" s="7">
        <v>25.96</v>
      </c>
      <c r="E2294" s="4" t="s">
        <v>24</v>
      </c>
      <c r="F2294" s="4" t="s">
        <v>13</v>
      </c>
      <c r="G2294" s="4" t="s">
        <v>46</v>
      </c>
      <c r="H2294" s="4" t="s">
        <v>57</v>
      </c>
      <c r="I2294" s="5">
        <v>45580</v>
      </c>
      <c r="J2294" s="4">
        <f t="shared" si="35"/>
        <v>20</v>
      </c>
    </row>
    <row r="2295" spans="1:10" x14ac:dyDescent="0.25">
      <c r="A2295" s="4">
        <f>_xlfn.XLOOKUP(E2295,'Data Validation'!$M$3:$M$10,'Data Validation'!$N$3:$N$10)</f>
        <v>5</v>
      </c>
      <c r="B2295" s="4">
        <v>14</v>
      </c>
      <c r="C2295" s="4" t="s">
        <v>11</v>
      </c>
      <c r="D2295" s="7">
        <v>25.96</v>
      </c>
      <c r="E2295" s="4" t="s">
        <v>24</v>
      </c>
      <c r="F2295" s="4" t="s">
        <v>17</v>
      </c>
      <c r="G2295" s="4" t="s">
        <v>51</v>
      </c>
      <c r="H2295" s="4" t="s">
        <v>57</v>
      </c>
      <c r="I2295" s="5">
        <v>45585</v>
      </c>
      <c r="J2295" s="4">
        <f t="shared" si="35"/>
        <v>20</v>
      </c>
    </row>
    <row r="2296" spans="1:10" x14ac:dyDescent="0.25">
      <c r="A2296" s="4">
        <f>_xlfn.XLOOKUP(E2296,'Data Validation'!$M$3:$M$10,'Data Validation'!$N$3:$N$10)</f>
        <v>5</v>
      </c>
      <c r="B2296" s="4">
        <v>21</v>
      </c>
      <c r="C2296" s="4" t="s">
        <v>11</v>
      </c>
      <c r="D2296" s="7">
        <v>25.96</v>
      </c>
      <c r="E2296" s="4" t="s">
        <v>24</v>
      </c>
      <c r="F2296" s="4" t="s">
        <v>20</v>
      </c>
      <c r="G2296" s="4" t="s">
        <v>51</v>
      </c>
      <c r="H2296" s="4" t="s">
        <v>57</v>
      </c>
      <c r="I2296" s="5">
        <v>45585</v>
      </c>
      <c r="J2296" s="4">
        <f t="shared" si="35"/>
        <v>20</v>
      </c>
    </row>
    <row r="2297" spans="1:10" x14ac:dyDescent="0.25">
      <c r="A2297" s="4">
        <f>_xlfn.XLOOKUP(E2297,'Data Validation'!$M$3:$M$10,'Data Validation'!$N$3:$N$10)</f>
        <v>5</v>
      </c>
      <c r="B2297" s="4">
        <v>10</v>
      </c>
      <c r="C2297" s="4" t="s">
        <v>11</v>
      </c>
      <c r="D2297" s="7">
        <v>25.96</v>
      </c>
      <c r="E2297" s="4" t="s">
        <v>24</v>
      </c>
      <c r="F2297" s="4" t="s">
        <v>13</v>
      </c>
      <c r="G2297" s="4" t="s">
        <v>45</v>
      </c>
      <c r="H2297" s="4" t="s">
        <v>57</v>
      </c>
      <c r="I2297" s="5">
        <v>45586</v>
      </c>
      <c r="J2297" s="4">
        <f t="shared" si="35"/>
        <v>20</v>
      </c>
    </row>
    <row r="2298" spans="1:10" x14ac:dyDescent="0.25">
      <c r="A2298" s="4">
        <f>_xlfn.XLOOKUP(E2298,'Data Validation'!$M$3:$M$10,'Data Validation'!$N$3:$N$10)</f>
        <v>5</v>
      </c>
      <c r="B2298" s="4">
        <v>10</v>
      </c>
      <c r="C2298" s="4" t="s">
        <v>11</v>
      </c>
      <c r="D2298" s="7">
        <v>25.96</v>
      </c>
      <c r="E2298" s="4" t="s">
        <v>24</v>
      </c>
      <c r="F2298" s="4" t="s">
        <v>13</v>
      </c>
      <c r="G2298" s="4" t="s">
        <v>45</v>
      </c>
      <c r="H2298" s="4" t="s">
        <v>57</v>
      </c>
      <c r="I2298" s="5">
        <v>45586</v>
      </c>
      <c r="J2298" s="4">
        <f t="shared" si="35"/>
        <v>20</v>
      </c>
    </row>
    <row r="2299" spans="1:10" x14ac:dyDescent="0.25">
      <c r="A2299" s="4">
        <f>_xlfn.XLOOKUP(E2299,'Data Validation'!$M$3:$M$10,'Data Validation'!$N$3:$N$10)</f>
        <v>5</v>
      </c>
      <c r="B2299" s="4">
        <v>15</v>
      </c>
      <c r="C2299" s="4" t="s">
        <v>11</v>
      </c>
      <c r="D2299" s="7">
        <v>25.96</v>
      </c>
      <c r="E2299" s="4" t="s">
        <v>24</v>
      </c>
      <c r="F2299" s="4" t="s">
        <v>17</v>
      </c>
      <c r="G2299" s="4" t="s">
        <v>45</v>
      </c>
      <c r="H2299" s="4" t="s">
        <v>57</v>
      </c>
      <c r="I2299" s="5">
        <v>45586</v>
      </c>
      <c r="J2299" s="4">
        <f t="shared" si="35"/>
        <v>20</v>
      </c>
    </row>
    <row r="2300" spans="1:10" x14ac:dyDescent="0.25">
      <c r="A2300" s="4">
        <f>_xlfn.XLOOKUP(E2300,'Data Validation'!$M$3:$M$10,'Data Validation'!$N$3:$N$10)</f>
        <v>5</v>
      </c>
      <c r="B2300" s="4">
        <v>9</v>
      </c>
      <c r="C2300" s="4" t="s">
        <v>11</v>
      </c>
      <c r="D2300" s="7">
        <v>25.96</v>
      </c>
      <c r="E2300" s="4" t="s">
        <v>24</v>
      </c>
      <c r="F2300" s="4" t="s">
        <v>13</v>
      </c>
      <c r="G2300" s="4" t="s">
        <v>46</v>
      </c>
      <c r="H2300" s="4" t="s">
        <v>57</v>
      </c>
      <c r="I2300" s="5">
        <v>45587</v>
      </c>
      <c r="J2300" s="4">
        <f t="shared" si="35"/>
        <v>20</v>
      </c>
    </row>
    <row r="2301" spans="1:10" x14ac:dyDescent="0.25">
      <c r="A2301" s="4">
        <f>_xlfn.XLOOKUP(E2301,'Data Validation'!$M$3:$M$10,'Data Validation'!$N$3:$N$10)</f>
        <v>5</v>
      </c>
      <c r="B2301" s="4">
        <v>10</v>
      </c>
      <c r="C2301" s="4" t="s">
        <v>11</v>
      </c>
      <c r="D2301" s="7">
        <v>25.96</v>
      </c>
      <c r="E2301" s="4" t="s">
        <v>24</v>
      </c>
      <c r="F2301" s="4" t="s">
        <v>13</v>
      </c>
      <c r="G2301" s="4" t="s">
        <v>46</v>
      </c>
      <c r="H2301" s="4" t="s">
        <v>57</v>
      </c>
      <c r="I2301" s="5">
        <v>45587</v>
      </c>
      <c r="J2301" s="4">
        <f t="shared" si="35"/>
        <v>20</v>
      </c>
    </row>
    <row r="2302" spans="1:10" x14ac:dyDescent="0.25">
      <c r="A2302" s="4">
        <f>_xlfn.XLOOKUP(E2302,'Data Validation'!$M$3:$M$10,'Data Validation'!$N$3:$N$10)</f>
        <v>5</v>
      </c>
      <c r="B2302" s="4">
        <v>10</v>
      </c>
      <c r="C2302" s="4" t="s">
        <v>11</v>
      </c>
      <c r="D2302" s="7">
        <v>25.96</v>
      </c>
      <c r="E2302" s="4" t="s">
        <v>24</v>
      </c>
      <c r="F2302" s="4" t="s">
        <v>13</v>
      </c>
      <c r="G2302" s="4" t="s">
        <v>47</v>
      </c>
      <c r="H2302" s="4" t="s">
        <v>57</v>
      </c>
      <c r="I2302" s="5">
        <v>45588</v>
      </c>
      <c r="J2302" s="4">
        <f t="shared" si="35"/>
        <v>20</v>
      </c>
    </row>
    <row r="2303" spans="1:10" x14ac:dyDescent="0.25">
      <c r="A2303" s="4">
        <f>_xlfn.XLOOKUP(E2303,'Data Validation'!$M$3:$M$10,'Data Validation'!$N$3:$N$10)</f>
        <v>5</v>
      </c>
      <c r="B2303" s="4">
        <v>12</v>
      </c>
      <c r="C2303" s="4" t="s">
        <v>11</v>
      </c>
      <c r="D2303" s="7">
        <v>25.96</v>
      </c>
      <c r="E2303" s="4" t="s">
        <v>24</v>
      </c>
      <c r="F2303" s="4" t="s">
        <v>17</v>
      </c>
      <c r="G2303" s="4" t="s">
        <v>49</v>
      </c>
      <c r="H2303" s="4" t="s">
        <v>57</v>
      </c>
      <c r="I2303" s="5">
        <v>45590</v>
      </c>
      <c r="J2303" s="4">
        <f t="shared" si="35"/>
        <v>20</v>
      </c>
    </row>
    <row r="2304" spans="1:10" x14ac:dyDescent="0.25">
      <c r="A2304" s="4">
        <f>_xlfn.XLOOKUP(E2304,'Data Validation'!$M$3:$M$10,'Data Validation'!$N$3:$N$10)</f>
        <v>5</v>
      </c>
      <c r="B2304" s="4">
        <v>8</v>
      </c>
      <c r="C2304" s="4" t="s">
        <v>11</v>
      </c>
      <c r="D2304" s="7">
        <v>25.96</v>
      </c>
      <c r="E2304" s="4" t="s">
        <v>24</v>
      </c>
      <c r="F2304" s="4" t="s">
        <v>13</v>
      </c>
      <c r="G2304" s="4" t="s">
        <v>50</v>
      </c>
      <c r="H2304" s="4" t="s">
        <v>57</v>
      </c>
      <c r="I2304" s="5">
        <v>45591</v>
      </c>
      <c r="J2304" s="4">
        <f t="shared" si="35"/>
        <v>20</v>
      </c>
    </row>
    <row r="2305" spans="1:10" x14ac:dyDescent="0.25">
      <c r="A2305" s="4">
        <f>_xlfn.XLOOKUP(E2305,'Data Validation'!$M$3:$M$10,'Data Validation'!$N$3:$N$10)</f>
        <v>5</v>
      </c>
      <c r="B2305" s="4">
        <v>15</v>
      </c>
      <c r="C2305" s="4" t="s">
        <v>11</v>
      </c>
      <c r="D2305" s="7">
        <v>25.96</v>
      </c>
      <c r="E2305" s="4" t="s">
        <v>24</v>
      </c>
      <c r="F2305" s="4" t="s">
        <v>17</v>
      </c>
      <c r="G2305" s="4" t="s">
        <v>50</v>
      </c>
      <c r="H2305" s="4" t="s">
        <v>57</v>
      </c>
      <c r="I2305" s="5">
        <v>45591</v>
      </c>
      <c r="J2305" s="4">
        <f t="shared" si="35"/>
        <v>20</v>
      </c>
    </row>
    <row r="2306" spans="1:10" x14ac:dyDescent="0.25">
      <c r="A2306" s="4">
        <f>_xlfn.XLOOKUP(E2306,'Data Validation'!$M$3:$M$10,'Data Validation'!$N$3:$N$10)</f>
        <v>5</v>
      </c>
      <c r="B2306" s="4">
        <v>15</v>
      </c>
      <c r="C2306" s="4" t="s">
        <v>11</v>
      </c>
      <c r="D2306" s="7">
        <v>25.96</v>
      </c>
      <c r="E2306" s="4" t="s">
        <v>24</v>
      </c>
      <c r="F2306" s="4" t="s">
        <v>17</v>
      </c>
      <c r="G2306" s="4" t="s">
        <v>50</v>
      </c>
      <c r="H2306" s="4" t="s">
        <v>57</v>
      </c>
      <c r="I2306" s="5">
        <v>45591</v>
      </c>
      <c r="J2306" s="4">
        <f t="shared" si="35"/>
        <v>20</v>
      </c>
    </row>
    <row r="2307" spans="1:10" x14ac:dyDescent="0.25">
      <c r="A2307" s="4">
        <f>_xlfn.XLOOKUP(E2307,'Data Validation'!$M$3:$M$10,'Data Validation'!$N$3:$N$10)</f>
        <v>5</v>
      </c>
      <c r="B2307" s="4">
        <v>14</v>
      </c>
      <c r="C2307" s="4" t="s">
        <v>11</v>
      </c>
      <c r="D2307" s="7">
        <v>25.96</v>
      </c>
      <c r="E2307" s="4" t="s">
        <v>24</v>
      </c>
      <c r="F2307" s="4" t="s">
        <v>17</v>
      </c>
      <c r="G2307" s="4" t="s">
        <v>46</v>
      </c>
      <c r="H2307" s="4" t="s">
        <v>57</v>
      </c>
      <c r="I2307" s="5">
        <v>45594</v>
      </c>
      <c r="J2307" s="4">
        <f t="shared" ref="J2307:J2370" si="36">IF(OR(E2307&lt;&gt;E2306,D2307&lt;&gt;D2306),J2306+1,J2306)</f>
        <v>20</v>
      </c>
    </row>
    <row r="2308" spans="1:10" x14ac:dyDescent="0.25">
      <c r="A2308" s="4">
        <f>_xlfn.XLOOKUP(E2308,'Data Validation'!$M$3:$M$10,'Data Validation'!$N$3:$N$10)</f>
        <v>5</v>
      </c>
      <c r="B2308" s="4">
        <v>14</v>
      </c>
      <c r="C2308" s="4" t="s">
        <v>11</v>
      </c>
      <c r="D2308" s="7">
        <v>25.96</v>
      </c>
      <c r="E2308" s="4" t="s">
        <v>24</v>
      </c>
      <c r="F2308" s="4" t="s">
        <v>17</v>
      </c>
      <c r="G2308" s="4" t="s">
        <v>46</v>
      </c>
      <c r="H2308" s="4" t="s">
        <v>57</v>
      </c>
      <c r="I2308" s="5">
        <v>45594</v>
      </c>
      <c r="J2308" s="4">
        <f t="shared" si="36"/>
        <v>20</v>
      </c>
    </row>
    <row r="2309" spans="1:10" x14ac:dyDescent="0.25">
      <c r="A2309" s="4">
        <f>_xlfn.XLOOKUP(E2309,'Data Validation'!$M$3:$M$10,'Data Validation'!$N$3:$N$10)</f>
        <v>5</v>
      </c>
      <c r="B2309" s="4">
        <v>15</v>
      </c>
      <c r="C2309" s="4" t="s">
        <v>11</v>
      </c>
      <c r="D2309" s="7">
        <v>25.96</v>
      </c>
      <c r="E2309" s="4" t="s">
        <v>24</v>
      </c>
      <c r="F2309" s="4" t="s">
        <v>17</v>
      </c>
      <c r="G2309" s="4" t="s">
        <v>49</v>
      </c>
      <c r="H2309" s="4" t="s">
        <v>58</v>
      </c>
      <c r="I2309" s="5">
        <v>45597</v>
      </c>
      <c r="J2309" s="4">
        <f t="shared" si="36"/>
        <v>20</v>
      </c>
    </row>
    <row r="2310" spans="1:10" x14ac:dyDescent="0.25">
      <c r="A2310" s="4">
        <f>_xlfn.XLOOKUP(E2310,'Data Validation'!$M$3:$M$10,'Data Validation'!$N$3:$N$10)</f>
        <v>5</v>
      </c>
      <c r="B2310" s="4">
        <v>8</v>
      </c>
      <c r="C2310" s="4" t="s">
        <v>11</v>
      </c>
      <c r="D2310" s="7">
        <v>25.96</v>
      </c>
      <c r="E2310" s="4" t="s">
        <v>24</v>
      </c>
      <c r="F2310" s="4" t="s">
        <v>13</v>
      </c>
      <c r="G2310" s="4" t="s">
        <v>50</v>
      </c>
      <c r="H2310" s="4" t="s">
        <v>58</v>
      </c>
      <c r="I2310" s="5">
        <v>45598</v>
      </c>
      <c r="J2310" s="4">
        <f t="shared" si="36"/>
        <v>20</v>
      </c>
    </row>
    <row r="2311" spans="1:10" x14ac:dyDescent="0.25">
      <c r="A2311" s="4">
        <f>_xlfn.XLOOKUP(E2311,'Data Validation'!$M$3:$M$10,'Data Validation'!$N$3:$N$10)</f>
        <v>5</v>
      </c>
      <c r="B2311" s="4">
        <v>8</v>
      </c>
      <c r="C2311" s="4" t="s">
        <v>11</v>
      </c>
      <c r="D2311" s="7">
        <v>25.96</v>
      </c>
      <c r="E2311" s="4" t="s">
        <v>24</v>
      </c>
      <c r="F2311" s="4" t="s">
        <v>13</v>
      </c>
      <c r="G2311" s="4" t="s">
        <v>51</v>
      </c>
      <c r="H2311" s="4" t="s">
        <v>58</v>
      </c>
      <c r="I2311" s="5">
        <v>45599</v>
      </c>
      <c r="J2311" s="4">
        <f t="shared" si="36"/>
        <v>20</v>
      </c>
    </row>
    <row r="2312" spans="1:10" x14ac:dyDescent="0.25">
      <c r="A2312" s="4">
        <f>_xlfn.XLOOKUP(E2312,'Data Validation'!$M$3:$M$10,'Data Validation'!$N$3:$N$10)</f>
        <v>5</v>
      </c>
      <c r="B2312" s="4">
        <v>11</v>
      </c>
      <c r="C2312" s="4" t="s">
        <v>11</v>
      </c>
      <c r="D2312" s="7">
        <v>25.96</v>
      </c>
      <c r="E2312" s="4" t="s">
        <v>24</v>
      </c>
      <c r="F2312" s="4" t="s">
        <v>13</v>
      </c>
      <c r="G2312" s="4" t="s">
        <v>50</v>
      </c>
      <c r="H2312" s="4" t="s">
        <v>58</v>
      </c>
      <c r="I2312" s="5">
        <v>45605</v>
      </c>
      <c r="J2312" s="4">
        <f t="shared" si="36"/>
        <v>20</v>
      </c>
    </row>
    <row r="2313" spans="1:10" x14ac:dyDescent="0.25">
      <c r="A2313" s="4">
        <f>_xlfn.XLOOKUP(E2313,'Data Validation'!$M$3:$M$10,'Data Validation'!$N$3:$N$10)</f>
        <v>5</v>
      </c>
      <c r="B2313" s="4">
        <v>11</v>
      </c>
      <c r="C2313" s="4" t="s">
        <v>11</v>
      </c>
      <c r="D2313" s="7">
        <v>25.96</v>
      </c>
      <c r="E2313" s="4" t="s">
        <v>24</v>
      </c>
      <c r="F2313" s="4" t="s">
        <v>13</v>
      </c>
      <c r="G2313" s="4" t="s">
        <v>50</v>
      </c>
      <c r="H2313" s="4" t="s">
        <v>58</v>
      </c>
      <c r="I2313" s="5">
        <v>45605</v>
      </c>
      <c r="J2313" s="4">
        <f t="shared" si="36"/>
        <v>20</v>
      </c>
    </row>
    <row r="2314" spans="1:10" x14ac:dyDescent="0.25">
      <c r="A2314" s="4">
        <f>_xlfn.XLOOKUP(E2314,'Data Validation'!$M$3:$M$10,'Data Validation'!$N$3:$N$10)</f>
        <v>5</v>
      </c>
      <c r="B2314" s="4">
        <v>10</v>
      </c>
      <c r="C2314" s="4" t="s">
        <v>11</v>
      </c>
      <c r="D2314" s="7">
        <v>25.96</v>
      </c>
      <c r="E2314" s="4" t="s">
        <v>24</v>
      </c>
      <c r="F2314" s="4" t="s">
        <v>13</v>
      </c>
      <c r="G2314" s="4" t="s">
        <v>45</v>
      </c>
      <c r="H2314" s="4" t="s">
        <v>58</v>
      </c>
      <c r="I2314" s="5">
        <v>45607</v>
      </c>
      <c r="J2314" s="4">
        <f t="shared" si="36"/>
        <v>20</v>
      </c>
    </row>
    <row r="2315" spans="1:10" x14ac:dyDescent="0.25">
      <c r="A2315" s="4">
        <f>_xlfn.XLOOKUP(E2315,'Data Validation'!$M$3:$M$10,'Data Validation'!$N$3:$N$10)</f>
        <v>5</v>
      </c>
      <c r="B2315" s="4">
        <v>10</v>
      </c>
      <c r="C2315" s="4" t="s">
        <v>11</v>
      </c>
      <c r="D2315" s="7">
        <v>25.96</v>
      </c>
      <c r="E2315" s="4" t="s">
        <v>24</v>
      </c>
      <c r="F2315" s="4" t="s">
        <v>13</v>
      </c>
      <c r="G2315" s="4" t="s">
        <v>50</v>
      </c>
      <c r="H2315" s="4" t="s">
        <v>58</v>
      </c>
      <c r="I2315" s="5">
        <v>45612</v>
      </c>
      <c r="J2315" s="4">
        <f t="shared" si="36"/>
        <v>20</v>
      </c>
    </row>
    <row r="2316" spans="1:10" x14ac:dyDescent="0.25">
      <c r="A2316" s="4">
        <f>_xlfn.XLOOKUP(E2316,'Data Validation'!$M$3:$M$10,'Data Validation'!$N$3:$N$10)</f>
        <v>5</v>
      </c>
      <c r="B2316" s="4">
        <v>10</v>
      </c>
      <c r="C2316" s="4" t="s">
        <v>11</v>
      </c>
      <c r="D2316" s="7">
        <v>25.96</v>
      </c>
      <c r="E2316" s="4" t="s">
        <v>24</v>
      </c>
      <c r="F2316" s="4" t="s">
        <v>13</v>
      </c>
      <c r="G2316" s="4" t="s">
        <v>50</v>
      </c>
      <c r="H2316" s="4" t="s">
        <v>58</v>
      </c>
      <c r="I2316" s="5">
        <v>45612</v>
      </c>
      <c r="J2316" s="4">
        <f t="shared" si="36"/>
        <v>20</v>
      </c>
    </row>
    <row r="2317" spans="1:10" x14ac:dyDescent="0.25">
      <c r="A2317" s="4">
        <f>_xlfn.XLOOKUP(E2317,'Data Validation'!$M$3:$M$10,'Data Validation'!$N$3:$N$10)</f>
        <v>5</v>
      </c>
      <c r="B2317" s="4">
        <v>11</v>
      </c>
      <c r="C2317" s="4" t="s">
        <v>11</v>
      </c>
      <c r="D2317" s="7">
        <v>25.96</v>
      </c>
      <c r="E2317" s="4" t="s">
        <v>24</v>
      </c>
      <c r="F2317" s="4" t="s">
        <v>13</v>
      </c>
      <c r="G2317" s="4" t="s">
        <v>48</v>
      </c>
      <c r="H2317" s="4" t="s">
        <v>58</v>
      </c>
      <c r="I2317" s="5">
        <v>45617</v>
      </c>
      <c r="J2317" s="4">
        <f t="shared" si="36"/>
        <v>20</v>
      </c>
    </row>
    <row r="2318" spans="1:10" x14ac:dyDescent="0.25">
      <c r="A2318" s="4">
        <f>_xlfn.XLOOKUP(E2318,'Data Validation'!$M$3:$M$10,'Data Validation'!$N$3:$N$10)</f>
        <v>5</v>
      </c>
      <c r="B2318" s="4">
        <v>17</v>
      </c>
      <c r="C2318" s="4" t="s">
        <v>11</v>
      </c>
      <c r="D2318" s="7">
        <v>25.96</v>
      </c>
      <c r="E2318" s="4" t="s">
        <v>24</v>
      </c>
      <c r="F2318" s="4" t="s">
        <v>20</v>
      </c>
      <c r="G2318" s="4" t="s">
        <v>48</v>
      </c>
      <c r="H2318" s="4" t="s">
        <v>58</v>
      </c>
      <c r="I2318" s="5">
        <v>45617</v>
      </c>
      <c r="J2318" s="4">
        <f t="shared" si="36"/>
        <v>20</v>
      </c>
    </row>
    <row r="2319" spans="1:10" x14ac:dyDescent="0.25">
      <c r="A2319" s="4">
        <f>_xlfn.XLOOKUP(E2319,'Data Validation'!$M$3:$M$10,'Data Validation'!$N$3:$N$10)</f>
        <v>5</v>
      </c>
      <c r="B2319" s="4">
        <v>9</v>
      </c>
      <c r="C2319" s="4" t="s">
        <v>11</v>
      </c>
      <c r="D2319" s="7">
        <v>25.96</v>
      </c>
      <c r="E2319" s="4" t="s">
        <v>24</v>
      </c>
      <c r="F2319" s="4" t="s">
        <v>13</v>
      </c>
      <c r="G2319" s="4" t="s">
        <v>50</v>
      </c>
      <c r="H2319" s="4" t="s">
        <v>58</v>
      </c>
      <c r="I2319" s="5">
        <v>45619</v>
      </c>
      <c r="J2319" s="4">
        <f t="shared" si="36"/>
        <v>20</v>
      </c>
    </row>
    <row r="2320" spans="1:10" x14ac:dyDescent="0.25">
      <c r="A2320" s="4">
        <f>_xlfn.XLOOKUP(E2320,'Data Validation'!$M$3:$M$10,'Data Validation'!$N$3:$N$10)</f>
        <v>5</v>
      </c>
      <c r="B2320" s="4">
        <v>9</v>
      </c>
      <c r="C2320" s="4" t="s">
        <v>11</v>
      </c>
      <c r="D2320" s="7">
        <v>25.96</v>
      </c>
      <c r="E2320" s="4" t="s">
        <v>24</v>
      </c>
      <c r="F2320" s="4" t="s">
        <v>13</v>
      </c>
      <c r="G2320" s="4" t="s">
        <v>50</v>
      </c>
      <c r="H2320" s="4" t="s">
        <v>58</v>
      </c>
      <c r="I2320" s="5">
        <v>45619</v>
      </c>
      <c r="J2320" s="4">
        <f t="shared" si="36"/>
        <v>20</v>
      </c>
    </row>
    <row r="2321" spans="1:10" x14ac:dyDescent="0.25">
      <c r="A2321" s="4">
        <f>_xlfn.XLOOKUP(E2321,'Data Validation'!$M$3:$M$10,'Data Validation'!$N$3:$N$10)</f>
        <v>5</v>
      </c>
      <c r="B2321" s="4">
        <v>10</v>
      </c>
      <c r="C2321" s="4" t="s">
        <v>11</v>
      </c>
      <c r="D2321" s="7">
        <v>25.96</v>
      </c>
      <c r="E2321" s="4" t="s">
        <v>24</v>
      </c>
      <c r="F2321" s="4" t="s">
        <v>13</v>
      </c>
      <c r="G2321" s="4" t="s">
        <v>45</v>
      </c>
      <c r="H2321" s="4" t="s">
        <v>58</v>
      </c>
      <c r="I2321" s="5">
        <v>45621</v>
      </c>
      <c r="J2321" s="4">
        <f t="shared" si="36"/>
        <v>20</v>
      </c>
    </row>
    <row r="2322" spans="1:10" x14ac:dyDescent="0.25">
      <c r="A2322" s="4">
        <f>_xlfn.XLOOKUP(E2322,'Data Validation'!$M$3:$M$10,'Data Validation'!$N$3:$N$10)</f>
        <v>5</v>
      </c>
      <c r="B2322" s="4">
        <v>11</v>
      </c>
      <c r="C2322" s="4" t="s">
        <v>11</v>
      </c>
      <c r="D2322" s="7">
        <v>25.96</v>
      </c>
      <c r="E2322" s="4" t="s">
        <v>24</v>
      </c>
      <c r="F2322" s="4" t="s">
        <v>13</v>
      </c>
      <c r="G2322" s="4" t="s">
        <v>45</v>
      </c>
      <c r="H2322" s="4" t="s">
        <v>59</v>
      </c>
      <c r="I2322" s="5">
        <v>45628</v>
      </c>
      <c r="J2322" s="4">
        <f t="shared" si="36"/>
        <v>20</v>
      </c>
    </row>
    <row r="2323" spans="1:10" x14ac:dyDescent="0.25">
      <c r="A2323" s="4">
        <f>_xlfn.XLOOKUP(E2323,'Data Validation'!$M$3:$M$10,'Data Validation'!$N$3:$N$10)</f>
        <v>5</v>
      </c>
      <c r="B2323" s="4">
        <v>8</v>
      </c>
      <c r="C2323" s="4" t="s">
        <v>11</v>
      </c>
      <c r="D2323" s="7">
        <v>25.96</v>
      </c>
      <c r="E2323" s="4" t="s">
        <v>24</v>
      </c>
      <c r="F2323" s="4" t="s">
        <v>13</v>
      </c>
      <c r="G2323" s="4" t="s">
        <v>47</v>
      </c>
      <c r="H2323" s="4" t="s">
        <v>59</v>
      </c>
      <c r="I2323" s="5">
        <v>45630</v>
      </c>
      <c r="J2323" s="4">
        <f t="shared" si="36"/>
        <v>20</v>
      </c>
    </row>
    <row r="2324" spans="1:10" x14ac:dyDescent="0.25">
      <c r="A2324" s="4">
        <f>_xlfn.XLOOKUP(E2324,'Data Validation'!$M$3:$M$10,'Data Validation'!$N$3:$N$10)</f>
        <v>5</v>
      </c>
      <c r="B2324" s="4">
        <v>9</v>
      </c>
      <c r="C2324" s="4" t="s">
        <v>11</v>
      </c>
      <c r="D2324" s="7">
        <v>25.96</v>
      </c>
      <c r="E2324" s="4" t="s">
        <v>24</v>
      </c>
      <c r="F2324" s="4" t="s">
        <v>13</v>
      </c>
      <c r="G2324" s="4" t="s">
        <v>48</v>
      </c>
      <c r="H2324" s="4" t="s">
        <v>59</v>
      </c>
      <c r="I2324" s="5">
        <v>45631</v>
      </c>
      <c r="J2324" s="4">
        <f t="shared" si="36"/>
        <v>20</v>
      </c>
    </row>
    <row r="2325" spans="1:10" x14ac:dyDescent="0.25">
      <c r="A2325" s="4">
        <f>_xlfn.XLOOKUP(E2325,'Data Validation'!$M$3:$M$10,'Data Validation'!$N$3:$N$10)</f>
        <v>5</v>
      </c>
      <c r="B2325" s="4">
        <v>8</v>
      </c>
      <c r="C2325" s="4" t="s">
        <v>11</v>
      </c>
      <c r="D2325" s="7">
        <v>25.96</v>
      </c>
      <c r="E2325" s="4" t="s">
        <v>24</v>
      </c>
      <c r="F2325" s="4" t="s">
        <v>13</v>
      </c>
      <c r="G2325" s="4" t="s">
        <v>51</v>
      </c>
      <c r="H2325" s="4" t="s">
        <v>59</v>
      </c>
      <c r="I2325" s="5">
        <v>45634</v>
      </c>
      <c r="J2325" s="4">
        <f t="shared" si="36"/>
        <v>20</v>
      </c>
    </row>
    <row r="2326" spans="1:10" x14ac:dyDescent="0.25">
      <c r="A2326" s="4">
        <f>_xlfn.XLOOKUP(E2326,'Data Validation'!$M$3:$M$10,'Data Validation'!$N$3:$N$10)</f>
        <v>5</v>
      </c>
      <c r="B2326" s="4">
        <v>12</v>
      </c>
      <c r="C2326" s="4" t="s">
        <v>11</v>
      </c>
      <c r="D2326" s="7">
        <v>25.96</v>
      </c>
      <c r="E2326" s="4" t="s">
        <v>24</v>
      </c>
      <c r="F2326" s="4" t="s">
        <v>17</v>
      </c>
      <c r="G2326" s="4" t="s">
        <v>51</v>
      </c>
      <c r="H2326" s="4" t="s">
        <v>59</v>
      </c>
      <c r="I2326" s="5">
        <v>45634</v>
      </c>
      <c r="J2326" s="4">
        <f t="shared" si="36"/>
        <v>20</v>
      </c>
    </row>
    <row r="2327" spans="1:10" x14ac:dyDescent="0.25">
      <c r="A2327" s="4">
        <f>_xlfn.XLOOKUP(E2327,'Data Validation'!$M$3:$M$10,'Data Validation'!$N$3:$N$10)</f>
        <v>5</v>
      </c>
      <c r="B2327" s="4">
        <v>13</v>
      </c>
      <c r="C2327" s="4" t="s">
        <v>11</v>
      </c>
      <c r="D2327" s="7">
        <v>25.96</v>
      </c>
      <c r="E2327" s="4" t="s">
        <v>24</v>
      </c>
      <c r="F2327" s="4" t="s">
        <v>17</v>
      </c>
      <c r="G2327" s="4" t="s">
        <v>45</v>
      </c>
      <c r="H2327" s="4" t="s">
        <v>59</v>
      </c>
      <c r="I2327" s="5">
        <v>45635</v>
      </c>
      <c r="J2327" s="4">
        <f t="shared" si="36"/>
        <v>20</v>
      </c>
    </row>
    <row r="2328" spans="1:10" x14ac:dyDescent="0.25">
      <c r="A2328" s="4">
        <f>_xlfn.XLOOKUP(E2328,'Data Validation'!$M$3:$M$10,'Data Validation'!$N$3:$N$10)</f>
        <v>5</v>
      </c>
      <c r="B2328" s="4">
        <v>12</v>
      </c>
      <c r="C2328" s="4" t="s">
        <v>11</v>
      </c>
      <c r="D2328" s="7">
        <v>25.96</v>
      </c>
      <c r="E2328" s="4" t="s">
        <v>24</v>
      </c>
      <c r="F2328" s="4" t="s">
        <v>17</v>
      </c>
      <c r="G2328" s="4" t="s">
        <v>46</v>
      </c>
      <c r="H2328" s="4" t="s">
        <v>59</v>
      </c>
      <c r="I2328" s="5">
        <v>45636</v>
      </c>
      <c r="J2328" s="4">
        <f t="shared" si="36"/>
        <v>20</v>
      </c>
    </row>
    <row r="2329" spans="1:10" x14ac:dyDescent="0.25">
      <c r="A2329" s="4">
        <f>_xlfn.XLOOKUP(E2329,'Data Validation'!$M$3:$M$10,'Data Validation'!$N$3:$N$10)</f>
        <v>5</v>
      </c>
      <c r="B2329" s="4">
        <v>10</v>
      </c>
      <c r="C2329" s="4" t="s">
        <v>11</v>
      </c>
      <c r="D2329" s="7">
        <v>25.96</v>
      </c>
      <c r="E2329" s="4" t="s">
        <v>24</v>
      </c>
      <c r="F2329" s="4" t="s">
        <v>13</v>
      </c>
      <c r="G2329" s="4" t="s">
        <v>47</v>
      </c>
      <c r="H2329" s="4" t="s">
        <v>59</v>
      </c>
      <c r="I2329" s="5">
        <v>45637</v>
      </c>
      <c r="J2329" s="4">
        <f t="shared" si="36"/>
        <v>20</v>
      </c>
    </row>
    <row r="2330" spans="1:10" x14ac:dyDescent="0.25">
      <c r="A2330" s="4">
        <f>_xlfn.XLOOKUP(E2330,'Data Validation'!$M$3:$M$10,'Data Validation'!$N$3:$N$10)</f>
        <v>5</v>
      </c>
      <c r="B2330" s="4">
        <v>8</v>
      </c>
      <c r="C2330" s="4" t="s">
        <v>11</v>
      </c>
      <c r="D2330" s="7">
        <v>25.96</v>
      </c>
      <c r="E2330" s="4" t="s">
        <v>24</v>
      </c>
      <c r="F2330" s="4" t="s">
        <v>13</v>
      </c>
      <c r="G2330" s="4" t="s">
        <v>46</v>
      </c>
      <c r="H2330" s="4" t="s">
        <v>59</v>
      </c>
      <c r="I2330" s="5">
        <v>45643</v>
      </c>
      <c r="J2330" s="4">
        <f t="shared" si="36"/>
        <v>20</v>
      </c>
    </row>
    <row r="2331" spans="1:10" x14ac:dyDescent="0.25">
      <c r="A2331" s="4">
        <f>_xlfn.XLOOKUP(E2331,'Data Validation'!$M$3:$M$10,'Data Validation'!$N$3:$N$10)</f>
        <v>5</v>
      </c>
      <c r="B2331" s="4">
        <v>8</v>
      </c>
      <c r="C2331" s="4" t="s">
        <v>11</v>
      </c>
      <c r="D2331" s="7">
        <v>25.96</v>
      </c>
      <c r="E2331" s="4" t="s">
        <v>24</v>
      </c>
      <c r="F2331" s="4" t="s">
        <v>13</v>
      </c>
      <c r="G2331" s="4" t="s">
        <v>49</v>
      </c>
      <c r="H2331" s="4" t="s">
        <v>59</v>
      </c>
      <c r="I2331" s="5">
        <v>45646</v>
      </c>
      <c r="J2331" s="4">
        <f t="shared" si="36"/>
        <v>20</v>
      </c>
    </row>
    <row r="2332" spans="1:10" x14ac:dyDescent="0.25">
      <c r="A2332" s="4">
        <f>_xlfn.XLOOKUP(E2332,'Data Validation'!$M$3:$M$10,'Data Validation'!$N$3:$N$10)</f>
        <v>5</v>
      </c>
      <c r="B2332" s="4">
        <v>10</v>
      </c>
      <c r="C2332" s="4" t="s">
        <v>11</v>
      </c>
      <c r="D2332" s="7">
        <v>25.96</v>
      </c>
      <c r="E2332" s="4" t="s">
        <v>24</v>
      </c>
      <c r="F2332" s="4" t="s">
        <v>13</v>
      </c>
      <c r="G2332" s="4" t="s">
        <v>49</v>
      </c>
      <c r="H2332" s="4" t="s">
        <v>59</v>
      </c>
      <c r="I2332" s="5">
        <v>45646</v>
      </c>
      <c r="J2332" s="4">
        <f t="shared" si="36"/>
        <v>20</v>
      </c>
    </row>
    <row r="2333" spans="1:10" x14ac:dyDescent="0.25">
      <c r="A2333" s="4">
        <f>_xlfn.XLOOKUP(E2333,'Data Validation'!$M$3:$M$10,'Data Validation'!$N$3:$N$10)</f>
        <v>5</v>
      </c>
      <c r="B2333" s="4">
        <v>14</v>
      </c>
      <c r="C2333" s="4" t="s">
        <v>11</v>
      </c>
      <c r="D2333" s="7">
        <v>25.96</v>
      </c>
      <c r="E2333" s="4" t="s">
        <v>24</v>
      </c>
      <c r="F2333" s="4" t="s">
        <v>17</v>
      </c>
      <c r="G2333" s="4" t="s">
        <v>49</v>
      </c>
      <c r="H2333" s="4" t="s">
        <v>59</v>
      </c>
      <c r="I2333" s="5">
        <v>45646</v>
      </c>
      <c r="J2333" s="4">
        <f t="shared" si="36"/>
        <v>20</v>
      </c>
    </row>
    <row r="2334" spans="1:10" x14ac:dyDescent="0.25">
      <c r="A2334" s="4">
        <f>_xlfn.XLOOKUP(E2334,'Data Validation'!$M$3:$M$10,'Data Validation'!$N$3:$N$10)</f>
        <v>5</v>
      </c>
      <c r="B2334" s="4">
        <v>18</v>
      </c>
      <c r="C2334" s="4" t="s">
        <v>11</v>
      </c>
      <c r="D2334" s="7">
        <v>25.96</v>
      </c>
      <c r="E2334" s="4" t="s">
        <v>24</v>
      </c>
      <c r="F2334" s="4" t="s">
        <v>20</v>
      </c>
      <c r="G2334" s="4" t="s">
        <v>50</v>
      </c>
      <c r="H2334" s="4" t="s">
        <v>59</v>
      </c>
      <c r="I2334" s="5">
        <v>45647</v>
      </c>
      <c r="J2334" s="4">
        <f t="shared" si="36"/>
        <v>20</v>
      </c>
    </row>
    <row r="2335" spans="1:10" x14ac:dyDescent="0.25">
      <c r="A2335" s="4">
        <f>_xlfn.XLOOKUP(E2335,'Data Validation'!$M$3:$M$10,'Data Validation'!$N$3:$N$10)</f>
        <v>5</v>
      </c>
      <c r="B2335" s="4">
        <v>19</v>
      </c>
      <c r="C2335" s="4" t="s">
        <v>11</v>
      </c>
      <c r="D2335" s="7">
        <v>25.96</v>
      </c>
      <c r="E2335" s="4" t="s">
        <v>24</v>
      </c>
      <c r="F2335" s="4" t="s">
        <v>20</v>
      </c>
      <c r="G2335" s="4" t="s">
        <v>50</v>
      </c>
      <c r="H2335" s="4" t="s">
        <v>59</v>
      </c>
      <c r="I2335" s="5">
        <v>45647</v>
      </c>
      <c r="J2335" s="4">
        <f t="shared" si="36"/>
        <v>20</v>
      </c>
    </row>
    <row r="2336" spans="1:10" x14ac:dyDescent="0.25">
      <c r="A2336" s="4">
        <f>_xlfn.XLOOKUP(E2336,'Data Validation'!$M$3:$M$10,'Data Validation'!$N$3:$N$10)</f>
        <v>5</v>
      </c>
      <c r="B2336" s="4">
        <v>21</v>
      </c>
      <c r="C2336" s="4" t="s">
        <v>11</v>
      </c>
      <c r="D2336" s="7">
        <v>25.96</v>
      </c>
      <c r="E2336" s="4" t="s">
        <v>24</v>
      </c>
      <c r="F2336" s="4" t="s">
        <v>20</v>
      </c>
      <c r="G2336" s="4" t="s">
        <v>50</v>
      </c>
      <c r="H2336" s="4" t="s">
        <v>59</v>
      </c>
      <c r="I2336" s="5">
        <v>45647</v>
      </c>
      <c r="J2336" s="4">
        <f t="shared" si="36"/>
        <v>20</v>
      </c>
    </row>
    <row r="2337" spans="1:10" x14ac:dyDescent="0.25">
      <c r="A2337" s="4">
        <f>_xlfn.XLOOKUP(E2337,'Data Validation'!$M$3:$M$10,'Data Validation'!$N$3:$N$10)</f>
        <v>5</v>
      </c>
      <c r="B2337" s="4">
        <v>22</v>
      </c>
      <c r="C2337" s="4" t="s">
        <v>11</v>
      </c>
      <c r="D2337" s="7">
        <v>25.96</v>
      </c>
      <c r="E2337" s="4" t="s">
        <v>24</v>
      </c>
      <c r="F2337" s="4" t="s">
        <v>20</v>
      </c>
      <c r="G2337" s="4" t="s">
        <v>50</v>
      </c>
      <c r="H2337" s="4" t="s">
        <v>59</v>
      </c>
      <c r="I2337" s="5">
        <v>45647</v>
      </c>
      <c r="J2337" s="4">
        <f t="shared" si="36"/>
        <v>20</v>
      </c>
    </row>
    <row r="2338" spans="1:10" x14ac:dyDescent="0.25">
      <c r="A2338" s="4">
        <f>_xlfn.XLOOKUP(E2338,'Data Validation'!$M$3:$M$10,'Data Validation'!$N$3:$N$10)</f>
        <v>5</v>
      </c>
      <c r="B2338" s="4">
        <v>21</v>
      </c>
      <c r="C2338" s="4" t="s">
        <v>11</v>
      </c>
      <c r="D2338" s="7">
        <v>25.96</v>
      </c>
      <c r="E2338" s="4" t="s">
        <v>24</v>
      </c>
      <c r="F2338" s="4" t="s">
        <v>20</v>
      </c>
      <c r="G2338" s="4" t="s">
        <v>51</v>
      </c>
      <c r="H2338" s="4" t="s">
        <v>59</v>
      </c>
      <c r="I2338" s="5">
        <v>45648</v>
      </c>
      <c r="J2338" s="4">
        <f t="shared" si="36"/>
        <v>20</v>
      </c>
    </row>
    <row r="2339" spans="1:10" x14ac:dyDescent="0.25">
      <c r="A2339" s="4">
        <f>_xlfn.XLOOKUP(E2339,'Data Validation'!$M$3:$M$10,'Data Validation'!$N$3:$N$10)</f>
        <v>5</v>
      </c>
      <c r="B2339" s="4">
        <v>9</v>
      </c>
      <c r="C2339" s="4" t="s">
        <v>11</v>
      </c>
      <c r="D2339" s="7">
        <v>25.96</v>
      </c>
      <c r="E2339" s="4" t="s">
        <v>24</v>
      </c>
      <c r="F2339" s="4" t="s">
        <v>13</v>
      </c>
      <c r="G2339" s="4" t="s">
        <v>45</v>
      </c>
      <c r="H2339" s="4" t="s">
        <v>59</v>
      </c>
      <c r="I2339" s="5">
        <v>45649</v>
      </c>
      <c r="J2339" s="4">
        <f t="shared" si="36"/>
        <v>20</v>
      </c>
    </row>
    <row r="2340" spans="1:10" x14ac:dyDescent="0.25">
      <c r="A2340" s="4">
        <f>_xlfn.XLOOKUP(E2340,'Data Validation'!$M$3:$M$10,'Data Validation'!$N$3:$N$10)</f>
        <v>5</v>
      </c>
      <c r="B2340" s="4">
        <v>17</v>
      </c>
      <c r="C2340" s="4" t="s">
        <v>11</v>
      </c>
      <c r="D2340" s="7">
        <v>25.96</v>
      </c>
      <c r="E2340" s="4" t="s">
        <v>24</v>
      </c>
      <c r="F2340" s="4" t="s">
        <v>20</v>
      </c>
      <c r="G2340" s="4" t="s">
        <v>45</v>
      </c>
      <c r="H2340" s="4" t="s">
        <v>59</v>
      </c>
      <c r="I2340" s="5">
        <v>45649</v>
      </c>
      <c r="J2340" s="4">
        <f t="shared" si="36"/>
        <v>20</v>
      </c>
    </row>
    <row r="2341" spans="1:10" x14ac:dyDescent="0.25">
      <c r="A2341" s="4">
        <f>_xlfn.XLOOKUP(E2341,'Data Validation'!$M$3:$M$10,'Data Validation'!$N$3:$N$10)</f>
        <v>5</v>
      </c>
      <c r="B2341" s="4">
        <v>20</v>
      </c>
      <c r="C2341" s="4" t="s">
        <v>11</v>
      </c>
      <c r="D2341" s="7">
        <v>25.96</v>
      </c>
      <c r="E2341" s="4" t="s">
        <v>24</v>
      </c>
      <c r="F2341" s="4" t="s">
        <v>20</v>
      </c>
      <c r="G2341" s="4" t="s">
        <v>45</v>
      </c>
      <c r="H2341" s="4" t="s">
        <v>59</v>
      </c>
      <c r="I2341" s="5">
        <v>45649</v>
      </c>
      <c r="J2341" s="4">
        <f t="shared" si="36"/>
        <v>20</v>
      </c>
    </row>
    <row r="2342" spans="1:10" x14ac:dyDescent="0.25">
      <c r="A2342" s="4">
        <f>_xlfn.XLOOKUP(E2342,'Data Validation'!$M$3:$M$10,'Data Validation'!$N$3:$N$10)</f>
        <v>5</v>
      </c>
      <c r="B2342" s="4">
        <v>17</v>
      </c>
      <c r="C2342" s="4" t="s">
        <v>11</v>
      </c>
      <c r="D2342" s="7">
        <v>25.96</v>
      </c>
      <c r="E2342" s="4" t="s">
        <v>24</v>
      </c>
      <c r="F2342" s="4" t="s">
        <v>20</v>
      </c>
      <c r="G2342" s="4" t="s">
        <v>46</v>
      </c>
      <c r="H2342" s="4" t="s">
        <v>59</v>
      </c>
      <c r="I2342" s="5">
        <v>45650</v>
      </c>
      <c r="J2342" s="4">
        <f t="shared" si="36"/>
        <v>20</v>
      </c>
    </row>
    <row r="2343" spans="1:10" x14ac:dyDescent="0.25">
      <c r="A2343" s="4">
        <f>_xlfn.XLOOKUP(E2343,'Data Validation'!$M$3:$M$10,'Data Validation'!$N$3:$N$10)</f>
        <v>5</v>
      </c>
      <c r="B2343" s="4">
        <v>8</v>
      </c>
      <c r="C2343" s="4" t="s">
        <v>11</v>
      </c>
      <c r="D2343" s="7">
        <v>25.96</v>
      </c>
      <c r="E2343" s="4" t="s">
        <v>24</v>
      </c>
      <c r="F2343" s="4" t="s">
        <v>13</v>
      </c>
      <c r="G2343" s="4" t="s">
        <v>49</v>
      </c>
      <c r="H2343" s="4" t="s">
        <v>59</v>
      </c>
      <c r="I2343" s="5">
        <v>45653</v>
      </c>
      <c r="J2343" s="4">
        <f t="shared" si="36"/>
        <v>20</v>
      </c>
    </row>
    <row r="2344" spans="1:10" x14ac:dyDescent="0.25">
      <c r="A2344" s="4">
        <f>_xlfn.XLOOKUP(E2344,'Data Validation'!$M$3:$M$10,'Data Validation'!$N$3:$N$10)</f>
        <v>5</v>
      </c>
      <c r="B2344" s="4">
        <v>9</v>
      </c>
      <c r="C2344" s="4" t="s">
        <v>11</v>
      </c>
      <c r="D2344" s="7">
        <v>25.96</v>
      </c>
      <c r="E2344" s="4" t="s">
        <v>24</v>
      </c>
      <c r="F2344" s="4" t="s">
        <v>13</v>
      </c>
      <c r="G2344" s="4" t="s">
        <v>49</v>
      </c>
      <c r="H2344" s="4" t="s">
        <v>59</v>
      </c>
      <c r="I2344" s="5">
        <v>45653</v>
      </c>
      <c r="J2344" s="4">
        <f t="shared" si="36"/>
        <v>20</v>
      </c>
    </row>
    <row r="2345" spans="1:10" x14ac:dyDescent="0.25">
      <c r="A2345" s="4">
        <f>_xlfn.XLOOKUP(E2345,'Data Validation'!$M$3:$M$10,'Data Validation'!$N$3:$N$10)</f>
        <v>5</v>
      </c>
      <c r="B2345" s="4">
        <v>9</v>
      </c>
      <c r="C2345" s="4" t="s">
        <v>11</v>
      </c>
      <c r="D2345" s="7">
        <v>25.96</v>
      </c>
      <c r="E2345" s="4" t="s">
        <v>24</v>
      </c>
      <c r="F2345" s="4" t="s">
        <v>13</v>
      </c>
      <c r="G2345" s="4" t="s">
        <v>50</v>
      </c>
      <c r="H2345" s="4" t="s">
        <v>59</v>
      </c>
      <c r="I2345" s="5">
        <v>45654</v>
      </c>
      <c r="J2345" s="4">
        <f t="shared" si="36"/>
        <v>20</v>
      </c>
    </row>
    <row r="2346" spans="1:10" x14ac:dyDescent="0.25">
      <c r="A2346" s="4">
        <f>_xlfn.XLOOKUP(E2346,'Data Validation'!$M$3:$M$10,'Data Validation'!$N$3:$N$10)</f>
        <v>5</v>
      </c>
      <c r="B2346" s="4">
        <v>9</v>
      </c>
      <c r="C2346" s="4" t="s">
        <v>11</v>
      </c>
      <c r="D2346" s="7">
        <v>25.96</v>
      </c>
      <c r="E2346" s="4" t="s">
        <v>24</v>
      </c>
      <c r="F2346" s="4" t="s">
        <v>13</v>
      </c>
      <c r="G2346" s="4" t="s">
        <v>50</v>
      </c>
      <c r="H2346" s="4" t="s">
        <v>59</v>
      </c>
      <c r="I2346" s="5">
        <v>45654</v>
      </c>
      <c r="J2346" s="4">
        <f t="shared" si="36"/>
        <v>20</v>
      </c>
    </row>
    <row r="2347" spans="1:10" x14ac:dyDescent="0.25">
      <c r="A2347" s="4">
        <f>_xlfn.XLOOKUP(E2347,'Data Validation'!$M$3:$M$10,'Data Validation'!$N$3:$N$10)</f>
        <v>5</v>
      </c>
      <c r="B2347" s="4">
        <v>13</v>
      </c>
      <c r="C2347" s="4" t="s">
        <v>11</v>
      </c>
      <c r="D2347" s="7">
        <v>25.96</v>
      </c>
      <c r="E2347" s="4" t="s">
        <v>24</v>
      </c>
      <c r="F2347" s="4" t="s">
        <v>17</v>
      </c>
      <c r="G2347" s="4" t="s">
        <v>51</v>
      </c>
      <c r="H2347" s="4" t="s">
        <v>59</v>
      </c>
      <c r="I2347" s="5">
        <v>45655</v>
      </c>
      <c r="J2347" s="4">
        <f t="shared" si="36"/>
        <v>20</v>
      </c>
    </row>
    <row r="2348" spans="1:10" x14ac:dyDescent="0.25">
      <c r="A2348" s="4">
        <f>_xlfn.XLOOKUP(E2348,'Data Validation'!$M$3:$M$10,'Data Validation'!$N$3:$N$10)</f>
        <v>5</v>
      </c>
      <c r="B2348" s="4">
        <v>17</v>
      </c>
      <c r="C2348" s="4" t="s">
        <v>11</v>
      </c>
      <c r="D2348" s="7">
        <v>25.96</v>
      </c>
      <c r="E2348" s="4" t="s">
        <v>24</v>
      </c>
      <c r="F2348" s="4" t="s">
        <v>20</v>
      </c>
      <c r="G2348" s="4" t="s">
        <v>51</v>
      </c>
      <c r="H2348" s="4" t="s">
        <v>59</v>
      </c>
      <c r="I2348" s="5">
        <v>45655</v>
      </c>
      <c r="J2348" s="4">
        <f t="shared" si="36"/>
        <v>20</v>
      </c>
    </row>
    <row r="2349" spans="1:10" x14ac:dyDescent="0.25">
      <c r="A2349" s="4">
        <f>_xlfn.XLOOKUP(E2349,'Data Validation'!$M$3:$M$10,'Data Validation'!$N$3:$N$10)</f>
        <v>5</v>
      </c>
      <c r="B2349" s="4">
        <v>19</v>
      </c>
      <c r="C2349" s="4" t="s">
        <v>11</v>
      </c>
      <c r="D2349" s="7">
        <v>25.96</v>
      </c>
      <c r="E2349" s="4" t="s">
        <v>24</v>
      </c>
      <c r="F2349" s="4" t="s">
        <v>20</v>
      </c>
      <c r="G2349" s="4" t="s">
        <v>51</v>
      </c>
      <c r="H2349" s="4" t="s">
        <v>59</v>
      </c>
      <c r="I2349" s="5">
        <v>45655</v>
      </c>
      <c r="J2349" s="4">
        <f t="shared" si="36"/>
        <v>20</v>
      </c>
    </row>
    <row r="2350" spans="1:10" x14ac:dyDescent="0.25">
      <c r="A2350" s="4">
        <f>_xlfn.XLOOKUP(E2350,'Data Validation'!$M$3:$M$10,'Data Validation'!$N$3:$N$10)</f>
        <v>5</v>
      </c>
      <c r="B2350" s="4">
        <v>9</v>
      </c>
      <c r="C2350" s="4" t="s">
        <v>11</v>
      </c>
      <c r="D2350" s="7">
        <v>25.96</v>
      </c>
      <c r="E2350" s="4" t="s">
        <v>24</v>
      </c>
      <c r="F2350" s="4" t="s">
        <v>13</v>
      </c>
      <c r="G2350" s="4" t="s">
        <v>45</v>
      </c>
      <c r="H2350" s="4" t="s">
        <v>59</v>
      </c>
      <c r="I2350" s="5">
        <v>45656</v>
      </c>
      <c r="J2350" s="4">
        <f t="shared" si="36"/>
        <v>20</v>
      </c>
    </row>
    <row r="2351" spans="1:10" x14ac:dyDescent="0.25">
      <c r="A2351" s="4">
        <f>_xlfn.XLOOKUP(E2351,'Data Validation'!$M$3:$M$10,'Data Validation'!$N$3:$N$10)</f>
        <v>5</v>
      </c>
      <c r="B2351" s="4">
        <v>8</v>
      </c>
      <c r="C2351" s="4" t="s">
        <v>11</v>
      </c>
      <c r="D2351" s="7">
        <v>25.96</v>
      </c>
      <c r="E2351" s="4" t="s">
        <v>24</v>
      </c>
      <c r="F2351" s="4" t="s">
        <v>13</v>
      </c>
      <c r="G2351" s="4" t="s">
        <v>46</v>
      </c>
      <c r="H2351" s="4" t="s">
        <v>59</v>
      </c>
      <c r="I2351" s="5">
        <v>45657</v>
      </c>
      <c r="J2351" s="4">
        <f t="shared" si="36"/>
        <v>20</v>
      </c>
    </row>
    <row r="2352" spans="1:10" x14ac:dyDescent="0.25">
      <c r="A2352" s="4">
        <f>_xlfn.XLOOKUP(E2352,'Data Validation'!$M$3:$M$10,'Data Validation'!$N$3:$N$10)</f>
        <v>5</v>
      </c>
      <c r="B2352" s="4">
        <v>9</v>
      </c>
      <c r="C2352" s="4" t="s">
        <v>11</v>
      </c>
      <c r="D2352" s="7">
        <v>25.96</v>
      </c>
      <c r="E2352" s="4" t="s">
        <v>24</v>
      </c>
      <c r="F2352" s="4" t="s">
        <v>13</v>
      </c>
      <c r="G2352" s="4" t="s">
        <v>46</v>
      </c>
      <c r="H2352" s="4" t="s">
        <v>59</v>
      </c>
      <c r="I2352" s="5">
        <v>45657</v>
      </c>
      <c r="J2352" s="4">
        <f t="shared" si="36"/>
        <v>20</v>
      </c>
    </row>
    <row r="2353" spans="1:10" x14ac:dyDescent="0.25">
      <c r="A2353" s="4">
        <f>_xlfn.XLOOKUP(E2353,'Data Validation'!$M$3:$M$10,'Data Validation'!$N$3:$N$10)</f>
        <v>5</v>
      </c>
      <c r="B2353" s="4">
        <v>14</v>
      </c>
      <c r="C2353" s="4" t="s">
        <v>11</v>
      </c>
      <c r="D2353" s="7">
        <v>25.96</v>
      </c>
      <c r="E2353" s="4" t="s">
        <v>24</v>
      </c>
      <c r="F2353" s="4" t="s">
        <v>17</v>
      </c>
      <c r="G2353" s="4" t="s">
        <v>48</v>
      </c>
      <c r="H2353" s="4" t="s">
        <v>42</v>
      </c>
      <c r="I2353" s="5">
        <v>45659</v>
      </c>
      <c r="J2353" s="4">
        <f t="shared" si="36"/>
        <v>20</v>
      </c>
    </row>
    <row r="2354" spans="1:10" x14ac:dyDescent="0.25">
      <c r="A2354" s="4">
        <f>_xlfn.XLOOKUP(E2354,'Data Validation'!$M$3:$M$10,'Data Validation'!$N$3:$N$10)</f>
        <v>5</v>
      </c>
      <c r="B2354" s="4">
        <v>14</v>
      </c>
      <c r="C2354" s="4" t="s">
        <v>11</v>
      </c>
      <c r="D2354" s="7">
        <v>25.96</v>
      </c>
      <c r="E2354" s="4" t="s">
        <v>24</v>
      </c>
      <c r="F2354" s="4" t="s">
        <v>17</v>
      </c>
      <c r="G2354" s="4" t="s">
        <v>48</v>
      </c>
      <c r="H2354" s="4" t="s">
        <v>42</v>
      </c>
      <c r="I2354" s="5">
        <v>45659</v>
      </c>
      <c r="J2354" s="4">
        <f t="shared" si="36"/>
        <v>20</v>
      </c>
    </row>
    <row r="2355" spans="1:10" x14ac:dyDescent="0.25">
      <c r="A2355" s="4">
        <f>_xlfn.XLOOKUP(E2355,'Data Validation'!$M$3:$M$10,'Data Validation'!$N$3:$N$10)</f>
        <v>5</v>
      </c>
      <c r="B2355" s="4">
        <v>9</v>
      </c>
      <c r="C2355" s="4" t="s">
        <v>11</v>
      </c>
      <c r="D2355" s="7">
        <v>25.96</v>
      </c>
      <c r="E2355" s="4" t="s">
        <v>24</v>
      </c>
      <c r="F2355" s="4" t="s">
        <v>13</v>
      </c>
      <c r="G2355" s="4" t="s">
        <v>49</v>
      </c>
      <c r="H2355" s="4" t="s">
        <v>42</v>
      </c>
      <c r="I2355" s="5">
        <v>45660</v>
      </c>
      <c r="J2355" s="4">
        <f t="shared" si="36"/>
        <v>20</v>
      </c>
    </row>
    <row r="2356" spans="1:10" x14ac:dyDescent="0.25">
      <c r="A2356" s="4">
        <f>_xlfn.XLOOKUP(E2356,'Data Validation'!$M$3:$M$10,'Data Validation'!$N$3:$N$10)</f>
        <v>5</v>
      </c>
      <c r="B2356" s="4">
        <v>8</v>
      </c>
      <c r="C2356" s="4" t="s">
        <v>11</v>
      </c>
      <c r="D2356" s="7">
        <v>25.96</v>
      </c>
      <c r="E2356" s="4" t="s">
        <v>24</v>
      </c>
      <c r="F2356" s="4" t="s">
        <v>13</v>
      </c>
      <c r="G2356" s="4" t="s">
        <v>50</v>
      </c>
      <c r="H2356" s="4" t="s">
        <v>42</v>
      </c>
      <c r="I2356" s="5">
        <v>45661</v>
      </c>
      <c r="J2356" s="4">
        <f t="shared" si="36"/>
        <v>20</v>
      </c>
    </row>
    <row r="2357" spans="1:10" x14ac:dyDescent="0.25">
      <c r="A2357" s="4">
        <f>_xlfn.XLOOKUP(E2357,'Data Validation'!$M$3:$M$10,'Data Validation'!$N$3:$N$10)</f>
        <v>5</v>
      </c>
      <c r="B2357" s="4">
        <v>16</v>
      </c>
      <c r="C2357" s="4" t="s">
        <v>11</v>
      </c>
      <c r="D2357" s="7">
        <v>25.96</v>
      </c>
      <c r="E2357" s="4" t="s">
        <v>24</v>
      </c>
      <c r="F2357" s="4" t="s">
        <v>17</v>
      </c>
      <c r="G2357" s="4" t="s">
        <v>50</v>
      </c>
      <c r="H2357" s="4" t="s">
        <v>42</v>
      </c>
      <c r="I2357" s="5">
        <v>45661</v>
      </c>
      <c r="J2357" s="4">
        <f t="shared" si="36"/>
        <v>20</v>
      </c>
    </row>
    <row r="2358" spans="1:10" x14ac:dyDescent="0.25">
      <c r="A2358" s="4">
        <f>_xlfn.XLOOKUP(E2358,'Data Validation'!$M$3:$M$10,'Data Validation'!$N$3:$N$10)</f>
        <v>5</v>
      </c>
      <c r="B2358" s="4">
        <v>10</v>
      </c>
      <c r="C2358" s="4" t="s">
        <v>11</v>
      </c>
      <c r="D2358" s="7">
        <v>25.96</v>
      </c>
      <c r="E2358" s="4" t="s">
        <v>24</v>
      </c>
      <c r="F2358" s="4" t="s">
        <v>13</v>
      </c>
      <c r="G2358" s="4" t="s">
        <v>47</v>
      </c>
      <c r="H2358" s="4" t="s">
        <v>42</v>
      </c>
      <c r="I2358" s="5">
        <v>45665</v>
      </c>
      <c r="J2358" s="4">
        <f t="shared" si="36"/>
        <v>20</v>
      </c>
    </row>
    <row r="2359" spans="1:10" x14ac:dyDescent="0.25">
      <c r="A2359" s="4">
        <f>_xlfn.XLOOKUP(E2359,'Data Validation'!$M$3:$M$10,'Data Validation'!$N$3:$N$10)</f>
        <v>5</v>
      </c>
      <c r="B2359" s="4">
        <v>15</v>
      </c>
      <c r="C2359" s="4" t="s">
        <v>11</v>
      </c>
      <c r="D2359" s="7">
        <v>25.96</v>
      </c>
      <c r="E2359" s="4" t="s">
        <v>24</v>
      </c>
      <c r="F2359" s="4" t="s">
        <v>17</v>
      </c>
      <c r="G2359" s="4" t="s">
        <v>48</v>
      </c>
      <c r="H2359" s="4" t="s">
        <v>42</v>
      </c>
      <c r="I2359" s="5">
        <v>45666</v>
      </c>
      <c r="J2359" s="4">
        <f t="shared" si="36"/>
        <v>20</v>
      </c>
    </row>
    <row r="2360" spans="1:10" x14ac:dyDescent="0.25">
      <c r="A2360" s="4">
        <f>_xlfn.XLOOKUP(E2360,'Data Validation'!$M$3:$M$10,'Data Validation'!$N$3:$N$10)</f>
        <v>5</v>
      </c>
      <c r="B2360" s="4">
        <v>17</v>
      </c>
      <c r="C2360" s="4" t="s">
        <v>11</v>
      </c>
      <c r="D2360" s="7">
        <v>25.96</v>
      </c>
      <c r="E2360" s="4" t="s">
        <v>24</v>
      </c>
      <c r="F2360" s="4" t="s">
        <v>20</v>
      </c>
      <c r="G2360" s="4" t="s">
        <v>50</v>
      </c>
      <c r="H2360" s="4" t="s">
        <v>42</v>
      </c>
      <c r="I2360" s="5">
        <v>45668</v>
      </c>
      <c r="J2360" s="4">
        <f t="shared" si="36"/>
        <v>20</v>
      </c>
    </row>
    <row r="2361" spans="1:10" x14ac:dyDescent="0.25">
      <c r="A2361" s="4">
        <f>_xlfn.XLOOKUP(E2361,'Data Validation'!$M$3:$M$10,'Data Validation'!$N$3:$N$10)</f>
        <v>5</v>
      </c>
      <c r="B2361" s="4">
        <v>17</v>
      </c>
      <c r="C2361" s="4" t="s">
        <v>11</v>
      </c>
      <c r="D2361" s="7">
        <v>25.96</v>
      </c>
      <c r="E2361" s="4" t="s">
        <v>24</v>
      </c>
      <c r="F2361" s="4" t="s">
        <v>20</v>
      </c>
      <c r="G2361" s="4" t="s">
        <v>50</v>
      </c>
      <c r="H2361" s="4" t="s">
        <v>42</v>
      </c>
      <c r="I2361" s="5">
        <v>45668</v>
      </c>
      <c r="J2361" s="4">
        <f t="shared" si="36"/>
        <v>20</v>
      </c>
    </row>
    <row r="2362" spans="1:10" x14ac:dyDescent="0.25">
      <c r="A2362" s="4">
        <f>_xlfn.XLOOKUP(E2362,'Data Validation'!$M$3:$M$10,'Data Validation'!$N$3:$N$10)</f>
        <v>5</v>
      </c>
      <c r="B2362" s="4">
        <v>13</v>
      </c>
      <c r="C2362" s="4" t="s">
        <v>11</v>
      </c>
      <c r="D2362" s="7">
        <v>25.96</v>
      </c>
      <c r="E2362" s="4" t="s">
        <v>24</v>
      </c>
      <c r="F2362" s="4" t="s">
        <v>17</v>
      </c>
      <c r="G2362" s="4" t="s">
        <v>45</v>
      </c>
      <c r="H2362" s="4" t="s">
        <v>42</v>
      </c>
      <c r="I2362" s="5">
        <v>45670</v>
      </c>
      <c r="J2362" s="4">
        <f t="shared" si="36"/>
        <v>20</v>
      </c>
    </row>
    <row r="2363" spans="1:10" x14ac:dyDescent="0.25">
      <c r="A2363" s="4">
        <f>_xlfn.XLOOKUP(E2363,'Data Validation'!$M$3:$M$10,'Data Validation'!$N$3:$N$10)</f>
        <v>5</v>
      </c>
      <c r="B2363" s="4">
        <v>9</v>
      </c>
      <c r="C2363" s="4" t="s">
        <v>11</v>
      </c>
      <c r="D2363" s="7">
        <v>25.96</v>
      </c>
      <c r="E2363" s="4" t="s">
        <v>24</v>
      </c>
      <c r="F2363" s="4" t="s">
        <v>13</v>
      </c>
      <c r="G2363" s="4" t="s">
        <v>46</v>
      </c>
      <c r="H2363" s="4" t="s">
        <v>42</v>
      </c>
      <c r="I2363" s="5">
        <v>45671</v>
      </c>
      <c r="J2363" s="4">
        <f t="shared" si="36"/>
        <v>20</v>
      </c>
    </row>
    <row r="2364" spans="1:10" x14ac:dyDescent="0.25">
      <c r="A2364" s="4">
        <f>_xlfn.XLOOKUP(E2364,'Data Validation'!$M$3:$M$10,'Data Validation'!$N$3:$N$10)</f>
        <v>5</v>
      </c>
      <c r="B2364" s="4">
        <v>12</v>
      </c>
      <c r="C2364" s="4" t="s">
        <v>11</v>
      </c>
      <c r="D2364" s="7">
        <v>25.96</v>
      </c>
      <c r="E2364" s="4" t="s">
        <v>24</v>
      </c>
      <c r="F2364" s="4" t="s">
        <v>17</v>
      </c>
      <c r="G2364" s="4" t="s">
        <v>48</v>
      </c>
      <c r="H2364" s="4" t="s">
        <v>42</v>
      </c>
      <c r="I2364" s="5">
        <v>45673</v>
      </c>
      <c r="J2364" s="4">
        <f t="shared" si="36"/>
        <v>20</v>
      </c>
    </row>
    <row r="2365" spans="1:10" x14ac:dyDescent="0.25">
      <c r="A2365" s="4">
        <f>_xlfn.XLOOKUP(E2365,'Data Validation'!$M$3:$M$10,'Data Validation'!$N$3:$N$10)</f>
        <v>5</v>
      </c>
      <c r="B2365" s="4">
        <v>21</v>
      </c>
      <c r="C2365" s="4" t="s">
        <v>11</v>
      </c>
      <c r="D2365" s="7">
        <v>25.96</v>
      </c>
      <c r="E2365" s="4" t="s">
        <v>24</v>
      </c>
      <c r="F2365" s="4" t="s">
        <v>20</v>
      </c>
      <c r="G2365" s="4" t="s">
        <v>48</v>
      </c>
      <c r="H2365" s="4" t="s">
        <v>42</v>
      </c>
      <c r="I2365" s="5">
        <v>45673</v>
      </c>
      <c r="J2365" s="4">
        <f t="shared" si="36"/>
        <v>20</v>
      </c>
    </row>
    <row r="2366" spans="1:10" x14ac:dyDescent="0.25">
      <c r="A2366" s="4">
        <f>_xlfn.XLOOKUP(E2366,'Data Validation'!$M$3:$M$10,'Data Validation'!$N$3:$N$10)</f>
        <v>5</v>
      </c>
      <c r="B2366" s="4">
        <v>11</v>
      </c>
      <c r="C2366" s="4" t="s">
        <v>11</v>
      </c>
      <c r="D2366" s="7">
        <v>25.96</v>
      </c>
      <c r="E2366" s="4" t="s">
        <v>24</v>
      </c>
      <c r="F2366" s="4" t="s">
        <v>13</v>
      </c>
      <c r="G2366" s="4" t="s">
        <v>45</v>
      </c>
      <c r="H2366" s="4" t="s">
        <v>42</v>
      </c>
      <c r="I2366" s="5">
        <v>45677</v>
      </c>
      <c r="J2366" s="4">
        <f t="shared" si="36"/>
        <v>20</v>
      </c>
    </row>
    <row r="2367" spans="1:10" x14ac:dyDescent="0.25">
      <c r="A2367" s="4">
        <f>_xlfn.XLOOKUP(E2367,'Data Validation'!$M$3:$M$10,'Data Validation'!$N$3:$N$10)</f>
        <v>5</v>
      </c>
      <c r="B2367" s="4">
        <v>12</v>
      </c>
      <c r="C2367" s="4" t="s">
        <v>11</v>
      </c>
      <c r="D2367" s="7">
        <v>25.96</v>
      </c>
      <c r="E2367" s="4" t="s">
        <v>24</v>
      </c>
      <c r="F2367" s="4" t="s">
        <v>17</v>
      </c>
      <c r="G2367" s="4" t="s">
        <v>45</v>
      </c>
      <c r="H2367" s="4" t="s">
        <v>42</v>
      </c>
      <c r="I2367" s="5">
        <v>45677</v>
      </c>
      <c r="J2367" s="4">
        <f t="shared" si="36"/>
        <v>20</v>
      </c>
    </row>
    <row r="2368" spans="1:10" x14ac:dyDescent="0.25">
      <c r="A2368" s="4">
        <f>_xlfn.XLOOKUP(E2368,'Data Validation'!$M$3:$M$10,'Data Validation'!$N$3:$N$10)</f>
        <v>5</v>
      </c>
      <c r="B2368" s="4">
        <v>8</v>
      </c>
      <c r="C2368" s="4" t="s">
        <v>11</v>
      </c>
      <c r="D2368" s="7">
        <v>25.96</v>
      </c>
      <c r="E2368" s="4" t="s">
        <v>24</v>
      </c>
      <c r="F2368" s="4" t="s">
        <v>13</v>
      </c>
      <c r="G2368" s="4" t="s">
        <v>46</v>
      </c>
      <c r="H2368" s="4" t="s">
        <v>42</v>
      </c>
      <c r="I2368" s="5">
        <v>45678</v>
      </c>
      <c r="J2368" s="4">
        <f t="shared" si="36"/>
        <v>20</v>
      </c>
    </row>
    <row r="2369" spans="1:10" x14ac:dyDescent="0.25">
      <c r="A2369" s="4">
        <f>_xlfn.XLOOKUP(E2369,'Data Validation'!$M$3:$M$10,'Data Validation'!$N$3:$N$10)</f>
        <v>5</v>
      </c>
      <c r="B2369" s="4">
        <v>13</v>
      </c>
      <c r="C2369" s="4" t="s">
        <v>11</v>
      </c>
      <c r="D2369" s="7">
        <v>25.96</v>
      </c>
      <c r="E2369" s="4" t="s">
        <v>24</v>
      </c>
      <c r="F2369" s="4" t="s">
        <v>17</v>
      </c>
      <c r="G2369" s="4" t="s">
        <v>49</v>
      </c>
      <c r="H2369" s="4" t="s">
        <v>42</v>
      </c>
      <c r="I2369" s="5">
        <v>45681</v>
      </c>
      <c r="J2369" s="4">
        <f t="shared" si="36"/>
        <v>20</v>
      </c>
    </row>
    <row r="2370" spans="1:10" x14ac:dyDescent="0.25">
      <c r="A2370" s="4">
        <f>_xlfn.XLOOKUP(E2370,'Data Validation'!$M$3:$M$10,'Data Validation'!$N$3:$N$10)</f>
        <v>5</v>
      </c>
      <c r="B2370" s="4">
        <v>8</v>
      </c>
      <c r="C2370" s="4" t="s">
        <v>11</v>
      </c>
      <c r="D2370" s="7">
        <v>25.96</v>
      </c>
      <c r="E2370" s="4" t="s">
        <v>24</v>
      </c>
      <c r="F2370" s="4" t="s">
        <v>13</v>
      </c>
      <c r="G2370" s="4" t="s">
        <v>45</v>
      </c>
      <c r="H2370" s="4" t="s">
        <v>42</v>
      </c>
      <c r="I2370" s="5">
        <v>45684</v>
      </c>
      <c r="J2370" s="4">
        <f t="shared" si="36"/>
        <v>20</v>
      </c>
    </row>
    <row r="2371" spans="1:10" x14ac:dyDescent="0.25">
      <c r="A2371" s="4">
        <f>_xlfn.XLOOKUP(E2371,'Data Validation'!$M$3:$M$10,'Data Validation'!$N$3:$N$10)</f>
        <v>5</v>
      </c>
      <c r="B2371" s="4">
        <v>15</v>
      </c>
      <c r="C2371" s="4" t="s">
        <v>11</v>
      </c>
      <c r="D2371" s="7">
        <v>25.96</v>
      </c>
      <c r="E2371" s="4" t="s">
        <v>24</v>
      </c>
      <c r="F2371" s="4" t="s">
        <v>17</v>
      </c>
      <c r="G2371" s="4" t="s">
        <v>45</v>
      </c>
      <c r="H2371" s="4" t="s">
        <v>42</v>
      </c>
      <c r="I2371" s="5">
        <v>45684</v>
      </c>
      <c r="J2371" s="4">
        <f t="shared" ref="J2371:J2434" si="37">IF(OR(E2371&lt;&gt;E2370,D2371&lt;&gt;D2370),J2370+1,J2370)</f>
        <v>20</v>
      </c>
    </row>
    <row r="2372" spans="1:10" x14ac:dyDescent="0.25">
      <c r="A2372" s="4">
        <f>_xlfn.XLOOKUP(E2372,'Data Validation'!$M$3:$M$10,'Data Validation'!$N$3:$N$10)</f>
        <v>5</v>
      </c>
      <c r="B2372" s="4">
        <v>16</v>
      </c>
      <c r="C2372" s="4" t="s">
        <v>11</v>
      </c>
      <c r="D2372" s="7">
        <v>25.96</v>
      </c>
      <c r="E2372" s="4" t="s">
        <v>24</v>
      </c>
      <c r="F2372" s="4" t="s">
        <v>17</v>
      </c>
      <c r="G2372" s="4" t="s">
        <v>46</v>
      </c>
      <c r="H2372" s="4" t="s">
        <v>42</v>
      </c>
      <c r="I2372" s="5">
        <v>45685</v>
      </c>
      <c r="J2372" s="4">
        <f t="shared" si="37"/>
        <v>20</v>
      </c>
    </row>
    <row r="2373" spans="1:10" x14ac:dyDescent="0.25">
      <c r="A2373" s="4">
        <f>_xlfn.XLOOKUP(E2373,'Data Validation'!$M$3:$M$10,'Data Validation'!$N$3:$N$10)</f>
        <v>5</v>
      </c>
      <c r="B2373" s="4">
        <v>11</v>
      </c>
      <c r="C2373" s="4" t="s">
        <v>11</v>
      </c>
      <c r="D2373" s="7">
        <v>25.96</v>
      </c>
      <c r="E2373" s="4" t="s">
        <v>24</v>
      </c>
      <c r="F2373" s="4" t="s">
        <v>13</v>
      </c>
      <c r="G2373" s="4" t="s">
        <v>48</v>
      </c>
      <c r="H2373" s="4" t="s">
        <v>42</v>
      </c>
      <c r="I2373" s="5">
        <v>45687</v>
      </c>
      <c r="J2373" s="4">
        <f t="shared" si="37"/>
        <v>20</v>
      </c>
    </row>
    <row r="2374" spans="1:10" x14ac:dyDescent="0.25">
      <c r="A2374" s="4">
        <f>_xlfn.XLOOKUP(E2374,'Data Validation'!$M$3:$M$10,'Data Validation'!$N$3:$N$10)</f>
        <v>5</v>
      </c>
      <c r="B2374" s="4">
        <v>18</v>
      </c>
      <c r="C2374" s="4" t="s">
        <v>11</v>
      </c>
      <c r="D2374" s="7">
        <v>25.96</v>
      </c>
      <c r="E2374" s="4" t="s">
        <v>24</v>
      </c>
      <c r="F2374" s="4" t="s">
        <v>20</v>
      </c>
      <c r="G2374" s="4" t="s">
        <v>48</v>
      </c>
      <c r="H2374" s="4" t="s">
        <v>42</v>
      </c>
      <c r="I2374" s="5">
        <v>45687</v>
      </c>
      <c r="J2374" s="4">
        <f t="shared" si="37"/>
        <v>20</v>
      </c>
    </row>
    <row r="2375" spans="1:10" x14ac:dyDescent="0.25">
      <c r="A2375" s="4">
        <f>_xlfn.XLOOKUP(E2375,'Data Validation'!$M$3:$M$10,'Data Validation'!$N$3:$N$10)</f>
        <v>5</v>
      </c>
      <c r="B2375" s="4">
        <v>13</v>
      </c>
      <c r="C2375" s="4" t="s">
        <v>11</v>
      </c>
      <c r="D2375" s="7">
        <v>25.96</v>
      </c>
      <c r="E2375" s="4" t="s">
        <v>24</v>
      </c>
      <c r="F2375" s="4" t="s">
        <v>17</v>
      </c>
      <c r="G2375" s="4" t="s">
        <v>50</v>
      </c>
      <c r="H2375" s="4" t="s">
        <v>43</v>
      </c>
      <c r="I2375" s="5">
        <v>45689</v>
      </c>
      <c r="J2375" s="4">
        <f t="shared" si="37"/>
        <v>20</v>
      </c>
    </row>
    <row r="2376" spans="1:10" x14ac:dyDescent="0.25">
      <c r="A2376" s="4">
        <f>_xlfn.XLOOKUP(E2376,'Data Validation'!$M$3:$M$10,'Data Validation'!$N$3:$N$10)</f>
        <v>5</v>
      </c>
      <c r="B2376" s="4">
        <v>13</v>
      </c>
      <c r="C2376" s="4" t="s">
        <v>11</v>
      </c>
      <c r="D2376" s="7">
        <v>25.96</v>
      </c>
      <c r="E2376" s="4" t="s">
        <v>24</v>
      </c>
      <c r="F2376" s="4" t="s">
        <v>17</v>
      </c>
      <c r="G2376" s="4" t="s">
        <v>50</v>
      </c>
      <c r="H2376" s="4" t="s">
        <v>43</v>
      </c>
      <c r="I2376" s="5">
        <v>45689</v>
      </c>
      <c r="J2376" s="4">
        <f t="shared" si="37"/>
        <v>20</v>
      </c>
    </row>
    <row r="2377" spans="1:10" x14ac:dyDescent="0.25">
      <c r="A2377" s="4">
        <f>_xlfn.XLOOKUP(E2377,'Data Validation'!$M$3:$M$10,'Data Validation'!$N$3:$N$10)</f>
        <v>5</v>
      </c>
      <c r="B2377" s="4">
        <v>13</v>
      </c>
      <c r="C2377" s="4" t="s">
        <v>11</v>
      </c>
      <c r="D2377" s="7">
        <v>25.96</v>
      </c>
      <c r="E2377" s="4" t="s">
        <v>24</v>
      </c>
      <c r="F2377" s="4" t="s">
        <v>17</v>
      </c>
      <c r="G2377" s="4" t="s">
        <v>46</v>
      </c>
      <c r="H2377" s="4" t="s">
        <v>43</v>
      </c>
      <c r="I2377" s="5">
        <v>45692</v>
      </c>
      <c r="J2377" s="4">
        <f t="shared" si="37"/>
        <v>20</v>
      </c>
    </row>
    <row r="2378" spans="1:10" x14ac:dyDescent="0.25">
      <c r="A2378" s="4">
        <f>_xlfn.XLOOKUP(E2378,'Data Validation'!$M$3:$M$10,'Data Validation'!$N$3:$N$10)</f>
        <v>5</v>
      </c>
      <c r="B2378" s="4">
        <v>19</v>
      </c>
      <c r="C2378" s="4" t="s">
        <v>11</v>
      </c>
      <c r="D2378" s="7">
        <v>25.96</v>
      </c>
      <c r="E2378" s="4" t="s">
        <v>24</v>
      </c>
      <c r="F2378" s="4" t="s">
        <v>20</v>
      </c>
      <c r="G2378" s="4" t="s">
        <v>46</v>
      </c>
      <c r="H2378" s="4" t="s">
        <v>43</v>
      </c>
      <c r="I2378" s="5">
        <v>45692</v>
      </c>
      <c r="J2378" s="4">
        <f t="shared" si="37"/>
        <v>20</v>
      </c>
    </row>
    <row r="2379" spans="1:10" x14ac:dyDescent="0.25">
      <c r="A2379" s="4">
        <f>_xlfn.XLOOKUP(E2379,'Data Validation'!$M$3:$M$10,'Data Validation'!$N$3:$N$10)</f>
        <v>5</v>
      </c>
      <c r="B2379" s="4">
        <v>16</v>
      </c>
      <c r="C2379" s="4" t="s">
        <v>11</v>
      </c>
      <c r="D2379" s="7">
        <v>25.96</v>
      </c>
      <c r="E2379" s="4" t="s">
        <v>24</v>
      </c>
      <c r="F2379" s="4" t="s">
        <v>17</v>
      </c>
      <c r="G2379" s="4" t="s">
        <v>49</v>
      </c>
      <c r="H2379" s="4" t="s">
        <v>43</v>
      </c>
      <c r="I2379" s="5">
        <v>45695</v>
      </c>
      <c r="J2379" s="4">
        <f t="shared" si="37"/>
        <v>20</v>
      </c>
    </row>
    <row r="2380" spans="1:10" x14ac:dyDescent="0.25">
      <c r="A2380" s="4">
        <f>_xlfn.XLOOKUP(E2380,'Data Validation'!$M$3:$M$10,'Data Validation'!$N$3:$N$10)</f>
        <v>5</v>
      </c>
      <c r="B2380" s="4">
        <v>18</v>
      </c>
      <c r="C2380" s="4" t="s">
        <v>11</v>
      </c>
      <c r="D2380" s="7">
        <v>25.96</v>
      </c>
      <c r="E2380" s="4" t="s">
        <v>24</v>
      </c>
      <c r="F2380" s="4" t="s">
        <v>20</v>
      </c>
      <c r="G2380" s="4" t="s">
        <v>49</v>
      </c>
      <c r="H2380" s="4" t="s">
        <v>43</v>
      </c>
      <c r="I2380" s="5">
        <v>45695</v>
      </c>
      <c r="J2380" s="4">
        <f t="shared" si="37"/>
        <v>20</v>
      </c>
    </row>
    <row r="2381" spans="1:10" x14ac:dyDescent="0.25">
      <c r="A2381" s="4">
        <f>_xlfn.XLOOKUP(E2381,'Data Validation'!$M$3:$M$10,'Data Validation'!$N$3:$N$10)</f>
        <v>5</v>
      </c>
      <c r="B2381" s="4">
        <v>20</v>
      </c>
      <c r="C2381" s="4" t="s">
        <v>11</v>
      </c>
      <c r="D2381" s="7">
        <v>25.96</v>
      </c>
      <c r="E2381" s="4" t="s">
        <v>24</v>
      </c>
      <c r="F2381" s="4" t="s">
        <v>20</v>
      </c>
      <c r="G2381" s="4" t="s">
        <v>49</v>
      </c>
      <c r="H2381" s="4" t="s">
        <v>43</v>
      </c>
      <c r="I2381" s="5">
        <v>45695</v>
      </c>
      <c r="J2381" s="4">
        <f t="shared" si="37"/>
        <v>20</v>
      </c>
    </row>
    <row r="2382" spans="1:10" x14ac:dyDescent="0.25">
      <c r="A2382" s="4">
        <f>_xlfn.XLOOKUP(E2382,'Data Validation'!$M$3:$M$10,'Data Validation'!$N$3:$N$10)</f>
        <v>5</v>
      </c>
      <c r="B2382" s="4">
        <v>11</v>
      </c>
      <c r="C2382" s="4" t="s">
        <v>11</v>
      </c>
      <c r="D2382" s="7">
        <v>25.96</v>
      </c>
      <c r="E2382" s="4" t="s">
        <v>24</v>
      </c>
      <c r="F2382" s="4" t="s">
        <v>13</v>
      </c>
      <c r="G2382" s="4" t="s">
        <v>50</v>
      </c>
      <c r="H2382" s="4" t="s">
        <v>43</v>
      </c>
      <c r="I2382" s="5">
        <v>45696</v>
      </c>
      <c r="J2382" s="4">
        <f t="shared" si="37"/>
        <v>20</v>
      </c>
    </row>
    <row r="2383" spans="1:10" x14ac:dyDescent="0.25">
      <c r="A2383" s="4">
        <f>_xlfn.XLOOKUP(E2383,'Data Validation'!$M$3:$M$10,'Data Validation'!$N$3:$N$10)</f>
        <v>5</v>
      </c>
      <c r="B2383" s="4">
        <v>16</v>
      </c>
      <c r="C2383" s="4" t="s">
        <v>11</v>
      </c>
      <c r="D2383" s="7">
        <v>25.96</v>
      </c>
      <c r="E2383" s="4" t="s">
        <v>24</v>
      </c>
      <c r="F2383" s="4" t="s">
        <v>17</v>
      </c>
      <c r="G2383" s="4" t="s">
        <v>51</v>
      </c>
      <c r="H2383" s="4" t="s">
        <v>43</v>
      </c>
      <c r="I2383" s="5">
        <v>45697</v>
      </c>
      <c r="J2383" s="4">
        <f t="shared" si="37"/>
        <v>20</v>
      </c>
    </row>
    <row r="2384" spans="1:10" x14ac:dyDescent="0.25">
      <c r="A2384" s="4">
        <f>_xlfn.XLOOKUP(E2384,'Data Validation'!$M$3:$M$10,'Data Validation'!$N$3:$N$10)</f>
        <v>5</v>
      </c>
      <c r="B2384" s="4">
        <v>15</v>
      </c>
      <c r="C2384" s="4" t="s">
        <v>11</v>
      </c>
      <c r="D2384" s="7">
        <v>25.96</v>
      </c>
      <c r="E2384" s="4" t="s">
        <v>24</v>
      </c>
      <c r="F2384" s="4" t="s">
        <v>17</v>
      </c>
      <c r="G2384" s="4" t="s">
        <v>47</v>
      </c>
      <c r="H2384" s="4" t="s">
        <v>43</v>
      </c>
      <c r="I2384" s="5">
        <v>45714</v>
      </c>
      <c r="J2384" s="4">
        <f t="shared" si="37"/>
        <v>20</v>
      </c>
    </row>
    <row r="2385" spans="1:10" x14ac:dyDescent="0.25">
      <c r="A2385" s="4">
        <f>_xlfn.XLOOKUP(E2385,'Data Validation'!$M$3:$M$10,'Data Validation'!$N$3:$N$10)</f>
        <v>5</v>
      </c>
      <c r="B2385" s="4">
        <v>18</v>
      </c>
      <c r="C2385" s="4" t="s">
        <v>11</v>
      </c>
      <c r="D2385" s="7">
        <v>25.96</v>
      </c>
      <c r="E2385" s="4" t="s">
        <v>24</v>
      </c>
      <c r="F2385" s="4" t="s">
        <v>20</v>
      </c>
      <c r="G2385" s="4" t="s">
        <v>47</v>
      </c>
      <c r="H2385" s="4" t="s">
        <v>44</v>
      </c>
      <c r="I2385" s="5">
        <v>45735</v>
      </c>
      <c r="J2385" s="4">
        <f t="shared" si="37"/>
        <v>20</v>
      </c>
    </row>
    <row r="2386" spans="1:10" x14ac:dyDescent="0.25">
      <c r="A2386" s="4">
        <f>_xlfn.XLOOKUP(E2386,'Data Validation'!$M$3:$M$10,'Data Validation'!$N$3:$N$10)</f>
        <v>5</v>
      </c>
      <c r="B2386" s="4">
        <v>14</v>
      </c>
      <c r="C2386" s="4" t="s">
        <v>11</v>
      </c>
      <c r="D2386" s="7">
        <v>25.96</v>
      </c>
      <c r="E2386" s="4" t="s">
        <v>24</v>
      </c>
      <c r="F2386" s="4" t="s">
        <v>17</v>
      </c>
      <c r="G2386" s="4" t="s">
        <v>48</v>
      </c>
      <c r="H2386" s="4" t="s">
        <v>44</v>
      </c>
      <c r="I2386" s="5">
        <v>45736</v>
      </c>
      <c r="J2386" s="4">
        <f t="shared" si="37"/>
        <v>20</v>
      </c>
    </row>
    <row r="2387" spans="1:10" x14ac:dyDescent="0.25">
      <c r="A2387" s="4">
        <f>_xlfn.XLOOKUP(E2387,'Data Validation'!$M$3:$M$10,'Data Validation'!$N$3:$N$10)</f>
        <v>6</v>
      </c>
      <c r="B2387" s="4">
        <v>14</v>
      </c>
      <c r="C2387" s="4" t="s">
        <v>11</v>
      </c>
      <c r="D2387" s="7">
        <v>24</v>
      </c>
      <c r="E2387" s="4" t="s">
        <v>26</v>
      </c>
      <c r="F2387" s="4" t="s">
        <v>17</v>
      </c>
      <c r="G2387" s="4" t="s">
        <v>45</v>
      </c>
      <c r="H2387" s="4" t="s">
        <v>44</v>
      </c>
      <c r="I2387" s="5">
        <v>45355</v>
      </c>
      <c r="J2387" s="4">
        <f t="shared" si="37"/>
        <v>21</v>
      </c>
    </row>
    <row r="2388" spans="1:10" x14ac:dyDescent="0.25">
      <c r="A2388" s="4">
        <f>_xlfn.XLOOKUP(E2388,'Data Validation'!$M$3:$M$10,'Data Validation'!$N$3:$N$10)</f>
        <v>6</v>
      </c>
      <c r="B2388" s="4">
        <v>12</v>
      </c>
      <c r="C2388" s="4" t="s">
        <v>11</v>
      </c>
      <c r="D2388" s="7">
        <v>24</v>
      </c>
      <c r="E2388" s="4" t="s">
        <v>26</v>
      </c>
      <c r="F2388" s="4" t="s">
        <v>17</v>
      </c>
      <c r="G2388" s="4" t="s">
        <v>50</v>
      </c>
      <c r="H2388" s="4" t="s">
        <v>44</v>
      </c>
      <c r="I2388" s="5">
        <v>45360</v>
      </c>
      <c r="J2388" s="4">
        <f t="shared" si="37"/>
        <v>21</v>
      </c>
    </row>
    <row r="2389" spans="1:10" x14ac:dyDescent="0.25">
      <c r="A2389" s="4">
        <f>_xlfn.XLOOKUP(E2389,'Data Validation'!$M$3:$M$10,'Data Validation'!$N$3:$N$10)</f>
        <v>6</v>
      </c>
      <c r="B2389" s="4">
        <v>11</v>
      </c>
      <c r="C2389" s="4" t="s">
        <v>11</v>
      </c>
      <c r="D2389" s="7">
        <v>24</v>
      </c>
      <c r="E2389" s="4" t="s">
        <v>26</v>
      </c>
      <c r="F2389" s="4" t="s">
        <v>13</v>
      </c>
      <c r="G2389" s="4" t="s">
        <v>51</v>
      </c>
      <c r="H2389" s="4" t="s">
        <v>44</v>
      </c>
      <c r="I2389" s="5">
        <v>45361</v>
      </c>
      <c r="J2389" s="4">
        <f t="shared" si="37"/>
        <v>21</v>
      </c>
    </row>
    <row r="2390" spans="1:10" x14ac:dyDescent="0.25">
      <c r="A2390" s="4">
        <f>_xlfn.XLOOKUP(E2390,'Data Validation'!$M$3:$M$10,'Data Validation'!$N$3:$N$10)</f>
        <v>6</v>
      </c>
      <c r="B2390" s="4">
        <v>15</v>
      </c>
      <c r="C2390" s="4" t="s">
        <v>11</v>
      </c>
      <c r="D2390" s="7">
        <v>24</v>
      </c>
      <c r="E2390" s="4" t="s">
        <v>26</v>
      </c>
      <c r="F2390" s="4" t="s">
        <v>17</v>
      </c>
      <c r="G2390" s="4" t="s">
        <v>47</v>
      </c>
      <c r="H2390" s="4" t="s">
        <v>44</v>
      </c>
      <c r="I2390" s="5">
        <v>45364</v>
      </c>
      <c r="J2390" s="4">
        <f t="shared" si="37"/>
        <v>21</v>
      </c>
    </row>
    <row r="2391" spans="1:10" x14ac:dyDescent="0.25">
      <c r="A2391" s="4">
        <f>_xlfn.XLOOKUP(E2391,'Data Validation'!$M$3:$M$10,'Data Validation'!$N$3:$N$10)</f>
        <v>6</v>
      </c>
      <c r="B2391" s="4">
        <v>15</v>
      </c>
      <c r="C2391" s="4" t="s">
        <v>11</v>
      </c>
      <c r="D2391" s="7">
        <v>24</v>
      </c>
      <c r="E2391" s="4" t="s">
        <v>26</v>
      </c>
      <c r="F2391" s="4" t="s">
        <v>17</v>
      </c>
      <c r="G2391" s="4" t="s">
        <v>47</v>
      </c>
      <c r="H2391" s="4" t="s">
        <v>44</v>
      </c>
      <c r="I2391" s="5">
        <v>45364</v>
      </c>
      <c r="J2391" s="4">
        <f t="shared" si="37"/>
        <v>21</v>
      </c>
    </row>
    <row r="2392" spans="1:10" x14ac:dyDescent="0.25">
      <c r="A2392" s="4">
        <f>_xlfn.XLOOKUP(E2392,'Data Validation'!$M$3:$M$10,'Data Validation'!$N$3:$N$10)</f>
        <v>6</v>
      </c>
      <c r="B2392" s="4">
        <v>16</v>
      </c>
      <c r="C2392" s="4" t="s">
        <v>11</v>
      </c>
      <c r="D2392" s="7">
        <v>24</v>
      </c>
      <c r="E2392" s="4" t="s">
        <v>26</v>
      </c>
      <c r="F2392" s="4" t="s">
        <v>17</v>
      </c>
      <c r="G2392" s="4" t="s">
        <v>47</v>
      </c>
      <c r="H2392" s="4" t="s">
        <v>44</v>
      </c>
      <c r="I2392" s="5">
        <v>45364</v>
      </c>
      <c r="J2392" s="4">
        <f t="shared" si="37"/>
        <v>21</v>
      </c>
    </row>
    <row r="2393" spans="1:10" x14ac:dyDescent="0.25">
      <c r="A2393" s="4">
        <f>_xlfn.XLOOKUP(E2393,'Data Validation'!$M$3:$M$10,'Data Validation'!$N$3:$N$10)</f>
        <v>6</v>
      </c>
      <c r="B2393" s="4">
        <v>13</v>
      </c>
      <c r="C2393" s="4" t="s">
        <v>11</v>
      </c>
      <c r="D2393" s="7">
        <v>24</v>
      </c>
      <c r="E2393" s="4" t="s">
        <v>26</v>
      </c>
      <c r="F2393" s="4" t="s">
        <v>17</v>
      </c>
      <c r="G2393" s="4" t="s">
        <v>48</v>
      </c>
      <c r="H2393" s="4" t="s">
        <v>44</v>
      </c>
      <c r="I2393" s="5">
        <v>45365</v>
      </c>
      <c r="J2393" s="4">
        <f t="shared" si="37"/>
        <v>21</v>
      </c>
    </row>
    <row r="2394" spans="1:10" x14ac:dyDescent="0.25">
      <c r="A2394" s="4">
        <f>_xlfn.XLOOKUP(E2394,'Data Validation'!$M$3:$M$10,'Data Validation'!$N$3:$N$10)</f>
        <v>6</v>
      </c>
      <c r="B2394" s="4">
        <v>16</v>
      </c>
      <c r="C2394" s="4" t="s">
        <v>11</v>
      </c>
      <c r="D2394" s="7">
        <v>24</v>
      </c>
      <c r="E2394" s="4" t="s">
        <v>26</v>
      </c>
      <c r="F2394" s="4" t="s">
        <v>17</v>
      </c>
      <c r="G2394" s="4" t="s">
        <v>48</v>
      </c>
      <c r="H2394" s="4" t="s">
        <v>44</v>
      </c>
      <c r="I2394" s="5">
        <v>45365</v>
      </c>
      <c r="J2394" s="4">
        <f t="shared" si="37"/>
        <v>21</v>
      </c>
    </row>
    <row r="2395" spans="1:10" x14ac:dyDescent="0.25">
      <c r="A2395" s="4">
        <f>_xlfn.XLOOKUP(E2395,'Data Validation'!$M$3:$M$10,'Data Validation'!$N$3:$N$10)</f>
        <v>6</v>
      </c>
      <c r="B2395" s="4">
        <v>17</v>
      </c>
      <c r="C2395" s="4" t="s">
        <v>11</v>
      </c>
      <c r="D2395" s="7">
        <v>24</v>
      </c>
      <c r="E2395" s="4" t="s">
        <v>26</v>
      </c>
      <c r="F2395" s="4" t="s">
        <v>20</v>
      </c>
      <c r="G2395" s="4" t="s">
        <v>49</v>
      </c>
      <c r="H2395" s="4" t="s">
        <v>44</v>
      </c>
      <c r="I2395" s="5">
        <v>45373</v>
      </c>
      <c r="J2395" s="4">
        <f t="shared" si="37"/>
        <v>21</v>
      </c>
    </row>
    <row r="2396" spans="1:10" x14ac:dyDescent="0.25">
      <c r="A2396" s="4">
        <f>_xlfn.XLOOKUP(E2396,'Data Validation'!$M$3:$M$10,'Data Validation'!$N$3:$N$10)</f>
        <v>6</v>
      </c>
      <c r="B2396" s="4">
        <v>16</v>
      </c>
      <c r="C2396" s="4" t="s">
        <v>11</v>
      </c>
      <c r="D2396" s="7">
        <v>24</v>
      </c>
      <c r="E2396" s="4" t="s">
        <v>26</v>
      </c>
      <c r="F2396" s="4" t="s">
        <v>17</v>
      </c>
      <c r="G2396" s="4" t="s">
        <v>49</v>
      </c>
      <c r="H2396" s="4" t="s">
        <v>52</v>
      </c>
      <c r="I2396" s="5">
        <v>45387</v>
      </c>
      <c r="J2396" s="4">
        <f t="shared" si="37"/>
        <v>21</v>
      </c>
    </row>
    <row r="2397" spans="1:10" x14ac:dyDescent="0.25">
      <c r="A2397" s="4">
        <f>_xlfn.XLOOKUP(E2397,'Data Validation'!$M$3:$M$10,'Data Validation'!$N$3:$N$10)</f>
        <v>6</v>
      </c>
      <c r="B2397" s="4">
        <v>14</v>
      </c>
      <c r="C2397" s="4" t="s">
        <v>11</v>
      </c>
      <c r="D2397" s="7">
        <v>24</v>
      </c>
      <c r="E2397" s="4" t="s">
        <v>26</v>
      </c>
      <c r="F2397" s="4" t="s">
        <v>17</v>
      </c>
      <c r="G2397" s="4" t="s">
        <v>51</v>
      </c>
      <c r="H2397" s="4" t="s">
        <v>52</v>
      </c>
      <c r="I2397" s="5">
        <v>45389</v>
      </c>
      <c r="J2397" s="4">
        <f t="shared" si="37"/>
        <v>21</v>
      </c>
    </row>
    <row r="2398" spans="1:10" x14ac:dyDescent="0.25">
      <c r="A2398" s="4">
        <f>_xlfn.XLOOKUP(E2398,'Data Validation'!$M$3:$M$10,'Data Validation'!$N$3:$N$10)</f>
        <v>6</v>
      </c>
      <c r="B2398" s="4">
        <v>17</v>
      </c>
      <c r="C2398" s="4" t="s">
        <v>11</v>
      </c>
      <c r="D2398" s="7">
        <v>24</v>
      </c>
      <c r="E2398" s="4" t="s">
        <v>26</v>
      </c>
      <c r="F2398" s="4" t="s">
        <v>20</v>
      </c>
      <c r="G2398" s="4" t="s">
        <v>47</v>
      </c>
      <c r="H2398" s="4" t="s">
        <v>52</v>
      </c>
      <c r="I2398" s="5">
        <v>45392</v>
      </c>
      <c r="J2398" s="4">
        <f t="shared" si="37"/>
        <v>21</v>
      </c>
    </row>
    <row r="2399" spans="1:10" x14ac:dyDescent="0.25">
      <c r="A2399" s="4">
        <f>_xlfn.XLOOKUP(E2399,'Data Validation'!$M$3:$M$10,'Data Validation'!$N$3:$N$10)</f>
        <v>6</v>
      </c>
      <c r="B2399" s="4">
        <v>13</v>
      </c>
      <c r="C2399" s="4" t="s">
        <v>11</v>
      </c>
      <c r="D2399" s="7">
        <v>24</v>
      </c>
      <c r="E2399" s="4" t="s">
        <v>26</v>
      </c>
      <c r="F2399" s="4" t="s">
        <v>17</v>
      </c>
      <c r="G2399" s="4" t="s">
        <v>47</v>
      </c>
      <c r="H2399" s="4" t="s">
        <v>52</v>
      </c>
      <c r="I2399" s="5">
        <v>45399</v>
      </c>
      <c r="J2399" s="4">
        <f t="shared" si="37"/>
        <v>21</v>
      </c>
    </row>
    <row r="2400" spans="1:10" x14ac:dyDescent="0.25">
      <c r="A2400" s="4">
        <f>_xlfn.XLOOKUP(E2400,'Data Validation'!$M$3:$M$10,'Data Validation'!$N$3:$N$10)</f>
        <v>6</v>
      </c>
      <c r="B2400" s="4">
        <v>11</v>
      </c>
      <c r="C2400" s="4" t="s">
        <v>11</v>
      </c>
      <c r="D2400" s="7">
        <v>23.02</v>
      </c>
      <c r="E2400" s="4" t="s">
        <v>26</v>
      </c>
      <c r="F2400" s="4" t="s">
        <v>13</v>
      </c>
      <c r="G2400" s="4" t="s">
        <v>47</v>
      </c>
      <c r="H2400" s="4" t="s">
        <v>32</v>
      </c>
      <c r="I2400" s="5">
        <v>45427</v>
      </c>
      <c r="J2400" s="4">
        <f t="shared" si="37"/>
        <v>22</v>
      </c>
    </row>
    <row r="2401" spans="1:10" x14ac:dyDescent="0.25">
      <c r="A2401" s="4">
        <f>_xlfn.XLOOKUP(E2401,'Data Validation'!$M$3:$M$10,'Data Validation'!$N$3:$N$10)</f>
        <v>6</v>
      </c>
      <c r="B2401" s="4">
        <v>17</v>
      </c>
      <c r="C2401" s="4" t="s">
        <v>11</v>
      </c>
      <c r="D2401" s="7">
        <v>23.02</v>
      </c>
      <c r="E2401" s="4" t="s">
        <v>26</v>
      </c>
      <c r="F2401" s="4" t="s">
        <v>20</v>
      </c>
      <c r="G2401" s="4" t="s">
        <v>47</v>
      </c>
      <c r="H2401" s="4" t="s">
        <v>32</v>
      </c>
      <c r="I2401" s="5">
        <v>45427</v>
      </c>
      <c r="J2401" s="4">
        <f t="shared" si="37"/>
        <v>22</v>
      </c>
    </row>
    <row r="2402" spans="1:10" x14ac:dyDescent="0.25">
      <c r="A2402" s="4">
        <f>_xlfn.XLOOKUP(E2402,'Data Validation'!$M$3:$M$10,'Data Validation'!$N$3:$N$10)</f>
        <v>6</v>
      </c>
      <c r="B2402" s="4">
        <v>18</v>
      </c>
      <c r="C2402" s="4" t="s">
        <v>11</v>
      </c>
      <c r="D2402" s="7">
        <v>23.02</v>
      </c>
      <c r="E2402" s="4" t="s">
        <v>26</v>
      </c>
      <c r="F2402" s="4" t="s">
        <v>20</v>
      </c>
      <c r="G2402" s="4" t="s">
        <v>51</v>
      </c>
      <c r="H2402" s="4" t="s">
        <v>32</v>
      </c>
      <c r="I2402" s="5">
        <v>45431</v>
      </c>
      <c r="J2402" s="4">
        <f t="shared" si="37"/>
        <v>22</v>
      </c>
    </row>
    <row r="2403" spans="1:10" x14ac:dyDescent="0.25">
      <c r="A2403" s="4">
        <f>_xlfn.XLOOKUP(E2403,'Data Validation'!$M$3:$M$10,'Data Validation'!$N$3:$N$10)</f>
        <v>6</v>
      </c>
      <c r="B2403" s="4">
        <v>18</v>
      </c>
      <c r="C2403" s="4" t="s">
        <v>11</v>
      </c>
      <c r="D2403" s="7">
        <v>23.02</v>
      </c>
      <c r="E2403" s="4" t="s">
        <v>26</v>
      </c>
      <c r="F2403" s="4" t="s">
        <v>20</v>
      </c>
      <c r="G2403" s="4" t="s">
        <v>46</v>
      </c>
      <c r="H2403" s="4" t="s">
        <v>32</v>
      </c>
      <c r="I2403" s="5">
        <v>45433</v>
      </c>
      <c r="J2403" s="4">
        <f t="shared" si="37"/>
        <v>22</v>
      </c>
    </row>
    <row r="2404" spans="1:10" x14ac:dyDescent="0.25">
      <c r="A2404" s="4">
        <f>_xlfn.XLOOKUP(E2404,'Data Validation'!$M$3:$M$10,'Data Validation'!$N$3:$N$10)</f>
        <v>6</v>
      </c>
      <c r="B2404" s="4">
        <v>12</v>
      </c>
      <c r="C2404" s="4" t="s">
        <v>11</v>
      </c>
      <c r="D2404" s="7">
        <v>23.02</v>
      </c>
      <c r="E2404" s="4" t="s">
        <v>26</v>
      </c>
      <c r="F2404" s="4" t="s">
        <v>17</v>
      </c>
      <c r="G2404" s="4" t="s">
        <v>48</v>
      </c>
      <c r="H2404" s="4" t="s">
        <v>32</v>
      </c>
      <c r="I2404" s="5">
        <v>45435</v>
      </c>
      <c r="J2404" s="4">
        <f t="shared" si="37"/>
        <v>22</v>
      </c>
    </row>
    <row r="2405" spans="1:10" x14ac:dyDescent="0.25">
      <c r="A2405" s="4">
        <f>_xlfn.XLOOKUP(E2405,'Data Validation'!$M$3:$M$10,'Data Validation'!$N$3:$N$10)</f>
        <v>6</v>
      </c>
      <c r="B2405" s="4">
        <v>15</v>
      </c>
      <c r="C2405" s="4" t="s">
        <v>11</v>
      </c>
      <c r="D2405" s="7">
        <v>23.02</v>
      </c>
      <c r="E2405" s="4" t="s">
        <v>26</v>
      </c>
      <c r="F2405" s="4" t="s">
        <v>17</v>
      </c>
      <c r="G2405" s="4" t="s">
        <v>48</v>
      </c>
      <c r="H2405" s="4" t="s">
        <v>32</v>
      </c>
      <c r="I2405" s="5">
        <v>45442</v>
      </c>
      <c r="J2405" s="4">
        <f t="shared" si="37"/>
        <v>22</v>
      </c>
    </row>
    <row r="2406" spans="1:10" x14ac:dyDescent="0.25">
      <c r="A2406" s="4">
        <f>_xlfn.XLOOKUP(E2406,'Data Validation'!$M$3:$M$10,'Data Validation'!$N$3:$N$10)</f>
        <v>6</v>
      </c>
      <c r="B2406" s="4">
        <v>15</v>
      </c>
      <c r="C2406" s="4" t="s">
        <v>11</v>
      </c>
      <c r="D2406" s="7">
        <v>23.02</v>
      </c>
      <c r="E2406" s="4" t="s">
        <v>26</v>
      </c>
      <c r="F2406" s="4" t="s">
        <v>17</v>
      </c>
      <c r="G2406" s="4" t="s">
        <v>48</v>
      </c>
      <c r="H2406" s="4" t="s">
        <v>32</v>
      </c>
      <c r="I2406" s="5">
        <v>45442</v>
      </c>
      <c r="J2406" s="4">
        <f t="shared" si="37"/>
        <v>22</v>
      </c>
    </row>
    <row r="2407" spans="1:10" x14ac:dyDescent="0.25">
      <c r="A2407" s="4">
        <f>_xlfn.XLOOKUP(E2407,'Data Validation'!$M$3:$M$10,'Data Validation'!$N$3:$N$10)</f>
        <v>6</v>
      </c>
      <c r="B2407" s="4">
        <v>10</v>
      </c>
      <c r="C2407" s="4" t="s">
        <v>11</v>
      </c>
      <c r="D2407" s="7">
        <v>23.02</v>
      </c>
      <c r="E2407" s="4" t="s">
        <v>26</v>
      </c>
      <c r="F2407" s="4" t="s">
        <v>13</v>
      </c>
      <c r="G2407" s="4" t="s">
        <v>49</v>
      </c>
      <c r="H2407" s="4" t="s">
        <v>53</v>
      </c>
      <c r="I2407" s="5">
        <v>45450</v>
      </c>
      <c r="J2407" s="4">
        <f t="shared" si="37"/>
        <v>22</v>
      </c>
    </row>
    <row r="2408" spans="1:10" x14ac:dyDescent="0.25">
      <c r="A2408" s="4">
        <f>_xlfn.XLOOKUP(E2408,'Data Validation'!$M$3:$M$10,'Data Validation'!$N$3:$N$10)</f>
        <v>6</v>
      </c>
      <c r="B2408" s="4">
        <v>11</v>
      </c>
      <c r="C2408" s="4" t="s">
        <v>11</v>
      </c>
      <c r="D2408" s="7">
        <v>23.02</v>
      </c>
      <c r="E2408" s="4" t="s">
        <v>26</v>
      </c>
      <c r="F2408" s="4" t="s">
        <v>13</v>
      </c>
      <c r="G2408" s="4" t="s">
        <v>51</v>
      </c>
      <c r="H2408" s="4" t="s">
        <v>53</v>
      </c>
      <c r="I2408" s="5">
        <v>45452</v>
      </c>
      <c r="J2408" s="4">
        <f t="shared" si="37"/>
        <v>22</v>
      </c>
    </row>
    <row r="2409" spans="1:10" x14ac:dyDescent="0.25">
      <c r="A2409" s="4">
        <f>_xlfn.XLOOKUP(E2409,'Data Validation'!$M$3:$M$10,'Data Validation'!$N$3:$N$10)</f>
        <v>6</v>
      </c>
      <c r="B2409" s="4">
        <v>20</v>
      </c>
      <c r="C2409" s="4" t="s">
        <v>11</v>
      </c>
      <c r="D2409" s="7">
        <v>23.02</v>
      </c>
      <c r="E2409" s="4" t="s">
        <v>26</v>
      </c>
      <c r="F2409" s="4" t="s">
        <v>20</v>
      </c>
      <c r="G2409" s="4" t="s">
        <v>48</v>
      </c>
      <c r="H2409" s="4" t="s">
        <v>53</v>
      </c>
      <c r="I2409" s="5">
        <v>45456</v>
      </c>
      <c r="J2409" s="4">
        <f t="shared" si="37"/>
        <v>22</v>
      </c>
    </row>
    <row r="2410" spans="1:10" x14ac:dyDescent="0.25">
      <c r="A2410" s="4">
        <f>_xlfn.XLOOKUP(E2410,'Data Validation'!$M$3:$M$10,'Data Validation'!$N$3:$N$10)</f>
        <v>6</v>
      </c>
      <c r="B2410" s="4">
        <v>20</v>
      </c>
      <c r="C2410" s="4" t="s">
        <v>11</v>
      </c>
      <c r="D2410" s="7">
        <v>23.02</v>
      </c>
      <c r="E2410" s="4" t="s">
        <v>26</v>
      </c>
      <c r="F2410" s="4" t="s">
        <v>20</v>
      </c>
      <c r="G2410" s="4" t="s">
        <v>48</v>
      </c>
      <c r="H2410" s="4" t="s">
        <v>53</v>
      </c>
      <c r="I2410" s="5">
        <v>45456</v>
      </c>
      <c r="J2410" s="4">
        <f t="shared" si="37"/>
        <v>22</v>
      </c>
    </row>
    <row r="2411" spans="1:10" x14ac:dyDescent="0.25">
      <c r="A2411" s="4">
        <f>_xlfn.XLOOKUP(E2411,'Data Validation'!$M$3:$M$10,'Data Validation'!$N$3:$N$10)</f>
        <v>6</v>
      </c>
      <c r="B2411" s="4">
        <v>12</v>
      </c>
      <c r="C2411" s="4" t="s">
        <v>11</v>
      </c>
      <c r="D2411" s="7">
        <v>23.02</v>
      </c>
      <c r="E2411" s="4" t="s">
        <v>26</v>
      </c>
      <c r="F2411" s="4" t="s">
        <v>17</v>
      </c>
      <c r="G2411" s="4" t="s">
        <v>50</v>
      </c>
      <c r="H2411" s="4" t="s">
        <v>53</v>
      </c>
      <c r="I2411" s="5">
        <v>45458</v>
      </c>
      <c r="J2411" s="4">
        <f t="shared" si="37"/>
        <v>22</v>
      </c>
    </row>
    <row r="2412" spans="1:10" x14ac:dyDescent="0.25">
      <c r="A2412" s="4">
        <f>_xlfn.XLOOKUP(E2412,'Data Validation'!$M$3:$M$10,'Data Validation'!$N$3:$N$10)</f>
        <v>6</v>
      </c>
      <c r="B2412" s="4">
        <v>14</v>
      </c>
      <c r="C2412" s="4" t="s">
        <v>11</v>
      </c>
      <c r="D2412" s="7">
        <v>23.02</v>
      </c>
      <c r="E2412" s="4" t="s">
        <v>26</v>
      </c>
      <c r="F2412" s="4" t="s">
        <v>17</v>
      </c>
      <c r="G2412" s="4" t="s">
        <v>51</v>
      </c>
      <c r="H2412" s="4" t="s">
        <v>53</v>
      </c>
      <c r="I2412" s="5">
        <v>45459</v>
      </c>
      <c r="J2412" s="4">
        <f t="shared" si="37"/>
        <v>22</v>
      </c>
    </row>
    <row r="2413" spans="1:10" x14ac:dyDescent="0.25">
      <c r="A2413" s="4">
        <f>_xlfn.XLOOKUP(E2413,'Data Validation'!$M$3:$M$10,'Data Validation'!$N$3:$N$10)</f>
        <v>6</v>
      </c>
      <c r="B2413" s="4">
        <v>18</v>
      </c>
      <c r="C2413" s="4" t="s">
        <v>11</v>
      </c>
      <c r="D2413" s="7">
        <v>23.02</v>
      </c>
      <c r="E2413" s="4" t="s">
        <v>26</v>
      </c>
      <c r="F2413" s="4" t="s">
        <v>20</v>
      </c>
      <c r="G2413" s="4" t="s">
        <v>49</v>
      </c>
      <c r="H2413" s="4" t="s">
        <v>53</v>
      </c>
      <c r="I2413" s="5">
        <v>45464</v>
      </c>
      <c r="J2413" s="4">
        <f t="shared" si="37"/>
        <v>22</v>
      </c>
    </row>
    <row r="2414" spans="1:10" x14ac:dyDescent="0.25">
      <c r="A2414" s="4">
        <f>_xlfn.XLOOKUP(E2414,'Data Validation'!$M$3:$M$10,'Data Validation'!$N$3:$N$10)</f>
        <v>6</v>
      </c>
      <c r="B2414" s="4">
        <v>16</v>
      </c>
      <c r="C2414" s="4" t="s">
        <v>11</v>
      </c>
      <c r="D2414" s="7">
        <v>23.02</v>
      </c>
      <c r="E2414" s="4" t="s">
        <v>26</v>
      </c>
      <c r="F2414" s="4" t="s">
        <v>17</v>
      </c>
      <c r="G2414" s="4" t="s">
        <v>47</v>
      </c>
      <c r="H2414" s="4" t="s">
        <v>53</v>
      </c>
      <c r="I2414" s="5">
        <v>45469</v>
      </c>
      <c r="J2414" s="4">
        <f t="shared" si="37"/>
        <v>22</v>
      </c>
    </row>
    <row r="2415" spans="1:10" x14ac:dyDescent="0.25">
      <c r="A2415" s="4">
        <f>_xlfn.XLOOKUP(E2415,'Data Validation'!$M$3:$M$10,'Data Validation'!$N$3:$N$10)</f>
        <v>6</v>
      </c>
      <c r="B2415" s="4">
        <v>17</v>
      </c>
      <c r="C2415" s="4" t="s">
        <v>11</v>
      </c>
      <c r="D2415" s="7">
        <v>23.02</v>
      </c>
      <c r="E2415" s="4" t="s">
        <v>26</v>
      </c>
      <c r="F2415" s="4" t="s">
        <v>20</v>
      </c>
      <c r="G2415" s="4" t="s">
        <v>49</v>
      </c>
      <c r="H2415" s="4" t="s">
        <v>53</v>
      </c>
      <c r="I2415" s="5">
        <v>45471</v>
      </c>
      <c r="J2415" s="4">
        <f t="shared" si="37"/>
        <v>22</v>
      </c>
    </row>
    <row r="2416" spans="1:10" x14ac:dyDescent="0.25">
      <c r="A2416" s="4">
        <f>_xlfn.XLOOKUP(E2416,'Data Validation'!$M$3:$M$10,'Data Validation'!$N$3:$N$10)</f>
        <v>6</v>
      </c>
      <c r="B2416" s="4">
        <v>13</v>
      </c>
      <c r="C2416" s="4" t="s">
        <v>11</v>
      </c>
      <c r="D2416" s="7">
        <v>23.02</v>
      </c>
      <c r="E2416" s="4" t="s">
        <v>26</v>
      </c>
      <c r="F2416" s="4" t="s">
        <v>17</v>
      </c>
      <c r="G2416" s="4" t="s">
        <v>51</v>
      </c>
      <c r="H2416" s="4" t="s">
        <v>53</v>
      </c>
      <c r="I2416" s="5">
        <v>45473</v>
      </c>
      <c r="J2416" s="4">
        <f t="shared" si="37"/>
        <v>22</v>
      </c>
    </row>
    <row r="2417" spans="1:10" x14ac:dyDescent="0.25">
      <c r="A2417" s="4">
        <f>_xlfn.XLOOKUP(E2417,'Data Validation'!$M$3:$M$10,'Data Validation'!$N$3:$N$10)</f>
        <v>6</v>
      </c>
      <c r="B2417" s="4">
        <v>18</v>
      </c>
      <c r="C2417" s="4" t="s">
        <v>11</v>
      </c>
      <c r="D2417" s="7">
        <v>23.02</v>
      </c>
      <c r="E2417" s="4" t="s">
        <v>26</v>
      </c>
      <c r="F2417" s="4" t="s">
        <v>20</v>
      </c>
      <c r="G2417" s="4" t="s">
        <v>45</v>
      </c>
      <c r="H2417" s="4" t="s">
        <v>54</v>
      </c>
      <c r="I2417" s="5">
        <v>45474</v>
      </c>
      <c r="J2417" s="4">
        <f t="shared" si="37"/>
        <v>22</v>
      </c>
    </row>
    <row r="2418" spans="1:10" x14ac:dyDescent="0.25">
      <c r="A2418" s="4">
        <f>_xlfn.XLOOKUP(E2418,'Data Validation'!$M$3:$M$10,'Data Validation'!$N$3:$N$10)</f>
        <v>6</v>
      </c>
      <c r="B2418" s="4">
        <v>16</v>
      </c>
      <c r="C2418" s="4" t="s">
        <v>11</v>
      </c>
      <c r="D2418" s="7">
        <v>23.02</v>
      </c>
      <c r="E2418" s="4" t="s">
        <v>26</v>
      </c>
      <c r="F2418" s="4" t="s">
        <v>17</v>
      </c>
      <c r="G2418" s="4" t="s">
        <v>47</v>
      </c>
      <c r="H2418" s="4" t="s">
        <v>54</v>
      </c>
      <c r="I2418" s="5">
        <v>45476</v>
      </c>
      <c r="J2418" s="4">
        <f t="shared" si="37"/>
        <v>22</v>
      </c>
    </row>
    <row r="2419" spans="1:10" x14ac:dyDescent="0.25">
      <c r="A2419" s="4">
        <f>_xlfn.XLOOKUP(E2419,'Data Validation'!$M$3:$M$10,'Data Validation'!$N$3:$N$10)</f>
        <v>6</v>
      </c>
      <c r="B2419" s="4">
        <v>18</v>
      </c>
      <c r="C2419" s="4" t="s">
        <v>11</v>
      </c>
      <c r="D2419" s="7">
        <v>23.02</v>
      </c>
      <c r="E2419" s="4" t="s">
        <v>26</v>
      </c>
      <c r="F2419" s="4" t="s">
        <v>20</v>
      </c>
      <c r="G2419" s="4" t="s">
        <v>49</v>
      </c>
      <c r="H2419" s="4" t="s">
        <v>54</v>
      </c>
      <c r="I2419" s="5">
        <v>45478</v>
      </c>
      <c r="J2419" s="4">
        <f t="shared" si="37"/>
        <v>22</v>
      </c>
    </row>
    <row r="2420" spans="1:10" x14ac:dyDescent="0.25">
      <c r="A2420" s="4">
        <f>_xlfn.XLOOKUP(E2420,'Data Validation'!$M$3:$M$10,'Data Validation'!$N$3:$N$10)</f>
        <v>6</v>
      </c>
      <c r="B2420" s="4">
        <v>22</v>
      </c>
      <c r="C2420" s="4" t="s">
        <v>11</v>
      </c>
      <c r="D2420" s="7">
        <v>23.02</v>
      </c>
      <c r="E2420" s="4" t="s">
        <v>26</v>
      </c>
      <c r="F2420" s="4" t="s">
        <v>20</v>
      </c>
      <c r="G2420" s="4" t="s">
        <v>49</v>
      </c>
      <c r="H2420" s="4" t="s">
        <v>54</v>
      </c>
      <c r="I2420" s="5">
        <v>45478</v>
      </c>
      <c r="J2420" s="4">
        <f t="shared" si="37"/>
        <v>22</v>
      </c>
    </row>
    <row r="2421" spans="1:10" x14ac:dyDescent="0.25">
      <c r="A2421" s="4">
        <f>_xlfn.XLOOKUP(E2421,'Data Validation'!$M$3:$M$10,'Data Validation'!$N$3:$N$10)</f>
        <v>6</v>
      </c>
      <c r="B2421" s="4">
        <v>11</v>
      </c>
      <c r="C2421" s="4" t="s">
        <v>11</v>
      </c>
      <c r="D2421" s="7">
        <v>18.12</v>
      </c>
      <c r="E2421" s="4" t="s">
        <v>26</v>
      </c>
      <c r="F2421" s="4" t="s">
        <v>13</v>
      </c>
      <c r="G2421" s="4" t="s">
        <v>48</v>
      </c>
      <c r="H2421" s="4" t="s">
        <v>54</v>
      </c>
      <c r="I2421" s="5">
        <v>45491</v>
      </c>
      <c r="J2421" s="4">
        <f t="shared" si="37"/>
        <v>23</v>
      </c>
    </row>
    <row r="2422" spans="1:10" x14ac:dyDescent="0.25">
      <c r="A2422" s="4">
        <f>_xlfn.XLOOKUP(E2422,'Data Validation'!$M$3:$M$10,'Data Validation'!$N$3:$N$10)</f>
        <v>6</v>
      </c>
      <c r="B2422" s="4">
        <v>9</v>
      </c>
      <c r="C2422" s="4" t="s">
        <v>11</v>
      </c>
      <c r="D2422" s="7">
        <v>18.12</v>
      </c>
      <c r="E2422" s="4" t="s">
        <v>26</v>
      </c>
      <c r="F2422" s="4" t="s">
        <v>13</v>
      </c>
      <c r="G2422" s="4" t="s">
        <v>47</v>
      </c>
      <c r="H2422" s="4" t="s">
        <v>54</v>
      </c>
      <c r="I2422" s="5">
        <v>45497</v>
      </c>
      <c r="J2422" s="4">
        <f t="shared" si="37"/>
        <v>23</v>
      </c>
    </row>
    <row r="2423" spans="1:10" x14ac:dyDescent="0.25">
      <c r="A2423" s="4">
        <f>_xlfn.XLOOKUP(E2423,'Data Validation'!$M$3:$M$10,'Data Validation'!$N$3:$N$10)</f>
        <v>6</v>
      </c>
      <c r="B2423" s="4">
        <v>14</v>
      </c>
      <c r="C2423" s="4" t="s">
        <v>11</v>
      </c>
      <c r="D2423" s="7">
        <v>18.12</v>
      </c>
      <c r="E2423" s="4" t="s">
        <v>26</v>
      </c>
      <c r="F2423" s="4" t="s">
        <v>17</v>
      </c>
      <c r="G2423" s="4" t="s">
        <v>47</v>
      </c>
      <c r="H2423" s="4" t="s">
        <v>54</v>
      </c>
      <c r="I2423" s="5">
        <v>45497</v>
      </c>
      <c r="J2423" s="4">
        <f t="shared" si="37"/>
        <v>23</v>
      </c>
    </row>
    <row r="2424" spans="1:10" x14ac:dyDescent="0.25">
      <c r="A2424" s="4">
        <f>_xlfn.XLOOKUP(E2424,'Data Validation'!$M$3:$M$10,'Data Validation'!$N$3:$N$10)</f>
        <v>6</v>
      </c>
      <c r="B2424" s="4">
        <v>21</v>
      </c>
      <c r="C2424" s="4" t="s">
        <v>11</v>
      </c>
      <c r="D2424" s="7">
        <v>18.12</v>
      </c>
      <c r="E2424" s="4" t="s">
        <v>26</v>
      </c>
      <c r="F2424" s="4" t="s">
        <v>20</v>
      </c>
      <c r="G2424" s="4" t="s">
        <v>48</v>
      </c>
      <c r="H2424" s="4" t="s">
        <v>54</v>
      </c>
      <c r="I2424" s="5">
        <v>45498</v>
      </c>
      <c r="J2424" s="4">
        <f t="shared" si="37"/>
        <v>23</v>
      </c>
    </row>
    <row r="2425" spans="1:10" x14ac:dyDescent="0.25">
      <c r="A2425" s="4">
        <f>_xlfn.XLOOKUP(E2425,'Data Validation'!$M$3:$M$10,'Data Validation'!$N$3:$N$10)</f>
        <v>6</v>
      </c>
      <c r="B2425" s="4">
        <v>9</v>
      </c>
      <c r="C2425" s="4" t="s">
        <v>11</v>
      </c>
      <c r="D2425" s="7">
        <v>18.12</v>
      </c>
      <c r="E2425" s="4" t="s">
        <v>26</v>
      </c>
      <c r="F2425" s="4" t="s">
        <v>13</v>
      </c>
      <c r="G2425" s="4" t="s">
        <v>49</v>
      </c>
      <c r="H2425" s="4" t="s">
        <v>54</v>
      </c>
      <c r="I2425" s="5">
        <v>45499</v>
      </c>
      <c r="J2425" s="4">
        <f t="shared" si="37"/>
        <v>23</v>
      </c>
    </row>
    <row r="2426" spans="1:10" x14ac:dyDescent="0.25">
      <c r="A2426" s="4">
        <f>_xlfn.XLOOKUP(E2426,'Data Validation'!$M$3:$M$10,'Data Validation'!$N$3:$N$10)</f>
        <v>6</v>
      </c>
      <c r="B2426" s="4">
        <v>12</v>
      </c>
      <c r="C2426" s="4" t="s">
        <v>11</v>
      </c>
      <c r="D2426" s="7">
        <v>18.12</v>
      </c>
      <c r="E2426" s="4" t="s">
        <v>26</v>
      </c>
      <c r="F2426" s="4" t="s">
        <v>17</v>
      </c>
      <c r="G2426" s="4" t="s">
        <v>50</v>
      </c>
      <c r="H2426" s="4" t="s">
        <v>54</v>
      </c>
      <c r="I2426" s="5">
        <v>45500</v>
      </c>
      <c r="J2426" s="4">
        <f t="shared" si="37"/>
        <v>23</v>
      </c>
    </row>
    <row r="2427" spans="1:10" x14ac:dyDescent="0.25">
      <c r="A2427" s="4">
        <f>_xlfn.XLOOKUP(E2427,'Data Validation'!$M$3:$M$10,'Data Validation'!$N$3:$N$10)</f>
        <v>6</v>
      </c>
      <c r="B2427" s="4">
        <v>14</v>
      </c>
      <c r="C2427" s="4" t="s">
        <v>11</v>
      </c>
      <c r="D2427" s="7">
        <v>18.12</v>
      </c>
      <c r="E2427" s="4" t="s">
        <v>26</v>
      </c>
      <c r="F2427" s="4" t="s">
        <v>17</v>
      </c>
      <c r="G2427" s="4" t="s">
        <v>50</v>
      </c>
      <c r="H2427" s="4" t="s">
        <v>54</v>
      </c>
      <c r="I2427" s="5">
        <v>45500</v>
      </c>
      <c r="J2427" s="4">
        <f t="shared" si="37"/>
        <v>23</v>
      </c>
    </row>
    <row r="2428" spans="1:10" x14ac:dyDescent="0.25">
      <c r="A2428" s="4">
        <f>_xlfn.XLOOKUP(E2428,'Data Validation'!$M$3:$M$10,'Data Validation'!$N$3:$N$10)</f>
        <v>6</v>
      </c>
      <c r="B2428" s="4">
        <v>11</v>
      </c>
      <c r="C2428" s="4" t="s">
        <v>11</v>
      </c>
      <c r="D2428" s="7">
        <v>18.12</v>
      </c>
      <c r="E2428" s="4" t="s">
        <v>26</v>
      </c>
      <c r="F2428" s="4" t="s">
        <v>13</v>
      </c>
      <c r="G2428" s="4" t="s">
        <v>51</v>
      </c>
      <c r="H2428" s="4" t="s">
        <v>54</v>
      </c>
      <c r="I2428" s="5">
        <v>45501</v>
      </c>
      <c r="J2428" s="4">
        <f t="shared" si="37"/>
        <v>23</v>
      </c>
    </row>
    <row r="2429" spans="1:10" x14ac:dyDescent="0.25">
      <c r="A2429" s="4">
        <f>_xlfn.XLOOKUP(E2429,'Data Validation'!$M$3:$M$10,'Data Validation'!$N$3:$N$10)</f>
        <v>6</v>
      </c>
      <c r="B2429" s="4">
        <v>11</v>
      </c>
      <c r="C2429" s="4" t="s">
        <v>11</v>
      </c>
      <c r="D2429" s="7">
        <v>18.12</v>
      </c>
      <c r="E2429" s="4" t="s">
        <v>26</v>
      </c>
      <c r="F2429" s="4" t="s">
        <v>13</v>
      </c>
      <c r="G2429" s="4" t="s">
        <v>46</v>
      </c>
      <c r="H2429" s="4" t="s">
        <v>54</v>
      </c>
      <c r="I2429" s="5">
        <v>45503</v>
      </c>
      <c r="J2429" s="4">
        <f t="shared" si="37"/>
        <v>23</v>
      </c>
    </row>
    <row r="2430" spans="1:10" x14ac:dyDescent="0.25">
      <c r="A2430" s="4">
        <f>_xlfn.XLOOKUP(E2430,'Data Validation'!$M$3:$M$10,'Data Validation'!$N$3:$N$10)</f>
        <v>6</v>
      </c>
      <c r="B2430" s="4">
        <v>20</v>
      </c>
      <c r="C2430" s="4" t="s">
        <v>11</v>
      </c>
      <c r="D2430" s="7">
        <v>18.12</v>
      </c>
      <c r="E2430" s="4" t="s">
        <v>26</v>
      </c>
      <c r="F2430" s="4" t="s">
        <v>20</v>
      </c>
      <c r="G2430" s="4" t="s">
        <v>46</v>
      </c>
      <c r="H2430" s="4" t="s">
        <v>54</v>
      </c>
      <c r="I2430" s="5">
        <v>45503</v>
      </c>
      <c r="J2430" s="4">
        <f t="shared" si="37"/>
        <v>23</v>
      </c>
    </row>
    <row r="2431" spans="1:10" x14ac:dyDescent="0.25">
      <c r="A2431" s="4">
        <f>_xlfn.XLOOKUP(E2431,'Data Validation'!$M$3:$M$10,'Data Validation'!$N$3:$N$10)</f>
        <v>6</v>
      </c>
      <c r="B2431" s="4">
        <v>11</v>
      </c>
      <c r="C2431" s="4" t="s">
        <v>11</v>
      </c>
      <c r="D2431" s="7">
        <v>18.12</v>
      </c>
      <c r="E2431" s="4" t="s">
        <v>26</v>
      </c>
      <c r="F2431" s="4" t="s">
        <v>13</v>
      </c>
      <c r="G2431" s="4" t="s">
        <v>50</v>
      </c>
      <c r="H2431" s="4" t="s">
        <v>55</v>
      </c>
      <c r="I2431" s="5">
        <v>45507</v>
      </c>
      <c r="J2431" s="4">
        <f t="shared" si="37"/>
        <v>23</v>
      </c>
    </row>
    <row r="2432" spans="1:10" x14ac:dyDescent="0.25">
      <c r="A2432" s="4">
        <f>_xlfn.XLOOKUP(E2432,'Data Validation'!$M$3:$M$10,'Data Validation'!$N$3:$N$10)</f>
        <v>6</v>
      </c>
      <c r="B2432" s="4">
        <v>13</v>
      </c>
      <c r="C2432" s="4" t="s">
        <v>11</v>
      </c>
      <c r="D2432" s="7">
        <v>18.12</v>
      </c>
      <c r="E2432" s="4" t="s">
        <v>26</v>
      </c>
      <c r="F2432" s="4" t="s">
        <v>17</v>
      </c>
      <c r="G2432" s="4" t="s">
        <v>47</v>
      </c>
      <c r="H2432" s="4" t="s">
        <v>55</v>
      </c>
      <c r="I2432" s="5">
        <v>45511</v>
      </c>
      <c r="J2432" s="4">
        <f t="shared" si="37"/>
        <v>23</v>
      </c>
    </row>
    <row r="2433" spans="1:10" x14ac:dyDescent="0.25">
      <c r="A2433" s="4">
        <f>_xlfn.XLOOKUP(E2433,'Data Validation'!$M$3:$M$10,'Data Validation'!$N$3:$N$10)</f>
        <v>6</v>
      </c>
      <c r="B2433" s="4">
        <v>8</v>
      </c>
      <c r="C2433" s="4" t="s">
        <v>11</v>
      </c>
      <c r="D2433" s="7">
        <v>18.12</v>
      </c>
      <c r="E2433" s="4" t="s">
        <v>26</v>
      </c>
      <c r="F2433" s="4" t="s">
        <v>13</v>
      </c>
      <c r="G2433" s="4" t="s">
        <v>48</v>
      </c>
      <c r="H2433" s="4" t="s">
        <v>55</v>
      </c>
      <c r="I2433" s="5">
        <v>45512</v>
      </c>
      <c r="J2433" s="4">
        <f t="shared" si="37"/>
        <v>23</v>
      </c>
    </row>
    <row r="2434" spans="1:10" x14ac:dyDescent="0.25">
      <c r="A2434" s="4">
        <f>_xlfn.XLOOKUP(E2434,'Data Validation'!$M$3:$M$10,'Data Validation'!$N$3:$N$10)</f>
        <v>6</v>
      </c>
      <c r="B2434" s="4">
        <v>16</v>
      </c>
      <c r="C2434" s="4" t="s">
        <v>11</v>
      </c>
      <c r="D2434" s="7">
        <v>18.12</v>
      </c>
      <c r="E2434" s="4" t="s">
        <v>26</v>
      </c>
      <c r="F2434" s="4" t="s">
        <v>17</v>
      </c>
      <c r="G2434" s="4" t="s">
        <v>51</v>
      </c>
      <c r="H2434" s="4" t="s">
        <v>55</v>
      </c>
      <c r="I2434" s="5">
        <v>45515</v>
      </c>
      <c r="J2434" s="4">
        <f t="shared" si="37"/>
        <v>23</v>
      </c>
    </row>
    <row r="2435" spans="1:10" x14ac:dyDescent="0.25">
      <c r="A2435" s="4">
        <f>_xlfn.XLOOKUP(E2435,'Data Validation'!$M$3:$M$10,'Data Validation'!$N$3:$N$10)</f>
        <v>6</v>
      </c>
      <c r="B2435" s="4">
        <v>14</v>
      </c>
      <c r="C2435" s="4" t="s">
        <v>11</v>
      </c>
      <c r="D2435" s="7">
        <v>18.12</v>
      </c>
      <c r="E2435" s="4" t="s">
        <v>26</v>
      </c>
      <c r="F2435" s="4" t="s">
        <v>17</v>
      </c>
      <c r="G2435" s="4" t="s">
        <v>45</v>
      </c>
      <c r="H2435" s="4" t="s">
        <v>55</v>
      </c>
      <c r="I2435" s="5">
        <v>45516</v>
      </c>
      <c r="J2435" s="4">
        <f t="shared" ref="J2435:J2498" si="38">IF(OR(E2435&lt;&gt;E2434,D2435&lt;&gt;D2434),J2434+1,J2434)</f>
        <v>23</v>
      </c>
    </row>
    <row r="2436" spans="1:10" x14ac:dyDescent="0.25">
      <c r="A2436" s="4">
        <f>_xlfn.XLOOKUP(E2436,'Data Validation'!$M$3:$M$10,'Data Validation'!$N$3:$N$10)</f>
        <v>6</v>
      </c>
      <c r="B2436" s="4">
        <v>11</v>
      </c>
      <c r="C2436" s="4" t="s">
        <v>11</v>
      </c>
      <c r="D2436" s="7">
        <v>18.12</v>
      </c>
      <c r="E2436" s="4" t="s">
        <v>26</v>
      </c>
      <c r="F2436" s="4" t="s">
        <v>13</v>
      </c>
      <c r="G2436" s="4" t="s">
        <v>47</v>
      </c>
      <c r="H2436" s="4" t="s">
        <v>55</v>
      </c>
      <c r="I2436" s="5">
        <v>45518</v>
      </c>
      <c r="J2436" s="4">
        <f t="shared" si="38"/>
        <v>23</v>
      </c>
    </row>
    <row r="2437" spans="1:10" x14ac:dyDescent="0.25">
      <c r="A2437" s="4">
        <f>_xlfn.XLOOKUP(E2437,'Data Validation'!$M$3:$M$10,'Data Validation'!$N$3:$N$10)</f>
        <v>6</v>
      </c>
      <c r="B2437" s="4">
        <v>14</v>
      </c>
      <c r="C2437" s="4" t="s">
        <v>11</v>
      </c>
      <c r="D2437" s="7">
        <v>18.12</v>
      </c>
      <c r="E2437" s="4" t="s">
        <v>26</v>
      </c>
      <c r="F2437" s="4" t="s">
        <v>17</v>
      </c>
      <c r="G2437" s="4" t="s">
        <v>48</v>
      </c>
      <c r="H2437" s="4" t="s">
        <v>55</v>
      </c>
      <c r="I2437" s="5">
        <v>45519</v>
      </c>
      <c r="J2437" s="4">
        <f t="shared" si="38"/>
        <v>23</v>
      </c>
    </row>
    <row r="2438" spans="1:10" x14ac:dyDescent="0.25">
      <c r="A2438" s="4">
        <f>_xlfn.XLOOKUP(E2438,'Data Validation'!$M$3:$M$10,'Data Validation'!$N$3:$N$10)</f>
        <v>6</v>
      </c>
      <c r="B2438" s="4">
        <v>21</v>
      </c>
      <c r="C2438" s="4" t="s">
        <v>11</v>
      </c>
      <c r="D2438" s="7">
        <v>18.12</v>
      </c>
      <c r="E2438" s="4" t="s">
        <v>26</v>
      </c>
      <c r="F2438" s="4" t="s">
        <v>20</v>
      </c>
      <c r="G2438" s="4" t="s">
        <v>48</v>
      </c>
      <c r="H2438" s="4" t="s">
        <v>55</v>
      </c>
      <c r="I2438" s="5">
        <v>45519</v>
      </c>
      <c r="J2438" s="4">
        <f t="shared" si="38"/>
        <v>23</v>
      </c>
    </row>
    <row r="2439" spans="1:10" x14ac:dyDescent="0.25">
      <c r="A2439" s="4">
        <f>_xlfn.XLOOKUP(E2439,'Data Validation'!$M$3:$M$10,'Data Validation'!$N$3:$N$10)</f>
        <v>6</v>
      </c>
      <c r="B2439" s="4">
        <v>15</v>
      </c>
      <c r="C2439" s="4" t="s">
        <v>11</v>
      </c>
      <c r="D2439" s="7">
        <v>18.12</v>
      </c>
      <c r="E2439" s="4" t="s">
        <v>26</v>
      </c>
      <c r="F2439" s="4" t="s">
        <v>17</v>
      </c>
      <c r="G2439" s="4" t="s">
        <v>49</v>
      </c>
      <c r="H2439" s="4" t="s">
        <v>55</v>
      </c>
      <c r="I2439" s="5">
        <v>45520</v>
      </c>
      <c r="J2439" s="4">
        <f t="shared" si="38"/>
        <v>23</v>
      </c>
    </row>
    <row r="2440" spans="1:10" x14ac:dyDescent="0.25">
      <c r="A2440" s="4">
        <f>_xlfn.XLOOKUP(E2440,'Data Validation'!$M$3:$M$10,'Data Validation'!$N$3:$N$10)</f>
        <v>6</v>
      </c>
      <c r="B2440" s="4">
        <v>15</v>
      </c>
      <c r="C2440" s="4" t="s">
        <v>11</v>
      </c>
      <c r="D2440" s="7">
        <v>18.12</v>
      </c>
      <c r="E2440" s="4" t="s">
        <v>26</v>
      </c>
      <c r="F2440" s="4" t="s">
        <v>17</v>
      </c>
      <c r="G2440" s="4" t="s">
        <v>49</v>
      </c>
      <c r="H2440" s="4" t="s">
        <v>55</v>
      </c>
      <c r="I2440" s="5">
        <v>45520</v>
      </c>
      <c r="J2440" s="4">
        <f t="shared" si="38"/>
        <v>23</v>
      </c>
    </row>
    <row r="2441" spans="1:10" x14ac:dyDescent="0.25">
      <c r="A2441" s="4">
        <f>_xlfn.XLOOKUP(E2441,'Data Validation'!$M$3:$M$10,'Data Validation'!$N$3:$N$10)</f>
        <v>6</v>
      </c>
      <c r="B2441" s="4">
        <v>8</v>
      </c>
      <c r="C2441" s="4" t="s">
        <v>11</v>
      </c>
      <c r="D2441" s="7">
        <v>18.12</v>
      </c>
      <c r="E2441" s="4" t="s">
        <v>26</v>
      </c>
      <c r="F2441" s="4" t="s">
        <v>13</v>
      </c>
      <c r="G2441" s="4" t="s">
        <v>46</v>
      </c>
      <c r="H2441" s="4" t="s">
        <v>55</v>
      </c>
      <c r="I2441" s="5">
        <v>45524</v>
      </c>
      <c r="J2441" s="4">
        <f t="shared" si="38"/>
        <v>23</v>
      </c>
    </row>
    <row r="2442" spans="1:10" x14ac:dyDescent="0.25">
      <c r="A2442" s="4">
        <f>_xlfn.XLOOKUP(E2442,'Data Validation'!$M$3:$M$10,'Data Validation'!$N$3:$N$10)</f>
        <v>6</v>
      </c>
      <c r="B2442" s="4">
        <v>10</v>
      </c>
      <c r="C2442" s="4" t="s">
        <v>11</v>
      </c>
      <c r="D2442" s="7">
        <v>18.12</v>
      </c>
      <c r="E2442" s="4" t="s">
        <v>26</v>
      </c>
      <c r="F2442" s="4" t="s">
        <v>13</v>
      </c>
      <c r="G2442" s="4" t="s">
        <v>50</v>
      </c>
      <c r="H2442" s="4" t="s">
        <v>55</v>
      </c>
      <c r="I2442" s="5">
        <v>45528</v>
      </c>
      <c r="J2442" s="4">
        <f t="shared" si="38"/>
        <v>23</v>
      </c>
    </row>
    <row r="2443" spans="1:10" x14ac:dyDescent="0.25">
      <c r="A2443" s="4">
        <f>_xlfn.XLOOKUP(E2443,'Data Validation'!$M$3:$M$10,'Data Validation'!$N$3:$N$10)</f>
        <v>6</v>
      </c>
      <c r="B2443" s="4">
        <v>10</v>
      </c>
      <c r="C2443" s="4" t="s">
        <v>11</v>
      </c>
      <c r="D2443" s="7">
        <v>18.12</v>
      </c>
      <c r="E2443" s="4" t="s">
        <v>26</v>
      </c>
      <c r="F2443" s="4" t="s">
        <v>13</v>
      </c>
      <c r="G2443" s="4" t="s">
        <v>50</v>
      </c>
      <c r="H2443" s="4" t="s">
        <v>55</v>
      </c>
      <c r="I2443" s="5">
        <v>45528</v>
      </c>
      <c r="J2443" s="4">
        <f t="shared" si="38"/>
        <v>23</v>
      </c>
    </row>
    <row r="2444" spans="1:10" x14ac:dyDescent="0.25">
      <c r="A2444" s="4">
        <f>_xlfn.XLOOKUP(E2444,'Data Validation'!$M$3:$M$10,'Data Validation'!$N$3:$N$10)</f>
        <v>6</v>
      </c>
      <c r="B2444" s="4">
        <v>10</v>
      </c>
      <c r="C2444" s="4" t="s">
        <v>11</v>
      </c>
      <c r="D2444" s="7">
        <v>18.12</v>
      </c>
      <c r="E2444" s="4" t="s">
        <v>26</v>
      </c>
      <c r="F2444" s="4" t="s">
        <v>13</v>
      </c>
      <c r="G2444" s="4" t="s">
        <v>50</v>
      </c>
      <c r="H2444" s="4" t="s">
        <v>55</v>
      </c>
      <c r="I2444" s="5">
        <v>45535</v>
      </c>
      <c r="J2444" s="4">
        <f t="shared" si="38"/>
        <v>23</v>
      </c>
    </row>
    <row r="2445" spans="1:10" x14ac:dyDescent="0.25">
      <c r="A2445" s="4">
        <f>_xlfn.XLOOKUP(E2445,'Data Validation'!$M$3:$M$10,'Data Validation'!$N$3:$N$10)</f>
        <v>6</v>
      </c>
      <c r="B2445" s="4">
        <v>9</v>
      </c>
      <c r="C2445" s="4" t="s">
        <v>11</v>
      </c>
      <c r="D2445" s="7">
        <v>18.12</v>
      </c>
      <c r="E2445" s="4" t="s">
        <v>26</v>
      </c>
      <c r="F2445" s="4" t="s">
        <v>13</v>
      </c>
      <c r="G2445" s="4" t="s">
        <v>49</v>
      </c>
      <c r="H2445" s="4" t="s">
        <v>56</v>
      </c>
      <c r="I2445" s="5">
        <v>45541</v>
      </c>
      <c r="J2445" s="4">
        <f t="shared" si="38"/>
        <v>23</v>
      </c>
    </row>
    <row r="2446" spans="1:10" x14ac:dyDescent="0.25">
      <c r="A2446" s="4">
        <f>_xlfn.XLOOKUP(E2446,'Data Validation'!$M$3:$M$10,'Data Validation'!$N$3:$N$10)</f>
        <v>6</v>
      </c>
      <c r="B2446" s="4">
        <v>11</v>
      </c>
      <c r="C2446" s="4" t="s">
        <v>11</v>
      </c>
      <c r="D2446" s="7">
        <v>18.12</v>
      </c>
      <c r="E2446" s="4" t="s">
        <v>26</v>
      </c>
      <c r="F2446" s="4" t="s">
        <v>13</v>
      </c>
      <c r="G2446" s="4" t="s">
        <v>49</v>
      </c>
      <c r="H2446" s="4" t="s">
        <v>56</v>
      </c>
      <c r="I2446" s="5">
        <v>45541</v>
      </c>
      <c r="J2446" s="4">
        <f t="shared" si="38"/>
        <v>23</v>
      </c>
    </row>
    <row r="2447" spans="1:10" x14ac:dyDescent="0.25">
      <c r="A2447" s="4">
        <f>_xlfn.XLOOKUP(E2447,'Data Validation'!$M$3:$M$10,'Data Validation'!$N$3:$N$10)</f>
        <v>6</v>
      </c>
      <c r="B2447" s="4">
        <v>11</v>
      </c>
      <c r="C2447" s="4" t="s">
        <v>11</v>
      </c>
      <c r="D2447" s="7">
        <v>18.12</v>
      </c>
      <c r="E2447" s="4" t="s">
        <v>26</v>
      </c>
      <c r="F2447" s="4" t="s">
        <v>13</v>
      </c>
      <c r="G2447" s="4" t="s">
        <v>49</v>
      </c>
      <c r="H2447" s="4" t="s">
        <v>56</v>
      </c>
      <c r="I2447" s="5">
        <v>45541</v>
      </c>
      <c r="J2447" s="4">
        <f t="shared" si="38"/>
        <v>23</v>
      </c>
    </row>
    <row r="2448" spans="1:10" x14ac:dyDescent="0.25">
      <c r="A2448" s="4">
        <f>_xlfn.XLOOKUP(E2448,'Data Validation'!$M$3:$M$10,'Data Validation'!$N$3:$N$10)</f>
        <v>6</v>
      </c>
      <c r="B2448" s="4">
        <v>10</v>
      </c>
      <c r="C2448" s="4" t="s">
        <v>11</v>
      </c>
      <c r="D2448" s="7">
        <v>18.12</v>
      </c>
      <c r="E2448" s="4" t="s">
        <v>26</v>
      </c>
      <c r="F2448" s="4" t="s">
        <v>13</v>
      </c>
      <c r="G2448" s="4" t="s">
        <v>50</v>
      </c>
      <c r="H2448" s="4" t="s">
        <v>56</v>
      </c>
      <c r="I2448" s="5">
        <v>45542</v>
      </c>
      <c r="J2448" s="4">
        <f t="shared" si="38"/>
        <v>23</v>
      </c>
    </row>
    <row r="2449" spans="1:10" x14ac:dyDescent="0.25">
      <c r="A2449" s="4">
        <f>_xlfn.XLOOKUP(E2449,'Data Validation'!$M$3:$M$10,'Data Validation'!$N$3:$N$10)</f>
        <v>6</v>
      </c>
      <c r="B2449" s="4">
        <v>10</v>
      </c>
      <c r="C2449" s="4" t="s">
        <v>11</v>
      </c>
      <c r="D2449" s="7">
        <v>18.12</v>
      </c>
      <c r="E2449" s="4" t="s">
        <v>26</v>
      </c>
      <c r="F2449" s="4" t="s">
        <v>13</v>
      </c>
      <c r="G2449" s="4" t="s">
        <v>50</v>
      </c>
      <c r="H2449" s="4" t="s">
        <v>56</v>
      </c>
      <c r="I2449" s="5">
        <v>45542</v>
      </c>
      <c r="J2449" s="4">
        <f t="shared" si="38"/>
        <v>23</v>
      </c>
    </row>
    <row r="2450" spans="1:10" x14ac:dyDescent="0.25">
      <c r="A2450" s="4">
        <f>_xlfn.XLOOKUP(E2450,'Data Validation'!$M$3:$M$10,'Data Validation'!$N$3:$N$10)</f>
        <v>6</v>
      </c>
      <c r="B2450" s="4">
        <v>11</v>
      </c>
      <c r="C2450" s="4" t="s">
        <v>11</v>
      </c>
      <c r="D2450" s="7">
        <v>18.12</v>
      </c>
      <c r="E2450" s="4" t="s">
        <v>26</v>
      </c>
      <c r="F2450" s="4" t="s">
        <v>13</v>
      </c>
      <c r="G2450" s="4" t="s">
        <v>50</v>
      </c>
      <c r="H2450" s="4" t="s">
        <v>56</v>
      </c>
      <c r="I2450" s="5">
        <v>45542</v>
      </c>
      <c r="J2450" s="4">
        <f t="shared" si="38"/>
        <v>23</v>
      </c>
    </row>
    <row r="2451" spans="1:10" x14ac:dyDescent="0.25">
      <c r="A2451" s="4">
        <f>_xlfn.XLOOKUP(E2451,'Data Validation'!$M$3:$M$10,'Data Validation'!$N$3:$N$10)</f>
        <v>6</v>
      </c>
      <c r="B2451" s="4">
        <v>16</v>
      </c>
      <c r="C2451" s="4" t="s">
        <v>11</v>
      </c>
      <c r="D2451" s="7">
        <v>18.12</v>
      </c>
      <c r="E2451" s="4" t="s">
        <v>26</v>
      </c>
      <c r="F2451" s="4" t="s">
        <v>17</v>
      </c>
      <c r="G2451" s="4" t="s">
        <v>50</v>
      </c>
      <c r="H2451" s="4" t="s">
        <v>56</v>
      </c>
      <c r="I2451" s="5">
        <v>45542</v>
      </c>
      <c r="J2451" s="4">
        <f t="shared" si="38"/>
        <v>23</v>
      </c>
    </row>
    <row r="2452" spans="1:10" x14ac:dyDescent="0.25">
      <c r="A2452" s="4">
        <f>_xlfn.XLOOKUP(E2452,'Data Validation'!$M$3:$M$10,'Data Validation'!$N$3:$N$10)</f>
        <v>6</v>
      </c>
      <c r="B2452" s="4">
        <v>12</v>
      </c>
      <c r="C2452" s="4" t="s">
        <v>11</v>
      </c>
      <c r="D2452" s="7">
        <v>18.12</v>
      </c>
      <c r="E2452" s="4" t="s">
        <v>26</v>
      </c>
      <c r="F2452" s="4" t="s">
        <v>17</v>
      </c>
      <c r="G2452" s="4" t="s">
        <v>45</v>
      </c>
      <c r="H2452" s="4" t="s">
        <v>56</v>
      </c>
      <c r="I2452" s="5">
        <v>45544</v>
      </c>
      <c r="J2452" s="4">
        <f t="shared" si="38"/>
        <v>23</v>
      </c>
    </row>
    <row r="2453" spans="1:10" x14ac:dyDescent="0.25">
      <c r="A2453" s="4">
        <f>_xlfn.XLOOKUP(E2453,'Data Validation'!$M$3:$M$10,'Data Validation'!$N$3:$N$10)</f>
        <v>6</v>
      </c>
      <c r="B2453" s="4">
        <v>10</v>
      </c>
      <c r="C2453" s="4" t="s">
        <v>11</v>
      </c>
      <c r="D2453" s="7">
        <v>18.12</v>
      </c>
      <c r="E2453" s="4" t="s">
        <v>26</v>
      </c>
      <c r="F2453" s="4" t="s">
        <v>13</v>
      </c>
      <c r="G2453" s="4" t="s">
        <v>48</v>
      </c>
      <c r="H2453" s="4" t="s">
        <v>56</v>
      </c>
      <c r="I2453" s="5">
        <v>45547</v>
      </c>
      <c r="J2453" s="4">
        <f t="shared" si="38"/>
        <v>23</v>
      </c>
    </row>
    <row r="2454" spans="1:10" x14ac:dyDescent="0.25">
      <c r="A2454" s="4">
        <f>_xlfn.XLOOKUP(E2454,'Data Validation'!$M$3:$M$10,'Data Validation'!$N$3:$N$10)</f>
        <v>6</v>
      </c>
      <c r="B2454" s="4">
        <v>8</v>
      </c>
      <c r="C2454" s="4" t="s">
        <v>11</v>
      </c>
      <c r="D2454" s="7">
        <v>18.12</v>
      </c>
      <c r="E2454" s="4" t="s">
        <v>26</v>
      </c>
      <c r="F2454" s="4" t="s">
        <v>13</v>
      </c>
      <c r="G2454" s="4" t="s">
        <v>51</v>
      </c>
      <c r="H2454" s="4" t="s">
        <v>56</v>
      </c>
      <c r="I2454" s="5">
        <v>45550</v>
      </c>
      <c r="J2454" s="4">
        <f t="shared" si="38"/>
        <v>23</v>
      </c>
    </row>
    <row r="2455" spans="1:10" x14ac:dyDescent="0.25">
      <c r="A2455" s="4">
        <f>_xlfn.XLOOKUP(E2455,'Data Validation'!$M$3:$M$10,'Data Validation'!$N$3:$N$10)</f>
        <v>6</v>
      </c>
      <c r="B2455" s="4">
        <v>12</v>
      </c>
      <c r="C2455" s="4" t="s">
        <v>11</v>
      </c>
      <c r="D2455" s="7">
        <v>18.12</v>
      </c>
      <c r="E2455" s="4" t="s">
        <v>26</v>
      </c>
      <c r="F2455" s="4" t="s">
        <v>17</v>
      </c>
      <c r="G2455" s="4" t="s">
        <v>46</v>
      </c>
      <c r="H2455" s="4" t="s">
        <v>56</v>
      </c>
      <c r="I2455" s="5">
        <v>45552</v>
      </c>
      <c r="J2455" s="4">
        <f t="shared" si="38"/>
        <v>23</v>
      </c>
    </row>
    <row r="2456" spans="1:10" x14ac:dyDescent="0.25">
      <c r="A2456" s="4">
        <f>_xlfn.XLOOKUP(E2456,'Data Validation'!$M$3:$M$10,'Data Validation'!$N$3:$N$10)</f>
        <v>6</v>
      </c>
      <c r="B2456" s="4">
        <v>10</v>
      </c>
      <c r="C2456" s="4" t="s">
        <v>11</v>
      </c>
      <c r="D2456" s="7">
        <v>18.12</v>
      </c>
      <c r="E2456" s="4" t="s">
        <v>26</v>
      </c>
      <c r="F2456" s="4" t="s">
        <v>13</v>
      </c>
      <c r="G2456" s="4" t="s">
        <v>48</v>
      </c>
      <c r="H2456" s="4" t="s">
        <v>56</v>
      </c>
      <c r="I2456" s="5">
        <v>45561</v>
      </c>
      <c r="J2456" s="4">
        <f t="shared" si="38"/>
        <v>23</v>
      </c>
    </row>
    <row r="2457" spans="1:10" x14ac:dyDescent="0.25">
      <c r="A2457" s="4">
        <f>_xlfn.XLOOKUP(E2457,'Data Validation'!$M$3:$M$10,'Data Validation'!$N$3:$N$10)</f>
        <v>6</v>
      </c>
      <c r="B2457" s="4">
        <v>16</v>
      </c>
      <c r="C2457" s="4" t="s">
        <v>11</v>
      </c>
      <c r="D2457" s="7">
        <v>21.06</v>
      </c>
      <c r="E2457" s="4" t="s">
        <v>26</v>
      </c>
      <c r="F2457" s="4" t="s">
        <v>17</v>
      </c>
      <c r="G2457" s="4" t="s">
        <v>51</v>
      </c>
      <c r="H2457" s="4" t="s">
        <v>57</v>
      </c>
      <c r="I2457" s="5">
        <v>45571</v>
      </c>
      <c r="J2457" s="4">
        <f t="shared" si="38"/>
        <v>24</v>
      </c>
    </row>
    <row r="2458" spans="1:10" x14ac:dyDescent="0.25">
      <c r="A2458" s="4">
        <f>_xlfn.XLOOKUP(E2458,'Data Validation'!$M$3:$M$10,'Data Validation'!$N$3:$N$10)</f>
        <v>6</v>
      </c>
      <c r="B2458" s="4">
        <v>10</v>
      </c>
      <c r="C2458" s="4" t="s">
        <v>11</v>
      </c>
      <c r="D2458" s="7">
        <v>21.06</v>
      </c>
      <c r="E2458" s="4" t="s">
        <v>26</v>
      </c>
      <c r="F2458" s="4" t="s">
        <v>13</v>
      </c>
      <c r="G2458" s="4" t="s">
        <v>47</v>
      </c>
      <c r="H2458" s="4" t="s">
        <v>57</v>
      </c>
      <c r="I2458" s="5">
        <v>45574</v>
      </c>
      <c r="J2458" s="4">
        <f t="shared" si="38"/>
        <v>24</v>
      </c>
    </row>
    <row r="2459" spans="1:10" x14ac:dyDescent="0.25">
      <c r="A2459" s="4">
        <f>_xlfn.XLOOKUP(E2459,'Data Validation'!$M$3:$M$10,'Data Validation'!$N$3:$N$10)</f>
        <v>6</v>
      </c>
      <c r="B2459" s="4">
        <v>17</v>
      </c>
      <c r="C2459" s="4" t="s">
        <v>11</v>
      </c>
      <c r="D2459" s="7">
        <v>21.06</v>
      </c>
      <c r="E2459" s="4" t="s">
        <v>26</v>
      </c>
      <c r="F2459" s="4" t="s">
        <v>20</v>
      </c>
      <c r="G2459" s="4" t="s">
        <v>47</v>
      </c>
      <c r="H2459" s="4" t="s">
        <v>57</v>
      </c>
      <c r="I2459" s="5">
        <v>45574</v>
      </c>
      <c r="J2459" s="4">
        <f t="shared" si="38"/>
        <v>24</v>
      </c>
    </row>
    <row r="2460" spans="1:10" x14ac:dyDescent="0.25">
      <c r="A2460" s="4">
        <f>_xlfn.XLOOKUP(E2460,'Data Validation'!$M$3:$M$10,'Data Validation'!$N$3:$N$10)</f>
        <v>6</v>
      </c>
      <c r="B2460" s="4">
        <v>13</v>
      </c>
      <c r="C2460" s="4" t="s">
        <v>11</v>
      </c>
      <c r="D2460" s="7">
        <v>21.06</v>
      </c>
      <c r="E2460" s="4" t="s">
        <v>26</v>
      </c>
      <c r="F2460" s="4" t="s">
        <v>17</v>
      </c>
      <c r="G2460" s="4" t="s">
        <v>51</v>
      </c>
      <c r="H2460" s="4" t="s">
        <v>57</v>
      </c>
      <c r="I2460" s="5">
        <v>45578</v>
      </c>
      <c r="J2460" s="4">
        <f t="shared" si="38"/>
        <v>24</v>
      </c>
    </row>
    <row r="2461" spans="1:10" x14ac:dyDescent="0.25">
      <c r="A2461" s="4">
        <f>_xlfn.XLOOKUP(E2461,'Data Validation'!$M$3:$M$10,'Data Validation'!$N$3:$N$10)</f>
        <v>6</v>
      </c>
      <c r="B2461" s="4">
        <v>8</v>
      </c>
      <c r="C2461" s="4" t="s">
        <v>11</v>
      </c>
      <c r="D2461" s="7">
        <v>21.06</v>
      </c>
      <c r="E2461" s="4" t="s">
        <v>26</v>
      </c>
      <c r="F2461" s="4" t="s">
        <v>13</v>
      </c>
      <c r="G2461" s="4" t="s">
        <v>46</v>
      </c>
      <c r="H2461" s="4" t="s">
        <v>57</v>
      </c>
      <c r="I2461" s="5">
        <v>45580</v>
      </c>
      <c r="J2461" s="4">
        <f t="shared" si="38"/>
        <v>24</v>
      </c>
    </row>
    <row r="2462" spans="1:10" x14ac:dyDescent="0.25">
      <c r="A2462" s="4">
        <f>_xlfn.XLOOKUP(E2462,'Data Validation'!$M$3:$M$10,'Data Validation'!$N$3:$N$10)</f>
        <v>6</v>
      </c>
      <c r="B2462" s="4">
        <v>15</v>
      </c>
      <c r="C2462" s="4" t="s">
        <v>11</v>
      </c>
      <c r="D2462" s="7">
        <v>21.06</v>
      </c>
      <c r="E2462" s="4" t="s">
        <v>26</v>
      </c>
      <c r="F2462" s="4" t="s">
        <v>17</v>
      </c>
      <c r="G2462" s="4" t="s">
        <v>46</v>
      </c>
      <c r="H2462" s="4" t="s">
        <v>57</v>
      </c>
      <c r="I2462" s="5">
        <v>45580</v>
      </c>
      <c r="J2462" s="4">
        <f t="shared" si="38"/>
        <v>24</v>
      </c>
    </row>
    <row r="2463" spans="1:10" x14ac:dyDescent="0.25">
      <c r="A2463" s="4">
        <f>_xlfn.XLOOKUP(E2463,'Data Validation'!$M$3:$M$10,'Data Validation'!$N$3:$N$10)</f>
        <v>6</v>
      </c>
      <c r="B2463" s="4">
        <v>11</v>
      </c>
      <c r="C2463" s="4" t="s">
        <v>11</v>
      </c>
      <c r="D2463" s="7">
        <v>21.06</v>
      </c>
      <c r="E2463" s="4" t="s">
        <v>26</v>
      </c>
      <c r="F2463" s="4" t="s">
        <v>13</v>
      </c>
      <c r="G2463" s="4" t="s">
        <v>45</v>
      </c>
      <c r="H2463" s="4" t="s">
        <v>57</v>
      </c>
      <c r="I2463" s="5">
        <v>45586</v>
      </c>
      <c r="J2463" s="4">
        <f t="shared" si="38"/>
        <v>24</v>
      </c>
    </row>
    <row r="2464" spans="1:10" x14ac:dyDescent="0.25">
      <c r="A2464" s="4">
        <f>_xlfn.XLOOKUP(E2464,'Data Validation'!$M$3:$M$10,'Data Validation'!$N$3:$N$10)</f>
        <v>6</v>
      </c>
      <c r="B2464" s="4">
        <v>10</v>
      </c>
      <c r="C2464" s="4" t="s">
        <v>11</v>
      </c>
      <c r="D2464" s="7">
        <v>21.06</v>
      </c>
      <c r="E2464" s="4" t="s">
        <v>26</v>
      </c>
      <c r="F2464" s="4" t="s">
        <v>13</v>
      </c>
      <c r="G2464" s="4" t="s">
        <v>46</v>
      </c>
      <c r="H2464" s="4" t="s">
        <v>57</v>
      </c>
      <c r="I2464" s="5">
        <v>45587</v>
      </c>
      <c r="J2464" s="4">
        <f t="shared" si="38"/>
        <v>24</v>
      </c>
    </row>
    <row r="2465" spans="1:10" x14ac:dyDescent="0.25">
      <c r="A2465" s="4">
        <f>_xlfn.XLOOKUP(E2465,'Data Validation'!$M$3:$M$10,'Data Validation'!$N$3:$N$10)</f>
        <v>6</v>
      </c>
      <c r="B2465" s="4">
        <v>17</v>
      </c>
      <c r="C2465" s="4" t="s">
        <v>11</v>
      </c>
      <c r="D2465" s="7">
        <v>21.06</v>
      </c>
      <c r="E2465" s="4" t="s">
        <v>26</v>
      </c>
      <c r="F2465" s="4" t="s">
        <v>20</v>
      </c>
      <c r="G2465" s="4" t="s">
        <v>47</v>
      </c>
      <c r="H2465" s="4" t="s">
        <v>57</v>
      </c>
      <c r="I2465" s="5">
        <v>45588</v>
      </c>
      <c r="J2465" s="4">
        <f t="shared" si="38"/>
        <v>24</v>
      </c>
    </row>
    <row r="2466" spans="1:10" x14ac:dyDescent="0.25">
      <c r="A2466" s="4">
        <f>_xlfn.XLOOKUP(E2466,'Data Validation'!$M$3:$M$10,'Data Validation'!$N$3:$N$10)</f>
        <v>6</v>
      </c>
      <c r="B2466" s="4">
        <v>7</v>
      </c>
      <c r="C2466" s="4" t="s">
        <v>11</v>
      </c>
      <c r="D2466" s="7">
        <v>21.06</v>
      </c>
      <c r="E2466" s="4" t="s">
        <v>26</v>
      </c>
      <c r="F2466" s="4" t="s">
        <v>13</v>
      </c>
      <c r="G2466" s="4" t="s">
        <v>49</v>
      </c>
      <c r="H2466" s="4" t="s">
        <v>57</v>
      </c>
      <c r="I2466" s="5">
        <v>45590</v>
      </c>
      <c r="J2466" s="4">
        <f t="shared" si="38"/>
        <v>24</v>
      </c>
    </row>
    <row r="2467" spans="1:10" x14ac:dyDescent="0.25">
      <c r="A2467" s="4">
        <f>_xlfn.XLOOKUP(E2467,'Data Validation'!$M$3:$M$10,'Data Validation'!$N$3:$N$10)</f>
        <v>6</v>
      </c>
      <c r="B2467" s="4">
        <v>22</v>
      </c>
      <c r="C2467" s="4" t="s">
        <v>11</v>
      </c>
      <c r="D2467" s="7">
        <v>21.06</v>
      </c>
      <c r="E2467" s="4" t="s">
        <v>26</v>
      </c>
      <c r="F2467" s="4" t="s">
        <v>20</v>
      </c>
      <c r="G2467" s="4" t="s">
        <v>49</v>
      </c>
      <c r="H2467" s="4" t="s">
        <v>57</v>
      </c>
      <c r="I2467" s="5">
        <v>45590</v>
      </c>
      <c r="J2467" s="4">
        <f t="shared" si="38"/>
        <v>24</v>
      </c>
    </row>
    <row r="2468" spans="1:10" x14ac:dyDescent="0.25">
      <c r="A2468" s="4">
        <f>_xlfn.XLOOKUP(E2468,'Data Validation'!$M$3:$M$10,'Data Validation'!$N$3:$N$10)</f>
        <v>6</v>
      </c>
      <c r="B2468" s="4">
        <v>12</v>
      </c>
      <c r="C2468" s="4" t="s">
        <v>11</v>
      </c>
      <c r="D2468" s="7">
        <v>21.06</v>
      </c>
      <c r="E2468" s="4" t="s">
        <v>26</v>
      </c>
      <c r="F2468" s="4" t="s">
        <v>17</v>
      </c>
      <c r="G2468" s="4" t="s">
        <v>46</v>
      </c>
      <c r="H2468" s="4" t="s">
        <v>57</v>
      </c>
      <c r="I2468" s="5">
        <v>45594</v>
      </c>
      <c r="J2468" s="4">
        <f t="shared" si="38"/>
        <v>24</v>
      </c>
    </row>
    <row r="2469" spans="1:10" x14ac:dyDescent="0.25">
      <c r="A2469" s="4">
        <f>_xlfn.XLOOKUP(E2469,'Data Validation'!$M$3:$M$10,'Data Validation'!$N$3:$N$10)</f>
        <v>6</v>
      </c>
      <c r="B2469" s="4">
        <v>11</v>
      </c>
      <c r="C2469" s="4" t="s">
        <v>11</v>
      </c>
      <c r="D2469" s="7">
        <v>21.06</v>
      </c>
      <c r="E2469" s="4" t="s">
        <v>26</v>
      </c>
      <c r="F2469" s="4" t="s">
        <v>13</v>
      </c>
      <c r="G2469" s="4" t="s">
        <v>47</v>
      </c>
      <c r="H2469" s="4" t="s">
        <v>58</v>
      </c>
      <c r="I2469" s="5">
        <v>45602</v>
      </c>
      <c r="J2469" s="4">
        <f t="shared" si="38"/>
        <v>24</v>
      </c>
    </row>
    <row r="2470" spans="1:10" x14ac:dyDescent="0.25">
      <c r="A2470" s="4">
        <f>_xlfn.XLOOKUP(E2470,'Data Validation'!$M$3:$M$10,'Data Validation'!$N$3:$N$10)</f>
        <v>6</v>
      </c>
      <c r="B2470" s="4">
        <v>12</v>
      </c>
      <c r="C2470" s="4" t="s">
        <v>11</v>
      </c>
      <c r="D2470" s="7">
        <v>21.06</v>
      </c>
      <c r="E2470" s="4" t="s">
        <v>26</v>
      </c>
      <c r="F2470" s="4" t="s">
        <v>17</v>
      </c>
      <c r="G2470" s="4" t="s">
        <v>48</v>
      </c>
      <c r="H2470" s="4" t="s">
        <v>58</v>
      </c>
      <c r="I2470" s="5">
        <v>45610</v>
      </c>
      <c r="J2470" s="4">
        <f t="shared" si="38"/>
        <v>24</v>
      </c>
    </row>
    <row r="2471" spans="1:10" x14ac:dyDescent="0.25">
      <c r="A2471" s="4">
        <f>_xlfn.XLOOKUP(E2471,'Data Validation'!$M$3:$M$10,'Data Validation'!$N$3:$N$10)</f>
        <v>6</v>
      </c>
      <c r="B2471" s="4">
        <v>7</v>
      </c>
      <c r="C2471" s="4" t="s">
        <v>11</v>
      </c>
      <c r="D2471" s="7">
        <v>21.06</v>
      </c>
      <c r="E2471" s="4" t="s">
        <v>26</v>
      </c>
      <c r="F2471" s="4" t="s">
        <v>13</v>
      </c>
      <c r="G2471" s="4" t="s">
        <v>46</v>
      </c>
      <c r="H2471" s="4" t="s">
        <v>58</v>
      </c>
      <c r="I2471" s="5">
        <v>45615</v>
      </c>
      <c r="J2471" s="4">
        <f t="shared" si="38"/>
        <v>24</v>
      </c>
    </row>
    <row r="2472" spans="1:10" x14ac:dyDescent="0.25">
      <c r="A2472" s="4">
        <f>_xlfn.XLOOKUP(E2472,'Data Validation'!$M$3:$M$10,'Data Validation'!$N$3:$N$10)</f>
        <v>6</v>
      </c>
      <c r="B2472" s="4">
        <v>15</v>
      </c>
      <c r="C2472" s="4" t="s">
        <v>11</v>
      </c>
      <c r="D2472" s="7">
        <v>21.06</v>
      </c>
      <c r="E2472" s="4" t="s">
        <v>26</v>
      </c>
      <c r="F2472" s="4" t="s">
        <v>17</v>
      </c>
      <c r="G2472" s="4" t="s">
        <v>45</v>
      </c>
      <c r="H2472" s="4" t="s">
        <v>59</v>
      </c>
      <c r="I2472" s="5">
        <v>45628</v>
      </c>
      <c r="J2472" s="4">
        <f t="shared" si="38"/>
        <v>24</v>
      </c>
    </row>
    <row r="2473" spans="1:10" x14ac:dyDescent="0.25">
      <c r="A2473" s="4">
        <f>_xlfn.XLOOKUP(E2473,'Data Validation'!$M$3:$M$10,'Data Validation'!$N$3:$N$10)</f>
        <v>6</v>
      </c>
      <c r="B2473" s="4">
        <v>18</v>
      </c>
      <c r="C2473" s="4" t="s">
        <v>11</v>
      </c>
      <c r="D2473" s="7">
        <v>21.06</v>
      </c>
      <c r="E2473" s="4" t="s">
        <v>26</v>
      </c>
      <c r="F2473" s="4" t="s">
        <v>20</v>
      </c>
      <c r="G2473" s="4" t="s">
        <v>51</v>
      </c>
      <c r="H2473" s="4" t="s">
        <v>59</v>
      </c>
      <c r="I2473" s="5">
        <v>45634</v>
      </c>
      <c r="J2473" s="4">
        <f t="shared" si="38"/>
        <v>24</v>
      </c>
    </row>
    <row r="2474" spans="1:10" x14ac:dyDescent="0.25">
      <c r="A2474" s="4">
        <f>_xlfn.XLOOKUP(E2474,'Data Validation'!$M$3:$M$10,'Data Validation'!$N$3:$N$10)</f>
        <v>6</v>
      </c>
      <c r="B2474" s="4">
        <v>12</v>
      </c>
      <c r="C2474" s="4" t="s">
        <v>11</v>
      </c>
      <c r="D2474" s="7">
        <v>21.06</v>
      </c>
      <c r="E2474" s="4" t="s">
        <v>26</v>
      </c>
      <c r="F2474" s="4" t="s">
        <v>17</v>
      </c>
      <c r="G2474" s="4" t="s">
        <v>47</v>
      </c>
      <c r="H2474" s="4" t="s">
        <v>59</v>
      </c>
      <c r="I2474" s="5">
        <v>45637</v>
      </c>
      <c r="J2474" s="4">
        <f t="shared" si="38"/>
        <v>24</v>
      </c>
    </row>
    <row r="2475" spans="1:10" x14ac:dyDescent="0.25">
      <c r="A2475" s="4">
        <f>_xlfn.XLOOKUP(E2475,'Data Validation'!$M$3:$M$10,'Data Validation'!$N$3:$N$10)</f>
        <v>6</v>
      </c>
      <c r="B2475" s="4">
        <v>16</v>
      </c>
      <c r="C2475" s="4" t="s">
        <v>11</v>
      </c>
      <c r="D2475" s="7">
        <v>21.06</v>
      </c>
      <c r="E2475" s="4" t="s">
        <v>26</v>
      </c>
      <c r="F2475" s="4" t="s">
        <v>17</v>
      </c>
      <c r="G2475" s="4" t="s">
        <v>48</v>
      </c>
      <c r="H2475" s="4" t="s">
        <v>59</v>
      </c>
      <c r="I2475" s="5">
        <v>45638</v>
      </c>
      <c r="J2475" s="4">
        <f t="shared" si="38"/>
        <v>24</v>
      </c>
    </row>
    <row r="2476" spans="1:10" x14ac:dyDescent="0.25">
      <c r="A2476" s="4">
        <f>_xlfn.XLOOKUP(E2476,'Data Validation'!$M$3:$M$10,'Data Validation'!$N$3:$N$10)</f>
        <v>6</v>
      </c>
      <c r="B2476" s="4">
        <v>16</v>
      </c>
      <c r="C2476" s="4" t="s">
        <v>11</v>
      </c>
      <c r="D2476" s="7">
        <v>21.06</v>
      </c>
      <c r="E2476" s="4" t="s">
        <v>26</v>
      </c>
      <c r="F2476" s="4" t="s">
        <v>17</v>
      </c>
      <c r="G2476" s="4" t="s">
        <v>48</v>
      </c>
      <c r="H2476" s="4" t="s">
        <v>59</v>
      </c>
      <c r="I2476" s="5">
        <v>45638</v>
      </c>
      <c r="J2476" s="4">
        <f t="shared" si="38"/>
        <v>24</v>
      </c>
    </row>
    <row r="2477" spans="1:10" x14ac:dyDescent="0.25">
      <c r="A2477" s="4">
        <f>_xlfn.XLOOKUP(E2477,'Data Validation'!$M$3:$M$10,'Data Validation'!$N$3:$N$10)</f>
        <v>6</v>
      </c>
      <c r="B2477" s="4">
        <v>12</v>
      </c>
      <c r="C2477" s="4" t="s">
        <v>11</v>
      </c>
      <c r="D2477" s="7">
        <v>21.06</v>
      </c>
      <c r="E2477" s="4" t="s">
        <v>26</v>
      </c>
      <c r="F2477" s="4" t="s">
        <v>17</v>
      </c>
      <c r="G2477" s="4" t="s">
        <v>48</v>
      </c>
      <c r="H2477" s="4" t="s">
        <v>59</v>
      </c>
      <c r="I2477" s="5">
        <v>45645</v>
      </c>
      <c r="J2477" s="4">
        <f t="shared" si="38"/>
        <v>24</v>
      </c>
    </row>
    <row r="2478" spans="1:10" x14ac:dyDescent="0.25">
      <c r="A2478" s="4">
        <f>_xlfn.XLOOKUP(E2478,'Data Validation'!$M$3:$M$10,'Data Validation'!$N$3:$N$10)</f>
        <v>6</v>
      </c>
      <c r="B2478" s="4">
        <v>12</v>
      </c>
      <c r="C2478" s="4" t="s">
        <v>11</v>
      </c>
      <c r="D2478" s="7">
        <v>21.06</v>
      </c>
      <c r="E2478" s="4" t="s">
        <v>26</v>
      </c>
      <c r="F2478" s="4" t="s">
        <v>17</v>
      </c>
      <c r="G2478" s="4" t="s">
        <v>49</v>
      </c>
      <c r="H2478" s="4" t="s">
        <v>59</v>
      </c>
      <c r="I2478" s="5">
        <v>45646</v>
      </c>
      <c r="J2478" s="4">
        <f t="shared" si="38"/>
        <v>24</v>
      </c>
    </row>
    <row r="2479" spans="1:10" x14ac:dyDescent="0.25">
      <c r="A2479" s="4">
        <f>_xlfn.XLOOKUP(E2479,'Data Validation'!$M$3:$M$10,'Data Validation'!$N$3:$N$10)</f>
        <v>6</v>
      </c>
      <c r="B2479" s="4">
        <v>19</v>
      </c>
      <c r="C2479" s="4" t="s">
        <v>11</v>
      </c>
      <c r="D2479" s="7">
        <v>21.06</v>
      </c>
      <c r="E2479" s="4" t="s">
        <v>26</v>
      </c>
      <c r="F2479" s="4" t="s">
        <v>20</v>
      </c>
      <c r="G2479" s="4" t="s">
        <v>46</v>
      </c>
      <c r="H2479" s="4" t="s">
        <v>59</v>
      </c>
      <c r="I2479" s="5">
        <v>45650</v>
      </c>
      <c r="J2479" s="4">
        <f t="shared" si="38"/>
        <v>24</v>
      </c>
    </row>
    <row r="2480" spans="1:10" x14ac:dyDescent="0.25">
      <c r="A2480" s="4">
        <f>_xlfn.XLOOKUP(E2480,'Data Validation'!$M$3:$M$10,'Data Validation'!$N$3:$N$10)</f>
        <v>6</v>
      </c>
      <c r="B2480" s="4">
        <v>15</v>
      </c>
      <c r="C2480" s="4" t="s">
        <v>11</v>
      </c>
      <c r="D2480" s="7">
        <v>21.06</v>
      </c>
      <c r="E2480" s="4" t="s">
        <v>26</v>
      </c>
      <c r="F2480" s="4" t="s">
        <v>17</v>
      </c>
      <c r="G2480" s="4" t="s">
        <v>48</v>
      </c>
      <c r="H2480" s="4" t="s">
        <v>59</v>
      </c>
      <c r="I2480" s="5">
        <v>45652</v>
      </c>
      <c r="J2480" s="4">
        <f t="shared" si="38"/>
        <v>24</v>
      </c>
    </row>
    <row r="2481" spans="1:10" x14ac:dyDescent="0.25">
      <c r="A2481" s="4">
        <f>_xlfn.XLOOKUP(E2481,'Data Validation'!$M$3:$M$10,'Data Validation'!$N$3:$N$10)</f>
        <v>6</v>
      </c>
      <c r="B2481" s="4">
        <v>15</v>
      </c>
      <c r="C2481" s="4" t="s">
        <v>11</v>
      </c>
      <c r="D2481" s="7">
        <v>21.06</v>
      </c>
      <c r="E2481" s="4" t="s">
        <v>26</v>
      </c>
      <c r="F2481" s="4" t="s">
        <v>17</v>
      </c>
      <c r="G2481" s="4" t="s">
        <v>51</v>
      </c>
      <c r="H2481" s="4" t="s">
        <v>59</v>
      </c>
      <c r="I2481" s="5">
        <v>45655</v>
      </c>
      <c r="J2481" s="4">
        <f t="shared" si="38"/>
        <v>24</v>
      </c>
    </row>
    <row r="2482" spans="1:10" x14ac:dyDescent="0.25">
      <c r="A2482" s="4">
        <f>_xlfn.XLOOKUP(E2482,'Data Validation'!$M$3:$M$10,'Data Validation'!$N$3:$N$10)</f>
        <v>6</v>
      </c>
      <c r="B2482" s="4">
        <v>17</v>
      </c>
      <c r="C2482" s="4" t="s">
        <v>11</v>
      </c>
      <c r="D2482" s="7">
        <v>21.06</v>
      </c>
      <c r="E2482" s="4" t="s">
        <v>26</v>
      </c>
      <c r="F2482" s="4" t="s">
        <v>20</v>
      </c>
      <c r="G2482" s="4" t="s">
        <v>51</v>
      </c>
      <c r="H2482" s="4" t="s">
        <v>59</v>
      </c>
      <c r="I2482" s="5">
        <v>45655</v>
      </c>
      <c r="J2482" s="4">
        <f t="shared" si="38"/>
        <v>24</v>
      </c>
    </row>
    <row r="2483" spans="1:10" x14ac:dyDescent="0.25">
      <c r="A2483" s="4">
        <f>_xlfn.XLOOKUP(E2483,'Data Validation'!$M$3:$M$10,'Data Validation'!$N$3:$N$10)</f>
        <v>6</v>
      </c>
      <c r="B2483" s="4">
        <v>15</v>
      </c>
      <c r="C2483" s="4" t="s">
        <v>11</v>
      </c>
      <c r="D2483" s="7">
        <v>21.06</v>
      </c>
      <c r="E2483" s="4" t="s">
        <v>26</v>
      </c>
      <c r="F2483" s="4" t="s">
        <v>17</v>
      </c>
      <c r="G2483" s="4" t="s">
        <v>46</v>
      </c>
      <c r="H2483" s="4" t="s">
        <v>59</v>
      </c>
      <c r="I2483" s="5">
        <v>45657</v>
      </c>
      <c r="J2483" s="4">
        <f t="shared" si="38"/>
        <v>24</v>
      </c>
    </row>
    <row r="2484" spans="1:10" x14ac:dyDescent="0.25">
      <c r="A2484" s="4">
        <f>_xlfn.XLOOKUP(E2484,'Data Validation'!$M$3:$M$10,'Data Validation'!$N$3:$N$10)</f>
        <v>6</v>
      </c>
      <c r="B2484" s="4">
        <v>14</v>
      </c>
      <c r="C2484" s="4" t="s">
        <v>11</v>
      </c>
      <c r="D2484" s="7">
        <v>21.06</v>
      </c>
      <c r="E2484" s="4" t="s">
        <v>26</v>
      </c>
      <c r="F2484" s="4" t="s">
        <v>17</v>
      </c>
      <c r="G2484" s="4" t="s">
        <v>48</v>
      </c>
      <c r="H2484" s="4" t="s">
        <v>42</v>
      </c>
      <c r="I2484" s="5">
        <v>45666</v>
      </c>
      <c r="J2484" s="4">
        <f t="shared" si="38"/>
        <v>24</v>
      </c>
    </row>
    <row r="2485" spans="1:10" x14ac:dyDescent="0.25">
      <c r="A2485" s="4">
        <f>_xlfn.XLOOKUP(E2485,'Data Validation'!$M$3:$M$10,'Data Validation'!$N$3:$N$10)</f>
        <v>6</v>
      </c>
      <c r="B2485" s="4">
        <v>20</v>
      </c>
      <c r="C2485" s="4" t="s">
        <v>11</v>
      </c>
      <c r="D2485" s="7">
        <v>21.06</v>
      </c>
      <c r="E2485" s="4" t="s">
        <v>26</v>
      </c>
      <c r="F2485" s="4" t="s">
        <v>20</v>
      </c>
      <c r="G2485" s="4" t="s">
        <v>45</v>
      </c>
      <c r="H2485" s="4" t="s">
        <v>42</v>
      </c>
      <c r="I2485" s="5">
        <v>45670</v>
      </c>
      <c r="J2485" s="4">
        <f t="shared" si="38"/>
        <v>24</v>
      </c>
    </row>
    <row r="2486" spans="1:10" x14ac:dyDescent="0.25">
      <c r="A2486" s="4">
        <f>_xlfn.XLOOKUP(E2486,'Data Validation'!$M$3:$M$10,'Data Validation'!$N$3:$N$10)</f>
        <v>6</v>
      </c>
      <c r="B2486" s="4">
        <v>11</v>
      </c>
      <c r="C2486" s="4" t="s">
        <v>11</v>
      </c>
      <c r="D2486" s="7">
        <v>21.06</v>
      </c>
      <c r="E2486" s="4" t="s">
        <v>26</v>
      </c>
      <c r="F2486" s="4" t="s">
        <v>13</v>
      </c>
      <c r="G2486" s="4" t="s">
        <v>47</v>
      </c>
      <c r="H2486" s="4" t="s">
        <v>42</v>
      </c>
      <c r="I2486" s="5">
        <v>45679</v>
      </c>
      <c r="J2486" s="4">
        <f t="shared" si="38"/>
        <v>24</v>
      </c>
    </row>
    <row r="2487" spans="1:10" x14ac:dyDescent="0.25">
      <c r="A2487" s="4">
        <f>_xlfn.XLOOKUP(E2487,'Data Validation'!$M$3:$M$10,'Data Validation'!$N$3:$N$10)</f>
        <v>6</v>
      </c>
      <c r="B2487" s="4">
        <v>12</v>
      </c>
      <c r="C2487" s="4" t="s">
        <v>11</v>
      </c>
      <c r="D2487" s="7">
        <v>21.06</v>
      </c>
      <c r="E2487" s="4" t="s">
        <v>26</v>
      </c>
      <c r="F2487" s="4" t="s">
        <v>17</v>
      </c>
      <c r="G2487" s="4" t="s">
        <v>51</v>
      </c>
      <c r="H2487" s="4" t="s">
        <v>42</v>
      </c>
      <c r="I2487" s="5">
        <v>45683</v>
      </c>
      <c r="J2487" s="4">
        <f t="shared" si="38"/>
        <v>24</v>
      </c>
    </row>
    <row r="2488" spans="1:10" x14ac:dyDescent="0.25">
      <c r="A2488" s="4">
        <f>_xlfn.XLOOKUP(E2488,'Data Validation'!$M$3:$M$10,'Data Validation'!$N$3:$N$10)</f>
        <v>6</v>
      </c>
      <c r="B2488" s="4">
        <v>19</v>
      </c>
      <c r="C2488" s="4" t="s">
        <v>11</v>
      </c>
      <c r="D2488" s="7">
        <v>21.06</v>
      </c>
      <c r="E2488" s="4" t="s">
        <v>26</v>
      </c>
      <c r="F2488" s="4" t="s">
        <v>20</v>
      </c>
      <c r="G2488" s="4" t="s">
        <v>47</v>
      </c>
      <c r="H2488" s="4" t="s">
        <v>42</v>
      </c>
      <c r="I2488" s="5">
        <v>45686</v>
      </c>
      <c r="J2488" s="4">
        <f t="shared" si="38"/>
        <v>24</v>
      </c>
    </row>
    <row r="2489" spans="1:10" x14ac:dyDescent="0.25">
      <c r="A2489" s="4">
        <f>_xlfn.XLOOKUP(E2489,'Data Validation'!$M$3:$M$10,'Data Validation'!$N$3:$N$10)</f>
        <v>6</v>
      </c>
      <c r="B2489" s="4">
        <v>8</v>
      </c>
      <c r="C2489" s="4" t="s">
        <v>11</v>
      </c>
      <c r="D2489" s="7">
        <v>21.06</v>
      </c>
      <c r="E2489" s="4" t="s">
        <v>26</v>
      </c>
      <c r="F2489" s="4" t="s">
        <v>13</v>
      </c>
      <c r="G2489" s="4" t="s">
        <v>45</v>
      </c>
      <c r="H2489" s="4" t="s">
        <v>43</v>
      </c>
      <c r="I2489" s="5">
        <v>45691</v>
      </c>
      <c r="J2489" s="4">
        <f t="shared" si="38"/>
        <v>24</v>
      </c>
    </row>
    <row r="2490" spans="1:10" x14ac:dyDescent="0.25">
      <c r="A2490" s="4">
        <f>_xlfn.XLOOKUP(E2490,'Data Validation'!$M$3:$M$10,'Data Validation'!$N$3:$N$10)</f>
        <v>6</v>
      </c>
      <c r="B2490" s="4">
        <v>13</v>
      </c>
      <c r="C2490" s="4" t="s">
        <v>11</v>
      </c>
      <c r="D2490" s="7">
        <v>21.06</v>
      </c>
      <c r="E2490" s="4" t="s">
        <v>26</v>
      </c>
      <c r="F2490" s="4" t="s">
        <v>17</v>
      </c>
      <c r="G2490" s="4" t="s">
        <v>47</v>
      </c>
      <c r="H2490" s="4" t="s">
        <v>43</v>
      </c>
      <c r="I2490" s="5">
        <v>45693</v>
      </c>
      <c r="J2490" s="4">
        <f t="shared" si="38"/>
        <v>24</v>
      </c>
    </row>
    <row r="2491" spans="1:10" x14ac:dyDescent="0.25">
      <c r="A2491" s="4">
        <f>_xlfn.XLOOKUP(E2491,'Data Validation'!$M$3:$M$10,'Data Validation'!$N$3:$N$10)</f>
        <v>6</v>
      </c>
      <c r="B2491" s="4">
        <v>13</v>
      </c>
      <c r="C2491" s="4" t="s">
        <v>11</v>
      </c>
      <c r="D2491" s="7">
        <v>21.06</v>
      </c>
      <c r="E2491" s="4" t="s">
        <v>26</v>
      </c>
      <c r="F2491" s="4" t="s">
        <v>17</v>
      </c>
      <c r="G2491" s="4" t="s">
        <v>47</v>
      </c>
      <c r="H2491" s="4" t="s">
        <v>43</v>
      </c>
      <c r="I2491" s="5">
        <v>45693</v>
      </c>
      <c r="J2491" s="4">
        <f t="shared" si="38"/>
        <v>24</v>
      </c>
    </row>
    <row r="2492" spans="1:10" x14ac:dyDescent="0.25">
      <c r="A2492" s="4">
        <f>_xlfn.XLOOKUP(E2492,'Data Validation'!$M$3:$M$10,'Data Validation'!$N$3:$N$10)</f>
        <v>6</v>
      </c>
      <c r="B2492" s="4">
        <v>19</v>
      </c>
      <c r="C2492" s="4" t="s">
        <v>11</v>
      </c>
      <c r="D2492" s="7">
        <v>21.06</v>
      </c>
      <c r="E2492" s="4" t="s">
        <v>26</v>
      </c>
      <c r="F2492" s="4" t="s">
        <v>20</v>
      </c>
      <c r="G2492" s="4" t="s">
        <v>48</v>
      </c>
      <c r="H2492" s="4" t="s">
        <v>43</v>
      </c>
      <c r="I2492" s="5">
        <v>45694</v>
      </c>
      <c r="J2492" s="4">
        <f t="shared" si="38"/>
        <v>24</v>
      </c>
    </row>
    <row r="2493" spans="1:10" x14ac:dyDescent="0.25">
      <c r="A2493" s="4">
        <f>_xlfn.XLOOKUP(E2493,'Data Validation'!$M$3:$M$10,'Data Validation'!$N$3:$N$10)</f>
        <v>6</v>
      </c>
      <c r="B2493" s="4">
        <v>16</v>
      </c>
      <c r="C2493" s="4" t="s">
        <v>11</v>
      </c>
      <c r="D2493" s="7">
        <v>21.06</v>
      </c>
      <c r="E2493" s="4" t="s">
        <v>26</v>
      </c>
      <c r="F2493" s="4" t="s">
        <v>17</v>
      </c>
      <c r="G2493" s="4" t="s">
        <v>46</v>
      </c>
      <c r="H2493" s="4" t="s">
        <v>43</v>
      </c>
      <c r="I2493" s="5">
        <v>45699</v>
      </c>
      <c r="J2493" s="4">
        <f t="shared" si="38"/>
        <v>24</v>
      </c>
    </row>
    <row r="2494" spans="1:10" x14ac:dyDescent="0.25">
      <c r="A2494" s="4">
        <f>_xlfn.XLOOKUP(E2494,'Data Validation'!$M$3:$M$10,'Data Validation'!$N$3:$N$10)</f>
        <v>6</v>
      </c>
      <c r="B2494" s="4">
        <v>9</v>
      </c>
      <c r="C2494" s="4" t="s">
        <v>11</v>
      </c>
      <c r="D2494" s="7">
        <v>21.06</v>
      </c>
      <c r="E2494" s="4" t="s">
        <v>26</v>
      </c>
      <c r="F2494" s="4" t="s">
        <v>13</v>
      </c>
      <c r="G2494" s="4" t="s">
        <v>48</v>
      </c>
      <c r="H2494" s="4" t="s">
        <v>43</v>
      </c>
      <c r="I2494" s="5">
        <v>45701</v>
      </c>
      <c r="J2494" s="4">
        <f t="shared" si="38"/>
        <v>24</v>
      </c>
    </row>
    <row r="2495" spans="1:10" x14ac:dyDescent="0.25">
      <c r="A2495" s="4">
        <f>_xlfn.XLOOKUP(E2495,'Data Validation'!$M$3:$M$10,'Data Validation'!$N$3:$N$10)</f>
        <v>6</v>
      </c>
      <c r="B2495" s="4">
        <v>14</v>
      </c>
      <c r="C2495" s="4" t="s">
        <v>11</v>
      </c>
      <c r="D2495" s="7">
        <v>21.06</v>
      </c>
      <c r="E2495" s="4" t="s">
        <v>26</v>
      </c>
      <c r="F2495" s="4" t="s">
        <v>17</v>
      </c>
      <c r="G2495" s="4" t="s">
        <v>49</v>
      </c>
      <c r="H2495" s="4" t="s">
        <v>43</v>
      </c>
      <c r="I2495" s="5">
        <v>45702</v>
      </c>
      <c r="J2495" s="4">
        <f t="shared" si="38"/>
        <v>24</v>
      </c>
    </row>
    <row r="2496" spans="1:10" x14ac:dyDescent="0.25">
      <c r="A2496" s="4">
        <f>_xlfn.XLOOKUP(E2496,'Data Validation'!$M$3:$M$10,'Data Validation'!$N$3:$N$10)</f>
        <v>6</v>
      </c>
      <c r="B2496" s="4">
        <v>17</v>
      </c>
      <c r="C2496" s="4" t="s">
        <v>11</v>
      </c>
      <c r="D2496" s="7">
        <v>21.06</v>
      </c>
      <c r="E2496" s="4" t="s">
        <v>26</v>
      </c>
      <c r="F2496" s="4" t="s">
        <v>20</v>
      </c>
      <c r="G2496" s="4" t="s">
        <v>49</v>
      </c>
      <c r="H2496" s="4" t="s">
        <v>43</v>
      </c>
      <c r="I2496" s="5">
        <v>45702</v>
      </c>
      <c r="J2496" s="4">
        <f t="shared" si="38"/>
        <v>24</v>
      </c>
    </row>
    <row r="2497" spans="1:10" x14ac:dyDescent="0.25">
      <c r="A2497" s="4">
        <f>_xlfn.XLOOKUP(E2497,'Data Validation'!$M$3:$M$10,'Data Validation'!$N$3:$N$10)</f>
        <v>6</v>
      </c>
      <c r="B2497" s="4">
        <v>11</v>
      </c>
      <c r="C2497" s="4" t="s">
        <v>11</v>
      </c>
      <c r="D2497" s="7">
        <v>21.06</v>
      </c>
      <c r="E2497" s="4" t="s">
        <v>26</v>
      </c>
      <c r="F2497" s="4" t="s">
        <v>13</v>
      </c>
      <c r="G2497" s="4" t="s">
        <v>45</v>
      </c>
      <c r="H2497" s="4" t="s">
        <v>43</v>
      </c>
      <c r="I2497" s="5">
        <v>45705</v>
      </c>
      <c r="J2497" s="4">
        <f t="shared" si="38"/>
        <v>24</v>
      </c>
    </row>
    <row r="2498" spans="1:10" x14ac:dyDescent="0.25">
      <c r="A2498" s="4">
        <f>_xlfn.XLOOKUP(E2498,'Data Validation'!$M$3:$M$10,'Data Validation'!$N$3:$N$10)</f>
        <v>6</v>
      </c>
      <c r="B2498" s="4">
        <v>16</v>
      </c>
      <c r="C2498" s="4" t="s">
        <v>11</v>
      </c>
      <c r="D2498" s="7">
        <v>21.06</v>
      </c>
      <c r="E2498" s="4" t="s">
        <v>26</v>
      </c>
      <c r="F2498" s="4" t="s">
        <v>17</v>
      </c>
      <c r="G2498" s="4" t="s">
        <v>45</v>
      </c>
      <c r="H2498" s="4" t="s">
        <v>43</v>
      </c>
      <c r="I2498" s="5">
        <v>45705</v>
      </c>
      <c r="J2498" s="4">
        <f t="shared" si="38"/>
        <v>24</v>
      </c>
    </row>
    <row r="2499" spans="1:10" x14ac:dyDescent="0.25">
      <c r="A2499" s="4">
        <f>_xlfn.XLOOKUP(E2499,'Data Validation'!$M$3:$M$10,'Data Validation'!$N$3:$N$10)</f>
        <v>6</v>
      </c>
      <c r="B2499" s="4">
        <v>17</v>
      </c>
      <c r="C2499" s="4" t="s">
        <v>11</v>
      </c>
      <c r="D2499" s="7">
        <v>21.06</v>
      </c>
      <c r="E2499" s="4" t="s">
        <v>26</v>
      </c>
      <c r="F2499" s="4" t="s">
        <v>20</v>
      </c>
      <c r="G2499" s="4" t="s">
        <v>46</v>
      </c>
      <c r="H2499" s="4" t="s">
        <v>43</v>
      </c>
      <c r="I2499" s="5">
        <v>45706</v>
      </c>
      <c r="J2499" s="4">
        <f t="shared" ref="J2499:J2562" si="39">IF(OR(E2499&lt;&gt;E2498,D2499&lt;&gt;D2498),J2498+1,J2498)</f>
        <v>24</v>
      </c>
    </row>
    <row r="2500" spans="1:10" x14ac:dyDescent="0.25">
      <c r="A2500" s="4">
        <f>_xlfn.XLOOKUP(E2500,'Data Validation'!$M$3:$M$10,'Data Validation'!$N$3:$N$10)</f>
        <v>6</v>
      </c>
      <c r="B2500" s="4">
        <v>15</v>
      </c>
      <c r="C2500" s="4" t="s">
        <v>11</v>
      </c>
      <c r="D2500" s="7">
        <v>21.06</v>
      </c>
      <c r="E2500" s="4" t="s">
        <v>26</v>
      </c>
      <c r="F2500" s="4" t="s">
        <v>17</v>
      </c>
      <c r="G2500" s="4" t="s">
        <v>48</v>
      </c>
      <c r="H2500" s="4" t="s">
        <v>43</v>
      </c>
      <c r="I2500" s="5">
        <v>45708</v>
      </c>
      <c r="J2500" s="4">
        <f t="shared" si="39"/>
        <v>24</v>
      </c>
    </row>
    <row r="2501" spans="1:10" x14ac:dyDescent="0.25">
      <c r="A2501" s="4">
        <f>_xlfn.XLOOKUP(E2501,'Data Validation'!$M$3:$M$10,'Data Validation'!$N$3:$N$10)</f>
        <v>6</v>
      </c>
      <c r="B2501" s="4">
        <v>9</v>
      </c>
      <c r="C2501" s="4" t="s">
        <v>11</v>
      </c>
      <c r="D2501" s="7">
        <v>21.06</v>
      </c>
      <c r="E2501" s="4" t="s">
        <v>26</v>
      </c>
      <c r="F2501" s="4" t="s">
        <v>13</v>
      </c>
      <c r="G2501" s="4" t="s">
        <v>49</v>
      </c>
      <c r="H2501" s="4" t="s">
        <v>43</v>
      </c>
      <c r="I2501" s="5">
        <v>45709</v>
      </c>
      <c r="J2501" s="4">
        <f t="shared" si="39"/>
        <v>24</v>
      </c>
    </row>
    <row r="2502" spans="1:10" x14ac:dyDescent="0.25">
      <c r="A2502" s="4">
        <f>_xlfn.XLOOKUP(E2502,'Data Validation'!$M$3:$M$10,'Data Validation'!$N$3:$N$10)</f>
        <v>6</v>
      </c>
      <c r="B2502" s="4">
        <v>12</v>
      </c>
      <c r="C2502" s="4" t="s">
        <v>11</v>
      </c>
      <c r="D2502" s="7">
        <v>21.06</v>
      </c>
      <c r="E2502" s="4" t="s">
        <v>26</v>
      </c>
      <c r="F2502" s="4" t="s">
        <v>17</v>
      </c>
      <c r="G2502" s="4" t="s">
        <v>50</v>
      </c>
      <c r="H2502" s="4" t="s">
        <v>43</v>
      </c>
      <c r="I2502" s="5">
        <v>45710</v>
      </c>
      <c r="J2502" s="4">
        <f t="shared" si="39"/>
        <v>24</v>
      </c>
    </row>
    <row r="2503" spans="1:10" x14ac:dyDescent="0.25">
      <c r="A2503" s="4">
        <f>_xlfn.XLOOKUP(E2503,'Data Validation'!$M$3:$M$10,'Data Validation'!$N$3:$N$10)</f>
        <v>6</v>
      </c>
      <c r="B2503" s="4">
        <v>10</v>
      </c>
      <c r="C2503" s="4" t="s">
        <v>11</v>
      </c>
      <c r="D2503" s="7">
        <v>21.06</v>
      </c>
      <c r="E2503" s="4" t="s">
        <v>26</v>
      </c>
      <c r="F2503" s="4" t="s">
        <v>13</v>
      </c>
      <c r="G2503" s="4" t="s">
        <v>46</v>
      </c>
      <c r="H2503" s="4" t="s">
        <v>43</v>
      </c>
      <c r="I2503" s="5">
        <v>45713</v>
      </c>
      <c r="J2503" s="4">
        <f t="shared" si="39"/>
        <v>24</v>
      </c>
    </row>
    <row r="2504" spans="1:10" x14ac:dyDescent="0.25">
      <c r="A2504" s="4">
        <f>_xlfn.XLOOKUP(E2504,'Data Validation'!$M$3:$M$10,'Data Validation'!$N$3:$N$10)</f>
        <v>6</v>
      </c>
      <c r="B2504" s="4">
        <v>10</v>
      </c>
      <c r="C2504" s="4" t="s">
        <v>11</v>
      </c>
      <c r="D2504" s="7">
        <v>21.06</v>
      </c>
      <c r="E2504" s="4" t="s">
        <v>26</v>
      </c>
      <c r="F2504" s="4" t="s">
        <v>13</v>
      </c>
      <c r="G2504" s="4" t="s">
        <v>48</v>
      </c>
      <c r="H2504" s="4" t="s">
        <v>43</v>
      </c>
      <c r="I2504" s="5">
        <v>45715</v>
      </c>
      <c r="J2504" s="4">
        <f t="shared" si="39"/>
        <v>24</v>
      </c>
    </row>
    <row r="2505" spans="1:10" x14ac:dyDescent="0.25">
      <c r="A2505" s="4">
        <f>_xlfn.XLOOKUP(E2505,'Data Validation'!$M$3:$M$10,'Data Validation'!$N$3:$N$10)</f>
        <v>6</v>
      </c>
      <c r="B2505" s="4">
        <v>8</v>
      </c>
      <c r="C2505" s="4" t="s">
        <v>11</v>
      </c>
      <c r="D2505" s="7">
        <v>21.06</v>
      </c>
      <c r="E2505" s="4" t="s">
        <v>26</v>
      </c>
      <c r="F2505" s="4" t="s">
        <v>13</v>
      </c>
      <c r="G2505" s="4" t="s">
        <v>49</v>
      </c>
      <c r="H2505" s="4" t="s">
        <v>43</v>
      </c>
      <c r="I2505" s="5">
        <v>45716</v>
      </c>
      <c r="J2505" s="4">
        <f t="shared" si="39"/>
        <v>24</v>
      </c>
    </row>
    <row r="2506" spans="1:10" x14ac:dyDescent="0.25">
      <c r="A2506" s="4">
        <f>_xlfn.XLOOKUP(E2506,'Data Validation'!$M$3:$M$10,'Data Validation'!$N$3:$N$10)</f>
        <v>6</v>
      </c>
      <c r="B2506" s="4">
        <v>17</v>
      </c>
      <c r="C2506" s="4" t="s">
        <v>11</v>
      </c>
      <c r="D2506" s="7">
        <v>21.06</v>
      </c>
      <c r="E2506" s="4" t="s">
        <v>26</v>
      </c>
      <c r="F2506" s="4" t="s">
        <v>20</v>
      </c>
      <c r="G2506" s="4" t="s">
        <v>47</v>
      </c>
      <c r="H2506" s="4" t="s">
        <v>44</v>
      </c>
      <c r="I2506" s="5">
        <v>45721</v>
      </c>
      <c r="J2506" s="4">
        <f t="shared" si="39"/>
        <v>24</v>
      </c>
    </row>
    <row r="2507" spans="1:10" x14ac:dyDescent="0.25">
      <c r="A2507" s="4">
        <f>_xlfn.XLOOKUP(E2507,'Data Validation'!$M$3:$M$10,'Data Validation'!$N$3:$N$10)</f>
        <v>6</v>
      </c>
      <c r="B2507" s="4">
        <v>9</v>
      </c>
      <c r="C2507" s="4" t="s">
        <v>11</v>
      </c>
      <c r="D2507" s="7">
        <v>21.06</v>
      </c>
      <c r="E2507" s="4" t="s">
        <v>26</v>
      </c>
      <c r="F2507" s="4" t="s">
        <v>13</v>
      </c>
      <c r="G2507" s="4" t="s">
        <v>48</v>
      </c>
      <c r="H2507" s="4" t="s">
        <v>44</v>
      </c>
      <c r="I2507" s="5">
        <v>45722</v>
      </c>
      <c r="J2507" s="4">
        <f t="shared" si="39"/>
        <v>24</v>
      </c>
    </row>
    <row r="2508" spans="1:10" x14ac:dyDescent="0.25">
      <c r="A2508" s="4">
        <f>_xlfn.XLOOKUP(E2508,'Data Validation'!$M$3:$M$10,'Data Validation'!$N$3:$N$10)</f>
        <v>6</v>
      </c>
      <c r="B2508" s="4">
        <v>9</v>
      </c>
      <c r="C2508" s="4" t="s">
        <v>11</v>
      </c>
      <c r="D2508" s="7">
        <v>21.06</v>
      </c>
      <c r="E2508" s="4" t="s">
        <v>26</v>
      </c>
      <c r="F2508" s="4" t="s">
        <v>13</v>
      </c>
      <c r="G2508" s="4" t="s">
        <v>51</v>
      </c>
      <c r="H2508" s="4" t="s">
        <v>44</v>
      </c>
      <c r="I2508" s="5">
        <v>45725</v>
      </c>
      <c r="J2508" s="4">
        <f t="shared" si="39"/>
        <v>24</v>
      </c>
    </row>
    <row r="2509" spans="1:10" x14ac:dyDescent="0.25">
      <c r="A2509" s="4">
        <f>_xlfn.XLOOKUP(E2509,'Data Validation'!$M$3:$M$10,'Data Validation'!$N$3:$N$10)</f>
        <v>6</v>
      </c>
      <c r="B2509" s="4">
        <v>9</v>
      </c>
      <c r="C2509" s="4" t="s">
        <v>11</v>
      </c>
      <c r="D2509" s="7">
        <v>21.06</v>
      </c>
      <c r="E2509" s="4" t="s">
        <v>26</v>
      </c>
      <c r="F2509" s="4" t="s">
        <v>13</v>
      </c>
      <c r="G2509" s="4" t="s">
        <v>48</v>
      </c>
      <c r="H2509" s="4" t="s">
        <v>44</v>
      </c>
      <c r="I2509" s="5">
        <v>45729</v>
      </c>
      <c r="J2509" s="4">
        <f t="shared" si="39"/>
        <v>24</v>
      </c>
    </row>
    <row r="2510" spans="1:10" x14ac:dyDescent="0.25">
      <c r="A2510" s="4">
        <f>_xlfn.XLOOKUP(E2510,'Data Validation'!$M$3:$M$10,'Data Validation'!$N$3:$N$10)</f>
        <v>6</v>
      </c>
      <c r="B2510" s="4">
        <v>9</v>
      </c>
      <c r="C2510" s="4" t="s">
        <v>11</v>
      </c>
      <c r="D2510" s="7">
        <v>21.06</v>
      </c>
      <c r="E2510" s="4" t="s">
        <v>26</v>
      </c>
      <c r="F2510" s="4" t="s">
        <v>13</v>
      </c>
      <c r="G2510" s="4" t="s">
        <v>49</v>
      </c>
      <c r="H2510" s="4" t="s">
        <v>44</v>
      </c>
      <c r="I2510" s="5">
        <v>45730</v>
      </c>
      <c r="J2510" s="4">
        <f t="shared" si="39"/>
        <v>24</v>
      </c>
    </row>
    <row r="2511" spans="1:10" x14ac:dyDescent="0.25">
      <c r="A2511" s="4">
        <f>_xlfn.XLOOKUP(E2511,'Data Validation'!$M$3:$M$10,'Data Validation'!$N$3:$N$10)</f>
        <v>6</v>
      </c>
      <c r="B2511" s="4">
        <v>16</v>
      </c>
      <c r="C2511" s="4" t="s">
        <v>11</v>
      </c>
      <c r="D2511" s="7">
        <v>21.06</v>
      </c>
      <c r="E2511" s="4" t="s">
        <v>26</v>
      </c>
      <c r="F2511" s="4" t="s">
        <v>17</v>
      </c>
      <c r="G2511" s="4" t="s">
        <v>46</v>
      </c>
      <c r="H2511" s="4" t="s">
        <v>44</v>
      </c>
      <c r="I2511" s="5">
        <v>45734</v>
      </c>
      <c r="J2511" s="4">
        <f t="shared" si="39"/>
        <v>24</v>
      </c>
    </row>
    <row r="2512" spans="1:10" x14ac:dyDescent="0.25">
      <c r="A2512" s="4">
        <f>_xlfn.XLOOKUP(E2512,'Data Validation'!$M$3:$M$10,'Data Validation'!$N$3:$N$10)</f>
        <v>6</v>
      </c>
      <c r="B2512" s="4">
        <v>18</v>
      </c>
      <c r="C2512" s="4" t="s">
        <v>11</v>
      </c>
      <c r="D2512" s="7">
        <v>21.06</v>
      </c>
      <c r="E2512" s="4" t="s">
        <v>26</v>
      </c>
      <c r="F2512" s="4" t="s">
        <v>20</v>
      </c>
      <c r="G2512" s="4" t="s">
        <v>47</v>
      </c>
      <c r="H2512" s="4" t="s">
        <v>44</v>
      </c>
      <c r="I2512" s="5">
        <v>45735</v>
      </c>
      <c r="J2512" s="4">
        <f t="shared" si="39"/>
        <v>24</v>
      </c>
    </row>
    <row r="2513" spans="1:10" x14ac:dyDescent="0.25">
      <c r="A2513" s="4">
        <f>_xlfn.XLOOKUP(E2513,'Data Validation'!$M$3:$M$10,'Data Validation'!$N$3:$N$10)</f>
        <v>6</v>
      </c>
      <c r="B2513" s="4">
        <v>18</v>
      </c>
      <c r="C2513" s="4" t="s">
        <v>11</v>
      </c>
      <c r="D2513" s="7">
        <v>21.06</v>
      </c>
      <c r="E2513" s="4" t="s">
        <v>26</v>
      </c>
      <c r="F2513" s="4" t="s">
        <v>20</v>
      </c>
      <c r="G2513" s="4" t="s">
        <v>47</v>
      </c>
      <c r="H2513" s="4" t="s">
        <v>44</v>
      </c>
      <c r="I2513" s="5">
        <v>45735</v>
      </c>
      <c r="J2513" s="4">
        <f t="shared" si="39"/>
        <v>24</v>
      </c>
    </row>
    <row r="2514" spans="1:10" x14ac:dyDescent="0.25">
      <c r="A2514" s="4">
        <f>_xlfn.XLOOKUP(E2514,'Data Validation'!$M$3:$M$10,'Data Validation'!$N$3:$N$10)</f>
        <v>6</v>
      </c>
      <c r="B2514" s="4">
        <v>14</v>
      </c>
      <c r="C2514" s="4" t="s">
        <v>11</v>
      </c>
      <c r="D2514" s="7">
        <v>21.06</v>
      </c>
      <c r="E2514" s="4" t="s">
        <v>26</v>
      </c>
      <c r="F2514" s="4" t="s">
        <v>17</v>
      </c>
      <c r="G2514" s="4" t="s">
        <v>48</v>
      </c>
      <c r="H2514" s="4" t="s">
        <v>44</v>
      </c>
      <c r="I2514" s="5">
        <v>45736</v>
      </c>
      <c r="J2514" s="4">
        <f t="shared" si="39"/>
        <v>24</v>
      </c>
    </row>
    <row r="2515" spans="1:10" x14ac:dyDescent="0.25">
      <c r="A2515" s="4">
        <f>_xlfn.XLOOKUP(E2515,'Data Validation'!$M$3:$M$10,'Data Validation'!$N$3:$N$10)</f>
        <v>6</v>
      </c>
      <c r="B2515" s="4">
        <v>15</v>
      </c>
      <c r="C2515" s="4" t="s">
        <v>11</v>
      </c>
      <c r="D2515" s="7">
        <v>21.06</v>
      </c>
      <c r="E2515" s="4" t="s">
        <v>26</v>
      </c>
      <c r="F2515" s="4" t="s">
        <v>17</v>
      </c>
      <c r="G2515" s="4" t="s">
        <v>50</v>
      </c>
      <c r="H2515" s="4" t="s">
        <v>44</v>
      </c>
      <c r="I2515" s="5">
        <v>45738</v>
      </c>
      <c r="J2515" s="4">
        <f t="shared" si="39"/>
        <v>24</v>
      </c>
    </row>
    <row r="2516" spans="1:10" x14ac:dyDescent="0.25">
      <c r="A2516" s="4">
        <f>_xlfn.XLOOKUP(E2516,'Data Validation'!$M$3:$M$10,'Data Validation'!$N$3:$N$10)</f>
        <v>7</v>
      </c>
      <c r="B2516" s="4">
        <v>12</v>
      </c>
      <c r="C2516" s="4" t="s">
        <v>11</v>
      </c>
      <c r="D2516" s="7">
        <v>38.700000000000003</v>
      </c>
      <c r="E2516" s="4" t="s">
        <v>16</v>
      </c>
      <c r="F2516" s="4" t="s">
        <v>17</v>
      </c>
      <c r="G2516" s="4" t="s">
        <v>49</v>
      </c>
      <c r="H2516" s="4" t="s">
        <v>44</v>
      </c>
      <c r="I2516" s="5">
        <v>45352</v>
      </c>
      <c r="J2516" s="4">
        <f t="shared" si="39"/>
        <v>25</v>
      </c>
    </row>
    <row r="2517" spans="1:10" x14ac:dyDescent="0.25">
      <c r="A2517" s="4">
        <f>_xlfn.XLOOKUP(E2517,'Data Validation'!$M$3:$M$10,'Data Validation'!$N$3:$N$10)</f>
        <v>7</v>
      </c>
      <c r="B2517" s="4">
        <v>12</v>
      </c>
      <c r="C2517" s="4" t="s">
        <v>11</v>
      </c>
      <c r="D2517" s="7">
        <v>38.700000000000003</v>
      </c>
      <c r="E2517" s="4" t="s">
        <v>16</v>
      </c>
      <c r="F2517" s="4" t="s">
        <v>17</v>
      </c>
      <c r="G2517" s="4" t="s">
        <v>49</v>
      </c>
      <c r="H2517" s="4" t="s">
        <v>44</v>
      </c>
      <c r="I2517" s="5">
        <v>45352</v>
      </c>
      <c r="J2517" s="4">
        <f t="shared" si="39"/>
        <v>25</v>
      </c>
    </row>
    <row r="2518" spans="1:10" x14ac:dyDescent="0.25">
      <c r="A2518" s="4">
        <f>_xlfn.XLOOKUP(E2518,'Data Validation'!$M$3:$M$10,'Data Validation'!$N$3:$N$10)</f>
        <v>7</v>
      </c>
      <c r="B2518" s="4">
        <v>16</v>
      </c>
      <c r="C2518" s="4" t="s">
        <v>11</v>
      </c>
      <c r="D2518" s="7">
        <v>38.700000000000003</v>
      </c>
      <c r="E2518" s="4" t="s">
        <v>16</v>
      </c>
      <c r="F2518" s="4" t="s">
        <v>17</v>
      </c>
      <c r="G2518" s="4" t="s">
        <v>49</v>
      </c>
      <c r="H2518" s="4" t="s">
        <v>44</v>
      </c>
      <c r="I2518" s="5">
        <v>45352</v>
      </c>
      <c r="J2518" s="4">
        <f t="shared" si="39"/>
        <v>25</v>
      </c>
    </row>
    <row r="2519" spans="1:10" x14ac:dyDescent="0.25">
      <c r="A2519" s="4">
        <f>_xlfn.XLOOKUP(E2519,'Data Validation'!$M$3:$M$10,'Data Validation'!$N$3:$N$10)</f>
        <v>7</v>
      </c>
      <c r="B2519" s="4">
        <v>13</v>
      </c>
      <c r="C2519" s="4" t="s">
        <v>11</v>
      </c>
      <c r="D2519" s="7">
        <v>38.700000000000003</v>
      </c>
      <c r="E2519" s="4" t="s">
        <v>16</v>
      </c>
      <c r="F2519" s="4" t="s">
        <v>17</v>
      </c>
      <c r="G2519" s="4" t="s">
        <v>51</v>
      </c>
      <c r="H2519" s="4" t="s">
        <v>44</v>
      </c>
      <c r="I2519" s="5">
        <v>45354</v>
      </c>
      <c r="J2519" s="4">
        <f t="shared" si="39"/>
        <v>25</v>
      </c>
    </row>
    <row r="2520" spans="1:10" x14ac:dyDescent="0.25">
      <c r="A2520" s="4">
        <f>_xlfn.XLOOKUP(E2520,'Data Validation'!$M$3:$M$10,'Data Validation'!$N$3:$N$10)</f>
        <v>7</v>
      </c>
      <c r="B2520" s="4">
        <v>18</v>
      </c>
      <c r="C2520" s="4" t="s">
        <v>11</v>
      </c>
      <c r="D2520" s="7">
        <v>38.700000000000003</v>
      </c>
      <c r="E2520" s="4" t="s">
        <v>16</v>
      </c>
      <c r="F2520" s="4" t="s">
        <v>20</v>
      </c>
      <c r="G2520" s="4" t="s">
        <v>51</v>
      </c>
      <c r="H2520" s="4" t="s">
        <v>44</v>
      </c>
      <c r="I2520" s="5">
        <v>45354</v>
      </c>
      <c r="J2520" s="4">
        <f t="shared" si="39"/>
        <v>25</v>
      </c>
    </row>
    <row r="2521" spans="1:10" x14ac:dyDescent="0.25">
      <c r="A2521" s="4">
        <f>_xlfn.XLOOKUP(E2521,'Data Validation'!$M$3:$M$10,'Data Validation'!$N$3:$N$10)</f>
        <v>7</v>
      </c>
      <c r="B2521" s="4">
        <v>17</v>
      </c>
      <c r="C2521" s="4" t="s">
        <v>11</v>
      </c>
      <c r="D2521" s="7">
        <v>38.700000000000003</v>
      </c>
      <c r="E2521" s="4" t="s">
        <v>16</v>
      </c>
      <c r="F2521" s="4" t="s">
        <v>20</v>
      </c>
      <c r="G2521" s="4" t="s">
        <v>46</v>
      </c>
      <c r="H2521" s="4" t="s">
        <v>44</v>
      </c>
      <c r="I2521" s="5">
        <v>45356</v>
      </c>
      <c r="J2521" s="4">
        <f t="shared" si="39"/>
        <v>25</v>
      </c>
    </row>
    <row r="2522" spans="1:10" x14ac:dyDescent="0.25">
      <c r="A2522" s="4">
        <f>_xlfn.XLOOKUP(E2522,'Data Validation'!$M$3:$M$10,'Data Validation'!$N$3:$N$10)</f>
        <v>7</v>
      </c>
      <c r="B2522" s="4">
        <v>17</v>
      </c>
      <c r="C2522" s="4" t="s">
        <v>11</v>
      </c>
      <c r="D2522" s="7">
        <v>38.700000000000003</v>
      </c>
      <c r="E2522" s="4" t="s">
        <v>16</v>
      </c>
      <c r="F2522" s="4" t="s">
        <v>20</v>
      </c>
      <c r="G2522" s="4" t="s">
        <v>46</v>
      </c>
      <c r="H2522" s="4" t="s">
        <v>44</v>
      </c>
      <c r="I2522" s="5">
        <v>45356</v>
      </c>
      <c r="J2522" s="4">
        <f t="shared" si="39"/>
        <v>25</v>
      </c>
    </row>
    <row r="2523" spans="1:10" x14ac:dyDescent="0.25">
      <c r="A2523" s="4">
        <f>_xlfn.XLOOKUP(E2523,'Data Validation'!$M$3:$M$10,'Data Validation'!$N$3:$N$10)</f>
        <v>7</v>
      </c>
      <c r="B2523" s="4">
        <v>17</v>
      </c>
      <c r="C2523" s="4" t="s">
        <v>11</v>
      </c>
      <c r="D2523" s="7">
        <v>38.700000000000003</v>
      </c>
      <c r="E2523" s="4" t="s">
        <v>16</v>
      </c>
      <c r="F2523" s="4" t="s">
        <v>20</v>
      </c>
      <c r="G2523" s="4" t="s">
        <v>46</v>
      </c>
      <c r="H2523" s="4" t="s">
        <v>44</v>
      </c>
      <c r="I2523" s="5">
        <v>45356</v>
      </c>
      <c r="J2523" s="4">
        <f t="shared" si="39"/>
        <v>25</v>
      </c>
    </row>
    <row r="2524" spans="1:10" x14ac:dyDescent="0.25">
      <c r="A2524" s="4">
        <f>_xlfn.XLOOKUP(E2524,'Data Validation'!$M$3:$M$10,'Data Validation'!$N$3:$N$10)</f>
        <v>7</v>
      </c>
      <c r="B2524" s="4">
        <v>18</v>
      </c>
      <c r="C2524" s="4" t="s">
        <v>11</v>
      </c>
      <c r="D2524" s="7">
        <v>38.700000000000003</v>
      </c>
      <c r="E2524" s="4" t="s">
        <v>16</v>
      </c>
      <c r="F2524" s="4" t="s">
        <v>20</v>
      </c>
      <c r="G2524" s="4" t="s">
        <v>46</v>
      </c>
      <c r="H2524" s="4" t="s">
        <v>44</v>
      </c>
      <c r="I2524" s="5">
        <v>45356</v>
      </c>
      <c r="J2524" s="4">
        <f t="shared" si="39"/>
        <v>25</v>
      </c>
    </row>
    <row r="2525" spans="1:10" x14ac:dyDescent="0.25">
      <c r="A2525" s="4">
        <f>_xlfn.XLOOKUP(E2525,'Data Validation'!$M$3:$M$10,'Data Validation'!$N$3:$N$10)</f>
        <v>7</v>
      </c>
      <c r="B2525" s="4">
        <v>10</v>
      </c>
      <c r="C2525" s="4" t="s">
        <v>11</v>
      </c>
      <c r="D2525" s="7">
        <v>38.700000000000003</v>
      </c>
      <c r="E2525" s="4" t="s">
        <v>16</v>
      </c>
      <c r="F2525" s="4" t="s">
        <v>13</v>
      </c>
      <c r="G2525" s="4" t="s">
        <v>48</v>
      </c>
      <c r="H2525" s="4" t="s">
        <v>44</v>
      </c>
      <c r="I2525" s="5">
        <v>45358</v>
      </c>
      <c r="J2525" s="4">
        <f t="shared" si="39"/>
        <v>25</v>
      </c>
    </row>
    <row r="2526" spans="1:10" x14ac:dyDescent="0.25">
      <c r="A2526" s="4">
        <f>_xlfn.XLOOKUP(E2526,'Data Validation'!$M$3:$M$10,'Data Validation'!$N$3:$N$10)</f>
        <v>7</v>
      </c>
      <c r="B2526" s="4">
        <v>14</v>
      </c>
      <c r="C2526" s="4" t="s">
        <v>11</v>
      </c>
      <c r="D2526" s="7">
        <v>38.700000000000003</v>
      </c>
      <c r="E2526" s="4" t="s">
        <v>16</v>
      </c>
      <c r="F2526" s="4" t="s">
        <v>17</v>
      </c>
      <c r="G2526" s="4" t="s">
        <v>50</v>
      </c>
      <c r="H2526" s="4" t="s">
        <v>44</v>
      </c>
      <c r="I2526" s="5">
        <v>45360</v>
      </c>
      <c r="J2526" s="4">
        <f t="shared" si="39"/>
        <v>25</v>
      </c>
    </row>
    <row r="2527" spans="1:10" x14ac:dyDescent="0.25">
      <c r="A2527" s="4">
        <f>_xlfn.XLOOKUP(E2527,'Data Validation'!$M$3:$M$10,'Data Validation'!$N$3:$N$10)</f>
        <v>7</v>
      </c>
      <c r="B2527" s="4">
        <v>19</v>
      </c>
      <c r="C2527" s="4" t="s">
        <v>11</v>
      </c>
      <c r="D2527" s="7">
        <v>38.700000000000003</v>
      </c>
      <c r="E2527" s="4" t="s">
        <v>16</v>
      </c>
      <c r="F2527" s="4" t="s">
        <v>20</v>
      </c>
      <c r="G2527" s="4" t="s">
        <v>50</v>
      </c>
      <c r="H2527" s="4" t="s">
        <v>44</v>
      </c>
      <c r="I2527" s="5">
        <v>45360</v>
      </c>
      <c r="J2527" s="4">
        <f t="shared" si="39"/>
        <v>25</v>
      </c>
    </row>
    <row r="2528" spans="1:10" x14ac:dyDescent="0.25">
      <c r="A2528" s="4">
        <f>_xlfn.XLOOKUP(E2528,'Data Validation'!$M$3:$M$10,'Data Validation'!$N$3:$N$10)</f>
        <v>7</v>
      </c>
      <c r="B2528" s="4">
        <v>11</v>
      </c>
      <c r="C2528" s="4" t="s">
        <v>11</v>
      </c>
      <c r="D2528" s="7">
        <v>38.700000000000003</v>
      </c>
      <c r="E2528" s="4" t="s">
        <v>16</v>
      </c>
      <c r="F2528" s="4" t="s">
        <v>13</v>
      </c>
      <c r="G2528" s="4" t="s">
        <v>46</v>
      </c>
      <c r="H2528" s="4" t="s">
        <v>44</v>
      </c>
      <c r="I2528" s="5">
        <v>45363</v>
      </c>
      <c r="J2528" s="4">
        <f t="shared" si="39"/>
        <v>25</v>
      </c>
    </row>
    <row r="2529" spans="1:10" x14ac:dyDescent="0.25">
      <c r="A2529" s="4">
        <f>_xlfn.XLOOKUP(E2529,'Data Validation'!$M$3:$M$10,'Data Validation'!$N$3:$N$10)</f>
        <v>7</v>
      </c>
      <c r="B2529" s="4">
        <v>11</v>
      </c>
      <c r="C2529" s="4" t="s">
        <v>11</v>
      </c>
      <c r="D2529" s="7">
        <v>38.700000000000003</v>
      </c>
      <c r="E2529" s="4" t="s">
        <v>16</v>
      </c>
      <c r="F2529" s="4" t="s">
        <v>13</v>
      </c>
      <c r="G2529" s="4" t="s">
        <v>47</v>
      </c>
      <c r="H2529" s="4" t="s">
        <v>44</v>
      </c>
      <c r="I2529" s="5">
        <v>45364</v>
      </c>
      <c r="J2529" s="4">
        <f t="shared" si="39"/>
        <v>25</v>
      </c>
    </row>
    <row r="2530" spans="1:10" x14ac:dyDescent="0.25">
      <c r="A2530" s="4">
        <f>_xlfn.XLOOKUP(E2530,'Data Validation'!$M$3:$M$10,'Data Validation'!$N$3:$N$10)</f>
        <v>7</v>
      </c>
      <c r="B2530" s="4">
        <v>10</v>
      </c>
      <c r="C2530" s="4" t="s">
        <v>11</v>
      </c>
      <c r="D2530" s="7">
        <v>38.700000000000003</v>
      </c>
      <c r="E2530" s="4" t="s">
        <v>16</v>
      </c>
      <c r="F2530" s="4" t="s">
        <v>13</v>
      </c>
      <c r="G2530" s="4" t="s">
        <v>48</v>
      </c>
      <c r="H2530" s="4" t="s">
        <v>44</v>
      </c>
      <c r="I2530" s="5">
        <v>45365</v>
      </c>
      <c r="J2530" s="4">
        <f t="shared" si="39"/>
        <v>25</v>
      </c>
    </row>
    <row r="2531" spans="1:10" x14ac:dyDescent="0.25">
      <c r="A2531" s="4">
        <f>_xlfn.XLOOKUP(E2531,'Data Validation'!$M$3:$M$10,'Data Validation'!$N$3:$N$10)</f>
        <v>7</v>
      </c>
      <c r="B2531" s="4">
        <v>18</v>
      </c>
      <c r="C2531" s="4" t="s">
        <v>11</v>
      </c>
      <c r="D2531" s="7">
        <v>38.700000000000003</v>
      </c>
      <c r="E2531" s="4" t="s">
        <v>16</v>
      </c>
      <c r="F2531" s="4" t="s">
        <v>20</v>
      </c>
      <c r="G2531" s="4" t="s">
        <v>48</v>
      </c>
      <c r="H2531" s="4" t="s">
        <v>44</v>
      </c>
      <c r="I2531" s="5">
        <v>45365</v>
      </c>
      <c r="J2531" s="4">
        <f t="shared" si="39"/>
        <v>25</v>
      </c>
    </row>
    <row r="2532" spans="1:10" x14ac:dyDescent="0.25">
      <c r="A2532" s="4">
        <f>_xlfn.XLOOKUP(E2532,'Data Validation'!$M$3:$M$10,'Data Validation'!$N$3:$N$10)</f>
        <v>7</v>
      </c>
      <c r="B2532" s="4">
        <v>10</v>
      </c>
      <c r="C2532" s="4" t="s">
        <v>11</v>
      </c>
      <c r="D2532" s="7">
        <v>38.700000000000003</v>
      </c>
      <c r="E2532" s="4" t="s">
        <v>16</v>
      </c>
      <c r="F2532" s="4" t="s">
        <v>13</v>
      </c>
      <c r="G2532" s="4" t="s">
        <v>49</v>
      </c>
      <c r="H2532" s="4" t="s">
        <v>44</v>
      </c>
      <c r="I2532" s="5">
        <v>45366</v>
      </c>
      <c r="J2532" s="4">
        <f t="shared" si="39"/>
        <v>25</v>
      </c>
    </row>
    <row r="2533" spans="1:10" x14ac:dyDescent="0.25">
      <c r="A2533" s="4">
        <f>_xlfn.XLOOKUP(E2533,'Data Validation'!$M$3:$M$10,'Data Validation'!$N$3:$N$10)</f>
        <v>7</v>
      </c>
      <c r="B2533" s="4">
        <v>15</v>
      </c>
      <c r="C2533" s="4" t="s">
        <v>11</v>
      </c>
      <c r="D2533" s="7">
        <v>38.700000000000003</v>
      </c>
      <c r="E2533" s="4" t="s">
        <v>16</v>
      </c>
      <c r="F2533" s="4" t="s">
        <v>17</v>
      </c>
      <c r="G2533" s="4" t="s">
        <v>46</v>
      </c>
      <c r="H2533" s="4" t="s">
        <v>44</v>
      </c>
      <c r="I2533" s="5">
        <v>45370</v>
      </c>
      <c r="J2533" s="4">
        <f t="shared" si="39"/>
        <v>25</v>
      </c>
    </row>
    <row r="2534" spans="1:10" x14ac:dyDescent="0.25">
      <c r="A2534" s="4">
        <f>_xlfn.XLOOKUP(E2534,'Data Validation'!$M$3:$M$10,'Data Validation'!$N$3:$N$10)</f>
        <v>7</v>
      </c>
      <c r="B2534" s="4">
        <v>18</v>
      </c>
      <c r="C2534" s="4" t="s">
        <v>11</v>
      </c>
      <c r="D2534" s="7">
        <v>38.700000000000003</v>
      </c>
      <c r="E2534" s="4" t="s">
        <v>16</v>
      </c>
      <c r="F2534" s="4" t="s">
        <v>20</v>
      </c>
      <c r="G2534" s="4" t="s">
        <v>46</v>
      </c>
      <c r="H2534" s="4" t="s">
        <v>44</v>
      </c>
      <c r="I2534" s="5">
        <v>45377</v>
      </c>
      <c r="J2534" s="4">
        <f t="shared" si="39"/>
        <v>25</v>
      </c>
    </row>
    <row r="2535" spans="1:10" x14ac:dyDescent="0.25">
      <c r="A2535" s="4">
        <f>_xlfn.XLOOKUP(E2535,'Data Validation'!$M$3:$M$10,'Data Validation'!$N$3:$N$10)</f>
        <v>7</v>
      </c>
      <c r="B2535" s="4">
        <v>13</v>
      </c>
      <c r="C2535" s="4" t="s">
        <v>11</v>
      </c>
      <c r="D2535" s="7">
        <v>38.700000000000003</v>
      </c>
      <c r="E2535" s="4" t="s">
        <v>16</v>
      </c>
      <c r="F2535" s="4" t="s">
        <v>17</v>
      </c>
      <c r="G2535" s="4" t="s">
        <v>47</v>
      </c>
      <c r="H2535" s="4" t="s">
        <v>44</v>
      </c>
      <c r="I2535" s="5">
        <v>45378</v>
      </c>
      <c r="J2535" s="4">
        <f t="shared" si="39"/>
        <v>25</v>
      </c>
    </row>
    <row r="2536" spans="1:10" x14ac:dyDescent="0.25">
      <c r="A2536" s="4">
        <f>_xlfn.XLOOKUP(E2536,'Data Validation'!$M$3:$M$10,'Data Validation'!$N$3:$N$10)</f>
        <v>7</v>
      </c>
      <c r="B2536" s="4">
        <v>18</v>
      </c>
      <c r="C2536" s="4" t="s">
        <v>11</v>
      </c>
      <c r="D2536" s="7">
        <v>38.700000000000003</v>
      </c>
      <c r="E2536" s="4" t="s">
        <v>16</v>
      </c>
      <c r="F2536" s="4" t="s">
        <v>20</v>
      </c>
      <c r="G2536" s="4" t="s">
        <v>45</v>
      </c>
      <c r="H2536" s="4" t="s">
        <v>52</v>
      </c>
      <c r="I2536" s="5">
        <v>45383</v>
      </c>
      <c r="J2536" s="4">
        <f t="shared" si="39"/>
        <v>25</v>
      </c>
    </row>
    <row r="2537" spans="1:10" x14ac:dyDescent="0.25">
      <c r="A2537" s="4">
        <f>_xlfn.XLOOKUP(E2537,'Data Validation'!$M$3:$M$10,'Data Validation'!$N$3:$N$10)</f>
        <v>7</v>
      </c>
      <c r="B2537" s="4">
        <v>18</v>
      </c>
      <c r="C2537" s="4" t="s">
        <v>11</v>
      </c>
      <c r="D2537" s="7">
        <v>38.700000000000003</v>
      </c>
      <c r="E2537" s="4" t="s">
        <v>16</v>
      </c>
      <c r="F2537" s="4" t="s">
        <v>20</v>
      </c>
      <c r="G2537" s="4" t="s">
        <v>51</v>
      </c>
      <c r="H2537" s="4" t="s">
        <v>52</v>
      </c>
      <c r="I2537" s="5">
        <v>45389</v>
      </c>
      <c r="J2537" s="4">
        <f t="shared" si="39"/>
        <v>25</v>
      </c>
    </row>
    <row r="2538" spans="1:10" x14ac:dyDescent="0.25">
      <c r="A2538" s="4">
        <f>_xlfn.XLOOKUP(E2538,'Data Validation'!$M$3:$M$10,'Data Validation'!$N$3:$N$10)</f>
        <v>7</v>
      </c>
      <c r="B2538" s="4">
        <v>15</v>
      </c>
      <c r="C2538" s="4" t="s">
        <v>11</v>
      </c>
      <c r="D2538" s="7">
        <v>38.700000000000003</v>
      </c>
      <c r="E2538" s="4" t="s">
        <v>16</v>
      </c>
      <c r="F2538" s="4" t="s">
        <v>17</v>
      </c>
      <c r="G2538" s="4" t="s">
        <v>46</v>
      </c>
      <c r="H2538" s="4" t="s">
        <v>52</v>
      </c>
      <c r="I2538" s="5">
        <v>45391</v>
      </c>
      <c r="J2538" s="4">
        <f t="shared" si="39"/>
        <v>25</v>
      </c>
    </row>
    <row r="2539" spans="1:10" x14ac:dyDescent="0.25">
      <c r="A2539" s="4">
        <f>_xlfn.XLOOKUP(E2539,'Data Validation'!$M$3:$M$10,'Data Validation'!$N$3:$N$10)</f>
        <v>7</v>
      </c>
      <c r="B2539" s="4">
        <v>17</v>
      </c>
      <c r="C2539" s="4" t="s">
        <v>11</v>
      </c>
      <c r="D2539" s="7">
        <v>38.700000000000003</v>
      </c>
      <c r="E2539" s="4" t="s">
        <v>16</v>
      </c>
      <c r="F2539" s="4" t="s">
        <v>20</v>
      </c>
      <c r="G2539" s="4" t="s">
        <v>46</v>
      </c>
      <c r="H2539" s="4" t="s">
        <v>52</v>
      </c>
      <c r="I2539" s="5">
        <v>45391</v>
      </c>
      <c r="J2539" s="4">
        <f t="shared" si="39"/>
        <v>25</v>
      </c>
    </row>
    <row r="2540" spans="1:10" x14ac:dyDescent="0.25">
      <c r="A2540" s="4">
        <f>_xlfn.XLOOKUP(E2540,'Data Validation'!$M$3:$M$10,'Data Validation'!$N$3:$N$10)</f>
        <v>7</v>
      </c>
      <c r="B2540" s="4">
        <v>19</v>
      </c>
      <c r="C2540" s="4" t="s">
        <v>11</v>
      </c>
      <c r="D2540" s="7">
        <v>38.700000000000003</v>
      </c>
      <c r="E2540" s="4" t="s">
        <v>16</v>
      </c>
      <c r="F2540" s="4" t="s">
        <v>20</v>
      </c>
      <c r="G2540" s="4" t="s">
        <v>49</v>
      </c>
      <c r="H2540" s="4" t="s">
        <v>52</v>
      </c>
      <c r="I2540" s="5">
        <v>45394</v>
      </c>
      <c r="J2540" s="4">
        <f t="shared" si="39"/>
        <v>25</v>
      </c>
    </row>
    <row r="2541" spans="1:10" x14ac:dyDescent="0.25">
      <c r="A2541" s="4">
        <f>_xlfn.XLOOKUP(E2541,'Data Validation'!$M$3:$M$10,'Data Validation'!$N$3:$N$10)</f>
        <v>7</v>
      </c>
      <c r="B2541" s="4">
        <v>19</v>
      </c>
      <c r="C2541" s="4" t="s">
        <v>11</v>
      </c>
      <c r="D2541" s="7">
        <v>38.700000000000003</v>
      </c>
      <c r="E2541" s="4" t="s">
        <v>16</v>
      </c>
      <c r="F2541" s="4" t="s">
        <v>20</v>
      </c>
      <c r="G2541" s="4" t="s">
        <v>48</v>
      </c>
      <c r="H2541" s="4" t="s">
        <v>52</v>
      </c>
      <c r="I2541" s="5">
        <v>45400</v>
      </c>
      <c r="J2541" s="4">
        <f t="shared" si="39"/>
        <v>25</v>
      </c>
    </row>
    <row r="2542" spans="1:10" x14ac:dyDescent="0.25">
      <c r="A2542" s="4">
        <f>_xlfn.XLOOKUP(E2542,'Data Validation'!$M$3:$M$10,'Data Validation'!$N$3:$N$10)</f>
        <v>7</v>
      </c>
      <c r="B2542" s="4">
        <v>19</v>
      </c>
      <c r="C2542" s="4" t="s">
        <v>11</v>
      </c>
      <c r="D2542" s="7">
        <v>38.700000000000003</v>
      </c>
      <c r="E2542" s="4" t="s">
        <v>16</v>
      </c>
      <c r="F2542" s="4" t="s">
        <v>20</v>
      </c>
      <c r="G2542" s="4" t="s">
        <v>48</v>
      </c>
      <c r="H2542" s="4" t="s">
        <v>52</v>
      </c>
      <c r="I2542" s="5">
        <v>45400</v>
      </c>
      <c r="J2542" s="4">
        <f t="shared" si="39"/>
        <v>25</v>
      </c>
    </row>
    <row r="2543" spans="1:10" x14ac:dyDescent="0.25">
      <c r="A2543" s="4">
        <f>_xlfn.XLOOKUP(E2543,'Data Validation'!$M$3:$M$10,'Data Validation'!$N$3:$N$10)</f>
        <v>7</v>
      </c>
      <c r="B2543" s="4">
        <v>13</v>
      </c>
      <c r="C2543" s="4" t="s">
        <v>11</v>
      </c>
      <c r="D2543" s="7">
        <v>38.700000000000003</v>
      </c>
      <c r="E2543" s="4" t="s">
        <v>16</v>
      </c>
      <c r="F2543" s="4" t="s">
        <v>17</v>
      </c>
      <c r="G2543" s="4" t="s">
        <v>49</v>
      </c>
      <c r="H2543" s="4" t="s">
        <v>52</v>
      </c>
      <c r="I2543" s="5">
        <v>45401</v>
      </c>
      <c r="J2543" s="4">
        <f t="shared" si="39"/>
        <v>25</v>
      </c>
    </row>
    <row r="2544" spans="1:10" x14ac:dyDescent="0.25">
      <c r="A2544" s="4">
        <f>_xlfn.XLOOKUP(E2544,'Data Validation'!$M$3:$M$10,'Data Validation'!$N$3:$N$10)</f>
        <v>7</v>
      </c>
      <c r="B2544" s="4">
        <v>13</v>
      </c>
      <c r="C2544" s="4" t="s">
        <v>11</v>
      </c>
      <c r="D2544" s="7">
        <v>38.700000000000003</v>
      </c>
      <c r="E2544" s="4" t="s">
        <v>16</v>
      </c>
      <c r="F2544" s="4" t="s">
        <v>17</v>
      </c>
      <c r="G2544" s="4" t="s">
        <v>50</v>
      </c>
      <c r="H2544" s="4" t="s">
        <v>52</v>
      </c>
      <c r="I2544" s="5">
        <v>45402</v>
      </c>
      <c r="J2544" s="4">
        <f t="shared" si="39"/>
        <v>25</v>
      </c>
    </row>
    <row r="2545" spans="1:10" x14ac:dyDescent="0.25">
      <c r="A2545" s="4">
        <f>_xlfn.XLOOKUP(E2545,'Data Validation'!$M$3:$M$10,'Data Validation'!$N$3:$N$10)</f>
        <v>7</v>
      </c>
      <c r="B2545" s="4">
        <v>19</v>
      </c>
      <c r="C2545" s="4" t="s">
        <v>11</v>
      </c>
      <c r="D2545" s="7">
        <v>37.72</v>
      </c>
      <c r="E2545" s="4" t="s">
        <v>16</v>
      </c>
      <c r="F2545" s="4" t="s">
        <v>20</v>
      </c>
      <c r="G2545" s="4" t="s">
        <v>49</v>
      </c>
      <c r="H2545" s="4" t="s">
        <v>52</v>
      </c>
      <c r="I2545" s="5">
        <v>45408</v>
      </c>
      <c r="J2545" s="4">
        <f t="shared" si="39"/>
        <v>26</v>
      </c>
    </row>
    <row r="2546" spans="1:10" x14ac:dyDescent="0.25">
      <c r="A2546" s="4">
        <f>_xlfn.XLOOKUP(E2546,'Data Validation'!$M$3:$M$10,'Data Validation'!$N$3:$N$10)</f>
        <v>7</v>
      </c>
      <c r="B2546" s="4">
        <v>22</v>
      </c>
      <c r="C2546" s="4" t="s">
        <v>11</v>
      </c>
      <c r="D2546" s="7">
        <v>37.72</v>
      </c>
      <c r="E2546" s="4" t="s">
        <v>16</v>
      </c>
      <c r="F2546" s="4" t="s">
        <v>20</v>
      </c>
      <c r="G2546" s="4" t="s">
        <v>46</v>
      </c>
      <c r="H2546" s="4" t="s">
        <v>32</v>
      </c>
      <c r="I2546" s="5">
        <v>45426</v>
      </c>
      <c r="J2546" s="4">
        <f t="shared" si="39"/>
        <v>26</v>
      </c>
    </row>
    <row r="2547" spans="1:10" x14ac:dyDescent="0.25">
      <c r="A2547" s="4">
        <f>_xlfn.XLOOKUP(E2547,'Data Validation'!$M$3:$M$10,'Data Validation'!$N$3:$N$10)</f>
        <v>7</v>
      </c>
      <c r="B2547" s="4">
        <v>15</v>
      </c>
      <c r="C2547" s="4" t="s">
        <v>11</v>
      </c>
      <c r="D2547" s="7">
        <v>37.72</v>
      </c>
      <c r="E2547" s="4" t="s">
        <v>16</v>
      </c>
      <c r="F2547" s="4" t="s">
        <v>17</v>
      </c>
      <c r="G2547" s="4" t="s">
        <v>48</v>
      </c>
      <c r="H2547" s="4" t="s">
        <v>32</v>
      </c>
      <c r="I2547" s="5">
        <v>45428</v>
      </c>
      <c r="J2547" s="4">
        <f t="shared" si="39"/>
        <v>26</v>
      </c>
    </row>
    <row r="2548" spans="1:10" x14ac:dyDescent="0.25">
      <c r="A2548" s="4">
        <f>_xlfn.XLOOKUP(E2548,'Data Validation'!$M$3:$M$10,'Data Validation'!$N$3:$N$10)</f>
        <v>7</v>
      </c>
      <c r="B2548" s="4">
        <v>18</v>
      </c>
      <c r="C2548" s="4" t="s">
        <v>11</v>
      </c>
      <c r="D2548" s="7">
        <v>37.72</v>
      </c>
      <c r="E2548" s="4" t="s">
        <v>16</v>
      </c>
      <c r="F2548" s="4" t="s">
        <v>20</v>
      </c>
      <c r="G2548" s="4" t="s">
        <v>48</v>
      </c>
      <c r="H2548" s="4" t="s">
        <v>32</v>
      </c>
      <c r="I2548" s="5">
        <v>45428</v>
      </c>
      <c r="J2548" s="4">
        <f t="shared" si="39"/>
        <v>26</v>
      </c>
    </row>
    <row r="2549" spans="1:10" x14ac:dyDescent="0.25">
      <c r="A2549" s="4">
        <f>_xlfn.XLOOKUP(E2549,'Data Validation'!$M$3:$M$10,'Data Validation'!$N$3:$N$10)</f>
        <v>7</v>
      </c>
      <c r="B2549" s="4">
        <v>18</v>
      </c>
      <c r="C2549" s="4" t="s">
        <v>11</v>
      </c>
      <c r="D2549" s="7">
        <v>37.72</v>
      </c>
      <c r="E2549" s="4" t="s">
        <v>16</v>
      </c>
      <c r="F2549" s="4" t="s">
        <v>20</v>
      </c>
      <c r="G2549" s="4" t="s">
        <v>51</v>
      </c>
      <c r="H2549" s="4" t="s">
        <v>32</v>
      </c>
      <c r="I2549" s="5">
        <v>45431</v>
      </c>
      <c r="J2549" s="4">
        <f t="shared" si="39"/>
        <v>26</v>
      </c>
    </row>
    <row r="2550" spans="1:10" x14ac:dyDescent="0.25">
      <c r="A2550" s="4">
        <f>_xlfn.XLOOKUP(E2550,'Data Validation'!$M$3:$M$10,'Data Validation'!$N$3:$N$10)</f>
        <v>7</v>
      </c>
      <c r="B2550" s="4">
        <v>21</v>
      </c>
      <c r="C2550" s="4" t="s">
        <v>11</v>
      </c>
      <c r="D2550" s="7">
        <v>37.72</v>
      </c>
      <c r="E2550" s="4" t="s">
        <v>16</v>
      </c>
      <c r="F2550" s="4" t="s">
        <v>20</v>
      </c>
      <c r="G2550" s="4" t="s">
        <v>47</v>
      </c>
      <c r="H2550" s="4" t="s">
        <v>32</v>
      </c>
      <c r="I2550" s="5">
        <v>45434</v>
      </c>
      <c r="J2550" s="4">
        <f t="shared" si="39"/>
        <v>26</v>
      </c>
    </row>
    <row r="2551" spans="1:10" x14ac:dyDescent="0.25">
      <c r="A2551" s="4">
        <f>_xlfn.XLOOKUP(E2551,'Data Validation'!$M$3:$M$10,'Data Validation'!$N$3:$N$10)</f>
        <v>7</v>
      </c>
      <c r="B2551" s="4">
        <v>16</v>
      </c>
      <c r="C2551" s="4" t="s">
        <v>11</v>
      </c>
      <c r="D2551" s="7">
        <v>37.72</v>
      </c>
      <c r="E2551" s="4" t="s">
        <v>16</v>
      </c>
      <c r="F2551" s="4" t="s">
        <v>17</v>
      </c>
      <c r="G2551" s="4" t="s">
        <v>49</v>
      </c>
      <c r="H2551" s="4" t="s">
        <v>32</v>
      </c>
      <c r="I2551" s="5">
        <v>45436</v>
      </c>
      <c r="J2551" s="4">
        <f t="shared" si="39"/>
        <v>26</v>
      </c>
    </row>
    <row r="2552" spans="1:10" x14ac:dyDescent="0.25">
      <c r="A2552" s="4">
        <f>_xlfn.XLOOKUP(E2552,'Data Validation'!$M$3:$M$10,'Data Validation'!$N$3:$N$10)</f>
        <v>7</v>
      </c>
      <c r="B2552" s="4">
        <v>18</v>
      </c>
      <c r="C2552" s="4" t="s">
        <v>11</v>
      </c>
      <c r="D2552" s="7">
        <v>37.72</v>
      </c>
      <c r="E2552" s="4" t="s">
        <v>16</v>
      </c>
      <c r="F2552" s="4" t="s">
        <v>20</v>
      </c>
      <c r="G2552" s="4" t="s">
        <v>51</v>
      </c>
      <c r="H2552" s="4" t="s">
        <v>32</v>
      </c>
      <c r="I2552" s="5">
        <v>45438</v>
      </c>
      <c r="J2552" s="4">
        <f t="shared" si="39"/>
        <v>26</v>
      </c>
    </row>
    <row r="2553" spans="1:10" x14ac:dyDescent="0.25">
      <c r="A2553" s="4">
        <f>_xlfn.XLOOKUP(E2553,'Data Validation'!$M$3:$M$10,'Data Validation'!$N$3:$N$10)</f>
        <v>7</v>
      </c>
      <c r="B2553" s="4">
        <v>18</v>
      </c>
      <c r="C2553" s="4" t="s">
        <v>11</v>
      </c>
      <c r="D2553" s="7">
        <v>37.72</v>
      </c>
      <c r="E2553" s="4" t="s">
        <v>16</v>
      </c>
      <c r="F2553" s="4" t="s">
        <v>20</v>
      </c>
      <c r="G2553" s="4" t="s">
        <v>51</v>
      </c>
      <c r="H2553" s="4" t="s">
        <v>32</v>
      </c>
      <c r="I2553" s="5">
        <v>45438</v>
      </c>
      <c r="J2553" s="4">
        <f t="shared" si="39"/>
        <v>26</v>
      </c>
    </row>
    <row r="2554" spans="1:10" x14ac:dyDescent="0.25">
      <c r="A2554" s="4">
        <f>_xlfn.XLOOKUP(E2554,'Data Validation'!$M$3:$M$10,'Data Validation'!$N$3:$N$10)</f>
        <v>7</v>
      </c>
      <c r="B2554" s="4">
        <v>20</v>
      </c>
      <c r="C2554" s="4" t="s">
        <v>11</v>
      </c>
      <c r="D2554" s="7">
        <v>37.72</v>
      </c>
      <c r="E2554" s="4" t="s">
        <v>16</v>
      </c>
      <c r="F2554" s="4" t="s">
        <v>20</v>
      </c>
      <c r="G2554" s="4" t="s">
        <v>51</v>
      </c>
      <c r="H2554" s="4" t="s">
        <v>32</v>
      </c>
      <c r="I2554" s="5">
        <v>45438</v>
      </c>
      <c r="J2554" s="4">
        <f t="shared" si="39"/>
        <v>26</v>
      </c>
    </row>
    <row r="2555" spans="1:10" x14ac:dyDescent="0.25">
      <c r="A2555" s="4">
        <f>_xlfn.XLOOKUP(E2555,'Data Validation'!$M$3:$M$10,'Data Validation'!$N$3:$N$10)</f>
        <v>7</v>
      </c>
      <c r="B2555" s="4">
        <v>11</v>
      </c>
      <c r="C2555" s="4" t="s">
        <v>11</v>
      </c>
      <c r="D2555" s="7">
        <v>37.72</v>
      </c>
      <c r="E2555" s="4" t="s">
        <v>16</v>
      </c>
      <c r="F2555" s="4" t="s">
        <v>13</v>
      </c>
      <c r="G2555" s="4" t="s">
        <v>47</v>
      </c>
      <c r="H2555" s="4" t="s">
        <v>32</v>
      </c>
      <c r="I2555" s="5">
        <v>45441</v>
      </c>
      <c r="J2555" s="4">
        <f t="shared" si="39"/>
        <v>26</v>
      </c>
    </row>
    <row r="2556" spans="1:10" x14ac:dyDescent="0.25">
      <c r="A2556" s="4">
        <f>_xlfn.XLOOKUP(E2556,'Data Validation'!$M$3:$M$10,'Data Validation'!$N$3:$N$10)</f>
        <v>7</v>
      </c>
      <c r="B2556" s="4">
        <v>20</v>
      </c>
      <c r="C2556" s="4" t="s">
        <v>11</v>
      </c>
      <c r="D2556" s="7">
        <v>37.72</v>
      </c>
      <c r="E2556" s="4" t="s">
        <v>16</v>
      </c>
      <c r="F2556" s="4" t="s">
        <v>20</v>
      </c>
      <c r="G2556" s="4" t="s">
        <v>47</v>
      </c>
      <c r="H2556" s="4" t="s">
        <v>32</v>
      </c>
      <c r="I2556" s="5">
        <v>45441</v>
      </c>
      <c r="J2556" s="4">
        <f t="shared" si="39"/>
        <v>26</v>
      </c>
    </row>
    <row r="2557" spans="1:10" x14ac:dyDescent="0.25">
      <c r="A2557" s="4">
        <f>_xlfn.XLOOKUP(E2557,'Data Validation'!$M$3:$M$10,'Data Validation'!$N$3:$N$10)</f>
        <v>7</v>
      </c>
      <c r="B2557" s="4">
        <v>20</v>
      </c>
      <c r="C2557" s="4" t="s">
        <v>11</v>
      </c>
      <c r="D2557" s="7">
        <v>37.72</v>
      </c>
      <c r="E2557" s="4" t="s">
        <v>16</v>
      </c>
      <c r="F2557" s="4" t="s">
        <v>20</v>
      </c>
      <c r="G2557" s="4" t="s">
        <v>48</v>
      </c>
      <c r="H2557" s="4" t="s">
        <v>32</v>
      </c>
      <c r="I2557" s="5">
        <v>45442</v>
      </c>
      <c r="J2557" s="4">
        <f t="shared" si="39"/>
        <v>26</v>
      </c>
    </row>
    <row r="2558" spans="1:10" x14ac:dyDescent="0.25">
      <c r="A2558" s="4">
        <f>_xlfn.XLOOKUP(E2558,'Data Validation'!$M$3:$M$10,'Data Validation'!$N$3:$N$10)</f>
        <v>7</v>
      </c>
      <c r="B2558" s="4">
        <v>10</v>
      </c>
      <c r="C2558" s="4" t="s">
        <v>11</v>
      </c>
      <c r="D2558" s="7">
        <v>37.72</v>
      </c>
      <c r="E2558" s="4" t="s">
        <v>16</v>
      </c>
      <c r="F2558" s="4" t="s">
        <v>13</v>
      </c>
      <c r="G2558" s="4" t="s">
        <v>49</v>
      </c>
      <c r="H2558" s="4" t="s">
        <v>32</v>
      </c>
      <c r="I2558" s="5">
        <v>45443</v>
      </c>
      <c r="J2558" s="4">
        <f t="shared" si="39"/>
        <v>26</v>
      </c>
    </row>
    <row r="2559" spans="1:10" x14ac:dyDescent="0.25">
      <c r="A2559" s="4">
        <f>_xlfn.XLOOKUP(E2559,'Data Validation'!$M$3:$M$10,'Data Validation'!$N$3:$N$10)</f>
        <v>7</v>
      </c>
      <c r="B2559" s="4">
        <v>12</v>
      </c>
      <c r="C2559" s="4" t="s">
        <v>11</v>
      </c>
      <c r="D2559" s="7">
        <v>37.72</v>
      </c>
      <c r="E2559" s="4" t="s">
        <v>16</v>
      </c>
      <c r="F2559" s="4" t="s">
        <v>17</v>
      </c>
      <c r="G2559" s="4" t="s">
        <v>46</v>
      </c>
      <c r="H2559" s="4" t="s">
        <v>53</v>
      </c>
      <c r="I2559" s="5">
        <v>45447</v>
      </c>
      <c r="J2559" s="4">
        <f t="shared" si="39"/>
        <v>26</v>
      </c>
    </row>
    <row r="2560" spans="1:10" x14ac:dyDescent="0.25">
      <c r="A2560" s="4">
        <f>_xlfn.XLOOKUP(E2560,'Data Validation'!$M$3:$M$10,'Data Validation'!$N$3:$N$10)</f>
        <v>7</v>
      </c>
      <c r="B2560" s="4">
        <v>20</v>
      </c>
      <c r="C2560" s="4" t="s">
        <v>11</v>
      </c>
      <c r="D2560" s="7">
        <v>37.72</v>
      </c>
      <c r="E2560" s="4" t="s">
        <v>16</v>
      </c>
      <c r="F2560" s="4" t="s">
        <v>20</v>
      </c>
      <c r="G2560" s="4" t="s">
        <v>46</v>
      </c>
      <c r="H2560" s="4" t="s">
        <v>53</v>
      </c>
      <c r="I2560" s="5">
        <v>45447</v>
      </c>
      <c r="J2560" s="4">
        <f t="shared" si="39"/>
        <v>26</v>
      </c>
    </row>
    <row r="2561" spans="1:10" x14ac:dyDescent="0.25">
      <c r="A2561" s="4">
        <f>_xlfn.XLOOKUP(E2561,'Data Validation'!$M$3:$M$10,'Data Validation'!$N$3:$N$10)</f>
        <v>7</v>
      </c>
      <c r="B2561" s="4">
        <v>19</v>
      </c>
      <c r="C2561" s="4" t="s">
        <v>11</v>
      </c>
      <c r="D2561" s="7">
        <v>37.72</v>
      </c>
      <c r="E2561" s="4" t="s">
        <v>16</v>
      </c>
      <c r="F2561" s="4" t="s">
        <v>20</v>
      </c>
      <c r="G2561" s="4" t="s">
        <v>45</v>
      </c>
      <c r="H2561" s="4" t="s">
        <v>53</v>
      </c>
      <c r="I2561" s="5">
        <v>45453</v>
      </c>
      <c r="J2561" s="4">
        <f t="shared" si="39"/>
        <v>26</v>
      </c>
    </row>
    <row r="2562" spans="1:10" x14ac:dyDescent="0.25">
      <c r="A2562" s="4">
        <f>_xlfn.XLOOKUP(E2562,'Data Validation'!$M$3:$M$10,'Data Validation'!$N$3:$N$10)</f>
        <v>7</v>
      </c>
      <c r="B2562" s="4">
        <v>19</v>
      </c>
      <c r="C2562" s="4" t="s">
        <v>11</v>
      </c>
      <c r="D2562" s="7">
        <v>37.72</v>
      </c>
      <c r="E2562" s="4" t="s">
        <v>16</v>
      </c>
      <c r="F2562" s="4" t="s">
        <v>20</v>
      </c>
      <c r="G2562" s="4" t="s">
        <v>45</v>
      </c>
      <c r="H2562" s="4" t="s">
        <v>53</v>
      </c>
      <c r="I2562" s="5">
        <v>45453</v>
      </c>
      <c r="J2562" s="4">
        <f t="shared" si="39"/>
        <v>26</v>
      </c>
    </row>
    <row r="2563" spans="1:10" x14ac:dyDescent="0.25">
      <c r="A2563" s="4">
        <f>_xlfn.XLOOKUP(E2563,'Data Validation'!$M$3:$M$10,'Data Validation'!$N$3:$N$10)</f>
        <v>7</v>
      </c>
      <c r="B2563" s="4">
        <v>21</v>
      </c>
      <c r="C2563" s="4" t="s">
        <v>11</v>
      </c>
      <c r="D2563" s="7">
        <v>37.72</v>
      </c>
      <c r="E2563" s="4" t="s">
        <v>16</v>
      </c>
      <c r="F2563" s="4" t="s">
        <v>20</v>
      </c>
      <c r="G2563" s="4" t="s">
        <v>46</v>
      </c>
      <c r="H2563" s="4" t="s">
        <v>53</v>
      </c>
      <c r="I2563" s="5">
        <v>45454</v>
      </c>
      <c r="J2563" s="4">
        <f t="shared" ref="J2563:J2626" si="40">IF(OR(E2563&lt;&gt;E2562,D2563&lt;&gt;D2562),J2562+1,J2562)</f>
        <v>26</v>
      </c>
    </row>
    <row r="2564" spans="1:10" x14ac:dyDescent="0.25">
      <c r="A2564" s="4">
        <f>_xlfn.XLOOKUP(E2564,'Data Validation'!$M$3:$M$10,'Data Validation'!$N$3:$N$10)</f>
        <v>7</v>
      </c>
      <c r="B2564" s="4">
        <v>10</v>
      </c>
      <c r="C2564" s="4" t="s">
        <v>11</v>
      </c>
      <c r="D2564" s="7">
        <v>37.72</v>
      </c>
      <c r="E2564" s="4" t="s">
        <v>16</v>
      </c>
      <c r="F2564" s="4" t="s">
        <v>13</v>
      </c>
      <c r="G2564" s="4" t="s">
        <v>47</v>
      </c>
      <c r="H2564" s="4" t="s">
        <v>53</v>
      </c>
      <c r="I2564" s="5">
        <v>45455</v>
      </c>
      <c r="J2564" s="4">
        <f t="shared" si="40"/>
        <v>26</v>
      </c>
    </row>
    <row r="2565" spans="1:10" x14ac:dyDescent="0.25">
      <c r="A2565" s="4">
        <f>_xlfn.XLOOKUP(E2565,'Data Validation'!$M$3:$M$10,'Data Validation'!$N$3:$N$10)</f>
        <v>7</v>
      </c>
      <c r="B2565" s="4">
        <v>20</v>
      </c>
      <c r="C2565" s="4" t="s">
        <v>11</v>
      </c>
      <c r="D2565" s="7">
        <v>37.72</v>
      </c>
      <c r="E2565" s="4" t="s">
        <v>16</v>
      </c>
      <c r="F2565" s="4" t="s">
        <v>20</v>
      </c>
      <c r="G2565" s="4" t="s">
        <v>47</v>
      </c>
      <c r="H2565" s="4" t="s">
        <v>53</v>
      </c>
      <c r="I2565" s="5">
        <v>45455</v>
      </c>
      <c r="J2565" s="4">
        <f t="shared" si="40"/>
        <v>26</v>
      </c>
    </row>
    <row r="2566" spans="1:10" x14ac:dyDescent="0.25">
      <c r="A2566" s="4">
        <f>_xlfn.XLOOKUP(E2566,'Data Validation'!$M$3:$M$10,'Data Validation'!$N$3:$N$10)</f>
        <v>7</v>
      </c>
      <c r="B2566" s="4">
        <v>17</v>
      </c>
      <c r="C2566" s="4" t="s">
        <v>11</v>
      </c>
      <c r="D2566" s="7">
        <v>37.72</v>
      </c>
      <c r="E2566" s="4" t="s">
        <v>16</v>
      </c>
      <c r="F2566" s="4" t="s">
        <v>20</v>
      </c>
      <c r="G2566" s="4" t="s">
        <v>48</v>
      </c>
      <c r="H2566" s="4" t="s">
        <v>53</v>
      </c>
      <c r="I2566" s="5">
        <v>45456</v>
      </c>
      <c r="J2566" s="4">
        <f t="shared" si="40"/>
        <v>26</v>
      </c>
    </row>
    <row r="2567" spans="1:10" x14ac:dyDescent="0.25">
      <c r="A2567" s="4">
        <f>_xlfn.XLOOKUP(E2567,'Data Validation'!$M$3:$M$10,'Data Validation'!$N$3:$N$10)</f>
        <v>7</v>
      </c>
      <c r="B2567" s="4">
        <v>11</v>
      </c>
      <c r="C2567" s="4" t="s">
        <v>11</v>
      </c>
      <c r="D2567" s="7">
        <v>37.72</v>
      </c>
      <c r="E2567" s="4" t="s">
        <v>16</v>
      </c>
      <c r="F2567" s="4" t="s">
        <v>13</v>
      </c>
      <c r="G2567" s="4" t="s">
        <v>51</v>
      </c>
      <c r="H2567" s="4" t="s">
        <v>53</v>
      </c>
      <c r="I2567" s="5">
        <v>45459</v>
      </c>
      <c r="J2567" s="4">
        <f t="shared" si="40"/>
        <v>26</v>
      </c>
    </row>
    <row r="2568" spans="1:10" x14ac:dyDescent="0.25">
      <c r="A2568" s="4">
        <f>_xlfn.XLOOKUP(E2568,'Data Validation'!$M$3:$M$10,'Data Validation'!$N$3:$N$10)</f>
        <v>7</v>
      </c>
      <c r="B2568" s="4">
        <v>11</v>
      </c>
      <c r="C2568" s="4" t="s">
        <v>11</v>
      </c>
      <c r="D2568" s="7">
        <v>37.72</v>
      </c>
      <c r="E2568" s="4" t="s">
        <v>16</v>
      </c>
      <c r="F2568" s="4" t="s">
        <v>13</v>
      </c>
      <c r="G2568" s="4" t="s">
        <v>51</v>
      </c>
      <c r="H2568" s="4" t="s">
        <v>53</v>
      </c>
      <c r="I2568" s="5">
        <v>45459</v>
      </c>
      <c r="J2568" s="4">
        <f t="shared" si="40"/>
        <v>26</v>
      </c>
    </row>
    <row r="2569" spans="1:10" x14ac:dyDescent="0.25">
      <c r="A2569" s="4">
        <f>_xlfn.XLOOKUP(E2569,'Data Validation'!$M$3:$M$10,'Data Validation'!$N$3:$N$10)</f>
        <v>7</v>
      </c>
      <c r="B2569" s="4">
        <v>15</v>
      </c>
      <c r="C2569" s="4" t="s">
        <v>11</v>
      </c>
      <c r="D2569" s="7">
        <v>37.72</v>
      </c>
      <c r="E2569" s="4" t="s">
        <v>16</v>
      </c>
      <c r="F2569" s="4" t="s">
        <v>17</v>
      </c>
      <c r="G2569" s="4" t="s">
        <v>51</v>
      </c>
      <c r="H2569" s="4" t="s">
        <v>53</v>
      </c>
      <c r="I2569" s="5">
        <v>45459</v>
      </c>
      <c r="J2569" s="4">
        <f t="shared" si="40"/>
        <v>26</v>
      </c>
    </row>
    <row r="2570" spans="1:10" x14ac:dyDescent="0.25">
      <c r="A2570" s="4">
        <f>_xlfn.XLOOKUP(E2570,'Data Validation'!$M$3:$M$10,'Data Validation'!$N$3:$N$10)</f>
        <v>7</v>
      </c>
      <c r="B2570" s="4">
        <v>16</v>
      </c>
      <c r="C2570" s="4" t="s">
        <v>11</v>
      </c>
      <c r="D2570" s="7">
        <v>37.72</v>
      </c>
      <c r="E2570" s="4" t="s">
        <v>16</v>
      </c>
      <c r="F2570" s="4" t="s">
        <v>17</v>
      </c>
      <c r="G2570" s="4" t="s">
        <v>51</v>
      </c>
      <c r="H2570" s="4" t="s">
        <v>53</v>
      </c>
      <c r="I2570" s="5">
        <v>45459</v>
      </c>
      <c r="J2570" s="4">
        <f t="shared" si="40"/>
        <v>26</v>
      </c>
    </row>
    <row r="2571" spans="1:10" x14ac:dyDescent="0.25">
      <c r="A2571" s="4">
        <f>_xlfn.XLOOKUP(E2571,'Data Validation'!$M$3:$M$10,'Data Validation'!$N$3:$N$10)</f>
        <v>7</v>
      </c>
      <c r="B2571" s="4">
        <v>17</v>
      </c>
      <c r="C2571" s="4" t="s">
        <v>11</v>
      </c>
      <c r="D2571" s="7">
        <v>37.72</v>
      </c>
      <c r="E2571" s="4" t="s">
        <v>16</v>
      </c>
      <c r="F2571" s="4" t="s">
        <v>20</v>
      </c>
      <c r="G2571" s="4" t="s">
        <v>50</v>
      </c>
      <c r="H2571" s="4" t="s">
        <v>53</v>
      </c>
      <c r="I2571" s="5">
        <v>45472</v>
      </c>
      <c r="J2571" s="4">
        <f t="shared" si="40"/>
        <v>26</v>
      </c>
    </row>
    <row r="2572" spans="1:10" x14ac:dyDescent="0.25">
      <c r="A2572" s="4">
        <f>_xlfn.XLOOKUP(E2572,'Data Validation'!$M$3:$M$10,'Data Validation'!$N$3:$N$10)</f>
        <v>7</v>
      </c>
      <c r="B2572" s="4">
        <v>16</v>
      </c>
      <c r="C2572" s="4" t="s">
        <v>11</v>
      </c>
      <c r="D2572" s="7">
        <v>37.72</v>
      </c>
      <c r="E2572" s="4" t="s">
        <v>16</v>
      </c>
      <c r="F2572" s="4" t="s">
        <v>17</v>
      </c>
      <c r="G2572" s="4" t="s">
        <v>51</v>
      </c>
      <c r="H2572" s="4" t="s">
        <v>53</v>
      </c>
      <c r="I2572" s="5">
        <v>45473</v>
      </c>
      <c r="J2572" s="4">
        <f t="shared" si="40"/>
        <v>26</v>
      </c>
    </row>
    <row r="2573" spans="1:10" x14ac:dyDescent="0.25">
      <c r="A2573" s="4">
        <f>_xlfn.XLOOKUP(E2573,'Data Validation'!$M$3:$M$10,'Data Validation'!$N$3:$N$10)</f>
        <v>7</v>
      </c>
      <c r="B2573" s="4">
        <v>14</v>
      </c>
      <c r="C2573" s="4" t="s">
        <v>11</v>
      </c>
      <c r="D2573" s="7">
        <v>32.82</v>
      </c>
      <c r="E2573" s="4" t="s">
        <v>16</v>
      </c>
      <c r="F2573" s="4" t="s">
        <v>17</v>
      </c>
      <c r="G2573" s="4" t="s">
        <v>51</v>
      </c>
      <c r="H2573" s="4" t="s">
        <v>54</v>
      </c>
      <c r="I2573" s="5">
        <v>45480</v>
      </c>
      <c r="J2573" s="4">
        <f t="shared" si="40"/>
        <v>27</v>
      </c>
    </row>
    <row r="2574" spans="1:10" x14ac:dyDescent="0.25">
      <c r="A2574" s="4">
        <f>_xlfn.XLOOKUP(E2574,'Data Validation'!$M$3:$M$10,'Data Validation'!$N$3:$N$10)</f>
        <v>7</v>
      </c>
      <c r="B2574" s="4">
        <v>20</v>
      </c>
      <c r="C2574" s="4" t="s">
        <v>11</v>
      </c>
      <c r="D2574" s="7">
        <v>32.82</v>
      </c>
      <c r="E2574" s="4" t="s">
        <v>16</v>
      </c>
      <c r="F2574" s="4" t="s">
        <v>20</v>
      </c>
      <c r="G2574" s="4" t="s">
        <v>51</v>
      </c>
      <c r="H2574" s="4" t="s">
        <v>54</v>
      </c>
      <c r="I2574" s="5">
        <v>45480</v>
      </c>
      <c r="J2574" s="4">
        <f t="shared" si="40"/>
        <v>27</v>
      </c>
    </row>
    <row r="2575" spans="1:10" x14ac:dyDescent="0.25">
      <c r="A2575" s="4">
        <f>_xlfn.XLOOKUP(E2575,'Data Validation'!$M$3:$M$10,'Data Validation'!$N$3:$N$10)</f>
        <v>7</v>
      </c>
      <c r="B2575" s="4">
        <v>11</v>
      </c>
      <c r="C2575" s="4" t="s">
        <v>11</v>
      </c>
      <c r="D2575" s="7">
        <v>32.82</v>
      </c>
      <c r="E2575" s="4" t="s">
        <v>16</v>
      </c>
      <c r="F2575" s="4" t="s">
        <v>13</v>
      </c>
      <c r="G2575" s="4" t="s">
        <v>48</v>
      </c>
      <c r="H2575" s="4" t="s">
        <v>54</v>
      </c>
      <c r="I2575" s="5">
        <v>45484</v>
      </c>
      <c r="J2575" s="4">
        <f t="shared" si="40"/>
        <v>27</v>
      </c>
    </row>
    <row r="2576" spans="1:10" x14ac:dyDescent="0.25">
      <c r="A2576" s="4">
        <f>_xlfn.XLOOKUP(E2576,'Data Validation'!$M$3:$M$10,'Data Validation'!$N$3:$N$10)</f>
        <v>7</v>
      </c>
      <c r="B2576" s="4">
        <v>11</v>
      </c>
      <c r="C2576" s="4" t="s">
        <v>11</v>
      </c>
      <c r="D2576" s="7">
        <v>32.82</v>
      </c>
      <c r="E2576" s="4" t="s">
        <v>16</v>
      </c>
      <c r="F2576" s="4" t="s">
        <v>13</v>
      </c>
      <c r="G2576" s="4" t="s">
        <v>49</v>
      </c>
      <c r="H2576" s="4" t="s">
        <v>54</v>
      </c>
      <c r="I2576" s="5">
        <v>45485</v>
      </c>
      <c r="J2576" s="4">
        <f t="shared" si="40"/>
        <v>27</v>
      </c>
    </row>
    <row r="2577" spans="1:10" x14ac:dyDescent="0.25">
      <c r="A2577" s="4">
        <f>_xlfn.XLOOKUP(E2577,'Data Validation'!$M$3:$M$10,'Data Validation'!$N$3:$N$10)</f>
        <v>7</v>
      </c>
      <c r="B2577" s="4">
        <v>22</v>
      </c>
      <c r="C2577" s="4" t="s">
        <v>11</v>
      </c>
      <c r="D2577" s="7">
        <v>32.82</v>
      </c>
      <c r="E2577" s="4" t="s">
        <v>16</v>
      </c>
      <c r="F2577" s="4" t="s">
        <v>20</v>
      </c>
      <c r="G2577" s="4" t="s">
        <v>49</v>
      </c>
      <c r="H2577" s="4" t="s">
        <v>54</v>
      </c>
      <c r="I2577" s="5">
        <v>45485</v>
      </c>
      <c r="J2577" s="4">
        <f t="shared" si="40"/>
        <v>27</v>
      </c>
    </row>
    <row r="2578" spans="1:10" x14ac:dyDescent="0.25">
      <c r="A2578" s="4">
        <f>_xlfn.XLOOKUP(E2578,'Data Validation'!$M$3:$M$10,'Data Validation'!$N$3:$N$10)</f>
        <v>7</v>
      </c>
      <c r="B2578" s="4">
        <v>22</v>
      </c>
      <c r="C2578" s="4" t="s">
        <v>11</v>
      </c>
      <c r="D2578" s="7">
        <v>32.82</v>
      </c>
      <c r="E2578" s="4" t="s">
        <v>16</v>
      </c>
      <c r="F2578" s="4" t="s">
        <v>20</v>
      </c>
      <c r="G2578" s="4" t="s">
        <v>49</v>
      </c>
      <c r="H2578" s="4" t="s">
        <v>54</v>
      </c>
      <c r="I2578" s="5">
        <v>45485</v>
      </c>
      <c r="J2578" s="4">
        <f t="shared" si="40"/>
        <v>27</v>
      </c>
    </row>
    <row r="2579" spans="1:10" x14ac:dyDescent="0.25">
      <c r="A2579" s="4">
        <f>_xlfn.XLOOKUP(E2579,'Data Validation'!$M$3:$M$10,'Data Validation'!$N$3:$N$10)</f>
        <v>7</v>
      </c>
      <c r="B2579" s="4">
        <v>22</v>
      </c>
      <c r="C2579" s="4" t="s">
        <v>11</v>
      </c>
      <c r="D2579" s="7">
        <v>32.82</v>
      </c>
      <c r="E2579" s="4" t="s">
        <v>16</v>
      </c>
      <c r="F2579" s="4" t="s">
        <v>20</v>
      </c>
      <c r="G2579" s="4" t="s">
        <v>49</v>
      </c>
      <c r="H2579" s="4" t="s">
        <v>54</v>
      </c>
      <c r="I2579" s="5">
        <v>45485</v>
      </c>
      <c r="J2579" s="4">
        <f t="shared" si="40"/>
        <v>27</v>
      </c>
    </row>
    <row r="2580" spans="1:10" x14ac:dyDescent="0.25">
      <c r="A2580" s="4">
        <f>_xlfn.XLOOKUP(E2580,'Data Validation'!$M$3:$M$10,'Data Validation'!$N$3:$N$10)</f>
        <v>7</v>
      </c>
      <c r="B2580" s="4">
        <v>19</v>
      </c>
      <c r="C2580" s="4" t="s">
        <v>11</v>
      </c>
      <c r="D2580" s="7">
        <v>32.82</v>
      </c>
      <c r="E2580" s="4" t="s">
        <v>16</v>
      </c>
      <c r="F2580" s="4" t="s">
        <v>20</v>
      </c>
      <c r="G2580" s="4" t="s">
        <v>46</v>
      </c>
      <c r="H2580" s="4" t="s">
        <v>54</v>
      </c>
      <c r="I2580" s="5">
        <v>45489</v>
      </c>
      <c r="J2580" s="4">
        <f t="shared" si="40"/>
        <v>27</v>
      </c>
    </row>
    <row r="2581" spans="1:10" x14ac:dyDescent="0.25">
      <c r="A2581" s="4">
        <f>_xlfn.XLOOKUP(E2581,'Data Validation'!$M$3:$M$10,'Data Validation'!$N$3:$N$10)</f>
        <v>7</v>
      </c>
      <c r="B2581" s="4">
        <v>21</v>
      </c>
      <c r="C2581" s="4" t="s">
        <v>11</v>
      </c>
      <c r="D2581" s="7">
        <v>32.82</v>
      </c>
      <c r="E2581" s="4" t="s">
        <v>16</v>
      </c>
      <c r="F2581" s="4" t="s">
        <v>20</v>
      </c>
      <c r="G2581" s="4" t="s">
        <v>48</v>
      </c>
      <c r="H2581" s="4" t="s">
        <v>54</v>
      </c>
      <c r="I2581" s="5">
        <v>45491</v>
      </c>
      <c r="J2581" s="4">
        <f t="shared" si="40"/>
        <v>27</v>
      </c>
    </row>
    <row r="2582" spans="1:10" x14ac:dyDescent="0.25">
      <c r="A2582" s="4">
        <f>_xlfn.XLOOKUP(E2582,'Data Validation'!$M$3:$M$10,'Data Validation'!$N$3:$N$10)</f>
        <v>7</v>
      </c>
      <c r="B2582" s="4">
        <v>10</v>
      </c>
      <c r="C2582" s="4" t="s">
        <v>11</v>
      </c>
      <c r="D2582" s="7">
        <v>32.82</v>
      </c>
      <c r="E2582" s="4" t="s">
        <v>16</v>
      </c>
      <c r="F2582" s="4" t="s">
        <v>13</v>
      </c>
      <c r="G2582" s="4" t="s">
        <v>45</v>
      </c>
      <c r="H2582" s="4" t="s">
        <v>54</v>
      </c>
      <c r="I2582" s="5">
        <v>45502</v>
      </c>
      <c r="J2582" s="4">
        <f t="shared" si="40"/>
        <v>27</v>
      </c>
    </row>
    <row r="2583" spans="1:10" x14ac:dyDescent="0.25">
      <c r="A2583" s="4">
        <f>_xlfn.XLOOKUP(E2583,'Data Validation'!$M$3:$M$10,'Data Validation'!$N$3:$N$10)</f>
        <v>7</v>
      </c>
      <c r="B2583" s="4">
        <v>10</v>
      </c>
      <c r="C2583" s="4" t="s">
        <v>11</v>
      </c>
      <c r="D2583" s="7">
        <v>32.82</v>
      </c>
      <c r="E2583" s="4" t="s">
        <v>16</v>
      </c>
      <c r="F2583" s="4" t="s">
        <v>13</v>
      </c>
      <c r="G2583" s="4" t="s">
        <v>45</v>
      </c>
      <c r="H2583" s="4" t="s">
        <v>54</v>
      </c>
      <c r="I2583" s="5">
        <v>45502</v>
      </c>
      <c r="J2583" s="4">
        <f t="shared" si="40"/>
        <v>27</v>
      </c>
    </row>
    <row r="2584" spans="1:10" x14ac:dyDescent="0.25">
      <c r="A2584" s="4">
        <f>_xlfn.XLOOKUP(E2584,'Data Validation'!$M$3:$M$10,'Data Validation'!$N$3:$N$10)</f>
        <v>7</v>
      </c>
      <c r="B2584" s="4">
        <v>10</v>
      </c>
      <c r="C2584" s="4" t="s">
        <v>11</v>
      </c>
      <c r="D2584" s="7">
        <v>32.82</v>
      </c>
      <c r="E2584" s="4" t="s">
        <v>16</v>
      </c>
      <c r="F2584" s="4" t="s">
        <v>13</v>
      </c>
      <c r="G2584" s="4" t="s">
        <v>46</v>
      </c>
      <c r="H2584" s="4" t="s">
        <v>55</v>
      </c>
      <c r="I2584" s="5">
        <v>45510</v>
      </c>
      <c r="J2584" s="4">
        <f t="shared" si="40"/>
        <v>27</v>
      </c>
    </row>
    <row r="2585" spans="1:10" x14ac:dyDescent="0.25">
      <c r="A2585" s="4">
        <f>_xlfn.XLOOKUP(E2585,'Data Validation'!$M$3:$M$10,'Data Validation'!$N$3:$N$10)</f>
        <v>7</v>
      </c>
      <c r="B2585" s="4">
        <v>19</v>
      </c>
      <c r="C2585" s="4" t="s">
        <v>11</v>
      </c>
      <c r="D2585" s="7">
        <v>32.82</v>
      </c>
      <c r="E2585" s="4" t="s">
        <v>16</v>
      </c>
      <c r="F2585" s="4" t="s">
        <v>20</v>
      </c>
      <c r="G2585" s="4" t="s">
        <v>49</v>
      </c>
      <c r="H2585" s="4" t="s">
        <v>55</v>
      </c>
      <c r="I2585" s="5">
        <v>45513</v>
      </c>
      <c r="J2585" s="4">
        <f t="shared" si="40"/>
        <v>27</v>
      </c>
    </row>
    <row r="2586" spans="1:10" x14ac:dyDescent="0.25">
      <c r="A2586" s="4">
        <f>_xlfn.XLOOKUP(E2586,'Data Validation'!$M$3:$M$10,'Data Validation'!$N$3:$N$10)</f>
        <v>7</v>
      </c>
      <c r="B2586" s="4">
        <v>8</v>
      </c>
      <c r="C2586" s="4" t="s">
        <v>11</v>
      </c>
      <c r="D2586" s="7">
        <v>32.82</v>
      </c>
      <c r="E2586" s="4" t="s">
        <v>16</v>
      </c>
      <c r="F2586" s="4" t="s">
        <v>13</v>
      </c>
      <c r="G2586" s="4" t="s">
        <v>45</v>
      </c>
      <c r="H2586" s="4" t="s">
        <v>55</v>
      </c>
      <c r="I2586" s="5">
        <v>45516</v>
      </c>
      <c r="J2586" s="4">
        <f t="shared" si="40"/>
        <v>27</v>
      </c>
    </row>
    <row r="2587" spans="1:10" x14ac:dyDescent="0.25">
      <c r="A2587" s="4">
        <f>_xlfn.XLOOKUP(E2587,'Data Validation'!$M$3:$M$10,'Data Validation'!$N$3:$N$10)</f>
        <v>7</v>
      </c>
      <c r="B2587" s="4">
        <v>9</v>
      </c>
      <c r="C2587" s="4" t="s">
        <v>11</v>
      </c>
      <c r="D2587" s="7">
        <v>32.82</v>
      </c>
      <c r="E2587" s="4" t="s">
        <v>16</v>
      </c>
      <c r="F2587" s="4" t="s">
        <v>13</v>
      </c>
      <c r="G2587" s="4" t="s">
        <v>48</v>
      </c>
      <c r="H2587" s="4" t="s">
        <v>55</v>
      </c>
      <c r="I2587" s="5">
        <v>45519</v>
      </c>
      <c r="J2587" s="4">
        <f t="shared" si="40"/>
        <v>27</v>
      </c>
    </row>
    <row r="2588" spans="1:10" x14ac:dyDescent="0.25">
      <c r="A2588" s="4">
        <f>_xlfn.XLOOKUP(E2588,'Data Validation'!$M$3:$M$10,'Data Validation'!$N$3:$N$10)</f>
        <v>7</v>
      </c>
      <c r="B2588" s="4">
        <v>19</v>
      </c>
      <c r="C2588" s="4" t="s">
        <v>11</v>
      </c>
      <c r="D2588" s="7">
        <v>32.82</v>
      </c>
      <c r="E2588" s="4" t="s">
        <v>16</v>
      </c>
      <c r="F2588" s="4" t="s">
        <v>20</v>
      </c>
      <c r="G2588" s="4" t="s">
        <v>48</v>
      </c>
      <c r="H2588" s="4" t="s">
        <v>55</v>
      </c>
      <c r="I2588" s="5">
        <v>45519</v>
      </c>
      <c r="J2588" s="4">
        <f t="shared" si="40"/>
        <v>27</v>
      </c>
    </row>
    <row r="2589" spans="1:10" x14ac:dyDescent="0.25">
      <c r="A2589" s="4">
        <f>_xlfn.XLOOKUP(E2589,'Data Validation'!$M$3:$M$10,'Data Validation'!$N$3:$N$10)</f>
        <v>7</v>
      </c>
      <c r="B2589" s="4">
        <v>11</v>
      </c>
      <c r="C2589" s="4" t="s">
        <v>11</v>
      </c>
      <c r="D2589" s="7">
        <v>32.82</v>
      </c>
      <c r="E2589" s="4" t="s">
        <v>16</v>
      </c>
      <c r="F2589" s="4" t="s">
        <v>13</v>
      </c>
      <c r="G2589" s="4" t="s">
        <v>49</v>
      </c>
      <c r="H2589" s="4" t="s">
        <v>55</v>
      </c>
      <c r="I2589" s="5">
        <v>45527</v>
      </c>
      <c r="J2589" s="4">
        <f t="shared" si="40"/>
        <v>27</v>
      </c>
    </row>
    <row r="2590" spans="1:10" x14ac:dyDescent="0.25">
      <c r="A2590" s="4">
        <f>_xlfn.XLOOKUP(E2590,'Data Validation'!$M$3:$M$10,'Data Validation'!$N$3:$N$10)</f>
        <v>7</v>
      </c>
      <c r="B2590" s="4">
        <v>10</v>
      </c>
      <c r="C2590" s="4" t="s">
        <v>11</v>
      </c>
      <c r="D2590" s="7">
        <v>32.82</v>
      </c>
      <c r="E2590" s="4" t="s">
        <v>16</v>
      </c>
      <c r="F2590" s="4" t="s">
        <v>13</v>
      </c>
      <c r="G2590" s="4" t="s">
        <v>49</v>
      </c>
      <c r="H2590" s="4" t="s">
        <v>56</v>
      </c>
      <c r="I2590" s="5">
        <v>45541</v>
      </c>
      <c r="J2590" s="4">
        <f t="shared" si="40"/>
        <v>27</v>
      </c>
    </row>
    <row r="2591" spans="1:10" x14ac:dyDescent="0.25">
      <c r="A2591" s="4">
        <f>_xlfn.XLOOKUP(E2591,'Data Validation'!$M$3:$M$10,'Data Validation'!$N$3:$N$10)</f>
        <v>7</v>
      </c>
      <c r="B2591" s="4">
        <v>9</v>
      </c>
      <c r="C2591" s="4" t="s">
        <v>11</v>
      </c>
      <c r="D2591" s="7">
        <v>32.82</v>
      </c>
      <c r="E2591" s="4" t="s">
        <v>16</v>
      </c>
      <c r="F2591" s="4" t="s">
        <v>13</v>
      </c>
      <c r="G2591" s="4" t="s">
        <v>45</v>
      </c>
      <c r="H2591" s="4" t="s">
        <v>56</v>
      </c>
      <c r="I2591" s="5">
        <v>45544</v>
      </c>
      <c r="J2591" s="4">
        <f t="shared" si="40"/>
        <v>27</v>
      </c>
    </row>
    <row r="2592" spans="1:10" x14ac:dyDescent="0.25">
      <c r="A2592" s="4">
        <f>_xlfn.XLOOKUP(E2592,'Data Validation'!$M$3:$M$10,'Data Validation'!$N$3:$N$10)</f>
        <v>7</v>
      </c>
      <c r="B2592" s="4">
        <v>8</v>
      </c>
      <c r="C2592" s="4" t="s">
        <v>11</v>
      </c>
      <c r="D2592" s="7">
        <v>32.82</v>
      </c>
      <c r="E2592" s="4" t="s">
        <v>16</v>
      </c>
      <c r="F2592" s="4" t="s">
        <v>13</v>
      </c>
      <c r="G2592" s="4" t="s">
        <v>46</v>
      </c>
      <c r="H2592" s="4" t="s">
        <v>56</v>
      </c>
      <c r="I2592" s="5">
        <v>45545</v>
      </c>
      <c r="J2592" s="4">
        <f t="shared" si="40"/>
        <v>27</v>
      </c>
    </row>
    <row r="2593" spans="1:10" x14ac:dyDescent="0.25">
      <c r="A2593" s="4">
        <f>_xlfn.XLOOKUP(E2593,'Data Validation'!$M$3:$M$10,'Data Validation'!$N$3:$N$10)</f>
        <v>7</v>
      </c>
      <c r="B2593" s="4">
        <v>18</v>
      </c>
      <c r="C2593" s="4" t="s">
        <v>11</v>
      </c>
      <c r="D2593" s="7">
        <v>32.82</v>
      </c>
      <c r="E2593" s="4" t="s">
        <v>16</v>
      </c>
      <c r="F2593" s="4" t="s">
        <v>20</v>
      </c>
      <c r="G2593" s="4" t="s">
        <v>46</v>
      </c>
      <c r="H2593" s="4" t="s">
        <v>56</v>
      </c>
      <c r="I2593" s="5">
        <v>45552</v>
      </c>
      <c r="J2593" s="4">
        <f t="shared" si="40"/>
        <v>27</v>
      </c>
    </row>
    <row r="2594" spans="1:10" x14ac:dyDescent="0.25">
      <c r="A2594" s="4">
        <f>_xlfn.XLOOKUP(E2594,'Data Validation'!$M$3:$M$10,'Data Validation'!$N$3:$N$10)</f>
        <v>7</v>
      </c>
      <c r="B2594" s="4">
        <v>22</v>
      </c>
      <c r="C2594" s="4" t="s">
        <v>11</v>
      </c>
      <c r="D2594" s="7">
        <v>32.82</v>
      </c>
      <c r="E2594" s="4" t="s">
        <v>16</v>
      </c>
      <c r="F2594" s="4" t="s">
        <v>20</v>
      </c>
      <c r="G2594" s="4" t="s">
        <v>46</v>
      </c>
      <c r="H2594" s="4" t="s">
        <v>56</v>
      </c>
      <c r="I2594" s="5">
        <v>45552</v>
      </c>
      <c r="J2594" s="4">
        <f t="shared" si="40"/>
        <v>27</v>
      </c>
    </row>
    <row r="2595" spans="1:10" x14ac:dyDescent="0.25">
      <c r="A2595" s="4">
        <f>_xlfn.XLOOKUP(E2595,'Data Validation'!$M$3:$M$10,'Data Validation'!$N$3:$N$10)</f>
        <v>7</v>
      </c>
      <c r="B2595" s="4">
        <v>22</v>
      </c>
      <c r="C2595" s="4" t="s">
        <v>11</v>
      </c>
      <c r="D2595" s="7">
        <v>32.82</v>
      </c>
      <c r="E2595" s="4" t="s">
        <v>16</v>
      </c>
      <c r="F2595" s="4" t="s">
        <v>20</v>
      </c>
      <c r="G2595" s="4" t="s">
        <v>46</v>
      </c>
      <c r="H2595" s="4" t="s">
        <v>56</v>
      </c>
      <c r="I2595" s="5">
        <v>45552</v>
      </c>
      <c r="J2595" s="4">
        <f t="shared" si="40"/>
        <v>27</v>
      </c>
    </row>
    <row r="2596" spans="1:10" x14ac:dyDescent="0.25">
      <c r="A2596" s="4">
        <f>_xlfn.XLOOKUP(E2596,'Data Validation'!$M$3:$M$10,'Data Validation'!$N$3:$N$10)</f>
        <v>7</v>
      </c>
      <c r="B2596" s="4">
        <v>21</v>
      </c>
      <c r="C2596" s="4" t="s">
        <v>11</v>
      </c>
      <c r="D2596" s="7">
        <v>32.82</v>
      </c>
      <c r="E2596" s="4" t="s">
        <v>16</v>
      </c>
      <c r="F2596" s="4" t="s">
        <v>20</v>
      </c>
      <c r="G2596" s="4" t="s">
        <v>51</v>
      </c>
      <c r="H2596" s="4" t="s">
        <v>56</v>
      </c>
      <c r="I2596" s="5">
        <v>45557</v>
      </c>
      <c r="J2596" s="4">
        <f t="shared" si="40"/>
        <v>27</v>
      </c>
    </row>
    <row r="2597" spans="1:10" x14ac:dyDescent="0.25">
      <c r="A2597" s="4">
        <f>_xlfn.XLOOKUP(E2597,'Data Validation'!$M$3:$M$10,'Data Validation'!$N$3:$N$10)</f>
        <v>7</v>
      </c>
      <c r="B2597" s="4">
        <v>21</v>
      </c>
      <c r="C2597" s="4" t="s">
        <v>11</v>
      </c>
      <c r="D2597" s="7">
        <v>32.82</v>
      </c>
      <c r="E2597" s="4" t="s">
        <v>16</v>
      </c>
      <c r="F2597" s="4" t="s">
        <v>20</v>
      </c>
      <c r="G2597" s="4" t="s">
        <v>51</v>
      </c>
      <c r="H2597" s="4" t="s">
        <v>56</v>
      </c>
      <c r="I2597" s="5">
        <v>45557</v>
      </c>
      <c r="J2597" s="4">
        <f t="shared" si="40"/>
        <v>27</v>
      </c>
    </row>
    <row r="2598" spans="1:10" x14ac:dyDescent="0.25">
      <c r="A2598" s="4">
        <f>_xlfn.XLOOKUP(E2598,'Data Validation'!$M$3:$M$10,'Data Validation'!$N$3:$N$10)</f>
        <v>7</v>
      </c>
      <c r="B2598" s="4">
        <v>20</v>
      </c>
      <c r="C2598" s="4" t="s">
        <v>11</v>
      </c>
      <c r="D2598" s="7">
        <v>32.82</v>
      </c>
      <c r="E2598" s="4" t="s">
        <v>16</v>
      </c>
      <c r="F2598" s="4" t="s">
        <v>20</v>
      </c>
      <c r="G2598" s="4" t="s">
        <v>46</v>
      </c>
      <c r="H2598" s="4" t="s">
        <v>56</v>
      </c>
      <c r="I2598" s="5">
        <v>45559</v>
      </c>
      <c r="J2598" s="4">
        <f t="shared" si="40"/>
        <v>27</v>
      </c>
    </row>
    <row r="2599" spans="1:10" x14ac:dyDescent="0.25">
      <c r="A2599" s="4">
        <f>_xlfn.XLOOKUP(E2599,'Data Validation'!$M$3:$M$10,'Data Validation'!$N$3:$N$10)</f>
        <v>7</v>
      </c>
      <c r="B2599" s="4">
        <v>22</v>
      </c>
      <c r="C2599" s="4" t="s">
        <v>11</v>
      </c>
      <c r="D2599" s="7">
        <v>35.76</v>
      </c>
      <c r="E2599" s="4" t="s">
        <v>16</v>
      </c>
      <c r="F2599" s="4" t="s">
        <v>20</v>
      </c>
      <c r="G2599" s="4" t="s">
        <v>50</v>
      </c>
      <c r="H2599" s="4" t="s">
        <v>56</v>
      </c>
      <c r="I2599" s="5">
        <v>45563</v>
      </c>
      <c r="J2599" s="4">
        <f t="shared" si="40"/>
        <v>28</v>
      </c>
    </row>
    <row r="2600" spans="1:10" x14ac:dyDescent="0.25">
      <c r="A2600" s="4">
        <f>_xlfn.XLOOKUP(E2600,'Data Validation'!$M$3:$M$10,'Data Validation'!$N$3:$N$10)</f>
        <v>7</v>
      </c>
      <c r="B2600" s="4">
        <v>9</v>
      </c>
      <c r="C2600" s="4" t="s">
        <v>11</v>
      </c>
      <c r="D2600" s="7">
        <v>35.76</v>
      </c>
      <c r="E2600" s="4" t="s">
        <v>16</v>
      </c>
      <c r="F2600" s="4" t="s">
        <v>13</v>
      </c>
      <c r="G2600" s="4" t="s">
        <v>45</v>
      </c>
      <c r="H2600" s="4" t="s">
        <v>56</v>
      </c>
      <c r="I2600" s="5">
        <v>45565</v>
      </c>
      <c r="J2600" s="4">
        <f t="shared" si="40"/>
        <v>28</v>
      </c>
    </row>
    <row r="2601" spans="1:10" x14ac:dyDescent="0.25">
      <c r="A2601" s="4">
        <f>_xlfn.XLOOKUP(E2601,'Data Validation'!$M$3:$M$10,'Data Validation'!$N$3:$N$10)</f>
        <v>7</v>
      </c>
      <c r="B2601" s="4">
        <v>16</v>
      </c>
      <c r="C2601" s="4" t="s">
        <v>11</v>
      </c>
      <c r="D2601" s="7">
        <v>35.76</v>
      </c>
      <c r="E2601" s="4" t="s">
        <v>16</v>
      </c>
      <c r="F2601" s="4" t="s">
        <v>17</v>
      </c>
      <c r="G2601" s="4" t="s">
        <v>46</v>
      </c>
      <c r="H2601" s="4" t="s">
        <v>57</v>
      </c>
      <c r="I2601" s="5">
        <v>45566</v>
      </c>
      <c r="J2601" s="4">
        <f t="shared" si="40"/>
        <v>28</v>
      </c>
    </row>
    <row r="2602" spans="1:10" x14ac:dyDescent="0.25">
      <c r="A2602" s="4">
        <f>_xlfn.XLOOKUP(E2602,'Data Validation'!$M$3:$M$10,'Data Validation'!$N$3:$N$10)</f>
        <v>7</v>
      </c>
      <c r="B2602" s="4">
        <v>18</v>
      </c>
      <c r="C2602" s="4" t="s">
        <v>11</v>
      </c>
      <c r="D2602" s="7">
        <v>35.76</v>
      </c>
      <c r="E2602" s="4" t="s">
        <v>16</v>
      </c>
      <c r="F2602" s="4" t="s">
        <v>20</v>
      </c>
      <c r="G2602" s="4" t="s">
        <v>46</v>
      </c>
      <c r="H2602" s="4" t="s">
        <v>57</v>
      </c>
      <c r="I2602" s="5">
        <v>45566</v>
      </c>
      <c r="J2602" s="4">
        <f t="shared" si="40"/>
        <v>28</v>
      </c>
    </row>
    <row r="2603" spans="1:10" x14ac:dyDescent="0.25">
      <c r="A2603" s="4">
        <f>_xlfn.XLOOKUP(E2603,'Data Validation'!$M$3:$M$10,'Data Validation'!$N$3:$N$10)</f>
        <v>7</v>
      </c>
      <c r="B2603" s="4">
        <v>20</v>
      </c>
      <c r="C2603" s="4" t="s">
        <v>11</v>
      </c>
      <c r="D2603" s="7">
        <v>35.76</v>
      </c>
      <c r="E2603" s="4" t="s">
        <v>16</v>
      </c>
      <c r="F2603" s="4" t="s">
        <v>20</v>
      </c>
      <c r="G2603" s="4" t="s">
        <v>46</v>
      </c>
      <c r="H2603" s="4" t="s">
        <v>57</v>
      </c>
      <c r="I2603" s="5">
        <v>45566</v>
      </c>
      <c r="J2603" s="4">
        <f t="shared" si="40"/>
        <v>28</v>
      </c>
    </row>
    <row r="2604" spans="1:10" x14ac:dyDescent="0.25">
      <c r="A2604" s="4">
        <f>_xlfn.XLOOKUP(E2604,'Data Validation'!$M$3:$M$10,'Data Validation'!$N$3:$N$10)</f>
        <v>7</v>
      </c>
      <c r="B2604" s="4">
        <v>18</v>
      </c>
      <c r="C2604" s="4" t="s">
        <v>11</v>
      </c>
      <c r="D2604" s="7">
        <v>35.76</v>
      </c>
      <c r="E2604" s="4" t="s">
        <v>16</v>
      </c>
      <c r="F2604" s="4" t="s">
        <v>20</v>
      </c>
      <c r="G2604" s="4" t="s">
        <v>47</v>
      </c>
      <c r="H2604" s="4" t="s">
        <v>57</v>
      </c>
      <c r="I2604" s="5">
        <v>45567</v>
      </c>
      <c r="J2604" s="4">
        <f t="shared" si="40"/>
        <v>28</v>
      </c>
    </row>
    <row r="2605" spans="1:10" x14ac:dyDescent="0.25">
      <c r="A2605" s="4">
        <f>_xlfn.XLOOKUP(E2605,'Data Validation'!$M$3:$M$10,'Data Validation'!$N$3:$N$10)</f>
        <v>7</v>
      </c>
      <c r="B2605" s="4">
        <v>22</v>
      </c>
      <c r="C2605" s="4" t="s">
        <v>11</v>
      </c>
      <c r="D2605" s="7">
        <v>35.76</v>
      </c>
      <c r="E2605" s="4" t="s">
        <v>16</v>
      </c>
      <c r="F2605" s="4" t="s">
        <v>20</v>
      </c>
      <c r="G2605" s="4" t="s">
        <v>47</v>
      </c>
      <c r="H2605" s="4" t="s">
        <v>57</v>
      </c>
      <c r="I2605" s="5">
        <v>45567</v>
      </c>
      <c r="J2605" s="4">
        <f t="shared" si="40"/>
        <v>28</v>
      </c>
    </row>
    <row r="2606" spans="1:10" x14ac:dyDescent="0.25">
      <c r="A2606" s="4">
        <f>_xlfn.XLOOKUP(E2606,'Data Validation'!$M$3:$M$10,'Data Validation'!$N$3:$N$10)</f>
        <v>7</v>
      </c>
      <c r="B2606" s="4">
        <v>22</v>
      </c>
      <c r="C2606" s="4" t="s">
        <v>11</v>
      </c>
      <c r="D2606" s="7">
        <v>35.76</v>
      </c>
      <c r="E2606" s="4" t="s">
        <v>16</v>
      </c>
      <c r="F2606" s="4" t="s">
        <v>20</v>
      </c>
      <c r="G2606" s="4" t="s">
        <v>47</v>
      </c>
      <c r="H2606" s="4" t="s">
        <v>57</v>
      </c>
      <c r="I2606" s="5">
        <v>45567</v>
      </c>
      <c r="J2606" s="4">
        <f t="shared" si="40"/>
        <v>28</v>
      </c>
    </row>
    <row r="2607" spans="1:10" x14ac:dyDescent="0.25">
      <c r="A2607" s="4">
        <f>_xlfn.XLOOKUP(E2607,'Data Validation'!$M$3:$M$10,'Data Validation'!$N$3:$N$10)</f>
        <v>7</v>
      </c>
      <c r="B2607" s="4">
        <v>22</v>
      </c>
      <c r="C2607" s="4" t="s">
        <v>11</v>
      </c>
      <c r="D2607" s="7">
        <v>35.76</v>
      </c>
      <c r="E2607" s="4" t="s">
        <v>16</v>
      </c>
      <c r="F2607" s="4" t="s">
        <v>20</v>
      </c>
      <c r="G2607" s="4" t="s">
        <v>47</v>
      </c>
      <c r="H2607" s="4" t="s">
        <v>57</v>
      </c>
      <c r="I2607" s="5">
        <v>45567</v>
      </c>
      <c r="J2607" s="4">
        <f t="shared" si="40"/>
        <v>28</v>
      </c>
    </row>
    <row r="2608" spans="1:10" x14ac:dyDescent="0.25">
      <c r="A2608" s="4">
        <f>_xlfn.XLOOKUP(E2608,'Data Validation'!$M$3:$M$10,'Data Validation'!$N$3:$N$10)</f>
        <v>7</v>
      </c>
      <c r="B2608" s="4">
        <v>20</v>
      </c>
      <c r="C2608" s="4" t="s">
        <v>11</v>
      </c>
      <c r="D2608" s="7">
        <v>35.76</v>
      </c>
      <c r="E2608" s="4" t="s">
        <v>16</v>
      </c>
      <c r="F2608" s="4" t="s">
        <v>20</v>
      </c>
      <c r="G2608" s="4" t="s">
        <v>48</v>
      </c>
      <c r="H2608" s="4" t="s">
        <v>57</v>
      </c>
      <c r="I2608" s="5">
        <v>45568</v>
      </c>
      <c r="J2608" s="4">
        <f t="shared" si="40"/>
        <v>28</v>
      </c>
    </row>
    <row r="2609" spans="1:10" x14ac:dyDescent="0.25">
      <c r="A2609" s="4">
        <f>_xlfn.XLOOKUP(E2609,'Data Validation'!$M$3:$M$10,'Data Validation'!$N$3:$N$10)</f>
        <v>7</v>
      </c>
      <c r="B2609" s="4">
        <v>21</v>
      </c>
      <c r="C2609" s="4" t="s">
        <v>11</v>
      </c>
      <c r="D2609" s="7">
        <v>35.76</v>
      </c>
      <c r="E2609" s="4" t="s">
        <v>16</v>
      </c>
      <c r="F2609" s="4" t="s">
        <v>20</v>
      </c>
      <c r="G2609" s="4" t="s">
        <v>48</v>
      </c>
      <c r="H2609" s="4" t="s">
        <v>57</v>
      </c>
      <c r="I2609" s="5">
        <v>45568</v>
      </c>
      <c r="J2609" s="4">
        <f t="shared" si="40"/>
        <v>28</v>
      </c>
    </row>
    <row r="2610" spans="1:10" x14ac:dyDescent="0.25">
      <c r="A2610" s="4">
        <f>_xlfn.XLOOKUP(E2610,'Data Validation'!$M$3:$M$10,'Data Validation'!$N$3:$N$10)</f>
        <v>7</v>
      </c>
      <c r="B2610" s="4">
        <v>21</v>
      </c>
      <c r="C2610" s="4" t="s">
        <v>11</v>
      </c>
      <c r="D2610" s="7">
        <v>35.76</v>
      </c>
      <c r="E2610" s="4" t="s">
        <v>16</v>
      </c>
      <c r="F2610" s="4" t="s">
        <v>20</v>
      </c>
      <c r="G2610" s="4" t="s">
        <v>48</v>
      </c>
      <c r="H2610" s="4" t="s">
        <v>57</v>
      </c>
      <c r="I2610" s="5">
        <v>45568</v>
      </c>
      <c r="J2610" s="4">
        <f t="shared" si="40"/>
        <v>28</v>
      </c>
    </row>
    <row r="2611" spans="1:10" x14ac:dyDescent="0.25">
      <c r="A2611" s="4">
        <f>_xlfn.XLOOKUP(E2611,'Data Validation'!$M$3:$M$10,'Data Validation'!$N$3:$N$10)</f>
        <v>7</v>
      </c>
      <c r="B2611" s="4">
        <v>21</v>
      </c>
      <c r="C2611" s="4" t="s">
        <v>11</v>
      </c>
      <c r="D2611" s="7">
        <v>35.76</v>
      </c>
      <c r="E2611" s="4" t="s">
        <v>16</v>
      </c>
      <c r="F2611" s="4" t="s">
        <v>20</v>
      </c>
      <c r="G2611" s="4" t="s">
        <v>48</v>
      </c>
      <c r="H2611" s="4" t="s">
        <v>57</v>
      </c>
      <c r="I2611" s="5">
        <v>45568</v>
      </c>
      <c r="J2611" s="4">
        <f t="shared" si="40"/>
        <v>28</v>
      </c>
    </row>
    <row r="2612" spans="1:10" x14ac:dyDescent="0.25">
      <c r="A2612" s="4">
        <f>_xlfn.XLOOKUP(E2612,'Data Validation'!$M$3:$M$10,'Data Validation'!$N$3:$N$10)</f>
        <v>7</v>
      </c>
      <c r="B2612" s="4">
        <v>17</v>
      </c>
      <c r="C2612" s="4" t="s">
        <v>11</v>
      </c>
      <c r="D2612" s="7">
        <v>35.76</v>
      </c>
      <c r="E2612" s="4" t="s">
        <v>16</v>
      </c>
      <c r="F2612" s="4" t="s">
        <v>20</v>
      </c>
      <c r="G2612" s="4" t="s">
        <v>49</v>
      </c>
      <c r="H2612" s="4" t="s">
        <v>57</v>
      </c>
      <c r="I2612" s="5">
        <v>45569</v>
      </c>
      <c r="J2612" s="4">
        <f t="shared" si="40"/>
        <v>28</v>
      </c>
    </row>
    <row r="2613" spans="1:10" x14ac:dyDescent="0.25">
      <c r="A2613" s="4">
        <f>_xlfn.XLOOKUP(E2613,'Data Validation'!$M$3:$M$10,'Data Validation'!$N$3:$N$10)</f>
        <v>7</v>
      </c>
      <c r="B2613" s="4">
        <v>18</v>
      </c>
      <c r="C2613" s="4" t="s">
        <v>11</v>
      </c>
      <c r="D2613" s="7">
        <v>35.76</v>
      </c>
      <c r="E2613" s="4" t="s">
        <v>16</v>
      </c>
      <c r="F2613" s="4" t="s">
        <v>20</v>
      </c>
      <c r="G2613" s="4" t="s">
        <v>51</v>
      </c>
      <c r="H2613" s="4" t="s">
        <v>57</v>
      </c>
      <c r="I2613" s="5">
        <v>45571</v>
      </c>
      <c r="J2613" s="4">
        <f t="shared" si="40"/>
        <v>28</v>
      </c>
    </row>
    <row r="2614" spans="1:10" x14ac:dyDescent="0.25">
      <c r="A2614" s="4">
        <f>_xlfn.XLOOKUP(E2614,'Data Validation'!$M$3:$M$10,'Data Validation'!$N$3:$N$10)</f>
        <v>7</v>
      </c>
      <c r="B2614" s="4">
        <v>21</v>
      </c>
      <c r="C2614" s="4" t="s">
        <v>11</v>
      </c>
      <c r="D2614" s="7">
        <v>35.76</v>
      </c>
      <c r="E2614" s="4" t="s">
        <v>16</v>
      </c>
      <c r="F2614" s="4" t="s">
        <v>20</v>
      </c>
      <c r="G2614" s="4" t="s">
        <v>51</v>
      </c>
      <c r="H2614" s="4" t="s">
        <v>57</v>
      </c>
      <c r="I2614" s="5">
        <v>45571</v>
      </c>
      <c r="J2614" s="4">
        <f t="shared" si="40"/>
        <v>28</v>
      </c>
    </row>
    <row r="2615" spans="1:10" x14ac:dyDescent="0.25">
      <c r="A2615" s="4">
        <f>_xlfn.XLOOKUP(E2615,'Data Validation'!$M$3:$M$10,'Data Validation'!$N$3:$N$10)</f>
        <v>7</v>
      </c>
      <c r="B2615" s="4">
        <v>21</v>
      </c>
      <c r="C2615" s="4" t="s">
        <v>11</v>
      </c>
      <c r="D2615" s="7">
        <v>35.76</v>
      </c>
      <c r="E2615" s="4" t="s">
        <v>16</v>
      </c>
      <c r="F2615" s="4" t="s">
        <v>20</v>
      </c>
      <c r="G2615" s="4" t="s">
        <v>51</v>
      </c>
      <c r="H2615" s="4" t="s">
        <v>57</v>
      </c>
      <c r="I2615" s="5">
        <v>45571</v>
      </c>
      <c r="J2615" s="4">
        <f t="shared" si="40"/>
        <v>28</v>
      </c>
    </row>
    <row r="2616" spans="1:10" x14ac:dyDescent="0.25">
      <c r="A2616" s="4">
        <f>_xlfn.XLOOKUP(E2616,'Data Validation'!$M$3:$M$10,'Data Validation'!$N$3:$N$10)</f>
        <v>7</v>
      </c>
      <c r="B2616" s="4">
        <v>21</v>
      </c>
      <c r="C2616" s="4" t="s">
        <v>11</v>
      </c>
      <c r="D2616" s="7">
        <v>35.76</v>
      </c>
      <c r="E2616" s="4" t="s">
        <v>16</v>
      </c>
      <c r="F2616" s="4" t="s">
        <v>20</v>
      </c>
      <c r="G2616" s="4" t="s">
        <v>51</v>
      </c>
      <c r="H2616" s="4" t="s">
        <v>57</v>
      </c>
      <c r="I2616" s="5">
        <v>45571</v>
      </c>
      <c r="J2616" s="4">
        <f t="shared" si="40"/>
        <v>28</v>
      </c>
    </row>
    <row r="2617" spans="1:10" x14ac:dyDescent="0.25">
      <c r="A2617" s="4">
        <f>_xlfn.XLOOKUP(E2617,'Data Validation'!$M$3:$M$10,'Data Validation'!$N$3:$N$10)</f>
        <v>7</v>
      </c>
      <c r="B2617" s="4">
        <v>21</v>
      </c>
      <c r="C2617" s="4" t="s">
        <v>11</v>
      </c>
      <c r="D2617" s="7">
        <v>35.76</v>
      </c>
      <c r="E2617" s="4" t="s">
        <v>16</v>
      </c>
      <c r="F2617" s="4" t="s">
        <v>20</v>
      </c>
      <c r="G2617" s="4" t="s">
        <v>45</v>
      </c>
      <c r="H2617" s="4" t="s">
        <v>57</v>
      </c>
      <c r="I2617" s="5">
        <v>45572</v>
      </c>
      <c r="J2617" s="4">
        <f t="shared" si="40"/>
        <v>28</v>
      </c>
    </row>
    <row r="2618" spans="1:10" x14ac:dyDescent="0.25">
      <c r="A2618" s="4">
        <f>_xlfn.XLOOKUP(E2618,'Data Validation'!$M$3:$M$10,'Data Validation'!$N$3:$N$10)</f>
        <v>7</v>
      </c>
      <c r="B2618" s="4">
        <v>21</v>
      </c>
      <c r="C2618" s="4" t="s">
        <v>11</v>
      </c>
      <c r="D2618" s="7">
        <v>35.76</v>
      </c>
      <c r="E2618" s="4" t="s">
        <v>16</v>
      </c>
      <c r="F2618" s="4" t="s">
        <v>20</v>
      </c>
      <c r="G2618" s="4" t="s">
        <v>45</v>
      </c>
      <c r="H2618" s="4" t="s">
        <v>57</v>
      </c>
      <c r="I2618" s="5">
        <v>45572</v>
      </c>
      <c r="J2618" s="4">
        <f t="shared" si="40"/>
        <v>28</v>
      </c>
    </row>
    <row r="2619" spans="1:10" x14ac:dyDescent="0.25">
      <c r="A2619" s="4">
        <f>_xlfn.XLOOKUP(E2619,'Data Validation'!$M$3:$M$10,'Data Validation'!$N$3:$N$10)</f>
        <v>7</v>
      </c>
      <c r="B2619" s="4">
        <v>20</v>
      </c>
      <c r="C2619" s="4" t="s">
        <v>11</v>
      </c>
      <c r="D2619" s="7">
        <v>35.76</v>
      </c>
      <c r="E2619" s="4" t="s">
        <v>16</v>
      </c>
      <c r="F2619" s="4" t="s">
        <v>20</v>
      </c>
      <c r="G2619" s="4" t="s">
        <v>46</v>
      </c>
      <c r="H2619" s="4" t="s">
        <v>57</v>
      </c>
      <c r="I2619" s="5">
        <v>45573</v>
      </c>
      <c r="J2619" s="4">
        <f t="shared" si="40"/>
        <v>28</v>
      </c>
    </row>
    <row r="2620" spans="1:10" x14ac:dyDescent="0.25">
      <c r="A2620" s="4">
        <f>_xlfn.XLOOKUP(E2620,'Data Validation'!$M$3:$M$10,'Data Validation'!$N$3:$N$10)</f>
        <v>7</v>
      </c>
      <c r="B2620" s="4">
        <v>9</v>
      </c>
      <c r="C2620" s="4" t="s">
        <v>11</v>
      </c>
      <c r="D2620" s="7">
        <v>35.76</v>
      </c>
      <c r="E2620" s="4" t="s">
        <v>16</v>
      </c>
      <c r="F2620" s="4" t="s">
        <v>13</v>
      </c>
      <c r="G2620" s="4" t="s">
        <v>48</v>
      </c>
      <c r="H2620" s="4" t="s">
        <v>57</v>
      </c>
      <c r="I2620" s="5">
        <v>45575</v>
      </c>
      <c r="J2620" s="4">
        <f t="shared" si="40"/>
        <v>28</v>
      </c>
    </row>
    <row r="2621" spans="1:10" x14ac:dyDescent="0.25">
      <c r="A2621" s="4">
        <f>_xlfn.XLOOKUP(E2621,'Data Validation'!$M$3:$M$10,'Data Validation'!$N$3:$N$10)</f>
        <v>7</v>
      </c>
      <c r="B2621" s="4">
        <v>22</v>
      </c>
      <c r="C2621" s="4" t="s">
        <v>11</v>
      </c>
      <c r="D2621" s="7">
        <v>35.76</v>
      </c>
      <c r="E2621" s="4" t="s">
        <v>16</v>
      </c>
      <c r="F2621" s="4" t="s">
        <v>20</v>
      </c>
      <c r="G2621" s="4" t="s">
        <v>48</v>
      </c>
      <c r="H2621" s="4" t="s">
        <v>57</v>
      </c>
      <c r="I2621" s="5">
        <v>45575</v>
      </c>
      <c r="J2621" s="4">
        <f t="shared" si="40"/>
        <v>28</v>
      </c>
    </row>
    <row r="2622" spans="1:10" x14ac:dyDescent="0.25">
      <c r="A2622" s="4">
        <f>_xlfn.XLOOKUP(E2622,'Data Validation'!$M$3:$M$10,'Data Validation'!$N$3:$N$10)</f>
        <v>7</v>
      </c>
      <c r="B2622" s="4">
        <v>22</v>
      </c>
      <c r="C2622" s="4" t="s">
        <v>11</v>
      </c>
      <c r="D2622" s="7">
        <v>35.76</v>
      </c>
      <c r="E2622" s="4" t="s">
        <v>16</v>
      </c>
      <c r="F2622" s="4" t="s">
        <v>20</v>
      </c>
      <c r="G2622" s="4" t="s">
        <v>48</v>
      </c>
      <c r="H2622" s="4" t="s">
        <v>57</v>
      </c>
      <c r="I2622" s="5">
        <v>45575</v>
      </c>
      <c r="J2622" s="4">
        <f t="shared" si="40"/>
        <v>28</v>
      </c>
    </row>
    <row r="2623" spans="1:10" x14ac:dyDescent="0.25">
      <c r="A2623" s="4">
        <f>_xlfn.XLOOKUP(E2623,'Data Validation'!$M$3:$M$10,'Data Validation'!$N$3:$N$10)</f>
        <v>7</v>
      </c>
      <c r="B2623" s="4">
        <v>8</v>
      </c>
      <c r="C2623" s="4" t="s">
        <v>11</v>
      </c>
      <c r="D2623" s="7">
        <v>35.76</v>
      </c>
      <c r="E2623" s="4" t="s">
        <v>16</v>
      </c>
      <c r="F2623" s="4" t="s">
        <v>13</v>
      </c>
      <c r="G2623" s="4" t="s">
        <v>49</v>
      </c>
      <c r="H2623" s="4" t="s">
        <v>57</v>
      </c>
      <c r="I2623" s="5">
        <v>45576</v>
      </c>
      <c r="J2623" s="4">
        <f t="shared" si="40"/>
        <v>28</v>
      </c>
    </row>
    <row r="2624" spans="1:10" x14ac:dyDescent="0.25">
      <c r="A2624" s="4">
        <f>_xlfn.XLOOKUP(E2624,'Data Validation'!$M$3:$M$10,'Data Validation'!$N$3:$N$10)</f>
        <v>7</v>
      </c>
      <c r="B2624" s="4">
        <v>17</v>
      </c>
      <c r="C2624" s="4" t="s">
        <v>11</v>
      </c>
      <c r="D2624" s="7">
        <v>35.76</v>
      </c>
      <c r="E2624" s="4" t="s">
        <v>16</v>
      </c>
      <c r="F2624" s="4" t="s">
        <v>20</v>
      </c>
      <c r="G2624" s="4" t="s">
        <v>49</v>
      </c>
      <c r="H2624" s="4" t="s">
        <v>57</v>
      </c>
      <c r="I2624" s="5">
        <v>45576</v>
      </c>
      <c r="J2624" s="4">
        <f t="shared" si="40"/>
        <v>28</v>
      </c>
    </row>
    <row r="2625" spans="1:10" x14ac:dyDescent="0.25">
      <c r="A2625" s="4">
        <f>_xlfn.XLOOKUP(E2625,'Data Validation'!$M$3:$M$10,'Data Validation'!$N$3:$N$10)</f>
        <v>7</v>
      </c>
      <c r="B2625" s="4">
        <v>17</v>
      </c>
      <c r="C2625" s="4" t="s">
        <v>11</v>
      </c>
      <c r="D2625" s="7">
        <v>35.76</v>
      </c>
      <c r="E2625" s="4" t="s">
        <v>16</v>
      </c>
      <c r="F2625" s="4" t="s">
        <v>20</v>
      </c>
      <c r="G2625" s="4" t="s">
        <v>49</v>
      </c>
      <c r="H2625" s="4" t="s">
        <v>57</v>
      </c>
      <c r="I2625" s="5">
        <v>45576</v>
      </c>
      <c r="J2625" s="4">
        <f t="shared" si="40"/>
        <v>28</v>
      </c>
    </row>
    <row r="2626" spans="1:10" x14ac:dyDescent="0.25">
      <c r="A2626" s="4">
        <f>_xlfn.XLOOKUP(E2626,'Data Validation'!$M$3:$M$10,'Data Validation'!$N$3:$N$10)</f>
        <v>7</v>
      </c>
      <c r="B2626" s="4">
        <v>22</v>
      </c>
      <c r="C2626" s="4" t="s">
        <v>11</v>
      </c>
      <c r="D2626" s="7">
        <v>35.76</v>
      </c>
      <c r="E2626" s="4" t="s">
        <v>16</v>
      </c>
      <c r="F2626" s="4" t="s">
        <v>20</v>
      </c>
      <c r="G2626" s="4" t="s">
        <v>49</v>
      </c>
      <c r="H2626" s="4" t="s">
        <v>57</v>
      </c>
      <c r="I2626" s="5">
        <v>45576</v>
      </c>
      <c r="J2626" s="4">
        <f t="shared" si="40"/>
        <v>28</v>
      </c>
    </row>
    <row r="2627" spans="1:10" x14ac:dyDescent="0.25">
      <c r="A2627" s="4">
        <f>_xlfn.XLOOKUP(E2627,'Data Validation'!$M$3:$M$10,'Data Validation'!$N$3:$N$10)</f>
        <v>7</v>
      </c>
      <c r="B2627" s="4">
        <v>22</v>
      </c>
      <c r="C2627" s="4" t="s">
        <v>11</v>
      </c>
      <c r="D2627" s="7">
        <v>35.76</v>
      </c>
      <c r="E2627" s="4" t="s">
        <v>16</v>
      </c>
      <c r="F2627" s="4" t="s">
        <v>20</v>
      </c>
      <c r="G2627" s="4" t="s">
        <v>49</v>
      </c>
      <c r="H2627" s="4" t="s">
        <v>57</v>
      </c>
      <c r="I2627" s="5">
        <v>45576</v>
      </c>
      <c r="J2627" s="4">
        <f t="shared" ref="J2627:J2690" si="41">IF(OR(E2627&lt;&gt;E2626,D2627&lt;&gt;D2626),J2626+1,J2626)</f>
        <v>28</v>
      </c>
    </row>
    <row r="2628" spans="1:10" x14ac:dyDescent="0.25">
      <c r="A2628" s="4">
        <f>_xlfn.XLOOKUP(E2628,'Data Validation'!$M$3:$M$10,'Data Validation'!$N$3:$N$10)</f>
        <v>7</v>
      </c>
      <c r="B2628" s="4">
        <v>11</v>
      </c>
      <c r="C2628" s="4" t="s">
        <v>11</v>
      </c>
      <c r="D2628" s="7">
        <v>35.76</v>
      </c>
      <c r="E2628" s="4" t="s">
        <v>16</v>
      </c>
      <c r="F2628" s="4" t="s">
        <v>13</v>
      </c>
      <c r="G2628" s="4" t="s">
        <v>46</v>
      </c>
      <c r="H2628" s="4" t="s">
        <v>57</v>
      </c>
      <c r="I2628" s="5">
        <v>45580</v>
      </c>
      <c r="J2628" s="4">
        <f t="shared" si="41"/>
        <v>28</v>
      </c>
    </row>
    <row r="2629" spans="1:10" x14ac:dyDescent="0.25">
      <c r="A2629" s="4">
        <f>_xlfn.XLOOKUP(E2629,'Data Validation'!$M$3:$M$10,'Data Validation'!$N$3:$N$10)</f>
        <v>7</v>
      </c>
      <c r="B2629" s="4">
        <v>11</v>
      </c>
      <c r="C2629" s="4" t="s">
        <v>11</v>
      </c>
      <c r="D2629" s="7">
        <v>35.76</v>
      </c>
      <c r="E2629" s="4" t="s">
        <v>16</v>
      </c>
      <c r="F2629" s="4" t="s">
        <v>13</v>
      </c>
      <c r="G2629" s="4" t="s">
        <v>46</v>
      </c>
      <c r="H2629" s="4" t="s">
        <v>57</v>
      </c>
      <c r="I2629" s="5">
        <v>45580</v>
      </c>
      <c r="J2629" s="4">
        <f t="shared" si="41"/>
        <v>28</v>
      </c>
    </row>
    <row r="2630" spans="1:10" x14ac:dyDescent="0.25">
      <c r="A2630" s="4">
        <f>_xlfn.XLOOKUP(E2630,'Data Validation'!$M$3:$M$10,'Data Validation'!$N$3:$N$10)</f>
        <v>7</v>
      </c>
      <c r="B2630" s="4">
        <v>17</v>
      </c>
      <c r="C2630" s="4" t="s">
        <v>11</v>
      </c>
      <c r="D2630" s="7">
        <v>35.76</v>
      </c>
      <c r="E2630" s="4" t="s">
        <v>16</v>
      </c>
      <c r="F2630" s="4" t="s">
        <v>20</v>
      </c>
      <c r="G2630" s="4" t="s">
        <v>46</v>
      </c>
      <c r="H2630" s="4" t="s">
        <v>57</v>
      </c>
      <c r="I2630" s="5">
        <v>45580</v>
      </c>
      <c r="J2630" s="4">
        <f t="shared" si="41"/>
        <v>28</v>
      </c>
    </row>
    <row r="2631" spans="1:10" x14ac:dyDescent="0.25">
      <c r="A2631" s="4">
        <f>_xlfn.XLOOKUP(E2631,'Data Validation'!$M$3:$M$10,'Data Validation'!$N$3:$N$10)</f>
        <v>7</v>
      </c>
      <c r="B2631" s="4">
        <v>21</v>
      </c>
      <c r="C2631" s="4" t="s">
        <v>11</v>
      </c>
      <c r="D2631" s="7">
        <v>35.76</v>
      </c>
      <c r="E2631" s="4" t="s">
        <v>16</v>
      </c>
      <c r="F2631" s="4" t="s">
        <v>20</v>
      </c>
      <c r="G2631" s="4" t="s">
        <v>46</v>
      </c>
      <c r="H2631" s="4" t="s">
        <v>57</v>
      </c>
      <c r="I2631" s="5">
        <v>45580</v>
      </c>
      <c r="J2631" s="4">
        <f t="shared" si="41"/>
        <v>28</v>
      </c>
    </row>
    <row r="2632" spans="1:10" x14ac:dyDescent="0.25">
      <c r="A2632" s="4">
        <f>_xlfn.XLOOKUP(E2632,'Data Validation'!$M$3:$M$10,'Data Validation'!$N$3:$N$10)</f>
        <v>7</v>
      </c>
      <c r="B2632" s="4">
        <v>21</v>
      </c>
      <c r="C2632" s="4" t="s">
        <v>11</v>
      </c>
      <c r="D2632" s="7">
        <v>35.76</v>
      </c>
      <c r="E2632" s="4" t="s">
        <v>16</v>
      </c>
      <c r="F2632" s="4" t="s">
        <v>20</v>
      </c>
      <c r="G2632" s="4" t="s">
        <v>46</v>
      </c>
      <c r="H2632" s="4" t="s">
        <v>57</v>
      </c>
      <c r="I2632" s="5">
        <v>45580</v>
      </c>
      <c r="J2632" s="4">
        <f t="shared" si="41"/>
        <v>28</v>
      </c>
    </row>
    <row r="2633" spans="1:10" x14ac:dyDescent="0.25">
      <c r="A2633" s="4">
        <f>_xlfn.XLOOKUP(E2633,'Data Validation'!$M$3:$M$10,'Data Validation'!$N$3:$N$10)</f>
        <v>7</v>
      </c>
      <c r="B2633" s="4">
        <v>8</v>
      </c>
      <c r="C2633" s="4" t="s">
        <v>11</v>
      </c>
      <c r="D2633" s="7">
        <v>35.76</v>
      </c>
      <c r="E2633" s="4" t="s">
        <v>16</v>
      </c>
      <c r="F2633" s="4" t="s">
        <v>13</v>
      </c>
      <c r="G2633" s="4" t="s">
        <v>47</v>
      </c>
      <c r="H2633" s="4" t="s">
        <v>57</v>
      </c>
      <c r="I2633" s="5">
        <v>45581</v>
      </c>
      <c r="J2633" s="4">
        <f t="shared" si="41"/>
        <v>28</v>
      </c>
    </row>
    <row r="2634" spans="1:10" x14ac:dyDescent="0.25">
      <c r="A2634" s="4">
        <f>_xlfn.XLOOKUP(E2634,'Data Validation'!$M$3:$M$10,'Data Validation'!$N$3:$N$10)</f>
        <v>7</v>
      </c>
      <c r="B2634" s="4">
        <v>21</v>
      </c>
      <c r="C2634" s="4" t="s">
        <v>11</v>
      </c>
      <c r="D2634" s="7">
        <v>35.76</v>
      </c>
      <c r="E2634" s="4" t="s">
        <v>16</v>
      </c>
      <c r="F2634" s="4" t="s">
        <v>20</v>
      </c>
      <c r="G2634" s="4" t="s">
        <v>47</v>
      </c>
      <c r="H2634" s="4" t="s">
        <v>57</v>
      </c>
      <c r="I2634" s="5">
        <v>45581</v>
      </c>
      <c r="J2634" s="4">
        <f t="shared" si="41"/>
        <v>28</v>
      </c>
    </row>
    <row r="2635" spans="1:10" x14ac:dyDescent="0.25">
      <c r="A2635" s="4">
        <f>_xlfn.XLOOKUP(E2635,'Data Validation'!$M$3:$M$10,'Data Validation'!$N$3:$N$10)</f>
        <v>7</v>
      </c>
      <c r="B2635" s="4">
        <v>10</v>
      </c>
      <c r="C2635" s="4" t="s">
        <v>11</v>
      </c>
      <c r="D2635" s="7">
        <v>35.76</v>
      </c>
      <c r="E2635" s="4" t="s">
        <v>16</v>
      </c>
      <c r="F2635" s="4" t="s">
        <v>13</v>
      </c>
      <c r="G2635" s="4" t="s">
        <v>48</v>
      </c>
      <c r="H2635" s="4" t="s">
        <v>57</v>
      </c>
      <c r="I2635" s="5">
        <v>45582</v>
      </c>
      <c r="J2635" s="4">
        <f t="shared" si="41"/>
        <v>28</v>
      </c>
    </row>
    <row r="2636" spans="1:10" x14ac:dyDescent="0.25">
      <c r="A2636" s="4">
        <f>_xlfn.XLOOKUP(E2636,'Data Validation'!$M$3:$M$10,'Data Validation'!$N$3:$N$10)</f>
        <v>7</v>
      </c>
      <c r="B2636" s="4">
        <v>16</v>
      </c>
      <c r="C2636" s="4" t="s">
        <v>11</v>
      </c>
      <c r="D2636" s="7">
        <v>35.76</v>
      </c>
      <c r="E2636" s="4" t="s">
        <v>16</v>
      </c>
      <c r="F2636" s="4" t="s">
        <v>17</v>
      </c>
      <c r="G2636" s="4" t="s">
        <v>48</v>
      </c>
      <c r="H2636" s="4" t="s">
        <v>57</v>
      </c>
      <c r="I2636" s="5">
        <v>45582</v>
      </c>
      <c r="J2636" s="4">
        <f t="shared" si="41"/>
        <v>28</v>
      </c>
    </row>
    <row r="2637" spans="1:10" x14ac:dyDescent="0.25">
      <c r="A2637" s="4">
        <f>_xlfn.XLOOKUP(E2637,'Data Validation'!$M$3:$M$10,'Data Validation'!$N$3:$N$10)</f>
        <v>7</v>
      </c>
      <c r="B2637" s="4">
        <v>16</v>
      </c>
      <c r="C2637" s="4" t="s">
        <v>11</v>
      </c>
      <c r="D2637" s="7">
        <v>35.76</v>
      </c>
      <c r="E2637" s="4" t="s">
        <v>16</v>
      </c>
      <c r="F2637" s="4" t="s">
        <v>17</v>
      </c>
      <c r="G2637" s="4" t="s">
        <v>48</v>
      </c>
      <c r="H2637" s="4" t="s">
        <v>57</v>
      </c>
      <c r="I2637" s="5">
        <v>45582</v>
      </c>
      <c r="J2637" s="4">
        <f t="shared" si="41"/>
        <v>28</v>
      </c>
    </row>
    <row r="2638" spans="1:10" x14ac:dyDescent="0.25">
      <c r="A2638" s="4">
        <f>_xlfn.XLOOKUP(E2638,'Data Validation'!$M$3:$M$10,'Data Validation'!$N$3:$N$10)</f>
        <v>7</v>
      </c>
      <c r="B2638" s="4">
        <v>16</v>
      </c>
      <c r="C2638" s="4" t="s">
        <v>11</v>
      </c>
      <c r="D2638" s="7">
        <v>35.76</v>
      </c>
      <c r="E2638" s="4" t="s">
        <v>16</v>
      </c>
      <c r="F2638" s="4" t="s">
        <v>17</v>
      </c>
      <c r="G2638" s="4" t="s">
        <v>48</v>
      </c>
      <c r="H2638" s="4" t="s">
        <v>57</v>
      </c>
      <c r="I2638" s="5">
        <v>45582</v>
      </c>
      <c r="J2638" s="4">
        <f t="shared" si="41"/>
        <v>28</v>
      </c>
    </row>
    <row r="2639" spans="1:10" x14ac:dyDescent="0.25">
      <c r="A2639" s="4">
        <f>_xlfn.XLOOKUP(E2639,'Data Validation'!$M$3:$M$10,'Data Validation'!$N$3:$N$10)</f>
        <v>7</v>
      </c>
      <c r="B2639" s="4">
        <v>16</v>
      </c>
      <c r="C2639" s="4" t="s">
        <v>11</v>
      </c>
      <c r="D2639" s="7">
        <v>35.76</v>
      </c>
      <c r="E2639" s="4" t="s">
        <v>16</v>
      </c>
      <c r="F2639" s="4" t="s">
        <v>17</v>
      </c>
      <c r="G2639" s="4" t="s">
        <v>48</v>
      </c>
      <c r="H2639" s="4" t="s">
        <v>57</v>
      </c>
      <c r="I2639" s="5">
        <v>45582</v>
      </c>
      <c r="J2639" s="4">
        <f t="shared" si="41"/>
        <v>28</v>
      </c>
    </row>
    <row r="2640" spans="1:10" x14ac:dyDescent="0.25">
      <c r="A2640" s="4">
        <f>_xlfn.XLOOKUP(E2640,'Data Validation'!$M$3:$M$10,'Data Validation'!$N$3:$N$10)</f>
        <v>7</v>
      </c>
      <c r="B2640" s="4">
        <v>17</v>
      </c>
      <c r="C2640" s="4" t="s">
        <v>11</v>
      </c>
      <c r="D2640" s="7">
        <v>35.76</v>
      </c>
      <c r="E2640" s="4" t="s">
        <v>16</v>
      </c>
      <c r="F2640" s="4" t="s">
        <v>20</v>
      </c>
      <c r="G2640" s="4" t="s">
        <v>48</v>
      </c>
      <c r="H2640" s="4" t="s">
        <v>57</v>
      </c>
      <c r="I2640" s="5">
        <v>45582</v>
      </c>
      <c r="J2640" s="4">
        <f t="shared" si="41"/>
        <v>28</v>
      </c>
    </row>
    <row r="2641" spans="1:10" x14ac:dyDescent="0.25">
      <c r="A2641" s="4">
        <f>_xlfn.XLOOKUP(E2641,'Data Validation'!$M$3:$M$10,'Data Validation'!$N$3:$N$10)</f>
        <v>7</v>
      </c>
      <c r="B2641" s="4">
        <v>21</v>
      </c>
      <c r="C2641" s="4" t="s">
        <v>11</v>
      </c>
      <c r="D2641" s="7">
        <v>35.76</v>
      </c>
      <c r="E2641" s="4" t="s">
        <v>16</v>
      </c>
      <c r="F2641" s="4" t="s">
        <v>20</v>
      </c>
      <c r="G2641" s="4" t="s">
        <v>48</v>
      </c>
      <c r="H2641" s="4" t="s">
        <v>57</v>
      </c>
      <c r="I2641" s="5">
        <v>45582</v>
      </c>
      <c r="J2641" s="4">
        <f t="shared" si="41"/>
        <v>28</v>
      </c>
    </row>
    <row r="2642" spans="1:10" x14ac:dyDescent="0.25">
      <c r="A2642" s="4">
        <f>_xlfn.XLOOKUP(E2642,'Data Validation'!$M$3:$M$10,'Data Validation'!$N$3:$N$10)</f>
        <v>7</v>
      </c>
      <c r="B2642" s="4">
        <v>17</v>
      </c>
      <c r="C2642" s="4" t="s">
        <v>11</v>
      </c>
      <c r="D2642" s="7">
        <v>35.76</v>
      </c>
      <c r="E2642" s="4" t="s">
        <v>16</v>
      </c>
      <c r="F2642" s="4" t="s">
        <v>20</v>
      </c>
      <c r="G2642" s="4" t="s">
        <v>49</v>
      </c>
      <c r="H2642" s="4" t="s">
        <v>57</v>
      </c>
      <c r="I2642" s="5">
        <v>45583</v>
      </c>
      <c r="J2642" s="4">
        <f t="shared" si="41"/>
        <v>28</v>
      </c>
    </row>
    <row r="2643" spans="1:10" x14ac:dyDescent="0.25">
      <c r="A2643" s="4">
        <f>_xlfn.XLOOKUP(E2643,'Data Validation'!$M$3:$M$10,'Data Validation'!$N$3:$N$10)</f>
        <v>7</v>
      </c>
      <c r="B2643" s="4">
        <v>15</v>
      </c>
      <c r="C2643" s="4" t="s">
        <v>11</v>
      </c>
      <c r="D2643" s="7">
        <v>35.76</v>
      </c>
      <c r="E2643" s="4" t="s">
        <v>16</v>
      </c>
      <c r="F2643" s="4" t="s">
        <v>17</v>
      </c>
      <c r="G2643" s="4" t="s">
        <v>50</v>
      </c>
      <c r="H2643" s="4" t="s">
        <v>57</v>
      </c>
      <c r="I2643" s="5">
        <v>45584</v>
      </c>
      <c r="J2643" s="4">
        <f t="shared" si="41"/>
        <v>28</v>
      </c>
    </row>
    <row r="2644" spans="1:10" x14ac:dyDescent="0.25">
      <c r="A2644" s="4">
        <f>_xlfn.XLOOKUP(E2644,'Data Validation'!$M$3:$M$10,'Data Validation'!$N$3:$N$10)</f>
        <v>7</v>
      </c>
      <c r="B2644" s="4">
        <v>14</v>
      </c>
      <c r="C2644" s="4" t="s">
        <v>11</v>
      </c>
      <c r="D2644" s="7">
        <v>35.76</v>
      </c>
      <c r="E2644" s="4" t="s">
        <v>16</v>
      </c>
      <c r="F2644" s="4" t="s">
        <v>17</v>
      </c>
      <c r="G2644" s="4" t="s">
        <v>51</v>
      </c>
      <c r="H2644" s="4" t="s">
        <v>57</v>
      </c>
      <c r="I2644" s="5">
        <v>45585</v>
      </c>
      <c r="J2644" s="4">
        <f t="shared" si="41"/>
        <v>28</v>
      </c>
    </row>
    <row r="2645" spans="1:10" x14ac:dyDescent="0.25">
      <c r="A2645" s="4">
        <f>_xlfn.XLOOKUP(E2645,'Data Validation'!$M$3:$M$10,'Data Validation'!$N$3:$N$10)</f>
        <v>7</v>
      </c>
      <c r="B2645" s="4">
        <v>21</v>
      </c>
      <c r="C2645" s="4" t="s">
        <v>11</v>
      </c>
      <c r="D2645" s="7">
        <v>35.76</v>
      </c>
      <c r="E2645" s="4" t="s">
        <v>16</v>
      </c>
      <c r="F2645" s="4" t="s">
        <v>20</v>
      </c>
      <c r="G2645" s="4" t="s">
        <v>51</v>
      </c>
      <c r="H2645" s="4" t="s">
        <v>57</v>
      </c>
      <c r="I2645" s="5">
        <v>45585</v>
      </c>
      <c r="J2645" s="4">
        <f t="shared" si="41"/>
        <v>28</v>
      </c>
    </row>
    <row r="2646" spans="1:10" x14ac:dyDescent="0.25">
      <c r="A2646" s="4">
        <f>_xlfn.XLOOKUP(E2646,'Data Validation'!$M$3:$M$10,'Data Validation'!$N$3:$N$10)</f>
        <v>7</v>
      </c>
      <c r="B2646" s="4">
        <v>19</v>
      </c>
      <c r="C2646" s="4" t="s">
        <v>11</v>
      </c>
      <c r="D2646" s="7">
        <v>35.76</v>
      </c>
      <c r="E2646" s="4" t="s">
        <v>16</v>
      </c>
      <c r="F2646" s="4" t="s">
        <v>20</v>
      </c>
      <c r="G2646" s="4" t="s">
        <v>45</v>
      </c>
      <c r="H2646" s="4" t="s">
        <v>57</v>
      </c>
      <c r="I2646" s="5">
        <v>45586</v>
      </c>
      <c r="J2646" s="4">
        <f t="shared" si="41"/>
        <v>28</v>
      </c>
    </row>
    <row r="2647" spans="1:10" x14ac:dyDescent="0.25">
      <c r="A2647" s="4">
        <f>_xlfn.XLOOKUP(E2647,'Data Validation'!$M$3:$M$10,'Data Validation'!$N$3:$N$10)</f>
        <v>7</v>
      </c>
      <c r="B2647" s="4">
        <v>22</v>
      </c>
      <c r="C2647" s="4" t="s">
        <v>11</v>
      </c>
      <c r="D2647" s="7">
        <v>35.76</v>
      </c>
      <c r="E2647" s="4" t="s">
        <v>16</v>
      </c>
      <c r="F2647" s="4" t="s">
        <v>20</v>
      </c>
      <c r="G2647" s="4" t="s">
        <v>45</v>
      </c>
      <c r="H2647" s="4" t="s">
        <v>57</v>
      </c>
      <c r="I2647" s="5">
        <v>45586</v>
      </c>
      <c r="J2647" s="4">
        <f t="shared" si="41"/>
        <v>28</v>
      </c>
    </row>
    <row r="2648" spans="1:10" x14ac:dyDescent="0.25">
      <c r="A2648" s="4">
        <f>_xlfn.XLOOKUP(E2648,'Data Validation'!$M$3:$M$10,'Data Validation'!$N$3:$N$10)</f>
        <v>7</v>
      </c>
      <c r="B2648" s="4">
        <v>19</v>
      </c>
      <c r="C2648" s="4" t="s">
        <v>11</v>
      </c>
      <c r="D2648" s="7">
        <v>35.76</v>
      </c>
      <c r="E2648" s="4" t="s">
        <v>16</v>
      </c>
      <c r="F2648" s="4" t="s">
        <v>20</v>
      </c>
      <c r="G2648" s="4" t="s">
        <v>46</v>
      </c>
      <c r="H2648" s="4" t="s">
        <v>57</v>
      </c>
      <c r="I2648" s="5">
        <v>45587</v>
      </c>
      <c r="J2648" s="4">
        <f t="shared" si="41"/>
        <v>28</v>
      </c>
    </row>
    <row r="2649" spans="1:10" x14ac:dyDescent="0.25">
      <c r="A2649" s="4">
        <f>_xlfn.XLOOKUP(E2649,'Data Validation'!$M$3:$M$10,'Data Validation'!$N$3:$N$10)</f>
        <v>7</v>
      </c>
      <c r="B2649" s="4">
        <v>21</v>
      </c>
      <c r="C2649" s="4" t="s">
        <v>11</v>
      </c>
      <c r="D2649" s="7">
        <v>35.76</v>
      </c>
      <c r="E2649" s="4" t="s">
        <v>16</v>
      </c>
      <c r="F2649" s="4" t="s">
        <v>20</v>
      </c>
      <c r="G2649" s="4" t="s">
        <v>47</v>
      </c>
      <c r="H2649" s="4" t="s">
        <v>57</v>
      </c>
      <c r="I2649" s="5">
        <v>45588</v>
      </c>
      <c r="J2649" s="4">
        <f t="shared" si="41"/>
        <v>28</v>
      </c>
    </row>
    <row r="2650" spans="1:10" x14ac:dyDescent="0.25">
      <c r="A2650" s="4">
        <f>_xlfn.XLOOKUP(E2650,'Data Validation'!$M$3:$M$10,'Data Validation'!$N$3:$N$10)</f>
        <v>7</v>
      </c>
      <c r="B2650" s="4">
        <v>14</v>
      </c>
      <c r="C2650" s="4" t="s">
        <v>11</v>
      </c>
      <c r="D2650" s="7">
        <v>35.76</v>
      </c>
      <c r="E2650" s="4" t="s">
        <v>16</v>
      </c>
      <c r="F2650" s="4" t="s">
        <v>17</v>
      </c>
      <c r="G2650" s="4" t="s">
        <v>48</v>
      </c>
      <c r="H2650" s="4" t="s">
        <v>57</v>
      </c>
      <c r="I2650" s="5">
        <v>45589</v>
      </c>
      <c r="J2650" s="4">
        <f t="shared" si="41"/>
        <v>28</v>
      </c>
    </row>
    <row r="2651" spans="1:10" x14ac:dyDescent="0.25">
      <c r="A2651" s="4">
        <f>_xlfn.XLOOKUP(E2651,'Data Validation'!$M$3:$M$10,'Data Validation'!$N$3:$N$10)</f>
        <v>7</v>
      </c>
      <c r="B2651" s="4">
        <v>21</v>
      </c>
      <c r="C2651" s="4" t="s">
        <v>11</v>
      </c>
      <c r="D2651" s="7">
        <v>35.76</v>
      </c>
      <c r="E2651" s="4" t="s">
        <v>16</v>
      </c>
      <c r="F2651" s="4" t="s">
        <v>20</v>
      </c>
      <c r="G2651" s="4" t="s">
        <v>48</v>
      </c>
      <c r="H2651" s="4" t="s">
        <v>57</v>
      </c>
      <c r="I2651" s="5">
        <v>45589</v>
      </c>
      <c r="J2651" s="4">
        <f t="shared" si="41"/>
        <v>28</v>
      </c>
    </row>
    <row r="2652" spans="1:10" x14ac:dyDescent="0.25">
      <c r="A2652" s="4">
        <f>_xlfn.XLOOKUP(E2652,'Data Validation'!$M$3:$M$10,'Data Validation'!$N$3:$N$10)</f>
        <v>7</v>
      </c>
      <c r="B2652" s="4">
        <v>21</v>
      </c>
      <c r="C2652" s="4" t="s">
        <v>11</v>
      </c>
      <c r="D2652" s="7">
        <v>35.76</v>
      </c>
      <c r="E2652" s="4" t="s">
        <v>16</v>
      </c>
      <c r="F2652" s="4" t="s">
        <v>20</v>
      </c>
      <c r="G2652" s="4" t="s">
        <v>48</v>
      </c>
      <c r="H2652" s="4" t="s">
        <v>57</v>
      </c>
      <c r="I2652" s="5">
        <v>45589</v>
      </c>
      <c r="J2652" s="4">
        <f t="shared" si="41"/>
        <v>28</v>
      </c>
    </row>
    <row r="2653" spans="1:10" x14ac:dyDescent="0.25">
      <c r="A2653" s="4">
        <f>_xlfn.XLOOKUP(E2653,'Data Validation'!$M$3:$M$10,'Data Validation'!$N$3:$N$10)</f>
        <v>7</v>
      </c>
      <c r="B2653" s="4">
        <v>21</v>
      </c>
      <c r="C2653" s="4" t="s">
        <v>11</v>
      </c>
      <c r="D2653" s="7">
        <v>35.76</v>
      </c>
      <c r="E2653" s="4" t="s">
        <v>16</v>
      </c>
      <c r="F2653" s="4" t="s">
        <v>20</v>
      </c>
      <c r="G2653" s="4" t="s">
        <v>48</v>
      </c>
      <c r="H2653" s="4" t="s">
        <v>57</v>
      </c>
      <c r="I2653" s="5">
        <v>45589</v>
      </c>
      <c r="J2653" s="4">
        <f t="shared" si="41"/>
        <v>28</v>
      </c>
    </row>
    <row r="2654" spans="1:10" x14ac:dyDescent="0.25">
      <c r="A2654" s="4">
        <f>_xlfn.XLOOKUP(E2654,'Data Validation'!$M$3:$M$10,'Data Validation'!$N$3:$N$10)</f>
        <v>7</v>
      </c>
      <c r="B2654" s="4">
        <v>22</v>
      </c>
      <c r="C2654" s="4" t="s">
        <v>11</v>
      </c>
      <c r="D2654" s="7">
        <v>35.76</v>
      </c>
      <c r="E2654" s="4" t="s">
        <v>16</v>
      </c>
      <c r="F2654" s="4" t="s">
        <v>20</v>
      </c>
      <c r="G2654" s="4" t="s">
        <v>49</v>
      </c>
      <c r="H2654" s="4" t="s">
        <v>57</v>
      </c>
      <c r="I2654" s="5">
        <v>45590</v>
      </c>
      <c r="J2654" s="4">
        <f t="shared" si="41"/>
        <v>28</v>
      </c>
    </row>
    <row r="2655" spans="1:10" x14ac:dyDescent="0.25">
      <c r="A2655" s="4">
        <f>_xlfn.XLOOKUP(E2655,'Data Validation'!$M$3:$M$10,'Data Validation'!$N$3:$N$10)</f>
        <v>7</v>
      </c>
      <c r="B2655" s="4">
        <v>12</v>
      </c>
      <c r="C2655" s="4" t="s">
        <v>11</v>
      </c>
      <c r="D2655" s="7">
        <v>35.76</v>
      </c>
      <c r="E2655" s="4" t="s">
        <v>16</v>
      </c>
      <c r="F2655" s="4" t="s">
        <v>17</v>
      </c>
      <c r="G2655" s="4" t="s">
        <v>45</v>
      </c>
      <c r="H2655" s="4" t="s">
        <v>57</v>
      </c>
      <c r="I2655" s="5">
        <v>45593</v>
      </c>
      <c r="J2655" s="4">
        <f t="shared" si="41"/>
        <v>28</v>
      </c>
    </row>
    <row r="2656" spans="1:10" x14ac:dyDescent="0.25">
      <c r="A2656" s="4">
        <f>_xlfn.XLOOKUP(E2656,'Data Validation'!$M$3:$M$10,'Data Validation'!$N$3:$N$10)</f>
        <v>7</v>
      </c>
      <c r="B2656" s="4">
        <v>16</v>
      </c>
      <c r="C2656" s="4" t="s">
        <v>11</v>
      </c>
      <c r="D2656" s="7">
        <v>35.76</v>
      </c>
      <c r="E2656" s="4" t="s">
        <v>16</v>
      </c>
      <c r="F2656" s="4" t="s">
        <v>17</v>
      </c>
      <c r="G2656" s="4" t="s">
        <v>46</v>
      </c>
      <c r="H2656" s="4" t="s">
        <v>57</v>
      </c>
      <c r="I2656" s="5">
        <v>45594</v>
      </c>
      <c r="J2656" s="4">
        <f t="shared" si="41"/>
        <v>28</v>
      </c>
    </row>
    <row r="2657" spans="1:10" x14ac:dyDescent="0.25">
      <c r="A2657" s="4">
        <f>_xlfn.XLOOKUP(E2657,'Data Validation'!$M$3:$M$10,'Data Validation'!$N$3:$N$10)</f>
        <v>7</v>
      </c>
      <c r="B2657" s="4">
        <v>19</v>
      </c>
      <c r="C2657" s="4" t="s">
        <v>11</v>
      </c>
      <c r="D2657" s="7">
        <v>35.76</v>
      </c>
      <c r="E2657" s="4" t="s">
        <v>16</v>
      </c>
      <c r="F2657" s="4" t="s">
        <v>20</v>
      </c>
      <c r="G2657" s="4" t="s">
        <v>46</v>
      </c>
      <c r="H2657" s="4" t="s">
        <v>57</v>
      </c>
      <c r="I2657" s="5">
        <v>45594</v>
      </c>
      <c r="J2657" s="4">
        <f t="shared" si="41"/>
        <v>28</v>
      </c>
    </row>
    <row r="2658" spans="1:10" x14ac:dyDescent="0.25">
      <c r="A2658" s="4">
        <f>_xlfn.XLOOKUP(E2658,'Data Validation'!$M$3:$M$10,'Data Validation'!$N$3:$N$10)</f>
        <v>7</v>
      </c>
      <c r="B2658" s="4">
        <v>18</v>
      </c>
      <c r="C2658" s="4" t="s">
        <v>11</v>
      </c>
      <c r="D2658" s="7">
        <v>35.76</v>
      </c>
      <c r="E2658" s="4" t="s">
        <v>16</v>
      </c>
      <c r="F2658" s="4" t="s">
        <v>20</v>
      </c>
      <c r="G2658" s="4" t="s">
        <v>47</v>
      </c>
      <c r="H2658" s="4" t="s">
        <v>57</v>
      </c>
      <c r="I2658" s="5">
        <v>45595</v>
      </c>
      <c r="J2658" s="4">
        <f t="shared" si="41"/>
        <v>28</v>
      </c>
    </row>
    <row r="2659" spans="1:10" x14ac:dyDescent="0.25">
      <c r="A2659" s="4">
        <f>_xlfn.XLOOKUP(E2659,'Data Validation'!$M$3:$M$10,'Data Validation'!$N$3:$N$10)</f>
        <v>7</v>
      </c>
      <c r="B2659" s="4">
        <v>16</v>
      </c>
      <c r="C2659" s="4" t="s">
        <v>11</v>
      </c>
      <c r="D2659" s="7">
        <v>35.76</v>
      </c>
      <c r="E2659" s="4" t="s">
        <v>16</v>
      </c>
      <c r="F2659" s="4" t="s">
        <v>17</v>
      </c>
      <c r="G2659" s="4" t="s">
        <v>50</v>
      </c>
      <c r="H2659" s="4" t="s">
        <v>58</v>
      </c>
      <c r="I2659" s="5">
        <v>45598</v>
      </c>
      <c r="J2659" s="4">
        <f t="shared" si="41"/>
        <v>28</v>
      </c>
    </row>
    <row r="2660" spans="1:10" x14ac:dyDescent="0.25">
      <c r="A2660" s="4">
        <f>_xlfn.XLOOKUP(E2660,'Data Validation'!$M$3:$M$10,'Data Validation'!$N$3:$N$10)</f>
        <v>7</v>
      </c>
      <c r="B2660" s="4">
        <v>16</v>
      </c>
      <c r="C2660" s="4" t="s">
        <v>11</v>
      </c>
      <c r="D2660" s="7">
        <v>35.76</v>
      </c>
      <c r="E2660" s="4" t="s">
        <v>16</v>
      </c>
      <c r="F2660" s="4" t="s">
        <v>17</v>
      </c>
      <c r="G2660" s="4" t="s">
        <v>51</v>
      </c>
      <c r="H2660" s="4" t="s">
        <v>58</v>
      </c>
      <c r="I2660" s="5">
        <v>45599</v>
      </c>
      <c r="J2660" s="4">
        <f t="shared" si="41"/>
        <v>28</v>
      </c>
    </row>
    <row r="2661" spans="1:10" x14ac:dyDescent="0.25">
      <c r="A2661" s="4">
        <f>_xlfn.XLOOKUP(E2661,'Data Validation'!$M$3:$M$10,'Data Validation'!$N$3:$N$10)</f>
        <v>7</v>
      </c>
      <c r="B2661" s="4">
        <v>16</v>
      </c>
      <c r="C2661" s="4" t="s">
        <v>11</v>
      </c>
      <c r="D2661" s="7">
        <v>35.76</v>
      </c>
      <c r="E2661" s="4" t="s">
        <v>16</v>
      </c>
      <c r="F2661" s="4" t="s">
        <v>17</v>
      </c>
      <c r="G2661" s="4" t="s">
        <v>51</v>
      </c>
      <c r="H2661" s="4" t="s">
        <v>58</v>
      </c>
      <c r="I2661" s="5">
        <v>45599</v>
      </c>
      <c r="J2661" s="4">
        <f t="shared" si="41"/>
        <v>28</v>
      </c>
    </row>
    <row r="2662" spans="1:10" x14ac:dyDescent="0.25">
      <c r="A2662" s="4">
        <f>_xlfn.XLOOKUP(E2662,'Data Validation'!$M$3:$M$10,'Data Validation'!$N$3:$N$10)</f>
        <v>7</v>
      </c>
      <c r="B2662" s="4">
        <v>21</v>
      </c>
      <c r="C2662" s="4" t="s">
        <v>11</v>
      </c>
      <c r="D2662" s="7">
        <v>35.76</v>
      </c>
      <c r="E2662" s="4" t="s">
        <v>16</v>
      </c>
      <c r="F2662" s="4" t="s">
        <v>20</v>
      </c>
      <c r="G2662" s="4" t="s">
        <v>46</v>
      </c>
      <c r="H2662" s="4" t="s">
        <v>58</v>
      </c>
      <c r="I2662" s="5">
        <v>45601</v>
      </c>
      <c r="J2662" s="4">
        <f t="shared" si="41"/>
        <v>28</v>
      </c>
    </row>
    <row r="2663" spans="1:10" x14ac:dyDescent="0.25">
      <c r="A2663" s="4">
        <f>_xlfn.XLOOKUP(E2663,'Data Validation'!$M$3:$M$10,'Data Validation'!$N$3:$N$10)</f>
        <v>7</v>
      </c>
      <c r="B2663" s="4">
        <v>22</v>
      </c>
      <c r="C2663" s="4" t="s">
        <v>11</v>
      </c>
      <c r="D2663" s="7">
        <v>35.76</v>
      </c>
      <c r="E2663" s="4" t="s">
        <v>16</v>
      </c>
      <c r="F2663" s="4" t="s">
        <v>20</v>
      </c>
      <c r="G2663" s="4" t="s">
        <v>46</v>
      </c>
      <c r="H2663" s="4" t="s">
        <v>58</v>
      </c>
      <c r="I2663" s="5">
        <v>45601</v>
      </c>
      <c r="J2663" s="4">
        <f t="shared" si="41"/>
        <v>28</v>
      </c>
    </row>
    <row r="2664" spans="1:10" x14ac:dyDescent="0.25">
      <c r="A2664" s="4">
        <f>_xlfn.XLOOKUP(E2664,'Data Validation'!$M$3:$M$10,'Data Validation'!$N$3:$N$10)</f>
        <v>7</v>
      </c>
      <c r="B2664" s="4">
        <v>18</v>
      </c>
      <c r="C2664" s="4" t="s">
        <v>11</v>
      </c>
      <c r="D2664" s="7">
        <v>35.76</v>
      </c>
      <c r="E2664" s="4" t="s">
        <v>16</v>
      </c>
      <c r="F2664" s="4" t="s">
        <v>20</v>
      </c>
      <c r="G2664" s="4" t="s">
        <v>47</v>
      </c>
      <c r="H2664" s="4" t="s">
        <v>58</v>
      </c>
      <c r="I2664" s="5">
        <v>45602</v>
      </c>
      <c r="J2664" s="4">
        <f t="shared" si="41"/>
        <v>28</v>
      </c>
    </row>
    <row r="2665" spans="1:10" x14ac:dyDescent="0.25">
      <c r="A2665" s="4">
        <f>_xlfn.XLOOKUP(E2665,'Data Validation'!$M$3:$M$10,'Data Validation'!$N$3:$N$10)</f>
        <v>7</v>
      </c>
      <c r="B2665" s="4">
        <v>18</v>
      </c>
      <c r="C2665" s="4" t="s">
        <v>11</v>
      </c>
      <c r="D2665" s="7">
        <v>35.76</v>
      </c>
      <c r="E2665" s="4" t="s">
        <v>16</v>
      </c>
      <c r="F2665" s="4" t="s">
        <v>20</v>
      </c>
      <c r="G2665" s="4" t="s">
        <v>47</v>
      </c>
      <c r="H2665" s="4" t="s">
        <v>58</v>
      </c>
      <c r="I2665" s="5">
        <v>45602</v>
      </c>
      <c r="J2665" s="4">
        <f t="shared" si="41"/>
        <v>28</v>
      </c>
    </row>
    <row r="2666" spans="1:10" x14ac:dyDescent="0.25">
      <c r="A2666" s="4">
        <f>_xlfn.XLOOKUP(E2666,'Data Validation'!$M$3:$M$10,'Data Validation'!$N$3:$N$10)</f>
        <v>7</v>
      </c>
      <c r="B2666" s="4">
        <v>19</v>
      </c>
      <c r="C2666" s="4" t="s">
        <v>11</v>
      </c>
      <c r="D2666" s="7">
        <v>35.76</v>
      </c>
      <c r="E2666" s="4" t="s">
        <v>16</v>
      </c>
      <c r="F2666" s="4" t="s">
        <v>20</v>
      </c>
      <c r="G2666" s="4" t="s">
        <v>48</v>
      </c>
      <c r="H2666" s="4" t="s">
        <v>58</v>
      </c>
      <c r="I2666" s="5">
        <v>45603</v>
      </c>
      <c r="J2666" s="4">
        <f t="shared" si="41"/>
        <v>28</v>
      </c>
    </row>
    <row r="2667" spans="1:10" x14ac:dyDescent="0.25">
      <c r="A2667" s="4">
        <f>_xlfn.XLOOKUP(E2667,'Data Validation'!$M$3:$M$10,'Data Validation'!$N$3:$N$10)</f>
        <v>7</v>
      </c>
      <c r="B2667" s="4">
        <v>20</v>
      </c>
      <c r="C2667" s="4" t="s">
        <v>11</v>
      </c>
      <c r="D2667" s="7">
        <v>35.76</v>
      </c>
      <c r="E2667" s="4" t="s">
        <v>16</v>
      </c>
      <c r="F2667" s="4" t="s">
        <v>20</v>
      </c>
      <c r="G2667" s="4" t="s">
        <v>49</v>
      </c>
      <c r="H2667" s="4" t="s">
        <v>58</v>
      </c>
      <c r="I2667" s="5">
        <v>45604</v>
      </c>
      <c r="J2667" s="4">
        <f t="shared" si="41"/>
        <v>28</v>
      </c>
    </row>
    <row r="2668" spans="1:10" x14ac:dyDescent="0.25">
      <c r="A2668" s="4">
        <f>_xlfn.XLOOKUP(E2668,'Data Validation'!$M$3:$M$10,'Data Validation'!$N$3:$N$10)</f>
        <v>7</v>
      </c>
      <c r="B2668" s="4">
        <v>20</v>
      </c>
      <c r="C2668" s="4" t="s">
        <v>11</v>
      </c>
      <c r="D2668" s="7">
        <v>35.76</v>
      </c>
      <c r="E2668" s="4" t="s">
        <v>16</v>
      </c>
      <c r="F2668" s="4" t="s">
        <v>20</v>
      </c>
      <c r="G2668" s="4" t="s">
        <v>49</v>
      </c>
      <c r="H2668" s="4" t="s">
        <v>58</v>
      </c>
      <c r="I2668" s="5">
        <v>45604</v>
      </c>
      <c r="J2668" s="4">
        <f t="shared" si="41"/>
        <v>28</v>
      </c>
    </row>
    <row r="2669" spans="1:10" x14ac:dyDescent="0.25">
      <c r="A2669" s="4">
        <f>_xlfn.XLOOKUP(E2669,'Data Validation'!$M$3:$M$10,'Data Validation'!$N$3:$N$10)</f>
        <v>7</v>
      </c>
      <c r="B2669" s="4">
        <v>20</v>
      </c>
      <c r="C2669" s="4" t="s">
        <v>11</v>
      </c>
      <c r="D2669" s="7">
        <v>35.76</v>
      </c>
      <c r="E2669" s="4" t="s">
        <v>16</v>
      </c>
      <c r="F2669" s="4" t="s">
        <v>20</v>
      </c>
      <c r="G2669" s="4" t="s">
        <v>49</v>
      </c>
      <c r="H2669" s="4" t="s">
        <v>58</v>
      </c>
      <c r="I2669" s="5">
        <v>45604</v>
      </c>
      <c r="J2669" s="4">
        <f t="shared" si="41"/>
        <v>28</v>
      </c>
    </row>
    <row r="2670" spans="1:10" x14ac:dyDescent="0.25">
      <c r="A2670" s="4">
        <f>_xlfn.XLOOKUP(E2670,'Data Validation'!$M$3:$M$10,'Data Validation'!$N$3:$N$10)</f>
        <v>7</v>
      </c>
      <c r="B2670" s="4">
        <v>13</v>
      </c>
      <c r="C2670" s="4" t="s">
        <v>11</v>
      </c>
      <c r="D2670" s="7">
        <v>35.76</v>
      </c>
      <c r="E2670" s="4" t="s">
        <v>16</v>
      </c>
      <c r="F2670" s="4" t="s">
        <v>17</v>
      </c>
      <c r="G2670" s="4" t="s">
        <v>50</v>
      </c>
      <c r="H2670" s="4" t="s">
        <v>58</v>
      </c>
      <c r="I2670" s="5">
        <v>45605</v>
      </c>
      <c r="J2670" s="4">
        <f t="shared" si="41"/>
        <v>28</v>
      </c>
    </row>
    <row r="2671" spans="1:10" x14ac:dyDescent="0.25">
      <c r="A2671" s="4">
        <f>_xlfn.XLOOKUP(E2671,'Data Validation'!$M$3:$M$10,'Data Validation'!$N$3:$N$10)</f>
        <v>7</v>
      </c>
      <c r="B2671" s="4">
        <v>13</v>
      </c>
      <c r="C2671" s="4" t="s">
        <v>11</v>
      </c>
      <c r="D2671" s="7">
        <v>35.76</v>
      </c>
      <c r="E2671" s="4" t="s">
        <v>16</v>
      </c>
      <c r="F2671" s="4" t="s">
        <v>17</v>
      </c>
      <c r="G2671" s="4" t="s">
        <v>50</v>
      </c>
      <c r="H2671" s="4" t="s">
        <v>58</v>
      </c>
      <c r="I2671" s="5">
        <v>45605</v>
      </c>
      <c r="J2671" s="4">
        <f t="shared" si="41"/>
        <v>28</v>
      </c>
    </row>
    <row r="2672" spans="1:10" x14ac:dyDescent="0.25">
      <c r="A2672" s="4">
        <f>_xlfn.XLOOKUP(E2672,'Data Validation'!$M$3:$M$10,'Data Validation'!$N$3:$N$10)</f>
        <v>7</v>
      </c>
      <c r="B2672" s="4">
        <v>14</v>
      </c>
      <c r="C2672" s="4" t="s">
        <v>11</v>
      </c>
      <c r="D2672" s="7">
        <v>35.76</v>
      </c>
      <c r="E2672" s="4" t="s">
        <v>16</v>
      </c>
      <c r="F2672" s="4" t="s">
        <v>17</v>
      </c>
      <c r="G2672" s="4" t="s">
        <v>50</v>
      </c>
      <c r="H2672" s="4" t="s">
        <v>58</v>
      </c>
      <c r="I2672" s="5">
        <v>45605</v>
      </c>
      <c r="J2672" s="4">
        <f t="shared" si="41"/>
        <v>28</v>
      </c>
    </row>
    <row r="2673" spans="1:10" x14ac:dyDescent="0.25">
      <c r="A2673" s="4">
        <f>_xlfn.XLOOKUP(E2673,'Data Validation'!$M$3:$M$10,'Data Validation'!$N$3:$N$10)</f>
        <v>7</v>
      </c>
      <c r="B2673" s="4">
        <v>14</v>
      </c>
      <c r="C2673" s="4" t="s">
        <v>11</v>
      </c>
      <c r="D2673" s="7">
        <v>35.76</v>
      </c>
      <c r="E2673" s="4" t="s">
        <v>16</v>
      </c>
      <c r="F2673" s="4" t="s">
        <v>17</v>
      </c>
      <c r="G2673" s="4" t="s">
        <v>50</v>
      </c>
      <c r="H2673" s="4" t="s">
        <v>58</v>
      </c>
      <c r="I2673" s="5">
        <v>45605</v>
      </c>
      <c r="J2673" s="4">
        <f t="shared" si="41"/>
        <v>28</v>
      </c>
    </row>
    <row r="2674" spans="1:10" x14ac:dyDescent="0.25">
      <c r="A2674" s="4">
        <f>_xlfn.XLOOKUP(E2674,'Data Validation'!$M$3:$M$10,'Data Validation'!$N$3:$N$10)</f>
        <v>7</v>
      </c>
      <c r="B2674" s="4">
        <v>18</v>
      </c>
      <c r="C2674" s="4" t="s">
        <v>11</v>
      </c>
      <c r="D2674" s="7">
        <v>35.76</v>
      </c>
      <c r="E2674" s="4" t="s">
        <v>16</v>
      </c>
      <c r="F2674" s="4" t="s">
        <v>20</v>
      </c>
      <c r="G2674" s="4" t="s">
        <v>51</v>
      </c>
      <c r="H2674" s="4" t="s">
        <v>58</v>
      </c>
      <c r="I2674" s="5">
        <v>45606</v>
      </c>
      <c r="J2674" s="4">
        <f t="shared" si="41"/>
        <v>28</v>
      </c>
    </row>
    <row r="2675" spans="1:10" x14ac:dyDescent="0.25">
      <c r="A2675" s="4">
        <f>_xlfn.XLOOKUP(E2675,'Data Validation'!$M$3:$M$10,'Data Validation'!$N$3:$N$10)</f>
        <v>7</v>
      </c>
      <c r="B2675" s="4">
        <v>18</v>
      </c>
      <c r="C2675" s="4" t="s">
        <v>11</v>
      </c>
      <c r="D2675" s="7">
        <v>35.76</v>
      </c>
      <c r="E2675" s="4" t="s">
        <v>16</v>
      </c>
      <c r="F2675" s="4" t="s">
        <v>20</v>
      </c>
      <c r="G2675" s="4" t="s">
        <v>51</v>
      </c>
      <c r="H2675" s="4" t="s">
        <v>58</v>
      </c>
      <c r="I2675" s="5">
        <v>45606</v>
      </c>
      <c r="J2675" s="4">
        <f t="shared" si="41"/>
        <v>28</v>
      </c>
    </row>
    <row r="2676" spans="1:10" x14ac:dyDescent="0.25">
      <c r="A2676" s="4">
        <f>_xlfn.XLOOKUP(E2676,'Data Validation'!$M$3:$M$10,'Data Validation'!$N$3:$N$10)</f>
        <v>7</v>
      </c>
      <c r="B2676" s="4">
        <v>16</v>
      </c>
      <c r="C2676" s="4" t="s">
        <v>11</v>
      </c>
      <c r="D2676" s="7">
        <v>35.76</v>
      </c>
      <c r="E2676" s="4" t="s">
        <v>16</v>
      </c>
      <c r="F2676" s="4" t="s">
        <v>17</v>
      </c>
      <c r="G2676" s="4" t="s">
        <v>45</v>
      </c>
      <c r="H2676" s="4" t="s">
        <v>58</v>
      </c>
      <c r="I2676" s="5">
        <v>45607</v>
      </c>
      <c r="J2676" s="4">
        <f t="shared" si="41"/>
        <v>28</v>
      </c>
    </row>
    <row r="2677" spans="1:10" x14ac:dyDescent="0.25">
      <c r="A2677" s="4">
        <f>_xlfn.XLOOKUP(E2677,'Data Validation'!$M$3:$M$10,'Data Validation'!$N$3:$N$10)</f>
        <v>7</v>
      </c>
      <c r="B2677" s="4">
        <v>19</v>
      </c>
      <c r="C2677" s="4" t="s">
        <v>11</v>
      </c>
      <c r="D2677" s="7">
        <v>35.76</v>
      </c>
      <c r="E2677" s="4" t="s">
        <v>16</v>
      </c>
      <c r="F2677" s="4" t="s">
        <v>20</v>
      </c>
      <c r="G2677" s="4" t="s">
        <v>45</v>
      </c>
      <c r="H2677" s="4" t="s">
        <v>58</v>
      </c>
      <c r="I2677" s="5">
        <v>45607</v>
      </c>
      <c r="J2677" s="4">
        <f t="shared" si="41"/>
        <v>28</v>
      </c>
    </row>
    <row r="2678" spans="1:10" x14ac:dyDescent="0.25">
      <c r="A2678" s="4">
        <f>_xlfn.XLOOKUP(E2678,'Data Validation'!$M$3:$M$10,'Data Validation'!$N$3:$N$10)</f>
        <v>7</v>
      </c>
      <c r="B2678" s="4">
        <v>16</v>
      </c>
      <c r="C2678" s="4" t="s">
        <v>11</v>
      </c>
      <c r="D2678" s="7">
        <v>35.76</v>
      </c>
      <c r="E2678" s="4" t="s">
        <v>16</v>
      </c>
      <c r="F2678" s="4" t="s">
        <v>17</v>
      </c>
      <c r="G2678" s="4" t="s">
        <v>46</v>
      </c>
      <c r="H2678" s="4" t="s">
        <v>58</v>
      </c>
      <c r="I2678" s="5">
        <v>45608</v>
      </c>
      <c r="J2678" s="4">
        <f t="shared" si="41"/>
        <v>28</v>
      </c>
    </row>
    <row r="2679" spans="1:10" x14ac:dyDescent="0.25">
      <c r="A2679" s="4">
        <f>_xlfn.XLOOKUP(E2679,'Data Validation'!$M$3:$M$10,'Data Validation'!$N$3:$N$10)</f>
        <v>7</v>
      </c>
      <c r="B2679" s="4">
        <v>16</v>
      </c>
      <c r="C2679" s="4" t="s">
        <v>11</v>
      </c>
      <c r="D2679" s="7">
        <v>35.76</v>
      </c>
      <c r="E2679" s="4" t="s">
        <v>16</v>
      </c>
      <c r="F2679" s="4" t="s">
        <v>17</v>
      </c>
      <c r="G2679" s="4" t="s">
        <v>46</v>
      </c>
      <c r="H2679" s="4" t="s">
        <v>58</v>
      </c>
      <c r="I2679" s="5">
        <v>45608</v>
      </c>
      <c r="J2679" s="4">
        <f t="shared" si="41"/>
        <v>28</v>
      </c>
    </row>
    <row r="2680" spans="1:10" x14ac:dyDescent="0.25">
      <c r="A2680" s="4">
        <f>_xlfn.XLOOKUP(E2680,'Data Validation'!$M$3:$M$10,'Data Validation'!$N$3:$N$10)</f>
        <v>7</v>
      </c>
      <c r="B2680" s="4">
        <v>19</v>
      </c>
      <c r="C2680" s="4" t="s">
        <v>11</v>
      </c>
      <c r="D2680" s="7">
        <v>35.76</v>
      </c>
      <c r="E2680" s="4" t="s">
        <v>16</v>
      </c>
      <c r="F2680" s="4" t="s">
        <v>20</v>
      </c>
      <c r="G2680" s="4" t="s">
        <v>48</v>
      </c>
      <c r="H2680" s="4" t="s">
        <v>58</v>
      </c>
      <c r="I2680" s="5">
        <v>45610</v>
      </c>
      <c r="J2680" s="4">
        <f t="shared" si="41"/>
        <v>28</v>
      </c>
    </row>
    <row r="2681" spans="1:10" x14ac:dyDescent="0.25">
      <c r="A2681" s="4">
        <f>_xlfn.XLOOKUP(E2681,'Data Validation'!$M$3:$M$10,'Data Validation'!$N$3:$N$10)</f>
        <v>7</v>
      </c>
      <c r="B2681" s="4">
        <v>19</v>
      </c>
      <c r="C2681" s="4" t="s">
        <v>11</v>
      </c>
      <c r="D2681" s="7">
        <v>35.76</v>
      </c>
      <c r="E2681" s="4" t="s">
        <v>16</v>
      </c>
      <c r="F2681" s="4" t="s">
        <v>20</v>
      </c>
      <c r="G2681" s="4" t="s">
        <v>48</v>
      </c>
      <c r="H2681" s="4" t="s">
        <v>58</v>
      </c>
      <c r="I2681" s="5">
        <v>45610</v>
      </c>
      <c r="J2681" s="4">
        <f t="shared" si="41"/>
        <v>28</v>
      </c>
    </row>
    <row r="2682" spans="1:10" x14ac:dyDescent="0.25">
      <c r="A2682" s="4">
        <f>_xlfn.XLOOKUP(E2682,'Data Validation'!$M$3:$M$10,'Data Validation'!$N$3:$N$10)</f>
        <v>7</v>
      </c>
      <c r="B2682" s="4">
        <v>20</v>
      </c>
      <c r="C2682" s="4" t="s">
        <v>11</v>
      </c>
      <c r="D2682" s="7">
        <v>35.76</v>
      </c>
      <c r="E2682" s="4" t="s">
        <v>16</v>
      </c>
      <c r="F2682" s="4" t="s">
        <v>20</v>
      </c>
      <c r="G2682" s="4" t="s">
        <v>48</v>
      </c>
      <c r="H2682" s="4" t="s">
        <v>58</v>
      </c>
      <c r="I2682" s="5">
        <v>45610</v>
      </c>
      <c r="J2682" s="4">
        <f t="shared" si="41"/>
        <v>28</v>
      </c>
    </row>
    <row r="2683" spans="1:10" x14ac:dyDescent="0.25">
      <c r="A2683" s="4">
        <f>_xlfn.XLOOKUP(E2683,'Data Validation'!$M$3:$M$10,'Data Validation'!$N$3:$N$10)</f>
        <v>7</v>
      </c>
      <c r="B2683" s="4">
        <v>18</v>
      </c>
      <c r="C2683" s="4" t="s">
        <v>11</v>
      </c>
      <c r="D2683" s="7">
        <v>35.76</v>
      </c>
      <c r="E2683" s="4" t="s">
        <v>16</v>
      </c>
      <c r="F2683" s="4" t="s">
        <v>20</v>
      </c>
      <c r="G2683" s="4" t="s">
        <v>49</v>
      </c>
      <c r="H2683" s="4" t="s">
        <v>58</v>
      </c>
      <c r="I2683" s="5">
        <v>45611</v>
      </c>
      <c r="J2683" s="4">
        <f t="shared" si="41"/>
        <v>28</v>
      </c>
    </row>
    <row r="2684" spans="1:10" x14ac:dyDescent="0.25">
      <c r="A2684" s="4">
        <f>_xlfn.XLOOKUP(E2684,'Data Validation'!$M$3:$M$10,'Data Validation'!$N$3:$N$10)</f>
        <v>7</v>
      </c>
      <c r="B2684" s="4">
        <v>11</v>
      </c>
      <c r="C2684" s="4" t="s">
        <v>11</v>
      </c>
      <c r="D2684" s="7">
        <v>35.76</v>
      </c>
      <c r="E2684" s="4" t="s">
        <v>16</v>
      </c>
      <c r="F2684" s="4" t="s">
        <v>13</v>
      </c>
      <c r="G2684" s="4" t="s">
        <v>50</v>
      </c>
      <c r="H2684" s="4" t="s">
        <v>58</v>
      </c>
      <c r="I2684" s="5">
        <v>45612</v>
      </c>
      <c r="J2684" s="4">
        <f t="shared" si="41"/>
        <v>28</v>
      </c>
    </row>
    <row r="2685" spans="1:10" x14ac:dyDescent="0.25">
      <c r="A2685" s="4">
        <f>_xlfn.XLOOKUP(E2685,'Data Validation'!$M$3:$M$10,'Data Validation'!$N$3:$N$10)</f>
        <v>7</v>
      </c>
      <c r="B2685" s="4">
        <v>18</v>
      </c>
      <c r="C2685" s="4" t="s">
        <v>11</v>
      </c>
      <c r="D2685" s="7">
        <v>35.76</v>
      </c>
      <c r="E2685" s="4" t="s">
        <v>16</v>
      </c>
      <c r="F2685" s="4" t="s">
        <v>20</v>
      </c>
      <c r="G2685" s="4" t="s">
        <v>51</v>
      </c>
      <c r="H2685" s="4" t="s">
        <v>58</v>
      </c>
      <c r="I2685" s="5">
        <v>45613</v>
      </c>
      <c r="J2685" s="4">
        <f t="shared" si="41"/>
        <v>28</v>
      </c>
    </row>
    <row r="2686" spans="1:10" x14ac:dyDescent="0.25">
      <c r="A2686" s="4">
        <f>_xlfn.XLOOKUP(E2686,'Data Validation'!$M$3:$M$10,'Data Validation'!$N$3:$N$10)</f>
        <v>7</v>
      </c>
      <c r="B2686" s="4">
        <v>19</v>
      </c>
      <c r="C2686" s="4" t="s">
        <v>11</v>
      </c>
      <c r="D2686" s="7">
        <v>35.76</v>
      </c>
      <c r="E2686" s="4" t="s">
        <v>16</v>
      </c>
      <c r="F2686" s="4" t="s">
        <v>20</v>
      </c>
      <c r="G2686" s="4" t="s">
        <v>51</v>
      </c>
      <c r="H2686" s="4" t="s">
        <v>58</v>
      </c>
      <c r="I2686" s="5">
        <v>45613</v>
      </c>
      <c r="J2686" s="4">
        <f t="shared" si="41"/>
        <v>28</v>
      </c>
    </row>
    <row r="2687" spans="1:10" x14ac:dyDescent="0.25">
      <c r="A2687" s="4">
        <f>_xlfn.XLOOKUP(E2687,'Data Validation'!$M$3:$M$10,'Data Validation'!$N$3:$N$10)</f>
        <v>7</v>
      </c>
      <c r="B2687" s="4">
        <v>19</v>
      </c>
      <c r="C2687" s="4" t="s">
        <v>11</v>
      </c>
      <c r="D2687" s="7">
        <v>35.76</v>
      </c>
      <c r="E2687" s="4" t="s">
        <v>16</v>
      </c>
      <c r="F2687" s="4" t="s">
        <v>20</v>
      </c>
      <c r="G2687" s="4" t="s">
        <v>51</v>
      </c>
      <c r="H2687" s="4" t="s">
        <v>58</v>
      </c>
      <c r="I2687" s="5">
        <v>45613</v>
      </c>
      <c r="J2687" s="4">
        <f t="shared" si="41"/>
        <v>28</v>
      </c>
    </row>
    <row r="2688" spans="1:10" x14ac:dyDescent="0.25">
      <c r="A2688" s="4">
        <f>_xlfn.XLOOKUP(E2688,'Data Validation'!$M$3:$M$10,'Data Validation'!$N$3:$N$10)</f>
        <v>7</v>
      </c>
      <c r="B2688" s="4">
        <v>17</v>
      </c>
      <c r="C2688" s="4" t="s">
        <v>11</v>
      </c>
      <c r="D2688" s="7">
        <v>35.76</v>
      </c>
      <c r="E2688" s="4" t="s">
        <v>16</v>
      </c>
      <c r="F2688" s="4" t="s">
        <v>20</v>
      </c>
      <c r="G2688" s="4" t="s">
        <v>47</v>
      </c>
      <c r="H2688" s="4" t="s">
        <v>58</v>
      </c>
      <c r="I2688" s="5">
        <v>45616</v>
      </c>
      <c r="J2688" s="4">
        <f t="shared" si="41"/>
        <v>28</v>
      </c>
    </row>
    <row r="2689" spans="1:10" x14ac:dyDescent="0.25">
      <c r="A2689" s="4">
        <f>_xlfn.XLOOKUP(E2689,'Data Validation'!$M$3:$M$10,'Data Validation'!$N$3:$N$10)</f>
        <v>7</v>
      </c>
      <c r="B2689" s="4">
        <v>19</v>
      </c>
      <c r="C2689" s="4" t="s">
        <v>11</v>
      </c>
      <c r="D2689" s="7">
        <v>35.76</v>
      </c>
      <c r="E2689" s="4" t="s">
        <v>16</v>
      </c>
      <c r="F2689" s="4" t="s">
        <v>20</v>
      </c>
      <c r="G2689" s="4" t="s">
        <v>48</v>
      </c>
      <c r="H2689" s="4" t="s">
        <v>58</v>
      </c>
      <c r="I2689" s="5">
        <v>45617</v>
      </c>
      <c r="J2689" s="4">
        <f t="shared" si="41"/>
        <v>28</v>
      </c>
    </row>
    <row r="2690" spans="1:10" x14ac:dyDescent="0.25">
      <c r="A2690" s="4">
        <f>_xlfn.XLOOKUP(E2690,'Data Validation'!$M$3:$M$10,'Data Validation'!$N$3:$N$10)</f>
        <v>7</v>
      </c>
      <c r="B2690" s="4">
        <v>16</v>
      </c>
      <c r="C2690" s="4" t="s">
        <v>11</v>
      </c>
      <c r="D2690" s="7">
        <v>35.76</v>
      </c>
      <c r="E2690" s="4" t="s">
        <v>16</v>
      </c>
      <c r="F2690" s="4" t="s">
        <v>17</v>
      </c>
      <c r="G2690" s="4" t="s">
        <v>49</v>
      </c>
      <c r="H2690" s="4" t="s">
        <v>58</v>
      </c>
      <c r="I2690" s="5">
        <v>45618</v>
      </c>
      <c r="J2690" s="4">
        <f t="shared" si="41"/>
        <v>28</v>
      </c>
    </row>
    <row r="2691" spans="1:10" x14ac:dyDescent="0.25">
      <c r="A2691" s="4">
        <f>_xlfn.XLOOKUP(E2691,'Data Validation'!$M$3:$M$10,'Data Validation'!$N$3:$N$10)</f>
        <v>7</v>
      </c>
      <c r="B2691" s="4">
        <v>11</v>
      </c>
      <c r="C2691" s="4" t="s">
        <v>11</v>
      </c>
      <c r="D2691" s="7">
        <v>35.76</v>
      </c>
      <c r="E2691" s="4" t="s">
        <v>16</v>
      </c>
      <c r="F2691" s="4" t="s">
        <v>13</v>
      </c>
      <c r="G2691" s="4" t="s">
        <v>50</v>
      </c>
      <c r="H2691" s="4" t="s">
        <v>58</v>
      </c>
      <c r="I2691" s="5">
        <v>45619</v>
      </c>
      <c r="J2691" s="4">
        <f t="shared" ref="J2691:J2754" si="42">IF(OR(E2691&lt;&gt;E2690,D2691&lt;&gt;D2690),J2690+1,J2690)</f>
        <v>28</v>
      </c>
    </row>
    <row r="2692" spans="1:10" x14ac:dyDescent="0.25">
      <c r="A2692" s="4">
        <f>_xlfn.XLOOKUP(E2692,'Data Validation'!$M$3:$M$10,'Data Validation'!$N$3:$N$10)</f>
        <v>7</v>
      </c>
      <c r="B2692" s="4">
        <v>16</v>
      </c>
      <c r="C2692" s="4" t="s">
        <v>11</v>
      </c>
      <c r="D2692" s="7">
        <v>35.76</v>
      </c>
      <c r="E2692" s="4" t="s">
        <v>16</v>
      </c>
      <c r="F2692" s="4" t="s">
        <v>17</v>
      </c>
      <c r="G2692" s="4" t="s">
        <v>45</v>
      </c>
      <c r="H2692" s="4" t="s">
        <v>58</v>
      </c>
      <c r="I2692" s="5">
        <v>45621</v>
      </c>
      <c r="J2692" s="4">
        <f t="shared" si="42"/>
        <v>28</v>
      </c>
    </row>
    <row r="2693" spans="1:10" x14ac:dyDescent="0.25">
      <c r="A2693" s="4">
        <f>_xlfn.XLOOKUP(E2693,'Data Validation'!$M$3:$M$10,'Data Validation'!$N$3:$N$10)</f>
        <v>7</v>
      </c>
      <c r="B2693" s="4">
        <v>19</v>
      </c>
      <c r="C2693" s="4" t="s">
        <v>11</v>
      </c>
      <c r="D2693" s="7">
        <v>35.76</v>
      </c>
      <c r="E2693" s="4" t="s">
        <v>16</v>
      </c>
      <c r="F2693" s="4" t="s">
        <v>20</v>
      </c>
      <c r="G2693" s="4" t="s">
        <v>45</v>
      </c>
      <c r="H2693" s="4" t="s">
        <v>58</v>
      </c>
      <c r="I2693" s="5">
        <v>45621</v>
      </c>
      <c r="J2693" s="4">
        <f t="shared" si="42"/>
        <v>28</v>
      </c>
    </row>
    <row r="2694" spans="1:10" x14ac:dyDescent="0.25">
      <c r="A2694" s="4">
        <f>_xlfn.XLOOKUP(E2694,'Data Validation'!$M$3:$M$10,'Data Validation'!$N$3:$N$10)</f>
        <v>7</v>
      </c>
      <c r="B2694" s="4">
        <v>21</v>
      </c>
      <c r="C2694" s="4" t="s">
        <v>11</v>
      </c>
      <c r="D2694" s="7">
        <v>35.76</v>
      </c>
      <c r="E2694" s="4" t="s">
        <v>16</v>
      </c>
      <c r="F2694" s="4" t="s">
        <v>20</v>
      </c>
      <c r="G2694" s="4" t="s">
        <v>45</v>
      </c>
      <c r="H2694" s="4" t="s">
        <v>58</v>
      </c>
      <c r="I2694" s="5">
        <v>45621</v>
      </c>
      <c r="J2694" s="4">
        <f t="shared" si="42"/>
        <v>28</v>
      </c>
    </row>
    <row r="2695" spans="1:10" x14ac:dyDescent="0.25">
      <c r="A2695" s="4">
        <f>_xlfn.XLOOKUP(E2695,'Data Validation'!$M$3:$M$10,'Data Validation'!$N$3:$N$10)</f>
        <v>7</v>
      </c>
      <c r="B2695" s="4">
        <v>14</v>
      </c>
      <c r="C2695" s="4" t="s">
        <v>11</v>
      </c>
      <c r="D2695" s="7">
        <v>35.76</v>
      </c>
      <c r="E2695" s="4" t="s">
        <v>16</v>
      </c>
      <c r="F2695" s="4" t="s">
        <v>17</v>
      </c>
      <c r="G2695" s="4" t="s">
        <v>50</v>
      </c>
      <c r="H2695" s="4" t="s">
        <v>58</v>
      </c>
      <c r="I2695" s="5">
        <v>45626</v>
      </c>
      <c r="J2695" s="4">
        <f t="shared" si="42"/>
        <v>28</v>
      </c>
    </row>
    <row r="2696" spans="1:10" x14ac:dyDescent="0.25">
      <c r="A2696" s="4">
        <f>_xlfn.XLOOKUP(E2696,'Data Validation'!$M$3:$M$10,'Data Validation'!$N$3:$N$10)</f>
        <v>7</v>
      </c>
      <c r="B2696" s="4">
        <v>21</v>
      </c>
      <c r="C2696" s="4" t="s">
        <v>11</v>
      </c>
      <c r="D2696" s="7">
        <v>35.76</v>
      </c>
      <c r="E2696" s="4" t="s">
        <v>16</v>
      </c>
      <c r="F2696" s="4" t="s">
        <v>20</v>
      </c>
      <c r="G2696" s="4" t="s">
        <v>46</v>
      </c>
      <c r="H2696" s="4" t="s">
        <v>59</v>
      </c>
      <c r="I2696" s="5">
        <v>45629</v>
      </c>
      <c r="J2696" s="4">
        <f t="shared" si="42"/>
        <v>28</v>
      </c>
    </row>
    <row r="2697" spans="1:10" x14ac:dyDescent="0.25">
      <c r="A2697" s="4">
        <f>_xlfn.XLOOKUP(E2697,'Data Validation'!$M$3:$M$10,'Data Validation'!$N$3:$N$10)</f>
        <v>7</v>
      </c>
      <c r="B2697" s="4">
        <v>10</v>
      </c>
      <c r="C2697" s="4" t="s">
        <v>11</v>
      </c>
      <c r="D2697" s="7">
        <v>35.76</v>
      </c>
      <c r="E2697" s="4" t="s">
        <v>16</v>
      </c>
      <c r="F2697" s="4" t="s">
        <v>13</v>
      </c>
      <c r="G2697" s="4" t="s">
        <v>47</v>
      </c>
      <c r="H2697" s="4" t="s">
        <v>59</v>
      </c>
      <c r="I2697" s="5">
        <v>45630</v>
      </c>
      <c r="J2697" s="4">
        <f t="shared" si="42"/>
        <v>28</v>
      </c>
    </row>
    <row r="2698" spans="1:10" x14ac:dyDescent="0.25">
      <c r="A2698" s="4">
        <f>_xlfn.XLOOKUP(E2698,'Data Validation'!$M$3:$M$10,'Data Validation'!$N$3:$N$10)</f>
        <v>7</v>
      </c>
      <c r="B2698" s="4">
        <v>14</v>
      </c>
      <c r="C2698" s="4" t="s">
        <v>11</v>
      </c>
      <c r="D2698" s="7">
        <v>35.76</v>
      </c>
      <c r="E2698" s="4" t="s">
        <v>16</v>
      </c>
      <c r="F2698" s="4" t="s">
        <v>17</v>
      </c>
      <c r="G2698" s="4" t="s">
        <v>47</v>
      </c>
      <c r="H2698" s="4" t="s">
        <v>59</v>
      </c>
      <c r="I2698" s="5">
        <v>45630</v>
      </c>
      <c r="J2698" s="4">
        <f t="shared" si="42"/>
        <v>28</v>
      </c>
    </row>
    <row r="2699" spans="1:10" x14ac:dyDescent="0.25">
      <c r="A2699" s="4">
        <f>_xlfn.XLOOKUP(E2699,'Data Validation'!$M$3:$M$10,'Data Validation'!$N$3:$N$10)</f>
        <v>7</v>
      </c>
      <c r="B2699" s="4">
        <v>16</v>
      </c>
      <c r="C2699" s="4" t="s">
        <v>11</v>
      </c>
      <c r="D2699" s="7">
        <v>35.76</v>
      </c>
      <c r="E2699" s="4" t="s">
        <v>16</v>
      </c>
      <c r="F2699" s="4" t="s">
        <v>17</v>
      </c>
      <c r="G2699" s="4" t="s">
        <v>49</v>
      </c>
      <c r="H2699" s="4" t="s">
        <v>59</v>
      </c>
      <c r="I2699" s="5">
        <v>45632</v>
      </c>
      <c r="J2699" s="4">
        <f t="shared" si="42"/>
        <v>28</v>
      </c>
    </row>
    <row r="2700" spans="1:10" x14ac:dyDescent="0.25">
      <c r="A2700" s="4">
        <f>_xlfn.XLOOKUP(E2700,'Data Validation'!$M$3:$M$10,'Data Validation'!$N$3:$N$10)</f>
        <v>7</v>
      </c>
      <c r="B2700" s="4">
        <v>22</v>
      </c>
      <c r="C2700" s="4" t="s">
        <v>11</v>
      </c>
      <c r="D2700" s="7">
        <v>35.76</v>
      </c>
      <c r="E2700" s="4" t="s">
        <v>16</v>
      </c>
      <c r="F2700" s="4" t="s">
        <v>20</v>
      </c>
      <c r="G2700" s="4" t="s">
        <v>49</v>
      </c>
      <c r="H2700" s="4" t="s">
        <v>59</v>
      </c>
      <c r="I2700" s="5">
        <v>45632</v>
      </c>
      <c r="J2700" s="4">
        <f t="shared" si="42"/>
        <v>28</v>
      </c>
    </row>
    <row r="2701" spans="1:10" x14ac:dyDescent="0.25">
      <c r="A2701" s="4">
        <f>_xlfn.XLOOKUP(E2701,'Data Validation'!$M$3:$M$10,'Data Validation'!$N$3:$N$10)</f>
        <v>7</v>
      </c>
      <c r="B2701" s="4">
        <v>18</v>
      </c>
      <c r="C2701" s="4" t="s">
        <v>11</v>
      </c>
      <c r="D2701" s="7">
        <v>35.76</v>
      </c>
      <c r="E2701" s="4" t="s">
        <v>16</v>
      </c>
      <c r="F2701" s="4" t="s">
        <v>20</v>
      </c>
      <c r="G2701" s="4" t="s">
        <v>46</v>
      </c>
      <c r="H2701" s="4" t="s">
        <v>59</v>
      </c>
      <c r="I2701" s="5">
        <v>45636</v>
      </c>
      <c r="J2701" s="4">
        <f t="shared" si="42"/>
        <v>28</v>
      </c>
    </row>
    <row r="2702" spans="1:10" x14ac:dyDescent="0.25">
      <c r="A2702" s="4">
        <f>_xlfn.XLOOKUP(E2702,'Data Validation'!$M$3:$M$10,'Data Validation'!$N$3:$N$10)</f>
        <v>7</v>
      </c>
      <c r="B2702" s="4">
        <v>12</v>
      </c>
      <c r="C2702" s="4" t="s">
        <v>11</v>
      </c>
      <c r="D2702" s="7">
        <v>35.76</v>
      </c>
      <c r="E2702" s="4" t="s">
        <v>16</v>
      </c>
      <c r="F2702" s="4" t="s">
        <v>17</v>
      </c>
      <c r="G2702" s="4" t="s">
        <v>47</v>
      </c>
      <c r="H2702" s="4" t="s">
        <v>59</v>
      </c>
      <c r="I2702" s="5">
        <v>45637</v>
      </c>
      <c r="J2702" s="4">
        <f t="shared" si="42"/>
        <v>28</v>
      </c>
    </row>
    <row r="2703" spans="1:10" x14ac:dyDescent="0.25">
      <c r="A2703" s="4">
        <f>_xlfn.XLOOKUP(E2703,'Data Validation'!$M$3:$M$10,'Data Validation'!$N$3:$N$10)</f>
        <v>7</v>
      </c>
      <c r="B2703" s="4">
        <v>12</v>
      </c>
      <c r="C2703" s="4" t="s">
        <v>11</v>
      </c>
      <c r="D2703" s="7">
        <v>35.76</v>
      </c>
      <c r="E2703" s="4" t="s">
        <v>16</v>
      </c>
      <c r="F2703" s="4" t="s">
        <v>17</v>
      </c>
      <c r="G2703" s="4" t="s">
        <v>49</v>
      </c>
      <c r="H2703" s="4" t="s">
        <v>59</v>
      </c>
      <c r="I2703" s="5">
        <v>45639</v>
      </c>
      <c r="J2703" s="4">
        <f t="shared" si="42"/>
        <v>28</v>
      </c>
    </row>
    <row r="2704" spans="1:10" x14ac:dyDescent="0.25">
      <c r="A2704" s="4">
        <f>_xlfn.XLOOKUP(E2704,'Data Validation'!$M$3:$M$10,'Data Validation'!$N$3:$N$10)</f>
        <v>7</v>
      </c>
      <c r="B2704" s="4">
        <v>14</v>
      </c>
      <c r="C2704" s="4" t="s">
        <v>11</v>
      </c>
      <c r="D2704" s="7">
        <v>35.76</v>
      </c>
      <c r="E2704" s="4" t="s">
        <v>16</v>
      </c>
      <c r="F2704" s="4" t="s">
        <v>17</v>
      </c>
      <c r="G2704" s="4" t="s">
        <v>49</v>
      </c>
      <c r="H2704" s="4" t="s">
        <v>59</v>
      </c>
      <c r="I2704" s="5">
        <v>45639</v>
      </c>
      <c r="J2704" s="4">
        <f t="shared" si="42"/>
        <v>28</v>
      </c>
    </row>
    <row r="2705" spans="1:10" x14ac:dyDescent="0.25">
      <c r="A2705" s="4">
        <f>_xlfn.XLOOKUP(E2705,'Data Validation'!$M$3:$M$10,'Data Validation'!$N$3:$N$10)</f>
        <v>7</v>
      </c>
      <c r="B2705" s="4">
        <v>17</v>
      </c>
      <c r="C2705" s="4" t="s">
        <v>11</v>
      </c>
      <c r="D2705" s="7">
        <v>35.76</v>
      </c>
      <c r="E2705" s="4" t="s">
        <v>16</v>
      </c>
      <c r="F2705" s="4" t="s">
        <v>20</v>
      </c>
      <c r="G2705" s="4" t="s">
        <v>51</v>
      </c>
      <c r="H2705" s="4" t="s">
        <v>59</v>
      </c>
      <c r="I2705" s="5">
        <v>45641</v>
      </c>
      <c r="J2705" s="4">
        <f t="shared" si="42"/>
        <v>28</v>
      </c>
    </row>
    <row r="2706" spans="1:10" x14ac:dyDescent="0.25">
      <c r="A2706" s="4">
        <f>_xlfn.XLOOKUP(E2706,'Data Validation'!$M$3:$M$10,'Data Validation'!$N$3:$N$10)</f>
        <v>7</v>
      </c>
      <c r="B2706" s="4">
        <v>8</v>
      </c>
      <c r="C2706" s="4" t="s">
        <v>11</v>
      </c>
      <c r="D2706" s="7">
        <v>35.76</v>
      </c>
      <c r="E2706" s="4" t="s">
        <v>16</v>
      </c>
      <c r="F2706" s="4" t="s">
        <v>13</v>
      </c>
      <c r="G2706" s="4" t="s">
        <v>45</v>
      </c>
      <c r="H2706" s="4" t="s">
        <v>59</v>
      </c>
      <c r="I2706" s="5">
        <v>45642</v>
      </c>
      <c r="J2706" s="4">
        <f t="shared" si="42"/>
        <v>28</v>
      </c>
    </row>
    <row r="2707" spans="1:10" x14ac:dyDescent="0.25">
      <c r="A2707" s="4">
        <f>_xlfn.XLOOKUP(E2707,'Data Validation'!$M$3:$M$10,'Data Validation'!$N$3:$N$10)</f>
        <v>7</v>
      </c>
      <c r="B2707" s="4">
        <v>14</v>
      </c>
      <c r="C2707" s="4" t="s">
        <v>11</v>
      </c>
      <c r="D2707" s="7">
        <v>35.76</v>
      </c>
      <c r="E2707" s="4" t="s">
        <v>16</v>
      </c>
      <c r="F2707" s="4" t="s">
        <v>17</v>
      </c>
      <c r="G2707" s="4" t="s">
        <v>45</v>
      </c>
      <c r="H2707" s="4" t="s">
        <v>59</v>
      </c>
      <c r="I2707" s="5">
        <v>45642</v>
      </c>
      <c r="J2707" s="4">
        <f t="shared" si="42"/>
        <v>28</v>
      </c>
    </row>
    <row r="2708" spans="1:10" x14ac:dyDescent="0.25">
      <c r="A2708" s="4">
        <f>_xlfn.XLOOKUP(E2708,'Data Validation'!$M$3:$M$10,'Data Validation'!$N$3:$N$10)</f>
        <v>7</v>
      </c>
      <c r="B2708" s="4">
        <v>10</v>
      </c>
      <c r="C2708" s="4" t="s">
        <v>11</v>
      </c>
      <c r="D2708" s="7">
        <v>35.76</v>
      </c>
      <c r="E2708" s="4" t="s">
        <v>16</v>
      </c>
      <c r="F2708" s="4" t="s">
        <v>13</v>
      </c>
      <c r="G2708" s="4" t="s">
        <v>48</v>
      </c>
      <c r="H2708" s="4" t="s">
        <v>59</v>
      </c>
      <c r="I2708" s="5">
        <v>45645</v>
      </c>
      <c r="J2708" s="4">
        <f t="shared" si="42"/>
        <v>28</v>
      </c>
    </row>
    <row r="2709" spans="1:10" x14ac:dyDescent="0.25">
      <c r="A2709" s="4">
        <f>_xlfn.XLOOKUP(E2709,'Data Validation'!$M$3:$M$10,'Data Validation'!$N$3:$N$10)</f>
        <v>7</v>
      </c>
      <c r="B2709" s="4">
        <v>13</v>
      </c>
      <c r="C2709" s="4" t="s">
        <v>11</v>
      </c>
      <c r="D2709" s="7">
        <v>35.76</v>
      </c>
      <c r="E2709" s="4" t="s">
        <v>16</v>
      </c>
      <c r="F2709" s="4" t="s">
        <v>17</v>
      </c>
      <c r="G2709" s="4" t="s">
        <v>48</v>
      </c>
      <c r="H2709" s="4" t="s">
        <v>59</v>
      </c>
      <c r="I2709" s="5">
        <v>45645</v>
      </c>
      <c r="J2709" s="4">
        <f t="shared" si="42"/>
        <v>28</v>
      </c>
    </row>
    <row r="2710" spans="1:10" x14ac:dyDescent="0.25">
      <c r="A2710" s="4">
        <f>_xlfn.XLOOKUP(E2710,'Data Validation'!$M$3:$M$10,'Data Validation'!$N$3:$N$10)</f>
        <v>7</v>
      </c>
      <c r="B2710" s="4">
        <v>19</v>
      </c>
      <c r="C2710" s="4" t="s">
        <v>11</v>
      </c>
      <c r="D2710" s="7">
        <v>35.76</v>
      </c>
      <c r="E2710" s="4" t="s">
        <v>16</v>
      </c>
      <c r="F2710" s="4" t="s">
        <v>20</v>
      </c>
      <c r="G2710" s="4" t="s">
        <v>48</v>
      </c>
      <c r="H2710" s="4" t="s">
        <v>59</v>
      </c>
      <c r="I2710" s="5">
        <v>45645</v>
      </c>
      <c r="J2710" s="4">
        <f t="shared" si="42"/>
        <v>28</v>
      </c>
    </row>
    <row r="2711" spans="1:10" x14ac:dyDescent="0.25">
      <c r="A2711" s="4">
        <f>_xlfn.XLOOKUP(E2711,'Data Validation'!$M$3:$M$10,'Data Validation'!$N$3:$N$10)</f>
        <v>7</v>
      </c>
      <c r="B2711" s="4">
        <v>15</v>
      </c>
      <c r="C2711" s="4" t="s">
        <v>11</v>
      </c>
      <c r="D2711" s="7">
        <v>35.76</v>
      </c>
      <c r="E2711" s="4" t="s">
        <v>16</v>
      </c>
      <c r="F2711" s="4" t="s">
        <v>17</v>
      </c>
      <c r="G2711" s="4" t="s">
        <v>50</v>
      </c>
      <c r="H2711" s="4" t="s">
        <v>59</v>
      </c>
      <c r="I2711" s="5">
        <v>45647</v>
      </c>
      <c r="J2711" s="4">
        <f t="shared" si="42"/>
        <v>28</v>
      </c>
    </row>
    <row r="2712" spans="1:10" x14ac:dyDescent="0.25">
      <c r="A2712" s="4">
        <f>_xlfn.XLOOKUP(E2712,'Data Validation'!$M$3:$M$10,'Data Validation'!$N$3:$N$10)</f>
        <v>7</v>
      </c>
      <c r="B2712" s="4">
        <v>18</v>
      </c>
      <c r="C2712" s="4" t="s">
        <v>11</v>
      </c>
      <c r="D2712" s="7">
        <v>35.76</v>
      </c>
      <c r="E2712" s="4" t="s">
        <v>16</v>
      </c>
      <c r="F2712" s="4" t="s">
        <v>20</v>
      </c>
      <c r="G2712" s="4" t="s">
        <v>50</v>
      </c>
      <c r="H2712" s="4" t="s">
        <v>59</v>
      </c>
      <c r="I2712" s="5">
        <v>45647</v>
      </c>
      <c r="J2712" s="4">
        <f t="shared" si="42"/>
        <v>28</v>
      </c>
    </row>
    <row r="2713" spans="1:10" x14ac:dyDescent="0.25">
      <c r="A2713" s="4">
        <f>_xlfn.XLOOKUP(E2713,'Data Validation'!$M$3:$M$10,'Data Validation'!$N$3:$N$10)</f>
        <v>7</v>
      </c>
      <c r="B2713" s="4">
        <v>19</v>
      </c>
      <c r="C2713" s="4" t="s">
        <v>11</v>
      </c>
      <c r="D2713" s="7">
        <v>35.76</v>
      </c>
      <c r="E2713" s="4" t="s">
        <v>16</v>
      </c>
      <c r="F2713" s="4" t="s">
        <v>20</v>
      </c>
      <c r="G2713" s="4" t="s">
        <v>51</v>
      </c>
      <c r="H2713" s="4" t="s">
        <v>59</v>
      </c>
      <c r="I2713" s="5">
        <v>45648</v>
      </c>
      <c r="J2713" s="4">
        <f t="shared" si="42"/>
        <v>28</v>
      </c>
    </row>
    <row r="2714" spans="1:10" x14ac:dyDescent="0.25">
      <c r="A2714" s="4">
        <f>_xlfn.XLOOKUP(E2714,'Data Validation'!$M$3:$M$10,'Data Validation'!$N$3:$N$10)</f>
        <v>7</v>
      </c>
      <c r="B2714" s="4">
        <v>19</v>
      </c>
      <c r="C2714" s="4" t="s">
        <v>11</v>
      </c>
      <c r="D2714" s="7">
        <v>35.76</v>
      </c>
      <c r="E2714" s="4" t="s">
        <v>16</v>
      </c>
      <c r="F2714" s="4" t="s">
        <v>20</v>
      </c>
      <c r="G2714" s="4" t="s">
        <v>51</v>
      </c>
      <c r="H2714" s="4" t="s">
        <v>59</v>
      </c>
      <c r="I2714" s="5">
        <v>45648</v>
      </c>
      <c r="J2714" s="4">
        <f t="shared" si="42"/>
        <v>28</v>
      </c>
    </row>
    <row r="2715" spans="1:10" x14ac:dyDescent="0.25">
      <c r="A2715" s="4">
        <f>_xlfn.XLOOKUP(E2715,'Data Validation'!$M$3:$M$10,'Data Validation'!$N$3:$N$10)</f>
        <v>7</v>
      </c>
      <c r="B2715" s="4">
        <v>20</v>
      </c>
      <c r="C2715" s="4" t="s">
        <v>11</v>
      </c>
      <c r="D2715" s="7">
        <v>35.76</v>
      </c>
      <c r="E2715" s="4" t="s">
        <v>16</v>
      </c>
      <c r="F2715" s="4" t="s">
        <v>20</v>
      </c>
      <c r="G2715" s="4" t="s">
        <v>51</v>
      </c>
      <c r="H2715" s="4" t="s">
        <v>59</v>
      </c>
      <c r="I2715" s="5">
        <v>45648</v>
      </c>
      <c r="J2715" s="4">
        <f t="shared" si="42"/>
        <v>28</v>
      </c>
    </row>
    <row r="2716" spans="1:10" x14ac:dyDescent="0.25">
      <c r="A2716" s="4">
        <f>_xlfn.XLOOKUP(E2716,'Data Validation'!$M$3:$M$10,'Data Validation'!$N$3:$N$10)</f>
        <v>7</v>
      </c>
      <c r="B2716" s="4">
        <v>16</v>
      </c>
      <c r="C2716" s="4" t="s">
        <v>11</v>
      </c>
      <c r="D2716" s="7">
        <v>35.76</v>
      </c>
      <c r="E2716" s="4" t="s">
        <v>16</v>
      </c>
      <c r="F2716" s="4" t="s">
        <v>17</v>
      </c>
      <c r="G2716" s="4" t="s">
        <v>46</v>
      </c>
      <c r="H2716" s="4" t="s">
        <v>59</v>
      </c>
      <c r="I2716" s="5">
        <v>45650</v>
      </c>
      <c r="J2716" s="4">
        <f t="shared" si="42"/>
        <v>28</v>
      </c>
    </row>
    <row r="2717" spans="1:10" x14ac:dyDescent="0.25">
      <c r="A2717" s="4">
        <f>_xlfn.XLOOKUP(E2717,'Data Validation'!$M$3:$M$10,'Data Validation'!$N$3:$N$10)</f>
        <v>7</v>
      </c>
      <c r="B2717" s="4">
        <v>19</v>
      </c>
      <c r="C2717" s="4" t="s">
        <v>11</v>
      </c>
      <c r="D2717" s="7">
        <v>35.76</v>
      </c>
      <c r="E2717" s="4" t="s">
        <v>16</v>
      </c>
      <c r="F2717" s="4" t="s">
        <v>20</v>
      </c>
      <c r="G2717" s="4" t="s">
        <v>46</v>
      </c>
      <c r="H2717" s="4" t="s">
        <v>59</v>
      </c>
      <c r="I2717" s="5">
        <v>45650</v>
      </c>
      <c r="J2717" s="4">
        <f t="shared" si="42"/>
        <v>28</v>
      </c>
    </row>
    <row r="2718" spans="1:10" x14ac:dyDescent="0.25">
      <c r="A2718" s="4">
        <f>_xlfn.XLOOKUP(E2718,'Data Validation'!$M$3:$M$10,'Data Validation'!$N$3:$N$10)</f>
        <v>7</v>
      </c>
      <c r="B2718" s="4">
        <v>14</v>
      </c>
      <c r="C2718" s="4" t="s">
        <v>11</v>
      </c>
      <c r="D2718" s="7">
        <v>35.76</v>
      </c>
      <c r="E2718" s="4" t="s">
        <v>16</v>
      </c>
      <c r="F2718" s="4" t="s">
        <v>17</v>
      </c>
      <c r="G2718" s="4" t="s">
        <v>50</v>
      </c>
      <c r="H2718" s="4" t="s">
        <v>59</v>
      </c>
      <c r="I2718" s="5">
        <v>45654</v>
      </c>
      <c r="J2718" s="4">
        <f t="shared" si="42"/>
        <v>28</v>
      </c>
    </row>
    <row r="2719" spans="1:10" x14ac:dyDescent="0.25">
      <c r="A2719" s="4">
        <f>_xlfn.XLOOKUP(E2719,'Data Validation'!$M$3:$M$10,'Data Validation'!$N$3:$N$10)</f>
        <v>7</v>
      </c>
      <c r="B2719" s="4">
        <v>20</v>
      </c>
      <c r="C2719" s="4" t="s">
        <v>11</v>
      </c>
      <c r="D2719" s="7">
        <v>35.76</v>
      </c>
      <c r="E2719" s="4" t="s">
        <v>16</v>
      </c>
      <c r="F2719" s="4" t="s">
        <v>20</v>
      </c>
      <c r="G2719" s="4" t="s">
        <v>51</v>
      </c>
      <c r="H2719" s="4" t="s">
        <v>59</v>
      </c>
      <c r="I2719" s="5">
        <v>45655</v>
      </c>
      <c r="J2719" s="4">
        <f t="shared" si="42"/>
        <v>28</v>
      </c>
    </row>
    <row r="2720" spans="1:10" x14ac:dyDescent="0.25">
      <c r="A2720" s="4">
        <f>_xlfn.XLOOKUP(E2720,'Data Validation'!$M$3:$M$10,'Data Validation'!$N$3:$N$10)</f>
        <v>7</v>
      </c>
      <c r="B2720" s="4">
        <v>13</v>
      </c>
      <c r="C2720" s="4" t="s">
        <v>11</v>
      </c>
      <c r="D2720" s="7">
        <v>35.76</v>
      </c>
      <c r="E2720" s="4" t="s">
        <v>16</v>
      </c>
      <c r="F2720" s="4" t="s">
        <v>17</v>
      </c>
      <c r="G2720" s="4" t="s">
        <v>45</v>
      </c>
      <c r="H2720" s="4" t="s">
        <v>59</v>
      </c>
      <c r="I2720" s="5">
        <v>45656</v>
      </c>
      <c r="J2720" s="4">
        <f t="shared" si="42"/>
        <v>28</v>
      </c>
    </row>
    <row r="2721" spans="1:10" x14ac:dyDescent="0.25">
      <c r="A2721" s="4">
        <f>_xlfn.XLOOKUP(E2721,'Data Validation'!$M$3:$M$10,'Data Validation'!$N$3:$N$10)</f>
        <v>7</v>
      </c>
      <c r="B2721" s="4">
        <v>19</v>
      </c>
      <c r="C2721" s="4" t="s">
        <v>11</v>
      </c>
      <c r="D2721" s="7">
        <v>35.76</v>
      </c>
      <c r="E2721" s="4" t="s">
        <v>16</v>
      </c>
      <c r="F2721" s="4" t="s">
        <v>20</v>
      </c>
      <c r="G2721" s="4" t="s">
        <v>46</v>
      </c>
      <c r="H2721" s="4" t="s">
        <v>59</v>
      </c>
      <c r="I2721" s="5">
        <v>45657</v>
      </c>
      <c r="J2721" s="4">
        <f t="shared" si="42"/>
        <v>28</v>
      </c>
    </row>
    <row r="2722" spans="1:10" x14ac:dyDescent="0.25">
      <c r="A2722" s="4">
        <f>_xlfn.XLOOKUP(E2722,'Data Validation'!$M$3:$M$10,'Data Validation'!$N$3:$N$10)</f>
        <v>7</v>
      </c>
      <c r="B2722" s="4">
        <v>16</v>
      </c>
      <c r="C2722" s="4" t="s">
        <v>11</v>
      </c>
      <c r="D2722" s="7">
        <v>35.76</v>
      </c>
      <c r="E2722" s="4" t="s">
        <v>16</v>
      </c>
      <c r="F2722" s="4" t="s">
        <v>17</v>
      </c>
      <c r="G2722" s="4" t="s">
        <v>48</v>
      </c>
      <c r="H2722" s="4" t="s">
        <v>42</v>
      </c>
      <c r="I2722" s="5">
        <v>45659</v>
      </c>
      <c r="J2722" s="4">
        <f t="shared" si="42"/>
        <v>28</v>
      </c>
    </row>
    <row r="2723" spans="1:10" x14ac:dyDescent="0.25">
      <c r="A2723" s="4">
        <f>_xlfn.XLOOKUP(E2723,'Data Validation'!$M$3:$M$10,'Data Validation'!$N$3:$N$10)</f>
        <v>7</v>
      </c>
      <c r="B2723" s="4">
        <v>17</v>
      </c>
      <c r="C2723" s="4" t="s">
        <v>11</v>
      </c>
      <c r="D2723" s="7">
        <v>35.76</v>
      </c>
      <c r="E2723" s="4" t="s">
        <v>16</v>
      </c>
      <c r="F2723" s="4" t="s">
        <v>20</v>
      </c>
      <c r="G2723" s="4" t="s">
        <v>49</v>
      </c>
      <c r="H2723" s="4" t="s">
        <v>42</v>
      </c>
      <c r="I2723" s="5">
        <v>45667</v>
      </c>
      <c r="J2723" s="4">
        <f t="shared" si="42"/>
        <v>28</v>
      </c>
    </row>
    <row r="2724" spans="1:10" x14ac:dyDescent="0.25">
      <c r="A2724" s="4">
        <f>_xlfn.XLOOKUP(E2724,'Data Validation'!$M$3:$M$10,'Data Validation'!$N$3:$N$10)</f>
        <v>7</v>
      </c>
      <c r="B2724" s="4">
        <v>10</v>
      </c>
      <c r="C2724" s="4" t="s">
        <v>11</v>
      </c>
      <c r="D2724" s="7">
        <v>35.76</v>
      </c>
      <c r="E2724" s="4" t="s">
        <v>16</v>
      </c>
      <c r="F2724" s="4" t="s">
        <v>13</v>
      </c>
      <c r="G2724" s="4" t="s">
        <v>50</v>
      </c>
      <c r="H2724" s="4" t="s">
        <v>42</v>
      </c>
      <c r="I2724" s="5">
        <v>45668</v>
      </c>
      <c r="J2724" s="4">
        <f t="shared" si="42"/>
        <v>28</v>
      </c>
    </row>
    <row r="2725" spans="1:10" x14ac:dyDescent="0.25">
      <c r="A2725" s="4">
        <f>_xlfn.XLOOKUP(E2725,'Data Validation'!$M$3:$M$10,'Data Validation'!$N$3:$N$10)</f>
        <v>7</v>
      </c>
      <c r="B2725" s="4">
        <v>16</v>
      </c>
      <c r="C2725" s="4" t="s">
        <v>11</v>
      </c>
      <c r="D2725" s="7">
        <v>35.76</v>
      </c>
      <c r="E2725" s="4" t="s">
        <v>16</v>
      </c>
      <c r="F2725" s="4" t="s">
        <v>17</v>
      </c>
      <c r="G2725" s="4" t="s">
        <v>51</v>
      </c>
      <c r="H2725" s="4" t="s">
        <v>42</v>
      </c>
      <c r="I2725" s="5">
        <v>45669</v>
      </c>
      <c r="J2725" s="4">
        <f t="shared" si="42"/>
        <v>28</v>
      </c>
    </row>
    <row r="2726" spans="1:10" x14ac:dyDescent="0.25">
      <c r="A2726" s="4">
        <f>_xlfn.XLOOKUP(E2726,'Data Validation'!$M$3:$M$10,'Data Validation'!$N$3:$N$10)</f>
        <v>7</v>
      </c>
      <c r="B2726" s="4">
        <v>21</v>
      </c>
      <c r="C2726" s="4" t="s">
        <v>11</v>
      </c>
      <c r="D2726" s="7">
        <v>35.76</v>
      </c>
      <c r="E2726" s="4" t="s">
        <v>16</v>
      </c>
      <c r="F2726" s="4" t="s">
        <v>20</v>
      </c>
      <c r="G2726" s="4" t="s">
        <v>48</v>
      </c>
      <c r="H2726" s="4" t="s">
        <v>42</v>
      </c>
      <c r="I2726" s="5">
        <v>45673</v>
      </c>
      <c r="J2726" s="4">
        <f t="shared" si="42"/>
        <v>28</v>
      </c>
    </row>
    <row r="2727" spans="1:10" x14ac:dyDescent="0.25">
      <c r="A2727" s="4">
        <f>_xlfn.XLOOKUP(E2727,'Data Validation'!$M$3:$M$10,'Data Validation'!$N$3:$N$10)</f>
        <v>7</v>
      </c>
      <c r="B2727" s="4">
        <v>21</v>
      </c>
      <c r="C2727" s="4" t="s">
        <v>11</v>
      </c>
      <c r="D2727" s="7">
        <v>35.76</v>
      </c>
      <c r="E2727" s="4" t="s">
        <v>16</v>
      </c>
      <c r="F2727" s="4" t="s">
        <v>20</v>
      </c>
      <c r="G2727" s="4" t="s">
        <v>48</v>
      </c>
      <c r="H2727" s="4" t="s">
        <v>42</v>
      </c>
      <c r="I2727" s="5">
        <v>45673</v>
      </c>
      <c r="J2727" s="4">
        <f t="shared" si="42"/>
        <v>28</v>
      </c>
    </row>
    <row r="2728" spans="1:10" x14ac:dyDescent="0.25">
      <c r="A2728" s="4">
        <f>_xlfn.XLOOKUP(E2728,'Data Validation'!$M$3:$M$10,'Data Validation'!$N$3:$N$10)</f>
        <v>7</v>
      </c>
      <c r="B2728" s="4">
        <v>17</v>
      </c>
      <c r="C2728" s="4" t="s">
        <v>11</v>
      </c>
      <c r="D2728" s="7">
        <v>35.76</v>
      </c>
      <c r="E2728" s="4" t="s">
        <v>16</v>
      </c>
      <c r="F2728" s="4" t="s">
        <v>20</v>
      </c>
      <c r="G2728" s="4" t="s">
        <v>49</v>
      </c>
      <c r="H2728" s="4" t="s">
        <v>42</v>
      </c>
      <c r="I2728" s="5">
        <v>45674</v>
      </c>
      <c r="J2728" s="4">
        <f t="shared" si="42"/>
        <v>28</v>
      </c>
    </row>
    <row r="2729" spans="1:10" x14ac:dyDescent="0.25">
      <c r="A2729" s="4">
        <f>_xlfn.XLOOKUP(E2729,'Data Validation'!$M$3:$M$10,'Data Validation'!$N$3:$N$10)</f>
        <v>7</v>
      </c>
      <c r="B2729" s="4">
        <v>21</v>
      </c>
      <c r="C2729" s="4" t="s">
        <v>11</v>
      </c>
      <c r="D2729" s="7">
        <v>35.76</v>
      </c>
      <c r="E2729" s="4" t="s">
        <v>16</v>
      </c>
      <c r="F2729" s="4" t="s">
        <v>20</v>
      </c>
      <c r="G2729" s="4" t="s">
        <v>49</v>
      </c>
      <c r="H2729" s="4" t="s">
        <v>42</v>
      </c>
      <c r="I2729" s="5">
        <v>45674</v>
      </c>
      <c r="J2729" s="4">
        <f t="shared" si="42"/>
        <v>28</v>
      </c>
    </row>
    <row r="2730" spans="1:10" x14ac:dyDescent="0.25">
      <c r="A2730" s="4">
        <f>_xlfn.XLOOKUP(E2730,'Data Validation'!$M$3:$M$10,'Data Validation'!$N$3:$N$10)</f>
        <v>7</v>
      </c>
      <c r="B2730" s="4">
        <v>16</v>
      </c>
      <c r="C2730" s="4" t="s">
        <v>11</v>
      </c>
      <c r="D2730" s="7">
        <v>35.76</v>
      </c>
      <c r="E2730" s="4" t="s">
        <v>16</v>
      </c>
      <c r="F2730" s="4" t="s">
        <v>17</v>
      </c>
      <c r="G2730" s="4" t="s">
        <v>50</v>
      </c>
      <c r="H2730" s="4" t="s">
        <v>42</v>
      </c>
      <c r="I2730" s="5">
        <v>45675</v>
      </c>
      <c r="J2730" s="4">
        <f t="shared" si="42"/>
        <v>28</v>
      </c>
    </row>
    <row r="2731" spans="1:10" x14ac:dyDescent="0.25">
      <c r="A2731" s="4">
        <f>_xlfn.XLOOKUP(E2731,'Data Validation'!$M$3:$M$10,'Data Validation'!$N$3:$N$10)</f>
        <v>7</v>
      </c>
      <c r="B2731" s="4">
        <v>16</v>
      </c>
      <c r="C2731" s="4" t="s">
        <v>11</v>
      </c>
      <c r="D2731" s="7">
        <v>35.76</v>
      </c>
      <c r="E2731" s="4" t="s">
        <v>16</v>
      </c>
      <c r="F2731" s="4" t="s">
        <v>17</v>
      </c>
      <c r="G2731" s="4" t="s">
        <v>50</v>
      </c>
      <c r="H2731" s="4" t="s">
        <v>42</v>
      </c>
      <c r="I2731" s="5">
        <v>45675</v>
      </c>
      <c r="J2731" s="4">
        <f t="shared" si="42"/>
        <v>28</v>
      </c>
    </row>
    <row r="2732" spans="1:10" x14ac:dyDescent="0.25">
      <c r="A2732" s="4">
        <f>_xlfn.XLOOKUP(E2732,'Data Validation'!$M$3:$M$10,'Data Validation'!$N$3:$N$10)</f>
        <v>7</v>
      </c>
      <c r="B2732" s="4">
        <v>20</v>
      </c>
      <c r="C2732" s="4" t="s">
        <v>11</v>
      </c>
      <c r="D2732" s="7">
        <v>35.76</v>
      </c>
      <c r="E2732" s="4" t="s">
        <v>16</v>
      </c>
      <c r="F2732" s="4" t="s">
        <v>20</v>
      </c>
      <c r="G2732" s="4" t="s">
        <v>45</v>
      </c>
      <c r="H2732" s="4" t="s">
        <v>42</v>
      </c>
      <c r="I2732" s="5">
        <v>45677</v>
      </c>
      <c r="J2732" s="4">
        <f t="shared" si="42"/>
        <v>28</v>
      </c>
    </row>
    <row r="2733" spans="1:10" x14ac:dyDescent="0.25">
      <c r="A2733" s="4">
        <f>_xlfn.XLOOKUP(E2733,'Data Validation'!$M$3:$M$10,'Data Validation'!$N$3:$N$10)</f>
        <v>7</v>
      </c>
      <c r="B2733" s="4">
        <v>18</v>
      </c>
      <c r="C2733" s="4" t="s">
        <v>11</v>
      </c>
      <c r="D2733" s="7">
        <v>35.76</v>
      </c>
      <c r="E2733" s="4" t="s">
        <v>16</v>
      </c>
      <c r="F2733" s="4" t="s">
        <v>20</v>
      </c>
      <c r="G2733" s="4" t="s">
        <v>46</v>
      </c>
      <c r="H2733" s="4" t="s">
        <v>42</v>
      </c>
      <c r="I2733" s="5">
        <v>45678</v>
      </c>
      <c r="J2733" s="4">
        <f t="shared" si="42"/>
        <v>28</v>
      </c>
    </row>
    <row r="2734" spans="1:10" x14ac:dyDescent="0.25">
      <c r="A2734" s="4">
        <f>_xlfn.XLOOKUP(E2734,'Data Validation'!$M$3:$M$10,'Data Validation'!$N$3:$N$10)</f>
        <v>7</v>
      </c>
      <c r="B2734" s="4">
        <v>22</v>
      </c>
      <c r="C2734" s="4" t="s">
        <v>11</v>
      </c>
      <c r="D2734" s="7">
        <v>35.76</v>
      </c>
      <c r="E2734" s="4" t="s">
        <v>16</v>
      </c>
      <c r="F2734" s="4" t="s">
        <v>20</v>
      </c>
      <c r="G2734" s="4" t="s">
        <v>49</v>
      </c>
      <c r="H2734" s="4" t="s">
        <v>42</v>
      </c>
      <c r="I2734" s="5">
        <v>45681</v>
      </c>
      <c r="J2734" s="4">
        <f t="shared" si="42"/>
        <v>28</v>
      </c>
    </row>
    <row r="2735" spans="1:10" x14ac:dyDescent="0.25">
      <c r="A2735" s="4">
        <f>_xlfn.XLOOKUP(E2735,'Data Validation'!$M$3:$M$10,'Data Validation'!$N$3:$N$10)</f>
        <v>7</v>
      </c>
      <c r="B2735" s="4">
        <v>12</v>
      </c>
      <c r="C2735" s="4" t="s">
        <v>11</v>
      </c>
      <c r="D2735" s="7">
        <v>35.76</v>
      </c>
      <c r="E2735" s="4" t="s">
        <v>16</v>
      </c>
      <c r="F2735" s="4" t="s">
        <v>17</v>
      </c>
      <c r="G2735" s="4" t="s">
        <v>48</v>
      </c>
      <c r="H2735" s="4" t="s">
        <v>42</v>
      </c>
      <c r="I2735" s="5">
        <v>45687</v>
      </c>
      <c r="J2735" s="4">
        <f t="shared" si="42"/>
        <v>28</v>
      </c>
    </row>
    <row r="2736" spans="1:10" x14ac:dyDescent="0.25">
      <c r="A2736" s="4">
        <f>_xlfn.XLOOKUP(E2736,'Data Validation'!$M$3:$M$10,'Data Validation'!$N$3:$N$10)</f>
        <v>7</v>
      </c>
      <c r="B2736" s="4">
        <v>17</v>
      </c>
      <c r="C2736" s="4" t="s">
        <v>11</v>
      </c>
      <c r="D2736" s="7">
        <v>35.76</v>
      </c>
      <c r="E2736" s="4" t="s">
        <v>16</v>
      </c>
      <c r="F2736" s="4" t="s">
        <v>20</v>
      </c>
      <c r="G2736" s="4" t="s">
        <v>48</v>
      </c>
      <c r="H2736" s="4" t="s">
        <v>42</v>
      </c>
      <c r="I2736" s="5">
        <v>45687</v>
      </c>
      <c r="J2736" s="4">
        <f t="shared" si="42"/>
        <v>28</v>
      </c>
    </row>
    <row r="2737" spans="1:10" x14ac:dyDescent="0.25">
      <c r="A2737" s="4">
        <f>_xlfn.XLOOKUP(E2737,'Data Validation'!$M$3:$M$10,'Data Validation'!$N$3:$N$10)</f>
        <v>7</v>
      </c>
      <c r="B2737" s="4">
        <v>17</v>
      </c>
      <c r="C2737" s="4" t="s">
        <v>11</v>
      </c>
      <c r="D2737" s="7">
        <v>35.76</v>
      </c>
      <c r="E2737" s="4" t="s">
        <v>16</v>
      </c>
      <c r="F2737" s="4" t="s">
        <v>20</v>
      </c>
      <c r="G2737" s="4" t="s">
        <v>45</v>
      </c>
      <c r="H2737" s="4" t="s">
        <v>43</v>
      </c>
      <c r="I2737" s="5">
        <v>45691</v>
      </c>
      <c r="J2737" s="4">
        <f t="shared" si="42"/>
        <v>28</v>
      </c>
    </row>
    <row r="2738" spans="1:10" x14ac:dyDescent="0.25">
      <c r="A2738" s="4">
        <f>_xlfn.XLOOKUP(E2738,'Data Validation'!$M$3:$M$10,'Data Validation'!$N$3:$N$10)</f>
        <v>7</v>
      </c>
      <c r="B2738" s="4">
        <v>17</v>
      </c>
      <c r="C2738" s="4" t="s">
        <v>11</v>
      </c>
      <c r="D2738" s="7">
        <v>35.76</v>
      </c>
      <c r="E2738" s="4" t="s">
        <v>16</v>
      </c>
      <c r="F2738" s="4" t="s">
        <v>20</v>
      </c>
      <c r="G2738" s="4" t="s">
        <v>45</v>
      </c>
      <c r="H2738" s="4" t="s">
        <v>43</v>
      </c>
      <c r="I2738" s="5">
        <v>45691</v>
      </c>
      <c r="J2738" s="4">
        <f t="shared" si="42"/>
        <v>28</v>
      </c>
    </row>
    <row r="2739" spans="1:10" x14ac:dyDescent="0.25">
      <c r="A2739" s="4">
        <f>_xlfn.XLOOKUP(E2739,'Data Validation'!$M$3:$M$10,'Data Validation'!$N$3:$N$10)</f>
        <v>7</v>
      </c>
      <c r="B2739" s="4">
        <v>16</v>
      </c>
      <c r="C2739" s="4" t="s">
        <v>11</v>
      </c>
      <c r="D2739" s="7">
        <v>35.76</v>
      </c>
      <c r="E2739" s="4" t="s">
        <v>16</v>
      </c>
      <c r="F2739" s="4" t="s">
        <v>17</v>
      </c>
      <c r="G2739" s="4" t="s">
        <v>47</v>
      </c>
      <c r="H2739" s="4" t="s">
        <v>43</v>
      </c>
      <c r="I2739" s="5">
        <v>45693</v>
      </c>
      <c r="J2739" s="4">
        <f t="shared" si="42"/>
        <v>28</v>
      </c>
    </row>
    <row r="2740" spans="1:10" x14ac:dyDescent="0.25">
      <c r="A2740" s="4">
        <f>_xlfn.XLOOKUP(E2740,'Data Validation'!$M$3:$M$10,'Data Validation'!$N$3:$N$10)</f>
        <v>7</v>
      </c>
      <c r="B2740" s="4">
        <v>16</v>
      </c>
      <c r="C2740" s="4" t="s">
        <v>11</v>
      </c>
      <c r="D2740" s="7">
        <v>35.76</v>
      </c>
      <c r="E2740" s="4" t="s">
        <v>16</v>
      </c>
      <c r="F2740" s="4" t="s">
        <v>17</v>
      </c>
      <c r="G2740" s="4" t="s">
        <v>47</v>
      </c>
      <c r="H2740" s="4" t="s">
        <v>43</v>
      </c>
      <c r="I2740" s="5">
        <v>45693</v>
      </c>
      <c r="J2740" s="4">
        <f t="shared" si="42"/>
        <v>28</v>
      </c>
    </row>
    <row r="2741" spans="1:10" x14ac:dyDescent="0.25">
      <c r="A2741" s="4">
        <f>_xlfn.XLOOKUP(E2741,'Data Validation'!$M$3:$M$10,'Data Validation'!$N$3:$N$10)</f>
        <v>7</v>
      </c>
      <c r="B2741" s="4">
        <v>19</v>
      </c>
      <c r="C2741" s="4" t="s">
        <v>11</v>
      </c>
      <c r="D2741" s="7">
        <v>35.76</v>
      </c>
      <c r="E2741" s="4" t="s">
        <v>16</v>
      </c>
      <c r="F2741" s="4" t="s">
        <v>20</v>
      </c>
      <c r="G2741" s="4" t="s">
        <v>47</v>
      </c>
      <c r="H2741" s="4" t="s">
        <v>43</v>
      </c>
      <c r="I2741" s="5">
        <v>45693</v>
      </c>
      <c r="J2741" s="4">
        <f t="shared" si="42"/>
        <v>28</v>
      </c>
    </row>
    <row r="2742" spans="1:10" x14ac:dyDescent="0.25">
      <c r="A2742" s="4">
        <f>_xlfn.XLOOKUP(E2742,'Data Validation'!$M$3:$M$10,'Data Validation'!$N$3:$N$10)</f>
        <v>7</v>
      </c>
      <c r="B2742" s="4">
        <v>16</v>
      </c>
      <c r="C2742" s="4" t="s">
        <v>11</v>
      </c>
      <c r="D2742" s="7">
        <v>35.76</v>
      </c>
      <c r="E2742" s="4" t="s">
        <v>16</v>
      </c>
      <c r="F2742" s="4" t="s">
        <v>17</v>
      </c>
      <c r="G2742" s="4" t="s">
        <v>49</v>
      </c>
      <c r="H2742" s="4" t="s">
        <v>43</v>
      </c>
      <c r="I2742" s="5">
        <v>45695</v>
      </c>
      <c r="J2742" s="4">
        <f t="shared" si="42"/>
        <v>28</v>
      </c>
    </row>
    <row r="2743" spans="1:10" x14ac:dyDescent="0.25">
      <c r="A2743" s="4">
        <f>_xlfn.XLOOKUP(E2743,'Data Validation'!$M$3:$M$10,'Data Validation'!$N$3:$N$10)</f>
        <v>7</v>
      </c>
      <c r="B2743" s="4">
        <v>15</v>
      </c>
      <c r="C2743" s="4" t="s">
        <v>11</v>
      </c>
      <c r="D2743" s="7">
        <v>35.76</v>
      </c>
      <c r="E2743" s="4" t="s">
        <v>16</v>
      </c>
      <c r="F2743" s="4" t="s">
        <v>17</v>
      </c>
      <c r="G2743" s="4" t="s">
        <v>51</v>
      </c>
      <c r="H2743" s="4" t="s">
        <v>43</v>
      </c>
      <c r="I2743" s="5">
        <v>45697</v>
      </c>
      <c r="J2743" s="4">
        <f t="shared" si="42"/>
        <v>28</v>
      </c>
    </row>
    <row r="2744" spans="1:10" x14ac:dyDescent="0.25">
      <c r="A2744" s="4">
        <f>_xlfn.XLOOKUP(E2744,'Data Validation'!$M$3:$M$10,'Data Validation'!$N$3:$N$10)</f>
        <v>7</v>
      </c>
      <c r="B2744" s="4">
        <v>15</v>
      </c>
      <c r="C2744" s="4" t="s">
        <v>11</v>
      </c>
      <c r="D2744" s="7">
        <v>35.76</v>
      </c>
      <c r="E2744" s="4" t="s">
        <v>16</v>
      </c>
      <c r="F2744" s="4" t="s">
        <v>17</v>
      </c>
      <c r="G2744" s="4" t="s">
        <v>45</v>
      </c>
      <c r="H2744" s="4" t="s">
        <v>43</v>
      </c>
      <c r="I2744" s="5">
        <v>45698</v>
      </c>
      <c r="J2744" s="4">
        <f t="shared" si="42"/>
        <v>28</v>
      </c>
    </row>
    <row r="2745" spans="1:10" x14ac:dyDescent="0.25">
      <c r="A2745" s="4">
        <f>_xlfn.XLOOKUP(E2745,'Data Validation'!$M$3:$M$10,'Data Validation'!$N$3:$N$10)</f>
        <v>7</v>
      </c>
      <c r="B2745" s="4">
        <v>15</v>
      </c>
      <c r="C2745" s="4" t="s">
        <v>11</v>
      </c>
      <c r="D2745" s="7">
        <v>35.76</v>
      </c>
      <c r="E2745" s="4" t="s">
        <v>16</v>
      </c>
      <c r="F2745" s="4" t="s">
        <v>17</v>
      </c>
      <c r="G2745" s="4" t="s">
        <v>46</v>
      </c>
      <c r="H2745" s="4" t="s">
        <v>43</v>
      </c>
      <c r="I2745" s="5">
        <v>45699</v>
      </c>
      <c r="J2745" s="4">
        <f t="shared" si="42"/>
        <v>28</v>
      </c>
    </row>
    <row r="2746" spans="1:10" x14ac:dyDescent="0.25">
      <c r="A2746" s="4">
        <f>_xlfn.XLOOKUP(E2746,'Data Validation'!$M$3:$M$10,'Data Validation'!$N$3:$N$10)</f>
        <v>7</v>
      </c>
      <c r="B2746" s="4">
        <v>13</v>
      </c>
      <c r="C2746" s="4" t="s">
        <v>11</v>
      </c>
      <c r="D2746" s="7">
        <v>35.76</v>
      </c>
      <c r="E2746" s="4" t="s">
        <v>16</v>
      </c>
      <c r="F2746" s="4" t="s">
        <v>17</v>
      </c>
      <c r="G2746" s="4" t="s">
        <v>47</v>
      </c>
      <c r="H2746" s="4" t="s">
        <v>43</v>
      </c>
      <c r="I2746" s="5">
        <v>45700</v>
      </c>
      <c r="J2746" s="4">
        <f t="shared" si="42"/>
        <v>28</v>
      </c>
    </row>
    <row r="2747" spans="1:10" x14ac:dyDescent="0.25">
      <c r="A2747" s="4">
        <f>_xlfn.XLOOKUP(E2747,'Data Validation'!$M$3:$M$10,'Data Validation'!$N$3:$N$10)</f>
        <v>7</v>
      </c>
      <c r="B2747" s="4">
        <v>15</v>
      </c>
      <c r="C2747" s="4" t="s">
        <v>11</v>
      </c>
      <c r="D2747" s="7">
        <v>35.76</v>
      </c>
      <c r="E2747" s="4" t="s">
        <v>16</v>
      </c>
      <c r="F2747" s="4" t="s">
        <v>17</v>
      </c>
      <c r="G2747" s="4" t="s">
        <v>47</v>
      </c>
      <c r="H2747" s="4" t="s">
        <v>43</v>
      </c>
      <c r="I2747" s="5">
        <v>45700</v>
      </c>
      <c r="J2747" s="4">
        <f t="shared" si="42"/>
        <v>28</v>
      </c>
    </row>
    <row r="2748" spans="1:10" x14ac:dyDescent="0.25">
      <c r="A2748" s="4">
        <f>_xlfn.XLOOKUP(E2748,'Data Validation'!$M$3:$M$10,'Data Validation'!$N$3:$N$10)</f>
        <v>7</v>
      </c>
      <c r="B2748" s="4">
        <v>15</v>
      </c>
      <c r="C2748" s="4" t="s">
        <v>11</v>
      </c>
      <c r="D2748" s="7">
        <v>35.76</v>
      </c>
      <c r="E2748" s="4" t="s">
        <v>16</v>
      </c>
      <c r="F2748" s="4" t="s">
        <v>17</v>
      </c>
      <c r="G2748" s="4" t="s">
        <v>47</v>
      </c>
      <c r="H2748" s="4" t="s">
        <v>43</v>
      </c>
      <c r="I2748" s="5">
        <v>45700</v>
      </c>
      <c r="J2748" s="4">
        <f t="shared" si="42"/>
        <v>28</v>
      </c>
    </row>
    <row r="2749" spans="1:10" x14ac:dyDescent="0.25">
      <c r="A2749" s="4">
        <f>_xlfn.XLOOKUP(E2749,'Data Validation'!$M$3:$M$10,'Data Validation'!$N$3:$N$10)</f>
        <v>7</v>
      </c>
      <c r="B2749" s="4">
        <v>14</v>
      </c>
      <c r="C2749" s="4" t="s">
        <v>11</v>
      </c>
      <c r="D2749" s="7">
        <v>35.76</v>
      </c>
      <c r="E2749" s="4" t="s">
        <v>16</v>
      </c>
      <c r="F2749" s="4" t="s">
        <v>17</v>
      </c>
      <c r="G2749" s="4" t="s">
        <v>49</v>
      </c>
      <c r="H2749" s="4" t="s">
        <v>43</v>
      </c>
      <c r="I2749" s="5">
        <v>45702</v>
      </c>
      <c r="J2749" s="4">
        <f t="shared" si="42"/>
        <v>28</v>
      </c>
    </row>
    <row r="2750" spans="1:10" x14ac:dyDescent="0.25">
      <c r="A2750" s="4">
        <f>_xlfn.XLOOKUP(E2750,'Data Validation'!$M$3:$M$10,'Data Validation'!$N$3:$N$10)</f>
        <v>7</v>
      </c>
      <c r="B2750" s="4">
        <v>15</v>
      </c>
      <c r="C2750" s="4" t="s">
        <v>11</v>
      </c>
      <c r="D2750" s="7">
        <v>35.76</v>
      </c>
      <c r="E2750" s="4" t="s">
        <v>16</v>
      </c>
      <c r="F2750" s="4" t="s">
        <v>17</v>
      </c>
      <c r="G2750" s="4" t="s">
        <v>49</v>
      </c>
      <c r="H2750" s="4" t="s">
        <v>43</v>
      </c>
      <c r="I2750" s="5">
        <v>45702</v>
      </c>
      <c r="J2750" s="4">
        <f t="shared" si="42"/>
        <v>28</v>
      </c>
    </row>
    <row r="2751" spans="1:10" x14ac:dyDescent="0.25">
      <c r="A2751" s="4">
        <f>_xlfn.XLOOKUP(E2751,'Data Validation'!$M$3:$M$10,'Data Validation'!$N$3:$N$10)</f>
        <v>7</v>
      </c>
      <c r="B2751" s="4">
        <v>15</v>
      </c>
      <c r="C2751" s="4" t="s">
        <v>11</v>
      </c>
      <c r="D2751" s="7">
        <v>35.76</v>
      </c>
      <c r="E2751" s="4" t="s">
        <v>16</v>
      </c>
      <c r="F2751" s="4" t="s">
        <v>17</v>
      </c>
      <c r="G2751" s="4" t="s">
        <v>50</v>
      </c>
      <c r="H2751" s="4" t="s">
        <v>43</v>
      </c>
      <c r="I2751" s="5">
        <v>45703</v>
      </c>
      <c r="J2751" s="4">
        <f t="shared" si="42"/>
        <v>28</v>
      </c>
    </row>
    <row r="2752" spans="1:10" x14ac:dyDescent="0.25">
      <c r="A2752" s="4">
        <f>_xlfn.XLOOKUP(E2752,'Data Validation'!$M$3:$M$10,'Data Validation'!$N$3:$N$10)</f>
        <v>7</v>
      </c>
      <c r="B2752" s="4">
        <v>15</v>
      </c>
      <c r="C2752" s="4" t="s">
        <v>11</v>
      </c>
      <c r="D2752" s="7">
        <v>35.76</v>
      </c>
      <c r="E2752" s="4" t="s">
        <v>16</v>
      </c>
      <c r="F2752" s="4" t="s">
        <v>17</v>
      </c>
      <c r="G2752" s="4" t="s">
        <v>50</v>
      </c>
      <c r="H2752" s="4" t="s">
        <v>43</v>
      </c>
      <c r="I2752" s="5">
        <v>45703</v>
      </c>
      <c r="J2752" s="4">
        <f t="shared" si="42"/>
        <v>28</v>
      </c>
    </row>
    <row r="2753" spans="1:10" x14ac:dyDescent="0.25">
      <c r="A2753" s="4">
        <f>_xlfn.XLOOKUP(E2753,'Data Validation'!$M$3:$M$10,'Data Validation'!$N$3:$N$10)</f>
        <v>7</v>
      </c>
      <c r="B2753" s="4">
        <v>11</v>
      </c>
      <c r="C2753" s="4" t="s">
        <v>11</v>
      </c>
      <c r="D2753" s="7">
        <v>35.76</v>
      </c>
      <c r="E2753" s="4" t="s">
        <v>16</v>
      </c>
      <c r="F2753" s="4" t="s">
        <v>13</v>
      </c>
      <c r="G2753" s="4" t="s">
        <v>51</v>
      </c>
      <c r="H2753" s="4" t="s">
        <v>43</v>
      </c>
      <c r="I2753" s="5">
        <v>45704</v>
      </c>
      <c r="J2753" s="4">
        <f t="shared" si="42"/>
        <v>28</v>
      </c>
    </row>
    <row r="2754" spans="1:10" x14ac:dyDescent="0.25">
      <c r="A2754" s="4">
        <f>_xlfn.XLOOKUP(E2754,'Data Validation'!$M$3:$M$10,'Data Validation'!$N$3:$N$10)</f>
        <v>7</v>
      </c>
      <c r="B2754" s="4">
        <v>14</v>
      </c>
      <c r="C2754" s="4" t="s">
        <v>11</v>
      </c>
      <c r="D2754" s="7">
        <v>35.76</v>
      </c>
      <c r="E2754" s="4" t="s">
        <v>16</v>
      </c>
      <c r="F2754" s="4" t="s">
        <v>17</v>
      </c>
      <c r="G2754" s="4" t="s">
        <v>51</v>
      </c>
      <c r="H2754" s="4" t="s">
        <v>43</v>
      </c>
      <c r="I2754" s="5">
        <v>45704</v>
      </c>
      <c r="J2754" s="4">
        <f t="shared" si="42"/>
        <v>28</v>
      </c>
    </row>
    <row r="2755" spans="1:10" x14ac:dyDescent="0.25">
      <c r="A2755" s="4">
        <f>_xlfn.XLOOKUP(E2755,'Data Validation'!$M$3:$M$10,'Data Validation'!$N$3:$N$10)</f>
        <v>7</v>
      </c>
      <c r="B2755" s="4">
        <v>17</v>
      </c>
      <c r="C2755" s="4" t="s">
        <v>11</v>
      </c>
      <c r="D2755" s="7">
        <v>35.76</v>
      </c>
      <c r="E2755" s="4" t="s">
        <v>16</v>
      </c>
      <c r="F2755" s="4" t="s">
        <v>20</v>
      </c>
      <c r="G2755" s="4" t="s">
        <v>51</v>
      </c>
      <c r="H2755" s="4" t="s">
        <v>43</v>
      </c>
      <c r="I2755" s="5">
        <v>45704</v>
      </c>
      <c r="J2755" s="4">
        <f t="shared" ref="J2755:J2818" si="43">IF(OR(E2755&lt;&gt;E2754,D2755&lt;&gt;D2754),J2754+1,J2754)</f>
        <v>28</v>
      </c>
    </row>
    <row r="2756" spans="1:10" x14ac:dyDescent="0.25">
      <c r="A2756" s="4">
        <f>_xlfn.XLOOKUP(E2756,'Data Validation'!$M$3:$M$10,'Data Validation'!$N$3:$N$10)</f>
        <v>7</v>
      </c>
      <c r="B2756" s="4">
        <v>9</v>
      </c>
      <c r="C2756" s="4" t="s">
        <v>11</v>
      </c>
      <c r="D2756" s="7">
        <v>35.76</v>
      </c>
      <c r="E2756" s="4" t="s">
        <v>16</v>
      </c>
      <c r="F2756" s="4" t="s">
        <v>13</v>
      </c>
      <c r="G2756" s="4" t="s">
        <v>45</v>
      </c>
      <c r="H2756" s="4" t="s">
        <v>43</v>
      </c>
      <c r="I2756" s="5">
        <v>45705</v>
      </c>
      <c r="J2756" s="4">
        <f t="shared" si="43"/>
        <v>28</v>
      </c>
    </row>
    <row r="2757" spans="1:10" x14ac:dyDescent="0.25">
      <c r="A2757" s="4">
        <f>_xlfn.XLOOKUP(E2757,'Data Validation'!$M$3:$M$10,'Data Validation'!$N$3:$N$10)</f>
        <v>7</v>
      </c>
      <c r="B2757" s="4">
        <v>17</v>
      </c>
      <c r="C2757" s="4" t="s">
        <v>11</v>
      </c>
      <c r="D2757" s="7">
        <v>35.76</v>
      </c>
      <c r="E2757" s="4" t="s">
        <v>16</v>
      </c>
      <c r="F2757" s="4" t="s">
        <v>20</v>
      </c>
      <c r="G2757" s="4" t="s">
        <v>46</v>
      </c>
      <c r="H2757" s="4" t="s">
        <v>43</v>
      </c>
      <c r="I2757" s="5">
        <v>45706</v>
      </c>
      <c r="J2757" s="4">
        <f t="shared" si="43"/>
        <v>28</v>
      </c>
    </row>
    <row r="2758" spans="1:10" x14ac:dyDescent="0.25">
      <c r="A2758" s="4">
        <f>_xlfn.XLOOKUP(E2758,'Data Validation'!$M$3:$M$10,'Data Validation'!$N$3:$N$10)</f>
        <v>7</v>
      </c>
      <c r="B2758" s="4">
        <v>20</v>
      </c>
      <c r="C2758" s="4" t="s">
        <v>11</v>
      </c>
      <c r="D2758" s="7">
        <v>35.76</v>
      </c>
      <c r="E2758" s="4" t="s">
        <v>16</v>
      </c>
      <c r="F2758" s="4" t="s">
        <v>20</v>
      </c>
      <c r="G2758" s="4" t="s">
        <v>46</v>
      </c>
      <c r="H2758" s="4" t="s">
        <v>43</v>
      </c>
      <c r="I2758" s="5">
        <v>45706</v>
      </c>
      <c r="J2758" s="4">
        <f t="shared" si="43"/>
        <v>28</v>
      </c>
    </row>
    <row r="2759" spans="1:10" x14ac:dyDescent="0.25">
      <c r="A2759" s="4">
        <f>_xlfn.XLOOKUP(E2759,'Data Validation'!$M$3:$M$10,'Data Validation'!$N$3:$N$10)</f>
        <v>7</v>
      </c>
      <c r="B2759" s="4">
        <v>10</v>
      </c>
      <c r="C2759" s="4" t="s">
        <v>11</v>
      </c>
      <c r="D2759" s="7">
        <v>35.76</v>
      </c>
      <c r="E2759" s="4" t="s">
        <v>16</v>
      </c>
      <c r="F2759" s="4" t="s">
        <v>13</v>
      </c>
      <c r="G2759" s="4" t="s">
        <v>47</v>
      </c>
      <c r="H2759" s="4" t="s">
        <v>43</v>
      </c>
      <c r="I2759" s="5">
        <v>45707</v>
      </c>
      <c r="J2759" s="4">
        <f t="shared" si="43"/>
        <v>28</v>
      </c>
    </row>
    <row r="2760" spans="1:10" x14ac:dyDescent="0.25">
      <c r="A2760" s="4">
        <f>_xlfn.XLOOKUP(E2760,'Data Validation'!$M$3:$M$10,'Data Validation'!$N$3:$N$10)</f>
        <v>7</v>
      </c>
      <c r="B2760" s="4">
        <v>19</v>
      </c>
      <c r="C2760" s="4" t="s">
        <v>11</v>
      </c>
      <c r="D2760" s="7">
        <v>35.76</v>
      </c>
      <c r="E2760" s="4" t="s">
        <v>16</v>
      </c>
      <c r="F2760" s="4" t="s">
        <v>20</v>
      </c>
      <c r="G2760" s="4" t="s">
        <v>47</v>
      </c>
      <c r="H2760" s="4" t="s">
        <v>43</v>
      </c>
      <c r="I2760" s="5">
        <v>45707</v>
      </c>
      <c r="J2760" s="4">
        <f t="shared" si="43"/>
        <v>28</v>
      </c>
    </row>
    <row r="2761" spans="1:10" x14ac:dyDescent="0.25">
      <c r="A2761" s="4">
        <f>_xlfn.XLOOKUP(E2761,'Data Validation'!$M$3:$M$10,'Data Validation'!$N$3:$N$10)</f>
        <v>7</v>
      </c>
      <c r="B2761" s="4">
        <v>17</v>
      </c>
      <c r="C2761" s="4" t="s">
        <v>11</v>
      </c>
      <c r="D2761" s="7">
        <v>35.76</v>
      </c>
      <c r="E2761" s="4" t="s">
        <v>16</v>
      </c>
      <c r="F2761" s="4" t="s">
        <v>20</v>
      </c>
      <c r="G2761" s="4" t="s">
        <v>48</v>
      </c>
      <c r="H2761" s="4" t="s">
        <v>43</v>
      </c>
      <c r="I2761" s="5">
        <v>45708</v>
      </c>
      <c r="J2761" s="4">
        <f t="shared" si="43"/>
        <v>28</v>
      </c>
    </row>
    <row r="2762" spans="1:10" x14ac:dyDescent="0.25">
      <c r="A2762" s="4">
        <f>_xlfn.XLOOKUP(E2762,'Data Validation'!$M$3:$M$10,'Data Validation'!$N$3:$N$10)</f>
        <v>7</v>
      </c>
      <c r="B2762" s="4">
        <v>19</v>
      </c>
      <c r="C2762" s="4" t="s">
        <v>11</v>
      </c>
      <c r="D2762" s="7">
        <v>35.76</v>
      </c>
      <c r="E2762" s="4" t="s">
        <v>16</v>
      </c>
      <c r="F2762" s="4" t="s">
        <v>20</v>
      </c>
      <c r="G2762" s="4" t="s">
        <v>48</v>
      </c>
      <c r="H2762" s="4" t="s">
        <v>43</v>
      </c>
      <c r="I2762" s="5">
        <v>45708</v>
      </c>
      <c r="J2762" s="4">
        <f t="shared" si="43"/>
        <v>28</v>
      </c>
    </row>
    <row r="2763" spans="1:10" x14ac:dyDescent="0.25">
      <c r="A2763" s="4">
        <f>_xlfn.XLOOKUP(E2763,'Data Validation'!$M$3:$M$10,'Data Validation'!$N$3:$N$10)</f>
        <v>7</v>
      </c>
      <c r="B2763" s="4">
        <v>16</v>
      </c>
      <c r="C2763" s="4" t="s">
        <v>11</v>
      </c>
      <c r="D2763" s="7">
        <v>35.76</v>
      </c>
      <c r="E2763" s="4" t="s">
        <v>16</v>
      </c>
      <c r="F2763" s="4" t="s">
        <v>17</v>
      </c>
      <c r="G2763" s="4" t="s">
        <v>49</v>
      </c>
      <c r="H2763" s="4" t="s">
        <v>43</v>
      </c>
      <c r="I2763" s="5">
        <v>45709</v>
      </c>
      <c r="J2763" s="4">
        <f t="shared" si="43"/>
        <v>28</v>
      </c>
    </row>
    <row r="2764" spans="1:10" x14ac:dyDescent="0.25">
      <c r="A2764" s="4">
        <f>_xlfn.XLOOKUP(E2764,'Data Validation'!$M$3:$M$10,'Data Validation'!$N$3:$N$10)</f>
        <v>7</v>
      </c>
      <c r="B2764" s="4">
        <v>10</v>
      </c>
      <c r="C2764" s="4" t="s">
        <v>11</v>
      </c>
      <c r="D2764" s="7">
        <v>35.76</v>
      </c>
      <c r="E2764" s="4" t="s">
        <v>16</v>
      </c>
      <c r="F2764" s="4" t="s">
        <v>13</v>
      </c>
      <c r="G2764" s="4" t="s">
        <v>50</v>
      </c>
      <c r="H2764" s="4" t="s">
        <v>43</v>
      </c>
      <c r="I2764" s="5">
        <v>45710</v>
      </c>
      <c r="J2764" s="4">
        <f t="shared" si="43"/>
        <v>28</v>
      </c>
    </row>
    <row r="2765" spans="1:10" x14ac:dyDescent="0.25">
      <c r="A2765" s="4">
        <f>_xlfn.XLOOKUP(E2765,'Data Validation'!$M$3:$M$10,'Data Validation'!$N$3:$N$10)</f>
        <v>7</v>
      </c>
      <c r="B2765" s="4">
        <v>19</v>
      </c>
      <c r="C2765" s="4" t="s">
        <v>11</v>
      </c>
      <c r="D2765" s="7">
        <v>35.76</v>
      </c>
      <c r="E2765" s="4" t="s">
        <v>16</v>
      </c>
      <c r="F2765" s="4" t="s">
        <v>20</v>
      </c>
      <c r="G2765" s="4" t="s">
        <v>45</v>
      </c>
      <c r="H2765" s="4" t="s">
        <v>43</v>
      </c>
      <c r="I2765" s="5">
        <v>45712</v>
      </c>
      <c r="J2765" s="4">
        <f t="shared" si="43"/>
        <v>28</v>
      </c>
    </row>
    <row r="2766" spans="1:10" x14ac:dyDescent="0.25">
      <c r="A2766" s="4">
        <f>_xlfn.XLOOKUP(E2766,'Data Validation'!$M$3:$M$10,'Data Validation'!$N$3:$N$10)</f>
        <v>7</v>
      </c>
      <c r="B2766" s="4">
        <v>10</v>
      </c>
      <c r="C2766" s="4" t="s">
        <v>11</v>
      </c>
      <c r="D2766" s="7">
        <v>35.76</v>
      </c>
      <c r="E2766" s="4" t="s">
        <v>16</v>
      </c>
      <c r="F2766" s="4" t="s">
        <v>13</v>
      </c>
      <c r="G2766" s="4" t="s">
        <v>47</v>
      </c>
      <c r="H2766" s="4" t="s">
        <v>43</v>
      </c>
      <c r="I2766" s="5">
        <v>45714</v>
      </c>
      <c r="J2766" s="4">
        <f t="shared" si="43"/>
        <v>28</v>
      </c>
    </row>
    <row r="2767" spans="1:10" x14ac:dyDescent="0.25">
      <c r="A2767" s="4">
        <f>_xlfn.XLOOKUP(E2767,'Data Validation'!$M$3:$M$10,'Data Validation'!$N$3:$N$10)</f>
        <v>7</v>
      </c>
      <c r="B2767" s="4">
        <v>15</v>
      </c>
      <c r="C2767" s="4" t="s">
        <v>11</v>
      </c>
      <c r="D2767" s="7">
        <v>35.76</v>
      </c>
      <c r="E2767" s="4" t="s">
        <v>16</v>
      </c>
      <c r="F2767" s="4" t="s">
        <v>17</v>
      </c>
      <c r="G2767" s="4" t="s">
        <v>47</v>
      </c>
      <c r="H2767" s="4" t="s">
        <v>43</v>
      </c>
      <c r="I2767" s="5">
        <v>45714</v>
      </c>
      <c r="J2767" s="4">
        <f t="shared" si="43"/>
        <v>28</v>
      </c>
    </row>
    <row r="2768" spans="1:10" x14ac:dyDescent="0.25">
      <c r="A2768" s="4">
        <f>_xlfn.XLOOKUP(E2768,'Data Validation'!$M$3:$M$10,'Data Validation'!$N$3:$N$10)</f>
        <v>7</v>
      </c>
      <c r="B2768" s="4">
        <v>16</v>
      </c>
      <c r="C2768" s="4" t="s">
        <v>11</v>
      </c>
      <c r="D2768" s="7">
        <v>35.76</v>
      </c>
      <c r="E2768" s="4" t="s">
        <v>16</v>
      </c>
      <c r="F2768" s="4" t="s">
        <v>17</v>
      </c>
      <c r="G2768" s="4" t="s">
        <v>47</v>
      </c>
      <c r="H2768" s="4" t="s">
        <v>43</v>
      </c>
      <c r="I2768" s="5">
        <v>45714</v>
      </c>
      <c r="J2768" s="4">
        <f t="shared" si="43"/>
        <v>28</v>
      </c>
    </row>
    <row r="2769" spans="1:10" x14ac:dyDescent="0.25">
      <c r="A2769" s="4">
        <f>_xlfn.XLOOKUP(E2769,'Data Validation'!$M$3:$M$10,'Data Validation'!$N$3:$N$10)</f>
        <v>7</v>
      </c>
      <c r="B2769" s="4">
        <v>10</v>
      </c>
      <c r="C2769" s="4" t="s">
        <v>11</v>
      </c>
      <c r="D2769" s="7">
        <v>35.76</v>
      </c>
      <c r="E2769" s="4" t="s">
        <v>16</v>
      </c>
      <c r="F2769" s="4" t="s">
        <v>13</v>
      </c>
      <c r="G2769" s="4" t="s">
        <v>45</v>
      </c>
      <c r="H2769" s="4" t="s">
        <v>44</v>
      </c>
      <c r="I2769" s="5">
        <v>45719</v>
      </c>
      <c r="J2769" s="4">
        <f t="shared" si="43"/>
        <v>28</v>
      </c>
    </row>
    <row r="2770" spans="1:10" x14ac:dyDescent="0.25">
      <c r="A2770" s="4">
        <f>_xlfn.XLOOKUP(E2770,'Data Validation'!$M$3:$M$10,'Data Validation'!$N$3:$N$10)</f>
        <v>7</v>
      </c>
      <c r="B2770" s="4">
        <v>10</v>
      </c>
      <c r="C2770" s="4" t="s">
        <v>11</v>
      </c>
      <c r="D2770" s="7">
        <v>35.76</v>
      </c>
      <c r="E2770" s="4" t="s">
        <v>16</v>
      </c>
      <c r="F2770" s="4" t="s">
        <v>13</v>
      </c>
      <c r="G2770" s="4" t="s">
        <v>45</v>
      </c>
      <c r="H2770" s="4" t="s">
        <v>44</v>
      </c>
      <c r="I2770" s="5">
        <v>45719</v>
      </c>
      <c r="J2770" s="4">
        <f t="shared" si="43"/>
        <v>28</v>
      </c>
    </row>
    <row r="2771" spans="1:10" x14ac:dyDescent="0.25">
      <c r="A2771" s="4">
        <f>_xlfn.XLOOKUP(E2771,'Data Validation'!$M$3:$M$10,'Data Validation'!$N$3:$N$10)</f>
        <v>7</v>
      </c>
      <c r="B2771" s="4">
        <v>17</v>
      </c>
      <c r="C2771" s="4" t="s">
        <v>11</v>
      </c>
      <c r="D2771" s="7">
        <v>35.76</v>
      </c>
      <c r="E2771" s="4" t="s">
        <v>16</v>
      </c>
      <c r="F2771" s="4" t="s">
        <v>20</v>
      </c>
      <c r="G2771" s="4" t="s">
        <v>45</v>
      </c>
      <c r="H2771" s="4" t="s">
        <v>44</v>
      </c>
      <c r="I2771" s="5">
        <v>45719</v>
      </c>
      <c r="J2771" s="4">
        <f t="shared" si="43"/>
        <v>28</v>
      </c>
    </row>
    <row r="2772" spans="1:10" x14ac:dyDescent="0.25">
      <c r="A2772" s="4">
        <f>_xlfn.XLOOKUP(E2772,'Data Validation'!$M$3:$M$10,'Data Validation'!$N$3:$N$10)</f>
        <v>7</v>
      </c>
      <c r="B2772" s="4">
        <v>17</v>
      </c>
      <c r="C2772" s="4" t="s">
        <v>11</v>
      </c>
      <c r="D2772" s="7">
        <v>35.76</v>
      </c>
      <c r="E2772" s="4" t="s">
        <v>16</v>
      </c>
      <c r="F2772" s="4" t="s">
        <v>20</v>
      </c>
      <c r="G2772" s="4" t="s">
        <v>45</v>
      </c>
      <c r="H2772" s="4" t="s">
        <v>44</v>
      </c>
      <c r="I2772" s="5">
        <v>45719</v>
      </c>
      <c r="J2772" s="4">
        <f t="shared" si="43"/>
        <v>28</v>
      </c>
    </row>
    <row r="2773" spans="1:10" x14ac:dyDescent="0.25">
      <c r="A2773" s="4">
        <f>_xlfn.XLOOKUP(E2773,'Data Validation'!$M$3:$M$10,'Data Validation'!$N$3:$N$10)</f>
        <v>7</v>
      </c>
      <c r="B2773" s="4">
        <v>17</v>
      </c>
      <c r="C2773" s="4" t="s">
        <v>11</v>
      </c>
      <c r="D2773" s="7">
        <v>35.76</v>
      </c>
      <c r="E2773" s="4" t="s">
        <v>16</v>
      </c>
      <c r="F2773" s="4" t="s">
        <v>20</v>
      </c>
      <c r="G2773" s="4" t="s">
        <v>45</v>
      </c>
      <c r="H2773" s="4" t="s">
        <v>44</v>
      </c>
      <c r="I2773" s="5">
        <v>45719</v>
      </c>
      <c r="J2773" s="4">
        <f t="shared" si="43"/>
        <v>28</v>
      </c>
    </row>
    <row r="2774" spans="1:10" x14ac:dyDescent="0.25">
      <c r="A2774" s="4">
        <f>_xlfn.XLOOKUP(E2774,'Data Validation'!$M$3:$M$10,'Data Validation'!$N$3:$N$10)</f>
        <v>7</v>
      </c>
      <c r="B2774" s="4">
        <v>15</v>
      </c>
      <c r="C2774" s="4" t="s">
        <v>11</v>
      </c>
      <c r="D2774" s="7">
        <v>35.76</v>
      </c>
      <c r="E2774" s="4" t="s">
        <v>16</v>
      </c>
      <c r="F2774" s="4" t="s">
        <v>17</v>
      </c>
      <c r="G2774" s="4" t="s">
        <v>47</v>
      </c>
      <c r="H2774" s="4" t="s">
        <v>44</v>
      </c>
      <c r="I2774" s="5">
        <v>45721</v>
      </c>
      <c r="J2774" s="4">
        <f t="shared" si="43"/>
        <v>28</v>
      </c>
    </row>
    <row r="2775" spans="1:10" x14ac:dyDescent="0.25">
      <c r="A2775" s="4">
        <f>_xlfn.XLOOKUP(E2775,'Data Validation'!$M$3:$M$10,'Data Validation'!$N$3:$N$10)</f>
        <v>7</v>
      </c>
      <c r="B2775" s="4">
        <v>9</v>
      </c>
      <c r="C2775" s="4" t="s">
        <v>11</v>
      </c>
      <c r="D2775" s="7">
        <v>35.76</v>
      </c>
      <c r="E2775" s="4" t="s">
        <v>16</v>
      </c>
      <c r="F2775" s="4" t="s">
        <v>13</v>
      </c>
      <c r="G2775" s="4" t="s">
        <v>48</v>
      </c>
      <c r="H2775" s="4" t="s">
        <v>44</v>
      </c>
      <c r="I2775" s="5">
        <v>45722</v>
      </c>
      <c r="J2775" s="4">
        <f t="shared" si="43"/>
        <v>28</v>
      </c>
    </row>
    <row r="2776" spans="1:10" x14ac:dyDescent="0.25">
      <c r="A2776" s="4">
        <f>_xlfn.XLOOKUP(E2776,'Data Validation'!$M$3:$M$10,'Data Validation'!$N$3:$N$10)</f>
        <v>7</v>
      </c>
      <c r="B2776" s="4">
        <v>10</v>
      </c>
      <c r="C2776" s="4" t="s">
        <v>11</v>
      </c>
      <c r="D2776" s="7">
        <v>35.76</v>
      </c>
      <c r="E2776" s="4" t="s">
        <v>16</v>
      </c>
      <c r="F2776" s="4" t="s">
        <v>13</v>
      </c>
      <c r="G2776" s="4" t="s">
        <v>49</v>
      </c>
      <c r="H2776" s="4" t="s">
        <v>44</v>
      </c>
      <c r="I2776" s="5">
        <v>45723</v>
      </c>
      <c r="J2776" s="4">
        <f t="shared" si="43"/>
        <v>28</v>
      </c>
    </row>
    <row r="2777" spans="1:10" x14ac:dyDescent="0.25">
      <c r="A2777" s="4">
        <f>_xlfn.XLOOKUP(E2777,'Data Validation'!$M$3:$M$10,'Data Validation'!$N$3:$N$10)</f>
        <v>7</v>
      </c>
      <c r="B2777" s="4">
        <v>13</v>
      </c>
      <c r="C2777" s="4" t="s">
        <v>11</v>
      </c>
      <c r="D2777" s="7">
        <v>35.76</v>
      </c>
      <c r="E2777" s="4" t="s">
        <v>16</v>
      </c>
      <c r="F2777" s="4" t="s">
        <v>17</v>
      </c>
      <c r="G2777" s="4" t="s">
        <v>49</v>
      </c>
      <c r="H2777" s="4" t="s">
        <v>44</v>
      </c>
      <c r="I2777" s="5">
        <v>45723</v>
      </c>
      <c r="J2777" s="4">
        <f t="shared" si="43"/>
        <v>28</v>
      </c>
    </row>
    <row r="2778" spans="1:10" x14ac:dyDescent="0.25">
      <c r="A2778" s="4">
        <f>_xlfn.XLOOKUP(E2778,'Data Validation'!$M$3:$M$10,'Data Validation'!$N$3:$N$10)</f>
        <v>7</v>
      </c>
      <c r="B2778" s="4">
        <v>17</v>
      </c>
      <c r="C2778" s="4" t="s">
        <v>11</v>
      </c>
      <c r="D2778" s="7">
        <v>35.76</v>
      </c>
      <c r="E2778" s="4" t="s">
        <v>16</v>
      </c>
      <c r="F2778" s="4" t="s">
        <v>20</v>
      </c>
      <c r="G2778" s="4" t="s">
        <v>49</v>
      </c>
      <c r="H2778" s="4" t="s">
        <v>44</v>
      </c>
      <c r="I2778" s="5">
        <v>45723</v>
      </c>
      <c r="J2778" s="4">
        <f t="shared" si="43"/>
        <v>28</v>
      </c>
    </row>
    <row r="2779" spans="1:10" x14ac:dyDescent="0.25">
      <c r="A2779" s="4">
        <f>_xlfn.XLOOKUP(E2779,'Data Validation'!$M$3:$M$10,'Data Validation'!$N$3:$N$10)</f>
        <v>7</v>
      </c>
      <c r="B2779" s="4">
        <v>9</v>
      </c>
      <c r="C2779" s="4" t="s">
        <v>11</v>
      </c>
      <c r="D2779" s="7">
        <v>35.76</v>
      </c>
      <c r="E2779" s="4" t="s">
        <v>16</v>
      </c>
      <c r="F2779" s="4" t="s">
        <v>13</v>
      </c>
      <c r="G2779" s="4" t="s">
        <v>45</v>
      </c>
      <c r="H2779" s="4" t="s">
        <v>44</v>
      </c>
      <c r="I2779" s="5">
        <v>45726</v>
      </c>
      <c r="J2779" s="4">
        <f t="shared" si="43"/>
        <v>28</v>
      </c>
    </row>
    <row r="2780" spans="1:10" x14ac:dyDescent="0.25">
      <c r="A2780" s="4">
        <f>_xlfn.XLOOKUP(E2780,'Data Validation'!$M$3:$M$10,'Data Validation'!$N$3:$N$10)</f>
        <v>7</v>
      </c>
      <c r="B2780" s="4">
        <v>10</v>
      </c>
      <c r="C2780" s="4" t="s">
        <v>11</v>
      </c>
      <c r="D2780" s="7">
        <v>35.76</v>
      </c>
      <c r="E2780" s="4" t="s">
        <v>16</v>
      </c>
      <c r="F2780" s="4" t="s">
        <v>13</v>
      </c>
      <c r="G2780" s="4" t="s">
        <v>45</v>
      </c>
      <c r="H2780" s="4" t="s">
        <v>44</v>
      </c>
      <c r="I2780" s="5">
        <v>45726</v>
      </c>
      <c r="J2780" s="4">
        <f t="shared" si="43"/>
        <v>28</v>
      </c>
    </row>
    <row r="2781" spans="1:10" x14ac:dyDescent="0.25">
      <c r="A2781" s="4">
        <f>_xlfn.XLOOKUP(E2781,'Data Validation'!$M$3:$M$10,'Data Validation'!$N$3:$N$10)</f>
        <v>7</v>
      </c>
      <c r="B2781" s="4">
        <v>15</v>
      </c>
      <c r="C2781" s="4" t="s">
        <v>11</v>
      </c>
      <c r="D2781" s="7">
        <v>35.76</v>
      </c>
      <c r="E2781" s="4" t="s">
        <v>16</v>
      </c>
      <c r="F2781" s="4" t="s">
        <v>17</v>
      </c>
      <c r="G2781" s="4" t="s">
        <v>45</v>
      </c>
      <c r="H2781" s="4" t="s">
        <v>44</v>
      </c>
      <c r="I2781" s="5">
        <v>45726</v>
      </c>
      <c r="J2781" s="4">
        <f t="shared" si="43"/>
        <v>28</v>
      </c>
    </row>
    <row r="2782" spans="1:10" x14ac:dyDescent="0.25">
      <c r="A2782" s="4">
        <f>_xlfn.XLOOKUP(E2782,'Data Validation'!$M$3:$M$10,'Data Validation'!$N$3:$N$10)</f>
        <v>7</v>
      </c>
      <c r="B2782" s="4">
        <v>16</v>
      </c>
      <c r="C2782" s="4" t="s">
        <v>11</v>
      </c>
      <c r="D2782" s="7">
        <v>35.76</v>
      </c>
      <c r="E2782" s="4" t="s">
        <v>16</v>
      </c>
      <c r="F2782" s="4" t="s">
        <v>17</v>
      </c>
      <c r="G2782" s="4" t="s">
        <v>46</v>
      </c>
      <c r="H2782" s="4" t="s">
        <v>44</v>
      </c>
      <c r="I2782" s="5">
        <v>45727</v>
      </c>
      <c r="J2782" s="4">
        <f t="shared" si="43"/>
        <v>28</v>
      </c>
    </row>
    <row r="2783" spans="1:10" x14ac:dyDescent="0.25">
      <c r="A2783" s="4">
        <f>_xlfn.XLOOKUP(E2783,'Data Validation'!$M$3:$M$10,'Data Validation'!$N$3:$N$10)</f>
        <v>7</v>
      </c>
      <c r="B2783" s="4">
        <v>16</v>
      </c>
      <c r="C2783" s="4" t="s">
        <v>11</v>
      </c>
      <c r="D2783" s="7">
        <v>35.76</v>
      </c>
      <c r="E2783" s="4" t="s">
        <v>16</v>
      </c>
      <c r="F2783" s="4" t="s">
        <v>17</v>
      </c>
      <c r="G2783" s="4" t="s">
        <v>46</v>
      </c>
      <c r="H2783" s="4" t="s">
        <v>44</v>
      </c>
      <c r="I2783" s="5">
        <v>45727</v>
      </c>
      <c r="J2783" s="4">
        <f t="shared" si="43"/>
        <v>28</v>
      </c>
    </row>
    <row r="2784" spans="1:10" x14ac:dyDescent="0.25">
      <c r="A2784" s="4">
        <f>_xlfn.XLOOKUP(E2784,'Data Validation'!$M$3:$M$10,'Data Validation'!$N$3:$N$10)</f>
        <v>7</v>
      </c>
      <c r="B2784" s="4">
        <v>12</v>
      </c>
      <c r="C2784" s="4" t="s">
        <v>11</v>
      </c>
      <c r="D2784" s="7">
        <v>35.76</v>
      </c>
      <c r="E2784" s="4" t="s">
        <v>16</v>
      </c>
      <c r="F2784" s="4" t="s">
        <v>17</v>
      </c>
      <c r="G2784" s="4" t="s">
        <v>47</v>
      </c>
      <c r="H2784" s="4" t="s">
        <v>44</v>
      </c>
      <c r="I2784" s="5">
        <v>45728</v>
      </c>
      <c r="J2784" s="4">
        <f t="shared" si="43"/>
        <v>28</v>
      </c>
    </row>
    <row r="2785" spans="1:10" x14ac:dyDescent="0.25">
      <c r="A2785" s="4">
        <f>_xlfn.XLOOKUP(E2785,'Data Validation'!$M$3:$M$10,'Data Validation'!$N$3:$N$10)</f>
        <v>7</v>
      </c>
      <c r="B2785" s="4">
        <v>12</v>
      </c>
      <c r="C2785" s="4" t="s">
        <v>11</v>
      </c>
      <c r="D2785" s="7">
        <v>35.76</v>
      </c>
      <c r="E2785" s="4" t="s">
        <v>16</v>
      </c>
      <c r="F2785" s="4" t="s">
        <v>17</v>
      </c>
      <c r="G2785" s="4" t="s">
        <v>51</v>
      </c>
      <c r="H2785" s="4" t="s">
        <v>44</v>
      </c>
      <c r="I2785" s="5">
        <v>45732</v>
      </c>
      <c r="J2785" s="4">
        <f t="shared" si="43"/>
        <v>28</v>
      </c>
    </row>
    <row r="2786" spans="1:10" x14ac:dyDescent="0.25">
      <c r="A2786" s="4">
        <f>_xlfn.XLOOKUP(E2786,'Data Validation'!$M$3:$M$10,'Data Validation'!$N$3:$N$10)</f>
        <v>7</v>
      </c>
      <c r="B2786" s="4">
        <v>11</v>
      </c>
      <c r="C2786" s="4" t="s">
        <v>11</v>
      </c>
      <c r="D2786" s="7">
        <v>35.76</v>
      </c>
      <c r="E2786" s="4" t="s">
        <v>16</v>
      </c>
      <c r="F2786" s="4" t="s">
        <v>13</v>
      </c>
      <c r="G2786" s="4" t="s">
        <v>46</v>
      </c>
      <c r="H2786" s="4" t="s">
        <v>44</v>
      </c>
      <c r="I2786" s="5">
        <v>45734</v>
      </c>
      <c r="J2786" s="4">
        <f t="shared" si="43"/>
        <v>28</v>
      </c>
    </row>
    <row r="2787" spans="1:10" x14ac:dyDescent="0.25">
      <c r="A2787" s="4">
        <f>_xlfn.XLOOKUP(E2787,'Data Validation'!$M$3:$M$10,'Data Validation'!$N$3:$N$10)</f>
        <v>7</v>
      </c>
      <c r="B2787" s="4">
        <v>11</v>
      </c>
      <c r="C2787" s="4" t="s">
        <v>11</v>
      </c>
      <c r="D2787" s="7">
        <v>35.76</v>
      </c>
      <c r="E2787" s="4" t="s">
        <v>16</v>
      </c>
      <c r="F2787" s="4" t="s">
        <v>13</v>
      </c>
      <c r="G2787" s="4" t="s">
        <v>46</v>
      </c>
      <c r="H2787" s="4" t="s">
        <v>44</v>
      </c>
      <c r="I2787" s="5">
        <v>45734</v>
      </c>
      <c r="J2787" s="4">
        <f t="shared" si="43"/>
        <v>28</v>
      </c>
    </row>
    <row r="2788" spans="1:10" x14ac:dyDescent="0.25">
      <c r="A2788" s="4">
        <f>_xlfn.XLOOKUP(E2788,'Data Validation'!$M$3:$M$10,'Data Validation'!$N$3:$N$10)</f>
        <v>7</v>
      </c>
      <c r="B2788" s="4">
        <v>10</v>
      </c>
      <c r="C2788" s="4" t="s">
        <v>11</v>
      </c>
      <c r="D2788" s="7">
        <v>35.76</v>
      </c>
      <c r="E2788" s="4" t="s">
        <v>16</v>
      </c>
      <c r="F2788" s="4" t="s">
        <v>13</v>
      </c>
      <c r="G2788" s="4" t="s">
        <v>47</v>
      </c>
      <c r="H2788" s="4" t="s">
        <v>44</v>
      </c>
      <c r="I2788" s="5">
        <v>45735</v>
      </c>
      <c r="J2788" s="4">
        <f t="shared" si="43"/>
        <v>28</v>
      </c>
    </row>
    <row r="2789" spans="1:10" x14ac:dyDescent="0.25">
      <c r="A2789" s="4">
        <f>_xlfn.XLOOKUP(E2789,'Data Validation'!$M$3:$M$10,'Data Validation'!$N$3:$N$10)</f>
        <v>7</v>
      </c>
      <c r="B2789" s="4">
        <v>18</v>
      </c>
      <c r="C2789" s="4" t="s">
        <v>11</v>
      </c>
      <c r="D2789" s="7">
        <v>35.76</v>
      </c>
      <c r="E2789" s="4" t="s">
        <v>16</v>
      </c>
      <c r="F2789" s="4" t="s">
        <v>20</v>
      </c>
      <c r="G2789" s="4" t="s">
        <v>48</v>
      </c>
      <c r="H2789" s="4" t="s">
        <v>44</v>
      </c>
      <c r="I2789" s="5">
        <v>45736</v>
      </c>
      <c r="J2789" s="4">
        <f t="shared" si="43"/>
        <v>28</v>
      </c>
    </row>
    <row r="2790" spans="1:10" x14ac:dyDescent="0.25">
      <c r="A2790" s="4">
        <f>_xlfn.XLOOKUP(E2790,'Data Validation'!$M$3:$M$10,'Data Validation'!$N$3:$N$10)</f>
        <v>7</v>
      </c>
      <c r="B2790" s="4">
        <v>17</v>
      </c>
      <c r="C2790" s="4" t="s">
        <v>11</v>
      </c>
      <c r="D2790" s="7">
        <v>35.76</v>
      </c>
      <c r="E2790" s="4" t="s">
        <v>16</v>
      </c>
      <c r="F2790" s="4" t="s">
        <v>20</v>
      </c>
      <c r="G2790" s="4" t="s">
        <v>49</v>
      </c>
      <c r="H2790" s="4" t="s">
        <v>44</v>
      </c>
      <c r="I2790" s="5">
        <v>45737</v>
      </c>
      <c r="J2790" s="4">
        <f t="shared" si="43"/>
        <v>28</v>
      </c>
    </row>
    <row r="2791" spans="1:10" x14ac:dyDescent="0.25">
      <c r="A2791" s="4">
        <f>_xlfn.XLOOKUP(E2791,'Data Validation'!$M$3:$M$10,'Data Validation'!$N$3:$N$10)</f>
        <v>7</v>
      </c>
      <c r="B2791" s="4">
        <v>11</v>
      </c>
      <c r="C2791" s="4" t="s">
        <v>11</v>
      </c>
      <c r="D2791" s="7">
        <v>35.76</v>
      </c>
      <c r="E2791" s="4" t="s">
        <v>16</v>
      </c>
      <c r="F2791" s="4" t="s">
        <v>13</v>
      </c>
      <c r="G2791" s="4" t="s">
        <v>50</v>
      </c>
      <c r="H2791" s="4" t="s">
        <v>44</v>
      </c>
      <c r="I2791" s="5">
        <v>45738</v>
      </c>
      <c r="J2791" s="4">
        <f t="shared" si="43"/>
        <v>28</v>
      </c>
    </row>
    <row r="2792" spans="1:10" x14ac:dyDescent="0.25">
      <c r="A2792" s="4">
        <f>_xlfn.XLOOKUP(E2792,'Data Validation'!$M$3:$M$10,'Data Validation'!$N$3:$N$10)</f>
        <v>8</v>
      </c>
      <c r="B2792" s="4">
        <v>10</v>
      </c>
      <c r="C2792" s="4" t="s">
        <v>11</v>
      </c>
      <c r="D2792" s="7">
        <v>38.700000000000003</v>
      </c>
      <c r="E2792" s="4" t="s">
        <v>12</v>
      </c>
      <c r="F2792" s="4" t="s">
        <v>13</v>
      </c>
      <c r="G2792" s="4" t="s">
        <v>49</v>
      </c>
      <c r="H2792" s="4" t="s">
        <v>44</v>
      </c>
      <c r="I2792" s="5">
        <v>45352</v>
      </c>
      <c r="J2792" s="4">
        <f t="shared" si="43"/>
        <v>29</v>
      </c>
    </row>
    <row r="2793" spans="1:10" x14ac:dyDescent="0.25">
      <c r="A2793" s="4">
        <f>_xlfn.XLOOKUP(E2793,'Data Validation'!$M$3:$M$10,'Data Validation'!$N$3:$N$10)</f>
        <v>8</v>
      </c>
      <c r="B2793" s="4">
        <v>13</v>
      </c>
      <c r="C2793" s="4" t="s">
        <v>11</v>
      </c>
      <c r="D2793" s="7">
        <v>38.700000000000003</v>
      </c>
      <c r="E2793" s="4" t="s">
        <v>12</v>
      </c>
      <c r="F2793" s="4" t="s">
        <v>17</v>
      </c>
      <c r="G2793" s="4" t="s">
        <v>49</v>
      </c>
      <c r="H2793" s="4" t="s">
        <v>44</v>
      </c>
      <c r="I2793" s="5">
        <v>45352</v>
      </c>
      <c r="J2793" s="4">
        <f t="shared" si="43"/>
        <v>29</v>
      </c>
    </row>
    <row r="2794" spans="1:10" x14ac:dyDescent="0.25">
      <c r="A2794" s="4">
        <f>_xlfn.XLOOKUP(E2794,'Data Validation'!$M$3:$M$10,'Data Validation'!$N$3:$N$10)</f>
        <v>8</v>
      </c>
      <c r="B2794" s="4">
        <v>10</v>
      </c>
      <c r="C2794" s="4" t="s">
        <v>11</v>
      </c>
      <c r="D2794" s="7">
        <v>38.700000000000003</v>
      </c>
      <c r="E2794" s="4" t="s">
        <v>12</v>
      </c>
      <c r="F2794" s="4" t="s">
        <v>13</v>
      </c>
      <c r="G2794" s="4" t="s">
        <v>51</v>
      </c>
      <c r="H2794" s="4" t="s">
        <v>44</v>
      </c>
      <c r="I2794" s="5">
        <v>45354</v>
      </c>
      <c r="J2794" s="4">
        <f t="shared" si="43"/>
        <v>29</v>
      </c>
    </row>
    <row r="2795" spans="1:10" x14ac:dyDescent="0.25">
      <c r="A2795" s="4">
        <f>_xlfn.XLOOKUP(E2795,'Data Validation'!$M$3:$M$10,'Data Validation'!$N$3:$N$10)</f>
        <v>8</v>
      </c>
      <c r="B2795" s="4">
        <v>10</v>
      </c>
      <c r="C2795" s="4" t="s">
        <v>11</v>
      </c>
      <c r="D2795" s="7">
        <v>38.700000000000003</v>
      </c>
      <c r="E2795" s="4" t="s">
        <v>12</v>
      </c>
      <c r="F2795" s="4" t="s">
        <v>13</v>
      </c>
      <c r="G2795" s="4" t="s">
        <v>45</v>
      </c>
      <c r="H2795" s="4" t="s">
        <v>44</v>
      </c>
      <c r="I2795" s="5">
        <v>45355</v>
      </c>
      <c r="J2795" s="4">
        <f t="shared" si="43"/>
        <v>29</v>
      </c>
    </row>
    <row r="2796" spans="1:10" x14ac:dyDescent="0.25">
      <c r="A2796" s="4">
        <f>_xlfn.XLOOKUP(E2796,'Data Validation'!$M$3:$M$10,'Data Validation'!$N$3:$N$10)</f>
        <v>8</v>
      </c>
      <c r="B2796" s="4">
        <v>10</v>
      </c>
      <c r="C2796" s="4" t="s">
        <v>11</v>
      </c>
      <c r="D2796" s="7">
        <v>38.700000000000003</v>
      </c>
      <c r="E2796" s="4" t="s">
        <v>12</v>
      </c>
      <c r="F2796" s="4" t="s">
        <v>13</v>
      </c>
      <c r="G2796" s="4" t="s">
        <v>45</v>
      </c>
      <c r="H2796" s="4" t="s">
        <v>44</v>
      </c>
      <c r="I2796" s="5">
        <v>45355</v>
      </c>
      <c r="J2796" s="4">
        <f t="shared" si="43"/>
        <v>29</v>
      </c>
    </row>
    <row r="2797" spans="1:10" x14ac:dyDescent="0.25">
      <c r="A2797" s="4">
        <f>_xlfn.XLOOKUP(E2797,'Data Validation'!$M$3:$M$10,'Data Validation'!$N$3:$N$10)</f>
        <v>8</v>
      </c>
      <c r="B2797" s="4">
        <v>9</v>
      </c>
      <c r="C2797" s="4" t="s">
        <v>11</v>
      </c>
      <c r="D2797" s="7">
        <v>38.700000000000003</v>
      </c>
      <c r="E2797" s="4" t="s">
        <v>12</v>
      </c>
      <c r="F2797" s="4" t="s">
        <v>13</v>
      </c>
      <c r="G2797" s="4" t="s">
        <v>46</v>
      </c>
      <c r="H2797" s="4" t="s">
        <v>44</v>
      </c>
      <c r="I2797" s="5">
        <v>45356</v>
      </c>
      <c r="J2797" s="4">
        <f t="shared" si="43"/>
        <v>29</v>
      </c>
    </row>
    <row r="2798" spans="1:10" x14ac:dyDescent="0.25">
      <c r="A2798" s="4">
        <f>_xlfn.XLOOKUP(E2798,'Data Validation'!$M$3:$M$10,'Data Validation'!$N$3:$N$10)</f>
        <v>8</v>
      </c>
      <c r="B2798" s="4">
        <v>14</v>
      </c>
      <c r="C2798" s="4" t="s">
        <v>11</v>
      </c>
      <c r="D2798" s="7">
        <v>38.700000000000003</v>
      </c>
      <c r="E2798" s="4" t="s">
        <v>12</v>
      </c>
      <c r="F2798" s="4" t="s">
        <v>17</v>
      </c>
      <c r="G2798" s="4" t="s">
        <v>46</v>
      </c>
      <c r="H2798" s="4" t="s">
        <v>44</v>
      </c>
      <c r="I2798" s="5">
        <v>45356</v>
      </c>
      <c r="J2798" s="4">
        <f t="shared" si="43"/>
        <v>29</v>
      </c>
    </row>
    <row r="2799" spans="1:10" x14ac:dyDescent="0.25">
      <c r="A2799" s="4">
        <f>_xlfn.XLOOKUP(E2799,'Data Validation'!$M$3:$M$10,'Data Validation'!$N$3:$N$10)</f>
        <v>8</v>
      </c>
      <c r="B2799" s="4">
        <v>17</v>
      </c>
      <c r="C2799" s="4" t="s">
        <v>11</v>
      </c>
      <c r="D2799" s="7">
        <v>38.700000000000003</v>
      </c>
      <c r="E2799" s="4" t="s">
        <v>12</v>
      </c>
      <c r="F2799" s="4" t="s">
        <v>20</v>
      </c>
      <c r="G2799" s="4" t="s">
        <v>46</v>
      </c>
      <c r="H2799" s="4" t="s">
        <v>44</v>
      </c>
      <c r="I2799" s="5">
        <v>45356</v>
      </c>
      <c r="J2799" s="4">
        <f t="shared" si="43"/>
        <v>29</v>
      </c>
    </row>
    <row r="2800" spans="1:10" x14ac:dyDescent="0.25">
      <c r="A2800" s="4">
        <f>_xlfn.XLOOKUP(E2800,'Data Validation'!$M$3:$M$10,'Data Validation'!$N$3:$N$10)</f>
        <v>8</v>
      </c>
      <c r="B2800" s="4">
        <v>11</v>
      </c>
      <c r="C2800" s="4" t="s">
        <v>11</v>
      </c>
      <c r="D2800" s="7">
        <v>38.700000000000003</v>
      </c>
      <c r="E2800" s="4" t="s">
        <v>12</v>
      </c>
      <c r="F2800" s="4" t="s">
        <v>13</v>
      </c>
      <c r="G2800" s="4" t="s">
        <v>48</v>
      </c>
      <c r="H2800" s="4" t="s">
        <v>44</v>
      </c>
      <c r="I2800" s="5">
        <v>45358</v>
      </c>
      <c r="J2800" s="4">
        <f t="shared" si="43"/>
        <v>29</v>
      </c>
    </row>
    <row r="2801" spans="1:10" x14ac:dyDescent="0.25">
      <c r="A2801" s="4">
        <f>_xlfn.XLOOKUP(E2801,'Data Validation'!$M$3:$M$10,'Data Validation'!$N$3:$N$10)</f>
        <v>8</v>
      </c>
      <c r="B2801" s="4">
        <v>18</v>
      </c>
      <c r="C2801" s="4" t="s">
        <v>11</v>
      </c>
      <c r="D2801" s="7">
        <v>38.700000000000003</v>
      </c>
      <c r="E2801" s="4" t="s">
        <v>12</v>
      </c>
      <c r="F2801" s="4" t="s">
        <v>20</v>
      </c>
      <c r="G2801" s="4" t="s">
        <v>49</v>
      </c>
      <c r="H2801" s="4" t="s">
        <v>44</v>
      </c>
      <c r="I2801" s="5">
        <v>45359</v>
      </c>
      <c r="J2801" s="4">
        <f t="shared" si="43"/>
        <v>29</v>
      </c>
    </row>
    <row r="2802" spans="1:10" x14ac:dyDescent="0.25">
      <c r="A2802" s="4">
        <f>_xlfn.XLOOKUP(E2802,'Data Validation'!$M$3:$M$10,'Data Validation'!$N$3:$N$10)</f>
        <v>8</v>
      </c>
      <c r="B2802" s="4">
        <v>18</v>
      </c>
      <c r="C2802" s="4" t="s">
        <v>11</v>
      </c>
      <c r="D2802" s="7">
        <v>38.700000000000003</v>
      </c>
      <c r="E2802" s="4" t="s">
        <v>12</v>
      </c>
      <c r="F2802" s="4" t="s">
        <v>20</v>
      </c>
      <c r="G2802" s="4" t="s">
        <v>49</v>
      </c>
      <c r="H2802" s="4" t="s">
        <v>44</v>
      </c>
      <c r="I2802" s="5">
        <v>45359</v>
      </c>
      <c r="J2802" s="4">
        <f t="shared" si="43"/>
        <v>29</v>
      </c>
    </row>
    <row r="2803" spans="1:10" x14ac:dyDescent="0.25">
      <c r="A2803" s="4">
        <f>_xlfn.XLOOKUP(E2803,'Data Validation'!$M$3:$M$10,'Data Validation'!$N$3:$N$10)</f>
        <v>8</v>
      </c>
      <c r="B2803" s="4">
        <v>13</v>
      </c>
      <c r="C2803" s="4" t="s">
        <v>11</v>
      </c>
      <c r="D2803" s="7">
        <v>38.700000000000003</v>
      </c>
      <c r="E2803" s="4" t="s">
        <v>12</v>
      </c>
      <c r="F2803" s="4" t="s">
        <v>17</v>
      </c>
      <c r="G2803" s="4" t="s">
        <v>50</v>
      </c>
      <c r="H2803" s="4" t="s">
        <v>44</v>
      </c>
      <c r="I2803" s="5">
        <v>45360</v>
      </c>
      <c r="J2803" s="4">
        <f t="shared" si="43"/>
        <v>29</v>
      </c>
    </row>
    <row r="2804" spans="1:10" x14ac:dyDescent="0.25">
      <c r="A2804" s="4">
        <f>_xlfn.XLOOKUP(E2804,'Data Validation'!$M$3:$M$10,'Data Validation'!$N$3:$N$10)</f>
        <v>8</v>
      </c>
      <c r="B2804" s="4">
        <v>19</v>
      </c>
      <c r="C2804" s="4" t="s">
        <v>11</v>
      </c>
      <c r="D2804" s="7">
        <v>38.700000000000003</v>
      </c>
      <c r="E2804" s="4" t="s">
        <v>12</v>
      </c>
      <c r="F2804" s="4" t="s">
        <v>20</v>
      </c>
      <c r="G2804" s="4" t="s">
        <v>51</v>
      </c>
      <c r="H2804" s="4" t="s">
        <v>44</v>
      </c>
      <c r="I2804" s="5">
        <v>45361</v>
      </c>
      <c r="J2804" s="4">
        <f t="shared" si="43"/>
        <v>29</v>
      </c>
    </row>
    <row r="2805" spans="1:10" x14ac:dyDescent="0.25">
      <c r="A2805" s="4">
        <f>_xlfn.XLOOKUP(E2805,'Data Validation'!$M$3:$M$10,'Data Validation'!$N$3:$N$10)</f>
        <v>8</v>
      </c>
      <c r="B2805" s="4">
        <v>16</v>
      </c>
      <c r="C2805" s="4" t="s">
        <v>11</v>
      </c>
      <c r="D2805" s="7">
        <v>38.700000000000003</v>
      </c>
      <c r="E2805" s="4" t="s">
        <v>12</v>
      </c>
      <c r="F2805" s="4" t="s">
        <v>17</v>
      </c>
      <c r="G2805" s="4" t="s">
        <v>45</v>
      </c>
      <c r="H2805" s="4" t="s">
        <v>44</v>
      </c>
      <c r="I2805" s="5">
        <v>45362</v>
      </c>
      <c r="J2805" s="4">
        <f t="shared" si="43"/>
        <v>29</v>
      </c>
    </row>
    <row r="2806" spans="1:10" x14ac:dyDescent="0.25">
      <c r="A2806" s="4">
        <f>_xlfn.XLOOKUP(E2806,'Data Validation'!$M$3:$M$10,'Data Validation'!$N$3:$N$10)</f>
        <v>8</v>
      </c>
      <c r="B2806" s="4">
        <v>10</v>
      </c>
      <c r="C2806" s="4" t="s">
        <v>11</v>
      </c>
      <c r="D2806" s="7">
        <v>38.700000000000003</v>
      </c>
      <c r="E2806" s="4" t="s">
        <v>12</v>
      </c>
      <c r="F2806" s="4" t="s">
        <v>13</v>
      </c>
      <c r="G2806" s="4" t="s">
        <v>48</v>
      </c>
      <c r="H2806" s="4" t="s">
        <v>44</v>
      </c>
      <c r="I2806" s="5">
        <v>45365</v>
      </c>
      <c r="J2806" s="4">
        <f t="shared" si="43"/>
        <v>29</v>
      </c>
    </row>
    <row r="2807" spans="1:10" x14ac:dyDescent="0.25">
      <c r="A2807" s="4">
        <f>_xlfn.XLOOKUP(E2807,'Data Validation'!$M$3:$M$10,'Data Validation'!$N$3:$N$10)</f>
        <v>8</v>
      </c>
      <c r="B2807" s="4">
        <v>15</v>
      </c>
      <c r="C2807" s="4" t="s">
        <v>11</v>
      </c>
      <c r="D2807" s="7">
        <v>38.700000000000003</v>
      </c>
      <c r="E2807" s="4" t="s">
        <v>12</v>
      </c>
      <c r="F2807" s="4" t="s">
        <v>17</v>
      </c>
      <c r="G2807" s="4" t="s">
        <v>48</v>
      </c>
      <c r="H2807" s="4" t="s">
        <v>44</v>
      </c>
      <c r="I2807" s="5">
        <v>45365</v>
      </c>
      <c r="J2807" s="4">
        <f t="shared" si="43"/>
        <v>29</v>
      </c>
    </row>
    <row r="2808" spans="1:10" x14ac:dyDescent="0.25">
      <c r="A2808" s="4">
        <f>_xlfn.XLOOKUP(E2808,'Data Validation'!$M$3:$M$10,'Data Validation'!$N$3:$N$10)</f>
        <v>8</v>
      </c>
      <c r="B2808" s="4">
        <v>14</v>
      </c>
      <c r="C2808" s="4" t="s">
        <v>11</v>
      </c>
      <c r="D2808" s="7">
        <v>38.700000000000003</v>
      </c>
      <c r="E2808" s="4" t="s">
        <v>12</v>
      </c>
      <c r="F2808" s="4" t="s">
        <v>17</v>
      </c>
      <c r="G2808" s="4" t="s">
        <v>46</v>
      </c>
      <c r="H2808" s="4" t="s">
        <v>44</v>
      </c>
      <c r="I2808" s="5">
        <v>45370</v>
      </c>
      <c r="J2808" s="4">
        <f t="shared" si="43"/>
        <v>29</v>
      </c>
    </row>
    <row r="2809" spans="1:10" x14ac:dyDescent="0.25">
      <c r="A2809" s="4">
        <f>_xlfn.XLOOKUP(E2809,'Data Validation'!$M$3:$M$10,'Data Validation'!$N$3:$N$10)</f>
        <v>8</v>
      </c>
      <c r="B2809" s="4">
        <v>14</v>
      </c>
      <c r="C2809" s="4" t="s">
        <v>11</v>
      </c>
      <c r="D2809" s="7">
        <v>38.700000000000003</v>
      </c>
      <c r="E2809" s="4" t="s">
        <v>12</v>
      </c>
      <c r="F2809" s="4" t="s">
        <v>17</v>
      </c>
      <c r="G2809" s="4" t="s">
        <v>46</v>
      </c>
      <c r="H2809" s="4" t="s">
        <v>44</v>
      </c>
      <c r="I2809" s="5">
        <v>45370</v>
      </c>
      <c r="J2809" s="4">
        <f t="shared" si="43"/>
        <v>29</v>
      </c>
    </row>
    <row r="2810" spans="1:10" x14ac:dyDescent="0.25">
      <c r="A2810" s="4">
        <f>_xlfn.XLOOKUP(E2810,'Data Validation'!$M$3:$M$10,'Data Validation'!$N$3:$N$10)</f>
        <v>8</v>
      </c>
      <c r="B2810" s="4">
        <v>17</v>
      </c>
      <c r="C2810" s="4" t="s">
        <v>11</v>
      </c>
      <c r="D2810" s="7">
        <v>38.700000000000003</v>
      </c>
      <c r="E2810" s="4" t="s">
        <v>12</v>
      </c>
      <c r="F2810" s="4" t="s">
        <v>20</v>
      </c>
      <c r="G2810" s="4" t="s">
        <v>47</v>
      </c>
      <c r="H2810" s="4" t="s">
        <v>44</v>
      </c>
      <c r="I2810" s="5">
        <v>45371</v>
      </c>
      <c r="J2810" s="4">
        <f t="shared" si="43"/>
        <v>29</v>
      </c>
    </row>
    <row r="2811" spans="1:10" x14ac:dyDescent="0.25">
      <c r="A2811" s="4">
        <f>_xlfn.XLOOKUP(E2811,'Data Validation'!$M$3:$M$10,'Data Validation'!$N$3:$N$10)</f>
        <v>8</v>
      </c>
      <c r="B2811" s="4">
        <v>19</v>
      </c>
      <c r="C2811" s="4" t="s">
        <v>11</v>
      </c>
      <c r="D2811" s="7">
        <v>38.700000000000003</v>
      </c>
      <c r="E2811" s="4" t="s">
        <v>12</v>
      </c>
      <c r="F2811" s="4" t="s">
        <v>20</v>
      </c>
      <c r="G2811" s="4" t="s">
        <v>48</v>
      </c>
      <c r="H2811" s="4" t="s">
        <v>44</v>
      </c>
      <c r="I2811" s="5">
        <v>45372</v>
      </c>
      <c r="J2811" s="4">
        <f t="shared" si="43"/>
        <v>29</v>
      </c>
    </row>
    <row r="2812" spans="1:10" x14ac:dyDescent="0.25">
      <c r="A2812" s="4">
        <f>_xlfn.XLOOKUP(E2812,'Data Validation'!$M$3:$M$10,'Data Validation'!$N$3:$N$10)</f>
        <v>8</v>
      </c>
      <c r="B2812" s="4">
        <v>10</v>
      </c>
      <c r="C2812" s="4" t="s">
        <v>11</v>
      </c>
      <c r="D2812" s="7">
        <v>38.700000000000003</v>
      </c>
      <c r="E2812" s="4" t="s">
        <v>12</v>
      </c>
      <c r="F2812" s="4" t="s">
        <v>13</v>
      </c>
      <c r="G2812" s="4" t="s">
        <v>50</v>
      </c>
      <c r="H2812" s="4" t="s">
        <v>44</v>
      </c>
      <c r="I2812" s="5">
        <v>45374</v>
      </c>
      <c r="J2812" s="4">
        <f t="shared" si="43"/>
        <v>29</v>
      </c>
    </row>
    <row r="2813" spans="1:10" x14ac:dyDescent="0.25">
      <c r="A2813" s="4">
        <f>_xlfn.XLOOKUP(E2813,'Data Validation'!$M$3:$M$10,'Data Validation'!$N$3:$N$10)</f>
        <v>8</v>
      </c>
      <c r="B2813" s="4">
        <v>15</v>
      </c>
      <c r="C2813" s="4" t="s">
        <v>11</v>
      </c>
      <c r="D2813" s="7">
        <v>38.700000000000003</v>
      </c>
      <c r="E2813" s="4" t="s">
        <v>12</v>
      </c>
      <c r="F2813" s="4" t="s">
        <v>17</v>
      </c>
      <c r="G2813" s="4" t="s">
        <v>50</v>
      </c>
      <c r="H2813" s="4" t="s">
        <v>44</v>
      </c>
      <c r="I2813" s="5">
        <v>45374</v>
      </c>
      <c r="J2813" s="4">
        <f t="shared" si="43"/>
        <v>29</v>
      </c>
    </row>
    <row r="2814" spans="1:10" x14ac:dyDescent="0.25">
      <c r="A2814" s="4">
        <f>_xlfn.XLOOKUP(E2814,'Data Validation'!$M$3:$M$10,'Data Validation'!$N$3:$N$10)</f>
        <v>8</v>
      </c>
      <c r="B2814" s="4">
        <v>18</v>
      </c>
      <c r="C2814" s="4" t="s">
        <v>11</v>
      </c>
      <c r="D2814" s="7">
        <v>38.700000000000003</v>
      </c>
      <c r="E2814" s="4" t="s">
        <v>12</v>
      </c>
      <c r="F2814" s="4" t="s">
        <v>20</v>
      </c>
      <c r="G2814" s="4" t="s">
        <v>51</v>
      </c>
      <c r="H2814" s="4" t="s">
        <v>44</v>
      </c>
      <c r="I2814" s="5">
        <v>45375</v>
      </c>
      <c r="J2814" s="4">
        <f t="shared" si="43"/>
        <v>29</v>
      </c>
    </row>
    <row r="2815" spans="1:10" x14ac:dyDescent="0.25">
      <c r="A2815" s="4">
        <f>_xlfn.XLOOKUP(E2815,'Data Validation'!$M$3:$M$10,'Data Validation'!$N$3:$N$10)</f>
        <v>8</v>
      </c>
      <c r="B2815" s="4">
        <v>10</v>
      </c>
      <c r="C2815" s="4" t="s">
        <v>11</v>
      </c>
      <c r="D2815" s="7">
        <v>38.700000000000003</v>
      </c>
      <c r="E2815" s="4" t="s">
        <v>12</v>
      </c>
      <c r="F2815" s="4" t="s">
        <v>13</v>
      </c>
      <c r="G2815" s="4" t="s">
        <v>45</v>
      </c>
      <c r="H2815" s="4" t="s">
        <v>44</v>
      </c>
      <c r="I2815" s="5">
        <v>45376</v>
      </c>
      <c r="J2815" s="4">
        <f t="shared" si="43"/>
        <v>29</v>
      </c>
    </row>
    <row r="2816" spans="1:10" x14ac:dyDescent="0.25">
      <c r="A2816" s="4">
        <f>_xlfn.XLOOKUP(E2816,'Data Validation'!$M$3:$M$10,'Data Validation'!$N$3:$N$10)</f>
        <v>8</v>
      </c>
      <c r="B2816" s="4">
        <v>14</v>
      </c>
      <c r="C2816" s="4" t="s">
        <v>11</v>
      </c>
      <c r="D2816" s="7">
        <v>38.700000000000003</v>
      </c>
      <c r="E2816" s="4" t="s">
        <v>12</v>
      </c>
      <c r="F2816" s="4" t="s">
        <v>17</v>
      </c>
      <c r="G2816" s="4" t="s">
        <v>45</v>
      </c>
      <c r="H2816" s="4" t="s">
        <v>44</v>
      </c>
      <c r="I2816" s="5">
        <v>45376</v>
      </c>
      <c r="J2816" s="4">
        <f t="shared" si="43"/>
        <v>29</v>
      </c>
    </row>
    <row r="2817" spans="1:10" x14ac:dyDescent="0.25">
      <c r="A2817" s="4">
        <f>_xlfn.XLOOKUP(E2817,'Data Validation'!$M$3:$M$10,'Data Validation'!$N$3:$N$10)</f>
        <v>8</v>
      </c>
      <c r="B2817" s="4">
        <v>14</v>
      </c>
      <c r="C2817" s="4" t="s">
        <v>11</v>
      </c>
      <c r="D2817" s="7">
        <v>38.700000000000003</v>
      </c>
      <c r="E2817" s="4" t="s">
        <v>12</v>
      </c>
      <c r="F2817" s="4" t="s">
        <v>17</v>
      </c>
      <c r="G2817" s="4" t="s">
        <v>45</v>
      </c>
      <c r="H2817" s="4" t="s">
        <v>44</v>
      </c>
      <c r="I2817" s="5">
        <v>45376</v>
      </c>
      <c r="J2817" s="4">
        <f t="shared" si="43"/>
        <v>29</v>
      </c>
    </row>
    <row r="2818" spans="1:10" x14ac:dyDescent="0.25">
      <c r="A2818" s="4">
        <f>_xlfn.XLOOKUP(E2818,'Data Validation'!$M$3:$M$10,'Data Validation'!$N$3:$N$10)</f>
        <v>8</v>
      </c>
      <c r="B2818" s="4">
        <v>10</v>
      </c>
      <c r="C2818" s="4" t="s">
        <v>11</v>
      </c>
      <c r="D2818" s="7">
        <v>38.700000000000003</v>
      </c>
      <c r="E2818" s="4" t="s">
        <v>12</v>
      </c>
      <c r="F2818" s="4" t="s">
        <v>13</v>
      </c>
      <c r="G2818" s="4" t="s">
        <v>46</v>
      </c>
      <c r="H2818" s="4" t="s">
        <v>44</v>
      </c>
      <c r="I2818" s="5">
        <v>45377</v>
      </c>
      <c r="J2818" s="4">
        <f t="shared" si="43"/>
        <v>29</v>
      </c>
    </row>
    <row r="2819" spans="1:10" x14ac:dyDescent="0.25">
      <c r="A2819" s="4">
        <f>_xlfn.XLOOKUP(E2819,'Data Validation'!$M$3:$M$10,'Data Validation'!$N$3:$N$10)</f>
        <v>8</v>
      </c>
      <c r="B2819" s="4">
        <v>10</v>
      </c>
      <c r="C2819" s="4" t="s">
        <v>11</v>
      </c>
      <c r="D2819" s="7">
        <v>38.700000000000003</v>
      </c>
      <c r="E2819" s="4" t="s">
        <v>12</v>
      </c>
      <c r="F2819" s="4" t="s">
        <v>13</v>
      </c>
      <c r="G2819" s="4" t="s">
        <v>46</v>
      </c>
      <c r="H2819" s="4" t="s">
        <v>44</v>
      </c>
      <c r="I2819" s="5">
        <v>45377</v>
      </c>
      <c r="J2819" s="4">
        <f t="shared" ref="J2819:J2882" si="44">IF(OR(E2819&lt;&gt;E2818,D2819&lt;&gt;D2818),J2818+1,J2818)</f>
        <v>29</v>
      </c>
    </row>
    <row r="2820" spans="1:10" x14ac:dyDescent="0.25">
      <c r="A2820" s="4">
        <f>_xlfn.XLOOKUP(E2820,'Data Validation'!$M$3:$M$10,'Data Validation'!$N$3:$N$10)</f>
        <v>8</v>
      </c>
      <c r="B2820" s="4">
        <v>15</v>
      </c>
      <c r="C2820" s="4" t="s">
        <v>11</v>
      </c>
      <c r="D2820" s="7">
        <v>38.700000000000003</v>
      </c>
      <c r="E2820" s="4" t="s">
        <v>12</v>
      </c>
      <c r="F2820" s="4" t="s">
        <v>17</v>
      </c>
      <c r="G2820" s="4" t="s">
        <v>46</v>
      </c>
      <c r="H2820" s="4" t="s">
        <v>44</v>
      </c>
      <c r="I2820" s="5">
        <v>45377</v>
      </c>
      <c r="J2820" s="4">
        <f t="shared" si="44"/>
        <v>29</v>
      </c>
    </row>
    <row r="2821" spans="1:10" x14ac:dyDescent="0.25">
      <c r="A2821" s="4">
        <f>_xlfn.XLOOKUP(E2821,'Data Validation'!$M$3:$M$10,'Data Validation'!$N$3:$N$10)</f>
        <v>8</v>
      </c>
      <c r="B2821" s="4">
        <v>18</v>
      </c>
      <c r="C2821" s="4" t="s">
        <v>11</v>
      </c>
      <c r="D2821" s="7">
        <v>38.700000000000003</v>
      </c>
      <c r="E2821" s="4" t="s">
        <v>12</v>
      </c>
      <c r="F2821" s="4" t="s">
        <v>20</v>
      </c>
      <c r="G2821" s="4" t="s">
        <v>46</v>
      </c>
      <c r="H2821" s="4" t="s">
        <v>44</v>
      </c>
      <c r="I2821" s="5">
        <v>45377</v>
      </c>
      <c r="J2821" s="4">
        <f t="shared" si="44"/>
        <v>29</v>
      </c>
    </row>
    <row r="2822" spans="1:10" x14ac:dyDescent="0.25">
      <c r="A2822" s="4">
        <f>_xlfn.XLOOKUP(E2822,'Data Validation'!$M$3:$M$10,'Data Validation'!$N$3:$N$10)</f>
        <v>8</v>
      </c>
      <c r="B2822" s="4">
        <v>17</v>
      </c>
      <c r="C2822" s="4" t="s">
        <v>11</v>
      </c>
      <c r="D2822" s="7">
        <v>38.700000000000003</v>
      </c>
      <c r="E2822" s="4" t="s">
        <v>12</v>
      </c>
      <c r="F2822" s="4" t="s">
        <v>20</v>
      </c>
      <c r="G2822" s="4" t="s">
        <v>48</v>
      </c>
      <c r="H2822" s="4" t="s">
        <v>44</v>
      </c>
      <c r="I2822" s="5">
        <v>45379</v>
      </c>
      <c r="J2822" s="4">
        <f t="shared" si="44"/>
        <v>29</v>
      </c>
    </row>
    <row r="2823" spans="1:10" x14ac:dyDescent="0.25">
      <c r="A2823" s="4">
        <f>_xlfn.XLOOKUP(E2823,'Data Validation'!$M$3:$M$10,'Data Validation'!$N$3:$N$10)</f>
        <v>8</v>
      </c>
      <c r="B2823" s="4">
        <v>10</v>
      </c>
      <c r="C2823" s="4" t="s">
        <v>11</v>
      </c>
      <c r="D2823" s="7">
        <v>38.700000000000003</v>
      </c>
      <c r="E2823" s="4" t="s">
        <v>12</v>
      </c>
      <c r="F2823" s="4" t="s">
        <v>13</v>
      </c>
      <c r="G2823" s="4" t="s">
        <v>49</v>
      </c>
      <c r="H2823" s="4" t="s">
        <v>44</v>
      </c>
      <c r="I2823" s="5">
        <v>45380</v>
      </c>
      <c r="J2823" s="4">
        <f t="shared" si="44"/>
        <v>29</v>
      </c>
    </row>
    <row r="2824" spans="1:10" x14ac:dyDescent="0.25">
      <c r="A2824" s="4">
        <f>_xlfn.XLOOKUP(E2824,'Data Validation'!$M$3:$M$10,'Data Validation'!$N$3:$N$10)</f>
        <v>8</v>
      </c>
      <c r="B2824" s="4">
        <v>11</v>
      </c>
      <c r="C2824" s="4" t="s">
        <v>11</v>
      </c>
      <c r="D2824" s="7">
        <v>38.700000000000003</v>
      </c>
      <c r="E2824" s="4" t="s">
        <v>12</v>
      </c>
      <c r="F2824" s="4" t="s">
        <v>13</v>
      </c>
      <c r="G2824" s="4" t="s">
        <v>50</v>
      </c>
      <c r="H2824" s="4" t="s">
        <v>44</v>
      </c>
      <c r="I2824" s="5">
        <v>45381</v>
      </c>
      <c r="J2824" s="4">
        <f t="shared" si="44"/>
        <v>29</v>
      </c>
    </row>
    <row r="2825" spans="1:10" x14ac:dyDescent="0.25">
      <c r="A2825" s="4">
        <f>_xlfn.XLOOKUP(E2825,'Data Validation'!$M$3:$M$10,'Data Validation'!$N$3:$N$10)</f>
        <v>8</v>
      </c>
      <c r="B2825" s="4">
        <v>16</v>
      </c>
      <c r="C2825" s="4" t="s">
        <v>11</v>
      </c>
      <c r="D2825" s="7">
        <v>38.700000000000003</v>
      </c>
      <c r="E2825" s="4" t="s">
        <v>12</v>
      </c>
      <c r="F2825" s="4" t="s">
        <v>17</v>
      </c>
      <c r="G2825" s="4" t="s">
        <v>50</v>
      </c>
      <c r="H2825" s="4" t="s">
        <v>44</v>
      </c>
      <c r="I2825" s="5">
        <v>45381</v>
      </c>
      <c r="J2825" s="4">
        <f t="shared" si="44"/>
        <v>29</v>
      </c>
    </row>
    <row r="2826" spans="1:10" x14ac:dyDescent="0.25">
      <c r="A2826" s="4">
        <f>_xlfn.XLOOKUP(E2826,'Data Validation'!$M$3:$M$10,'Data Validation'!$N$3:$N$10)</f>
        <v>8</v>
      </c>
      <c r="B2826" s="4">
        <v>16</v>
      </c>
      <c r="C2826" s="4" t="s">
        <v>11</v>
      </c>
      <c r="D2826" s="7">
        <v>38.700000000000003</v>
      </c>
      <c r="E2826" s="4" t="s">
        <v>12</v>
      </c>
      <c r="F2826" s="4" t="s">
        <v>17</v>
      </c>
      <c r="G2826" s="4" t="s">
        <v>50</v>
      </c>
      <c r="H2826" s="4" t="s">
        <v>44</v>
      </c>
      <c r="I2826" s="5">
        <v>45381</v>
      </c>
      <c r="J2826" s="4">
        <f t="shared" si="44"/>
        <v>29</v>
      </c>
    </row>
    <row r="2827" spans="1:10" x14ac:dyDescent="0.25">
      <c r="A2827" s="4">
        <f>_xlfn.XLOOKUP(E2827,'Data Validation'!$M$3:$M$10,'Data Validation'!$N$3:$N$10)</f>
        <v>8</v>
      </c>
      <c r="B2827" s="4">
        <v>10</v>
      </c>
      <c r="C2827" s="4" t="s">
        <v>11</v>
      </c>
      <c r="D2827" s="7">
        <v>38.700000000000003</v>
      </c>
      <c r="E2827" s="4" t="s">
        <v>12</v>
      </c>
      <c r="F2827" s="4" t="s">
        <v>13</v>
      </c>
      <c r="G2827" s="4" t="s">
        <v>46</v>
      </c>
      <c r="H2827" s="4" t="s">
        <v>52</v>
      </c>
      <c r="I2827" s="5">
        <v>45384</v>
      </c>
      <c r="J2827" s="4">
        <f t="shared" si="44"/>
        <v>29</v>
      </c>
    </row>
    <row r="2828" spans="1:10" x14ac:dyDescent="0.25">
      <c r="A2828" s="4">
        <f>_xlfn.XLOOKUP(E2828,'Data Validation'!$M$3:$M$10,'Data Validation'!$N$3:$N$10)</f>
        <v>8</v>
      </c>
      <c r="B2828" s="4">
        <v>10</v>
      </c>
      <c r="C2828" s="4" t="s">
        <v>11</v>
      </c>
      <c r="D2828" s="7">
        <v>38.700000000000003</v>
      </c>
      <c r="E2828" s="4" t="s">
        <v>12</v>
      </c>
      <c r="F2828" s="4" t="s">
        <v>13</v>
      </c>
      <c r="G2828" s="4" t="s">
        <v>48</v>
      </c>
      <c r="H2828" s="4" t="s">
        <v>52</v>
      </c>
      <c r="I2828" s="5">
        <v>45386</v>
      </c>
      <c r="J2828" s="4">
        <f t="shared" si="44"/>
        <v>29</v>
      </c>
    </row>
    <row r="2829" spans="1:10" x14ac:dyDescent="0.25">
      <c r="A2829" s="4">
        <f>_xlfn.XLOOKUP(E2829,'Data Validation'!$M$3:$M$10,'Data Validation'!$N$3:$N$10)</f>
        <v>8</v>
      </c>
      <c r="B2829" s="4">
        <v>11</v>
      </c>
      <c r="C2829" s="4" t="s">
        <v>11</v>
      </c>
      <c r="D2829" s="7">
        <v>38.700000000000003</v>
      </c>
      <c r="E2829" s="4" t="s">
        <v>12</v>
      </c>
      <c r="F2829" s="4" t="s">
        <v>13</v>
      </c>
      <c r="G2829" s="4" t="s">
        <v>48</v>
      </c>
      <c r="H2829" s="4" t="s">
        <v>52</v>
      </c>
      <c r="I2829" s="5">
        <v>45386</v>
      </c>
      <c r="J2829" s="4">
        <f t="shared" si="44"/>
        <v>29</v>
      </c>
    </row>
    <row r="2830" spans="1:10" x14ac:dyDescent="0.25">
      <c r="A2830" s="4">
        <f>_xlfn.XLOOKUP(E2830,'Data Validation'!$M$3:$M$10,'Data Validation'!$N$3:$N$10)</f>
        <v>8</v>
      </c>
      <c r="B2830" s="4">
        <v>14</v>
      </c>
      <c r="C2830" s="4" t="s">
        <v>11</v>
      </c>
      <c r="D2830" s="7">
        <v>38.700000000000003</v>
      </c>
      <c r="E2830" s="4" t="s">
        <v>12</v>
      </c>
      <c r="F2830" s="4" t="s">
        <v>17</v>
      </c>
      <c r="G2830" s="4" t="s">
        <v>49</v>
      </c>
      <c r="H2830" s="4" t="s">
        <v>52</v>
      </c>
      <c r="I2830" s="5">
        <v>45387</v>
      </c>
      <c r="J2830" s="4">
        <f t="shared" si="44"/>
        <v>29</v>
      </c>
    </row>
    <row r="2831" spans="1:10" x14ac:dyDescent="0.25">
      <c r="A2831" s="4">
        <f>_xlfn.XLOOKUP(E2831,'Data Validation'!$M$3:$M$10,'Data Validation'!$N$3:$N$10)</f>
        <v>8</v>
      </c>
      <c r="B2831" s="4">
        <v>14</v>
      </c>
      <c r="C2831" s="4" t="s">
        <v>11</v>
      </c>
      <c r="D2831" s="7">
        <v>38.700000000000003</v>
      </c>
      <c r="E2831" s="4" t="s">
        <v>12</v>
      </c>
      <c r="F2831" s="4" t="s">
        <v>17</v>
      </c>
      <c r="G2831" s="4" t="s">
        <v>50</v>
      </c>
      <c r="H2831" s="4" t="s">
        <v>52</v>
      </c>
      <c r="I2831" s="5">
        <v>45388</v>
      </c>
      <c r="J2831" s="4">
        <f t="shared" si="44"/>
        <v>29</v>
      </c>
    </row>
    <row r="2832" spans="1:10" x14ac:dyDescent="0.25">
      <c r="A2832" s="4">
        <f>_xlfn.XLOOKUP(E2832,'Data Validation'!$M$3:$M$10,'Data Validation'!$N$3:$N$10)</f>
        <v>8</v>
      </c>
      <c r="B2832" s="4">
        <v>10</v>
      </c>
      <c r="C2832" s="4" t="s">
        <v>11</v>
      </c>
      <c r="D2832" s="7">
        <v>38.700000000000003</v>
      </c>
      <c r="E2832" s="4" t="s">
        <v>12</v>
      </c>
      <c r="F2832" s="4" t="s">
        <v>13</v>
      </c>
      <c r="G2832" s="4" t="s">
        <v>51</v>
      </c>
      <c r="H2832" s="4" t="s">
        <v>52</v>
      </c>
      <c r="I2832" s="5">
        <v>45389</v>
      </c>
      <c r="J2832" s="4">
        <f t="shared" si="44"/>
        <v>29</v>
      </c>
    </row>
    <row r="2833" spans="1:10" x14ac:dyDescent="0.25">
      <c r="A2833" s="4">
        <f>_xlfn.XLOOKUP(E2833,'Data Validation'!$M$3:$M$10,'Data Validation'!$N$3:$N$10)</f>
        <v>8</v>
      </c>
      <c r="B2833" s="4">
        <v>16</v>
      </c>
      <c r="C2833" s="4" t="s">
        <v>11</v>
      </c>
      <c r="D2833" s="7">
        <v>38.700000000000003</v>
      </c>
      <c r="E2833" s="4" t="s">
        <v>12</v>
      </c>
      <c r="F2833" s="4" t="s">
        <v>17</v>
      </c>
      <c r="G2833" s="4" t="s">
        <v>45</v>
      </c>
      <c r="H2833" s="4" t="s">
        <v>52</v>
      </c>
      <c r="I2833" s="5">
        <v>45390</v>
      </c>
      <c r="J2833" s="4">
        <f t="shared" si="44"/>
        <v>29</v>
      </c>
    </row>
    <row r="2834" spans="1:10" x14ac:dyDescent="0.25">
      <c r="A2834" s="4">
        <f>_xlfn.XLOOKUP(E2834,'Data Validation'!$M$3:$M$10,'Data Validation'!$N$3:$N$10)</f>
        <v>8</v>
      </c>
      <c r="B2834" s="4">
        <v>11</v>
      </c>
      <c r="C2834" s="4" t="s">
        <v>11</v>
      </c>
      <c r="D2834" s="7">
        <v>38.700000000000003</v>
      </c>
      <c r="E2834" s="4" t="s">
        <v>12</v>
      </c>
      <c r="F2834" s="4" t="s">
        <v>13</v>
      </c>
      <c r="G2834" s="4" t="s">
        <v>46</v>
      </c>
      <c r="H2834" s="4" t="s">
        <v>52</v>
      </c>
      <c r="I2834" s="5">
        <v>45391</v>
      </c>
      <c r="J2834" s="4">
        <f t="shared" si="44"/>
        <v>29</v>
      </c>
    </row>
    <row r="2835" spans="1:10" x14ac:dyDescent="0.25">
      <c r="A2835" s="4">
        <f>_xlfn.XLOOKUP(E2835,'Data Validation'!$M$3:$M$10,'Data Validation'!$N$3:$N$10)</f>
        <v>8</v>
      </c>
      <c r="B2835" s="4">
        <v>20</v>
      </c>
      <c r="C2835" s="4" t="s">
        <v>11</v>
      </c>
      <c r="D2835" s="7">
        <v>38.700000000000003</v>
      </c>
      <c r="E2835" s="4" t="s">
        <v>12</v>
      </c>
      <c r="F2835" s="4" t="s">
        <v>20</v>
      </c>
      <c r="G2835" s="4" t="s">
        <v>47</v>
      </c>
      <c r="H2835" s="4" t="s">
        <v>52</v>
      </c>
      <c r="I2835" s="5">
        <v>45392</v>
      </c>
      <c r="J2835" s="4">
        <f t="shared" si="44"/>
        <v>29</v>
      </c>
    </row>
    <row r="2836" spans="1:10" x14ac:dyDescent="0.25">
      <c r="A2836" s="4">
        <f>_xlfn.XLOOKUP(E2836,'Data Validation'!$M$3:$M$10,'Data Validation'!$N$3:$N$10)</f>
        <v>8</v>
      </c>
      <c r="B2836" s="4">
        <v>16</v>
      </c>
      <c r="C2836" s="4" t="s">
        <v>11</v>
      </c>
      <c r="D2836" s="7">
        <v>38.700000000000003</v>
      </c>
      <c r="E2836" s="4" t="s">
        <v>12</v>
      </c>
      <c r="F2836" s="4" t="s">
        <v>17</v>
      </c>
      <c r="G2836" s="4" t="s">
        <v>48</v>
      </c>
      <c r="H2836" s="4" t="s">
        <v>52</v>
      </c>
      <c r="I2836" s="5">
        <v>45393</v>
      </c>
      <c r="J2836" s="4">
        <f t="shared" si="44"/>
        <v>29</v>
      </c>
    </row>
    <row r="2837" spans="1:10" x14ac:dyDescent="0.25">
      <c r="A2837" s="4">
        <f>_xlfn.XLOOKUP(E2837,'Data Validation'!$M$3:$M$10,'Data Validation'!$N$3:$N$10)</f>
        <v>8</v>
      </c>
      <c r="B2837" s="4">
        <v>12</v>
      </c>
      <c r="C2837" s="4" t="s">
        <v>11</v>
      </c>
      <c r="D2837" s="7">
        <v>38.700000000000003</v>
      </c>
      <c r="E2837" s="4" t="s">
        <v>12</v>
      </c>
      <c r="F2837" s="4" t="s">
        <v>17</v>
      </c>
      <c r="G2837" s="4" t="s">
        <v>50</v>
      </c>
      <c r="H2837" s="4" t="s">
        <v>52</v>
      </c>
      <c r="I2837" s="5">
        <v>45395</v>
      </c>
      <c r="J2837" s="4">
        <f t="shared" si="44"/>
        <v>29</v>
      </c>
    </row>
    <row r="2838" spans="1:10" x14ac:dyDescent="0.25">
      <c r="A2838" s="4">
        <f>_xlfn.XLOOKUP(E2838,'Data Validation'!$M$3:$M$10,'Data Validation'!$N$3:$N$10)</f>
        <v>8</v>
      </c>
      <c r="B2838" s="4">
        <v>16</v>
      </c>
      <c r="C2838" s="4" t="s">
        <v>11</v>
      </c>
      <c r="D2838" s="7">
        <v>38.700000000000003</v>
      </c>
      <c r="E2838" s="4" t="s">
        <v>12</v>
      </c>
      <c r="F2838" s="4" t="s">
        <v>17</v>
      </c>
      <c r="G2838" s="4" t="s">
        <v>50</v>
      </c>
      <c r="H2838" s="4" t="s">
        <v>52</v>
      </c>
      <c r="I2838" s="5">
        <v>45395</v>
      </c>
      <c r="J2838" s="4">
        <f t="shared" si="44"/>
        <v>29</v>
      </c>
    </row>
    <row r="2839" spans="1:10" x14ac:dyDescent="0.25">
      <c r="A2839" s="4">
        <f>_xlfn.XLOOKUP(E2839,'Data Validation'!$M$3:$M$10,'Data Validation'!$N$3:$N$10)</f>
        <v>8</v>
      </c>
      <c r="B2839" s="4">
        <v>17</v>
      </c>
      <c r="C2839" s="4" t="s">
        <v>11</v>
      </c>
      <c r="D2839" s="7">
        <v>38.700000000000003</v>
      </c>
      <c r="E2839" s="4" t="s">
        <v>12</v>
      </c>
      <c r="F2839" s="4" t="s">
        <v>20</v>
      </c>
      <c r="G2839" s="4" t="s">
        <v>51</v>
      </c>
      <c r="H2839" s="4" t="s">
        <v>52</v>
      </c>
      <c r="I2839" s="5">
        <v>45396</v>
      </c>
      <c r="J2839" s="4">
        <f t="shared" si="44"/>
        <v>29</v>
      </c>
    </row>
    <row r="2840" spans="1:10" x14ac:dyDescent="0.25">
      <c r="A2840" s="4">
        <f>_xlfn.XLOOKUP(E2840,'Data Validation'!$M$3:$M$10,'Data Validation'!$N$3:$N$10)</f>
        <v>8</v>
      </c>
      <c r="B2840" s="4">
        <v>14</v>
      </c>
      <c r="C2840" s="4" t="s">
        <v>11</v>
      </c>
      <c r="D2840" s="7">
        <v>38.700000000000003</v>
      </c>
      <c r="E2840" s="4" t="s">
        <v>12</v>
      </c>
      <c r="F2840" s="4" t="s">
        <v>17</v>
      </c>
      <c r="G2840" s="4" t="s">
        <v>48</v>
      </c>
      <c r="H2840" s="4" t="s">
        <v>52</v>
      </c>
      <c r="I2840" s="5">
        <v>45400</v>
      </c>
      <c r="J2840" s="4">
        <f t="shared" si="44"/>
        <v>29</v>
      </c>
    </row>
    <row r="2841" spans="1:10" x14ac:dyDescent="0.25">
      <c r="A2841" s="4">
        <f>_xlfn.XLOOKUP(E2841,'Data Validation'!$M$3:$M$10,'Data Validation'!$N$3:$N$10)</f>
        <v>8</v>
      </c>
      <c r="B2841" s="4">
        <v>17</v>
      </c>
      <c r="C2841" s="4" t="s">
        <v>11</v>
      </c>
      <c r="D2841" s="7">
        <v>38.700000000000003</v>
      </c>
      <c r="E2841" s="4" t="s">
        <v>12</v>
      </c>
      <c r="F2841" s="4" t="s">
        <v>20</v>
      </c>
      <c r="G2841" s="4" t="s">
        <v>48</v>
      </c>
      <c r="H2841" s="4" t="s">
        <v>52</v>
      </c>
      <c r="I2841" s="5">
        <v>45400</v>
      </c>
      <c r="J2841" s="4">
        <f t="shared" si="44"/>
        <v>29</v>
      </c>
    </row>
    <row r="2842" spans="1:10" x14ac:dyDescent="0.25">
      <c r="A2842" s="4">
        <f>_xlfn.XLOOKUP(E2842,'Data Validation'!$M$3:$M$10,'Data Validation'!$N$3:$N$10)</f>
        <v>8</v>
      </c>
      <c r="B2842" s="4">
        <v>10</v>
      </c>
      <c r="C2842" s="4" t="s">
        <v>11</v>
      </c>
      <c r="D2842" s="7">
        <v>38.700000000000003</v>
      </c>
      <c r="E2842" s="4" t="s">
        <v>12</v>
      </c>
      <c r="F2842" s="4" t="s">
        <v>13</v>
      </c>
      <c r="G2842" s="4" t="s">
        <v>49</v>
      </c>
      <c r="H2842" s="4" t="s">
        <v>52</v>
      </c>
      <c r="I2842" s="5">
        <v>45401</v>
      </c>
      <c r="J2842" s="4">
        <f t="shared" si="44"/>
        <v>29</v>
      </c>
    </row>
    <row r="2843" spans="1:10" x14ac:dyDescent="0.25">
      <c r="A2843" s="4">
        <f>_xlfn.XLOOKUP(E2843,'Data Validation'!$M$3:$M$10,'Data Validation'!$N$3:$N$10)</f>
        <v>8</v>
      </c>
      <c r="B2843" s="4">
        <v>19</v>
      </c>
      <c r="C2843" s="4" t="s">
        <v>11</v>
      </c>
      <c r="D2843" s="7">
        <v>37.72</v>
      </c>
      <c r="E2843" s="4" t="s">
        <v>12</v>
      </c>
      <c r="F2843" s="4" t="s">
        <v>20</v>
      </c>
      <c r="G2843" s="4" t="s">
        <v>50</v>
      </c>
      <c r="H2843" s="4" t="s">
        <v>52</v>
      </c>
      <c r="I2843" s="5">
        <v>45402</v>
      </c>
      <c r="J2843" s="4">
        <f t="shared" si="44"/>
        <v>30</v>
      </c>
    </row>
    <row r="2844" spans="1:10" x14ac:dyDescent="0.25">
      <c r="A2844" s="4">
        <f>_xlfn.XLOOKUP(E2844,'Data Validation'!$M$3:$M$10,'Data Validation'!$N$3:$N$10)</f>
        <v>8</v>
      </c>
      <c r="B2844" s="4">
        <v>11</v>
      </c>
      <c r="C2844" s="4" t="s">
        <v>11</v>
      </c>
      <c r="D2844" s="7">
        <v>37.72</v>
      </c>
      <c r="E2844" s="4" t="s">
        <v>12</v>
      </c>
      <c r="F2844" s="4" t="s">
        <v>13</v>
      </c>
      <c r="G2844" s="4" t="s">
        <v>51</v>
      </c>
      <c r="H2844" s="4" t="s">
        <v>52</v>
      </c>
      <c r="I2844" s="5">
        <v>45403</v>
      </c>
      <c r="J2844" s="4">
        <f t="shared" si="44"/>
        <v>30</v>
      </c>
    </row>
    <row r="2845" spans="1:10" x14ac:dyDescent="0.25">
      <c r="A2845" s="4">
        <f>_xlfn.XLOOKUP(E2845,'Data Validation'!$M$3:$M$10,'Data Validation'!$N$3:$N$10)</f>
        <v>8</v>
      </c>
      <c r="B2845" s="4">
        <v>19</v>
      </c>
      <c r="C2845" s="4" t="s">
        <v>11</v>
      </c>
      <c r="D2845" s="7">
        <v>37.72</v>
      </c>
      <c r="E2845" s="4" t="s">
        <v>12</v>
      </c>
      <c r="F2845" s="4" t="s">
        <v>20</v>
      </c>
      <c r="G2845" s="4" t="s">
        <v>45</v>
      </c>
      <c r="H2845" s="4" t="s">
        <v>52</v>
      </c>
      <c r="I2845" s="5">
        <v>45404</v>
      </c>
      <c r="J2845" s="4">
        <f t="shared" si="44"/>
        <v>30</v>
      </c>
    </row>
    <row r="2846" spans="1:10" x14ac:dyDescent="0.25">
      <c r="A2846" s="4">
        <f>_xlfn.XLOOKUP(E2846,'Data Validation'!$M$3:$M$10,'Data Validation'!$N$3:$N$10)</f>
        <v>8</v>
      </c>
      <c r="B2846" s="4">
        <v>10</v>
      </c>
      <c r="C2846" s="4" t="s">
        <v>11</v>
      </c>
      <c r="D2846" s="7">
        <v>37.72</v>
      </c>
      <c r="E2846" s="4" t="s">
        <v>12</v>
      </c>
      <c r="F2846" s="4" t="s">
        <v>13</v>
      </c>
      <c r="G2846" s="4" t="s">
        <v>47</v>
      </c>
      <c r="H2846" s="4" t="s">
        <v>52</v>
      </c>
      <c r="I2846" s="5">
        <v>45406</v>
      </c>
      <c r="J2846" s="4">
        <f t="shared" si="44"/>
        <v>30</v>
      </c>
    </row>
    <row r="2847" spans="1:10" x14ac:dyDescent="0.25">
      <c r="A2847" s="4">
        <f>_xlfn.XLOOKUP(E2847,'Data Validation'!$M$3:$M$10,'Data Validation'!$N$3:$N$10)</f>
        <v>8</v>
      </c>
      <c r="B2847" s="4">
        <v>15</v>
      </c>
      <c r="C2847" s="4" t="s">
        <v>11</v>
      </c>
      <c r="D2847" s="7">
        <v>37.72</v>
      </c>
      <c r="E2847" s="4" t="s">
        <v>12</v>
      </c>
      <c r="F2847" s="4" t="s">
        <v>17</v>
      </c>
      <c r="G2847" s="4" t="s">
        <v>48</v>
      </c>
      <c r="H2847" s="4" t="s">
        <v>52</v>
      </c>
      <c r="I2847" s="5">
        <v>45407</v>
      </c>
      <c r="J2847" s="4">
        <f t="shared" si="44"/>
        <v>30</v>
      </c>
    </row>
    <row r="2848" spans="1:10" x14ac:dyDescent="0.25">
      <c r="A2848" s="4">
        <f>_xlfn.XLOOKUP(E2848,'Data Validation'!$M$3:$M$10,'Data Validation'!$N$3:$N$10)</f>
        <v>8</v>
      </c>
      <c r="B2848" s="4">
        <v>10</v>
      </c>
      <c r="C2848" s="4" t="s">
        <v>11</v>
      </c>
      <c r="D2848" s="7">
        <v>37.72</v>
      </c>
      <c r="E2848" s="4" t="s">
        <v>12</v>
      </c>
      <c r="F2848" s="4" t="s">
        <v>13</v>
      </c>
      <c r="G2848" s="4" t="s">
        <v>49</v>
      </c>
      <c r="H2848" s="4" t="s">
        <v>52</v>
      </c>
      <c r="I2848" s="5">
        <v>45408</v>
      </c>
      <c r="J2848" s="4">
        <f t="shared" si="44"/>
        <v>30</v>
      </c>
    </row>
    <row r="2849" spans="1:10" x14ac:dyDescent="0.25">
      <c r="A2849" s="4">
        <f>_xlfn.XLOOKUP(E2849,'Data Validation'!$M$3:$M$10,'Data Validation'!$N$3:$N$10)</f>
        <v>8</v>
      </c>
      <c r="B2849" s="4">
        <v>12</v>
      </c>
      <c r="C2849" s="4" t="s">
        <v>11</v>
      </c>
      <c r="D2849" s="7">
        <v>37.72</v>
      </c>
      <c r="E2849" s="4" t="s">
        <v>12</v>
      </c>
      <c r="F2849" s="4" t="s">
        <v>17</v>
      </c>
      <c r="G2849" s="4" t="s">
        <v>49</v>
      </c>
      <c r="H2849" s="4" t="s">
        <v>52</v>
      </c>
      <c r="I2849" s="5">
        <v>45408</v>
      </c>
      <c r="J2849" s="4">
        <f t="shared" si="44"/>
        <v>30</v>
      </c>
    </row>
    <row r="2850" spans="1:10" x14ac:dyDescent="0.25">
      <c r="A2850" s="4">
        <f>_xlfn.XLOOKUP(E2850,'Data Validation'!$M$3:$M$10,'Data Validation'!$N$3:$N$10)</f>
        <v>8</v>
      </c>
      <c r="B2850" s="4">
        <v>10</v>
      </c>
      <c r="C2850" s="4" t="s">
        <v>11</v>
      </c>
      <c r="D2850" s="7">
        <v>37.72</v>
      </c>
      <c r="E2850" s="4" t="s">
        <v>12</v>
      </c>
      <c r="F2850" s="4" t="s">
        <v>13</v>
      </c>
      <c r="G2850" s="4" t="s">
        <v>51</v>
      </c>
      <c r="H2850" s="4" t="s">
        <v>52</v>
      </c>
      <c r="I2850" s="5">
        <v>45410</v>
      </c>
      <c r="J2850" s="4">
        <f t="shared" si="44"/>
        <v>30</v>
      </c>
    </row>
    <row r="2851" spans="1:10" x14ac:dyDescent="0.25">
      <c r="A2851" s="4">
        <f>_xlfn.XLOOKUP(E2851,'Data Validation'!$M$3:$M$10,'Data Validation'!$N$3:$N$10)</f>
        <v>8</v>
      </c>
      <c r="B2851" s="4">
        <v>18</v>
      </c>
      <c r="C2851" s="4" t="s">
        <v>11</v>
      </c>
      <c r="D2851" s="7">
        <v>37.72</v>
      </c>
      <c r="E2851" s="4" t="s">
        <v>12</v>
      </c>
      <c r="F2851" s="4" t="s">
        <v>20</v>
      </c>
      <c r="G2851" s="4" t="s">
        <v>51</v>
      </c>
      <c r="H2851" s="4" t="s">
        <v>52</v>
      </c>
      <c r="I2851" s="5">
        <v>45410</v>
      </c>
      <c r="J2851" s="4">
        <f t="shared" si="44"/>
        <v>30</v>
      </c>
    </row>
    <row r="2852" spans="1:10" x14ac:dyDescent="0.25">
      <c r="A2852" s="4">
        <f>_xlfn.XLOOKUP(E2852,'Data Validation'!$M$3:$M$10,'Data Validation'!$N$3:$N$10)</f>
        <v>8</v>
      </c>
      <c r="B2852" s="4">
        <v>10</v>
      </c>
      <c r="C2852" s="4" t="s">
        <v>11</v>
      </c>
      <c r="D2852" s="7">
        <v>37.72</v>
      </c>
      <c r="E2852" s="4" t="s">
        <v>12</v>
      </c>
      <c r="F2852" s="4" t="s">
        <v>13</v>
      </c>
      <c r="G2852" s="4" t="s">
        <v>46</v>
      </c>
      <c r="H2852" s="4" t="s">
        <v>52</v>
      </c>
      <c r="I2852" s="5">
        <v>45412</v>
      </c>
      <c r="J2852" s="4">
        <f t="shared" si="44"/>
        <v>30</v>
      </c>
    </row>
    <row r="2853" spans="1:10" x14ac:dyDescent="0.25">
      <c r="A2853" s="4">
        <f>_xlfn.XLOOKUP(E2853,'Data Validation'!$M$3:$M$10,'Data Validation'!$N$3:$N$10)</f>
        <v>8</v>
      </c>
      <c r="B2853" s="4">
        <v>19</v>
      </c>
      <c r="C2853" s="4" t="s">
        <v>11</v>
      </c>
      <c r="D2853" s="7">
        <v>37.72</v>
      </c>
      <c r="E2853" s="4" t="s">
        <v>12</v>
      </c>
      <c r="F2853" s="4" t="s">
        <v>20</v>
      </c>
      <c r="G2853" s="4" t="s">
        <v>46</v>
      </c>
      <c r="H2853" s="4" t="s">
        <v>52</v>
      </c>
      <c r="I2853" s="5">
        <v>45412</v>
      </c>
      <c r="J2853" s="4">
        <f t="shared" si="44"/>
        <v>30</v>
      </c>
    </row>
    <row r="2854" spans="1:10" x14ac:dyDescent="0.25">
      <c r="A2854" s="4">
        <f>_xlfn.XLOOKUP(E2854,'Data Validation'!$M$3:$M$10,'Data Validation'!$N$3:$N$10)</f>
        <v>8</v>
      </c>
      <c r="B2854" s="4">
        <v>19</v>
      </c>
      <c r="C2854" s="4" t="s">
        <v>11</v>
      </c>
      <c r="D2854" s="7">
        <v>37.72</v>
      </c>
      <c r="E2854" s="4" t="s">
        <v>12</v>
      </c>
      <c r="F2854" s="4" t="s">
        <v>20</v>
      </c>
      <c r="G2854" s="4" t="s">
        <v>48</v>
      </c>
      <c r="H2854" s="4" t="s">
        <v>32</v>
      </c>
      <c r="I2854" s="5">
        <v>45414</v>
      </c>
      <c r="J2854" s="4">
        <f t="shared" si="44"/>
        <v>30</v>
      </c>
    </row>
    <row r="2855" spans="1:10" x14ac:dyDescent="0.25">
      <c r="A2855" s="4">
        <f>_xlfn.XLOOKUP(E2855,'Data Validation'!$M$3:$M$10,'Data Validation'!$N$3:$N$10)</f>
        <v>8</v>
      </c>
      <c r="B2855" s="4">
        <v>14</v>
      </c>
      <c r="C2855" s="4" t="s">
        <v>11</v>
      </c>
      <c r="D2855" s="7">
        <v>37.72</v>
      </c>
      <c r="E2855" s="4" t="s">
        <v>12</v>
      </c>
      <c r="F2855" s="4" t="s">
        <v>17</v>
      </c>
      <c r="G2855" s="4" t="s">
        <v>49</v>
      </c>
      <c r="H2855" s="4" t="s">
        <v>32</v>
      </c>
      <c r="I2855" s="5">
        <v>45415</v>
      </c>
      <c r="J2855" s="4">
        <f t="shared" si="44"/>
        <v>30</v>
      </c>
    </row>
    <row r="2856" spans="1:10" x14ac:dyDescent="0.25">
      <c r="A2856" s="4">
        <f>_xlfn.XLOOKUP(E2856,'Data Validation'!$M$3:$M$10,'Data Validation'!$N$3:$N$10)</f>
        <v>8</v>
      </c>
      <c r="B2856" s="4">
        <v>17</v>
      </c>
      <c r="C2856" s="4" t="s">
        <v>11</v>
      </c>
      <c r="D2856" s="7">
        <v>37.72</v>
      </c>
      <c r="E2856" s="4" t="s">
        <v>12</v>
      </c>
      <c r="F2856" s="4" t="s">
        <v>20</v>
      </c>
      <c r="G2856" s="4" t="s">
        <v>49</v>
      </c>
      <c r="H2856" s="4" t="s">
        <v>32</v>
      </c>
      <c r="I2856" s="5">
        <v>45415</v>
      </c>
      <c r="J2856" s="4">
        <f t="shared" si="44"/>
        <v>30</v>
      </c>
    </row>
    <row r="2857" spans="1:10" x14ac:dyDescent="0.25">
      <c r="A2857" s="4">
        <f>_xlfn.XLOOKUP(E2857,'Data Validation'!$M$3:$M$10,'Data Validation'!$N$3:$N$10)</f>
        <v>8</v>
      </c>
      <c r="B2857" s="4">
        <v>17</v>
      </c>
      <c r="C2857" s="4" t="s">
        <v>11</v>
      </c>
      <c r="D2857" s="7">
        <v>37.72</v>
      </c>
      <c r="E2857" s="4" t="s">
        <v>12</v>
      </c>
      <c r="F2857" s="4" t="s">
        <v>20</v>
      </c>
      <c r="G2857" s="4" t="s">
        <v>46</v>
      </c>
      <c r="H2857" s="4" t="s">
        <v>32</v>
      </c>
      <c r="I2857" s="5">
        <v>45419</v>
      </c>
      <c r="J2857" s="4">
        <f t="shared" si="44"/>
        <v>30</v>
      </c>
    </row>
    <row r="2858" spans="1:10" x14ac:dyDescent="0.25">
      <c r="A2858" s="4">
        <f>_xlfn.XLOOKUP(E2858,'Data Validation'!$M$3:$M$10,'Data Validation'!$N$3:$N$10)</f>
        <v>8</v>
      </c>
      <c r="B2858" s="4">
        <v>10</v>
      </c>
      <c r="C2858" s="4" t="s">
        <v>11</v>
      </c>
      <c r="D2858" s="7">
        <v>37.72</v>
      </c>
      <c r="E2858" s="4" t="s">
        <v>12</v>
      </c>
      <c r="F2858" s="4" t="s">
        <v>13</v>
      </c>
      <c r="G2858" s="4" t="s">
        <v>47</v>
      </c>
      <c r="H2858" s="4" t="s">
        <v>32</v>
      </c>
      <c r="I2858" s="5">
        <v>45420</v>
      </c>
      <c r="J2858" s="4">
        <f t="shared" si="44"/>
        <v>30</v>
      </c>
    </row>
    <row r="2859" spans="1:10" x14ac:dyDescent="0.25">
      <c r="A2859" s="4">
        <f>_xlfn.XLOOKUP(E2859,'Data Validation'!$M$3:$M$10,'Data Validation'!$N$3:$N$10)</f>
        <v>8</v>
      </c>
      <c r="B2859" s="4">
        <v>13</v>
      </c>
      <c r="C2859" s="4" t="s">
        <v>11</v>
      </c>
      <c r="D2859" s="7">
        <v>37.72</v>
      </c>
      <c r="E2859" s="4" t="s">
        <v>12</v>
      </c>
      <c r="F2859" s="4" t="s">
        <v>17</v>
      </c>
      <c r="G2859" s="4" t="s">
        <v>48</v>
      </c>
      <c r="H2859" s="4" t="s">
        <v>32</v>
      </c>
      <c r="I2859" s="5">
        <v>45421</v>
      </c>
      <c r="J2859" s="4">
        <f t="shared" si="44"/>
        <v>30</v>
      </c>
    </row>
    <row r="2860" spans="1:10" x14ac:dyDescent="0.25">
      <c r="A2860" s="4">
        <f>_xlfn.XLOOKUP(E2860,'Data Validation'!$M$3:$M$10,'Data Validation'!$N$3:$N$10)</f>
        <v>8</v>
      </c>
      <c r="B2860" s="4">
        <v>13</v>
      </c>
      <c r="C2860" s="4" t="s">
        <v>11</v>
      </c>
      <c r="D2860" s="7">
        <v>37.72</v>
      </c>
      <c r="E2860" s="4" t="s">
        <v>12</v>
      </c>
      <c r="F2860" s="4" t="s">
        <v>17</v>
      </c>
      <c r="G2860" s="4" t="s">
        <v>48</v>
      </c>
      <c r="H2860" s="4" t="s">
        <v>32</v>
      </c>
      <c r="I2860" s="5">
        <v>45421</v>
      </c>
      <c r="J2860" s="4">
        <f t="shared" si="44"/>
        <v>30</v>
      </c>
    </row>
    <row r="2861" spans="1:10" x14ac:dyDescent="0.25">
      <c r="A2861" s="4">
        <f>_xlfn.XLOOKUP(E2861,'Data Validation'!$M$3:$M$10,'Data Validation'!$N$3:$N$10)</f>
        <v>8</v>
      </c>
      <c r="B2861" s="4">
        <v>13</v>
      </c>
      <c r="C2861" s="4" t="s">
        <v>11</v>
      </c>
      <c r="D2861" s="7">
        <v>37.72</v>
      </c>
      <c r="E2861" s="4" t="s">
        <v>12</v>
      </c>
      <c r="F2861" s="4" t="s">
        <v>17</v>
      </c>
      <c r="G2861" s="4" t="s">
        <v>48</v>
      </c>
      <c r="H2861" s="4" t="s">
        <v>32</v>
      </c>
      <c r="I2861" s="5">
        <v>45421</v>
      </c>
      <c r="J2861" s="4">
        <f t="shared" si="44"/>
        <v>30</v>
      </c>
    </row>
    <row r="2862" spans="1:10" x14ac:dyDescent="0.25">
      <c r="A2862" s="4">
        <f>_xlfn.XLOOKUP(E2862,'Data Validation'!$M$3:$M$10,'Data Validation'!$N$3:$N$10)</f>
        <v>8</v>
      </c>
      <c r="B2862" s="4">
        <v>15</v>
      </c>
      <c r="C2862" s="4" t="s">
        <v>11</v>
      </c>
      <c r="D2862" s="7">
        <v>37.72</v>
      </c>
      <c r="E2862" s="4" t="s">
        <v>12</v>
      </c>
      <c r="F2862" s="4" t="s">
        <v>17</v>
      </c>
      <c r="G2862" s="4" t="s">
        <v>49</v>
      </c>
      <c r="H2862" s="4" t="s">
        <v>32</v>
      </c>
      <c r="I2862" s="5">
        <v>45422</v>
      </c>
      <c r="J2862" s="4">
        <f t="shared" si="44"/>
        <v>30</v>
      </c>
    </row>
    <row r="2863" spans="1:10" x14ac:dyDescent="0.25">
      <c r="A2863" s="4">
        <f>_xlfn.XLOOKUP(E2863,'Data Validation'!$M$3:$M$10,'Data Validation'!$N$3:$N$10)</f>
        <v>8</v>
      </c>
      <c r="B2863" s="4">
        <v>15</v>
      </c>
      <c r="C2863" s="4" t="s">
        <v>11</v>
      </c>
      <c r="D2863" s="7">
        <v>37.72</v>
      </c>
      <c r="E2863" s="4" t="s">
        <v>12</v>
      </c>
      <c r="F2863" s="4" t="s">
        <v>17</v>
      </c>
      <c r="G2863" s="4" t="s">
        <v>49</v>
      </c>
      <c r="H2863" s="4" t="s">
        <v>32</v>
      </c>
      <c r="I2863" s="5">
        <v>45422</v>
      </c>
      <c r="J2863" s="4">
        <f t="shared" si="44"/>
        <v>30</v>
      </c>
    </row>
    <row r="2864" spans="1:10" x14ac:dyDescent="0.25">
      <c r="A2864" s="4">
        <f>_xlfn.XLOOKUP(E2864,'Data Validation'!$M$3:$M$10,'Data Validation'!$N$3:$N$10)</f>
        <v>8</v>
      </c>
      <c r="B2864" s="4">
        <v>11</v>
      </c>
      <c r="C2864" s="4" t="s">
        <v>11</v>
      </c>
      <c r="D2864" s="7">
        <v>37.72</v>
      </c>
      <c r="E2864" s="4" t="s">
        <v>12</v>
      </c>
      <c r="F2864" s="4" t="s">
        <v>13</v>
      </c>
      <c r="G2864" s="4" t="s">
        <v>50</v>
      </c>
      <c r="H2864" s="4" t="s">
        <v>32</v>
      </c>
      <c r="I2864" s="5">
        <v>45423</v>
      </c>
      <c r="J2864" s="4">
        <f t="shared" si="44"/>
        <v>30</v>
      </c>
    </row>
    <row r="2865" spans="1:10" x14ac:dyDescent="0.25">
      <c r="A2865" s="4">
        <f>_xlfn.XLOOKUP(E2865,'Data Validation'!$M$3:$M$10,'Data Validation'!$N$3:$N$10)</f>
        <v>8</v>
      </c>
      <c r="B2865" s="4">
        <v>19</v>
      </c>
      <c r="C2865" s="4" t="s">
        <v>11</v>
      </c>
      <c r="D2865" s="7">
        <v>37.72</v>
      </c>
      <c r="E2865" s="4" t="s">
        <v>12</v>
      </c>
      <c r="F2865" s="4" t="s">
        <v>20</v>
      </c>
      <c r="G2865" s="4" t="s">
        <v>50</v>
      </c>
      <c r="H2865" s="4" t="s">
        <v>32</v>
      </c>
      <c r="I2865" s="5">
        <v>45423</v>
      </c>
      <c r="J2865" s="4">
        <f t="shared" si="44"/>
        <v>30</v>
      </c>
    </row>
    <row r="2866" spans="1:10" x14ac:dyDescent="0.25">
      <c r="A2866" s="4">
        <f>_xlfn.XLOOKUP(E2866,'Data Validation'!$M$3:$M$10,'Data Validation'!$N$3:$N$10)</f>
        <v>8</v>
      </c>
      <c r="B2866" s="4">
        <v>10</v>
      </c>
      <c r="C2866" s="4" t="s">
        <v>11</v>
      </c>
      <c r="D2866" s="7">
        <v>37.72</v>
      </c>
      <c r="E2866" s="4" t="s">
        <v>12</v>
      </c>
      <c r="F2866" s="4" t="s">
        <v>13</v>
      </c>
      <c r="G2866" s="4" t="s">
        <v>51</v>
      </c>
      <c r="H2866" s="4" t="s">
        <v>32</v>
      </c>
      <c r="I2866" s="5">
        <v>45424</v>
      </c>
      <c r="J2866" s="4">
        <f t="shared" si="44"/>
        <v>30</v>
      </c>
    </row>
    <row r="2867" spans="1:10" x14ac:dyDescent="0.25">
      <c r="A2867" s="4">
        <f>_xlfn.XLOOKUP(E2867,'Data Validation'!$M$3:$M$10,'Data Validation'!$N$3:$N$10)</f>
        <v>8</v>
      </c>
      <c r="B2867" s="4">
        <v>13</v>
      </c>
      <c r="C2867" s="4" t="s">
        <v>11</v>
      </c>
      <c r="D2867" s="7">
        <v>37.72</v>
      </c>
      <c r="E2867" s="4" t="s">
        <v>12</v>
      </c>
      <c r="F2867" s="4" t="s">
        <v>17</v>
      </c>
      <c r="G2867" s="4" t="s">
        <v>51</v>
      </c>
      <c r="H2867" s="4" t="s">
        <v>32</v>
      </c>
      <c r="I2867" s="5">
        <v>45424</v>
      </c>
      <c r="J2867" s="4">
        <f t="shared" si="44"/>
        <v>30</v>
      </c>
    </row>
    <row r="2868" spans="1:10" x14ac:dyDescent="0.25">
      <c r="A2868" s="4">
        <f>_xlfn.XLOOKUP(E2868,'Data Validation'!$M$3:$M$10,'Data Validation'!$N$3:$N$10)</f>
        <v>8</v>
      </c>
      <c r="B2868" s="4">
        <v>15</v>
      </c>
      <c r="C2868" s="4" t="s">
        <v>11</v>
      </c>
      <c r="D2868" s="7">
        <v>37.72</v>
      </c>
      <c r="E2868" s="4" t="s">
        <v>12</v>
      </c>
      <c r="F2868" s="4" t="s">
        <v>17</v>
      </c>
      <c r="G2868" s="4" t="s">
        <v>51</v>
      </c>
      <c r="H2868" s="4" t="s">
        <v>32</v>
      </c>
      <c r="I2868" s="5">
        <v>45424</v>
      </c>
      <c r="J2868" s="4">
        <f t="shared" si="44"/>
        <v>30</v>
      </c>
    </row>
    <row r="2869" spans="1:10" x14ac:dyDescent="0.25">
      <c r="A2869" s="4">
        <f>_xlfn.XLOOKUP(E2869,'Data Validation'!$M$3:$M$10,'Data Validation'!$N$3:$N$10)</f>
        <v>8</v>
      </c>
      <c r="B2869" s="4">
        <v>11</v>
      </c>
      <c r="C2869" s="4" t="s">
        <v>11</v>
      </c>
      <c r="D2869" s="7">
        <v>37.72</v>
      </c>
      <c r="E2869" s="4" t="s">
        <v>12</v>
      </c>
      <c r="F2869" s="4" t="s">
        <v>13</v>
      </c>
      <c r="G2869" s="4" t="s">
        <v>46</v>
      </c>
      <c r="H2869" s="4" t="s">
        <v>32</v>
      </c>
      <c r="I2869" s="5">
        <v>45426</v>
      </c>
      <c r="J2869" s="4">
        <f t="shared" si="44"/>
        <v>30</v>
      </c>
    </row>
    <row r="2870" spans="1:10" x14ac:dyDescent="0.25">
      <c r="A2870" s="4">
        <f>_xlfn.XLOOKUP(E2870,'Data Validation'!$M$3:$M$10,'Data Validation'!$N$3:$N$10)</f>
        <v>8</v>
      </c>
      <c r="B2870" s="4">
        <v>8</v>
      </c>
      <c r="C2870" s="4" t="s">
        <v>11</v>
      </c>
      <c r="D2870" s="7">
        <v>37.72</v>
      </c>
      <c r="E2870" s="4" t="s">
        <v>12</v>
      </c>
      <c r="F2870" s="4" t="s">
        <v>13</v>
      </c>
      <c r="G2870" s="4" t="s">
        <v>47</v>
      </c>
      <c r="H2870" s="4" t="s">
        <v>32</v>
      </c>
      <c r="I2870" s="5">
        <v>45427</v>
      </c>
      <c r="J2870" s="4">
        <f t="shared" si="44"/>
        <v>30</v>
      </c>
    </row>
    <row r="2871" spans="1:10" x14ac:dyDescent="0.25">
      <c r="A2871" s="4">
        <f>_xlfn.XLOOKUP(E2871,'Data Validation'!$M$3:$M$10,'Data Validation'!$N$3:$N$10)</f>
        <v>8</v>
      </c>
      <c r="B2871" s="4">
        <v>17</v>
      </c>
      <c r="C2871" s="4" t="s">
        <v>11</v>
      </c>
      <c r="D2871" s="7">
        <v>37.72</v>
      </c>
      <c r="E2871" s="4" t="s">
        <v>12</v>
      </c>
      <c r="F2871" s="4" t="s">
        <v>20</v>
      </c>
      <c r="G2871" s="4" t="s">
        <v>48</v>
      </c>
      <c r="H2871" s="4" t="s">
        <v>32</v>
      </c>
      <c r="I2871" s="5">
        <v>45428</v>
      </c>
      <c r="J2871" s="4">
        <f t="shared" si="44"/>
        <v>30</v>
      </c>
    </row>
    <row r="2872" spans="1:10" x14ac:dyDescent="0.25">
      <c r="A2872" s="4">
        <f>_xlfn.XLOOKUP(E2872,'Data Validation'!$M$3:$M$10,'Data Validation'!$N$3:$N$10)</f>
        <v>8</v>
      </c>
      <c r="B2872" s="4">
        <v>18</v>
      </c>
      <c r="C2872" s="4" t="s">
        <v>11</v>
      </c>
      <c r="D2872" s="7">
        <v>37.72</v>
      </c>
      <c r="E2872" s="4" t="s">
        <v>12</v>
      </c>
      <c r="F2872" s="4" t="s">
        <v>20</v>
      </c>
      <c r="G2872" s="4" t="s">
        <v>48</v>
      </c>
      <c r="H2872" s="4" t="s">
        <v>32</v>
      </c>
      <c r="I2872" s="5">
        <v>45428</v>
      </c>
      <c r="J2872" s="4">
        <f t="shared" si="44"/>
        <v>30</v>
      </c>
    </row>
    <row r="2873" spans="1:10" x14ac:dyDescent="0.25">
      <c r="A2873" s="4">
        <f>_xlfn.XLOOKUP(E2873,'Data Validation'!$M$3:$M$10,'Data Validation'!$N$3:$N$10)</f>
        <v>8</v>
      </c>
      <c r="B2873" s="4">
        <v>22</v>
      </c>
      <c r="C2873" s="4" t="s">
        <v>11</v>
      </c>
      <c r="D2873" s="7">
        <v>37.72</v>
      </c>
      <c r="E2873" s="4" t="s">
        <v>12</v>
      </c>
      <c r="F2873" s="4" t="s">
        <v>20</v>
      </c>
      <c r="G2873" s="4" t="s">
        <v>49</v>
      </c>
      <c r="H2873" s="4" t="s">
        <v>32</v>
      </c>
      <c r="I2873" s="5">
        <v>45429</v>
      </c>
      <c r="J2873" s="4">
        <f t="shared" si="44"/>
        <v>30</v>
      </c>
    </row>
    <row r="2874" spans="1:10" x14ac:dyDescent="0.25">
      <c r="A2874" s="4">
        <f>_xlfn.XLOOKUP(E2874,'Data Validation'!$M$3:$M$10,'Data Validation'!$N$3:$N$10)</f>
        <v>8</v>
      </c>
      <c r="B2874" s="4">
        <v>22</v>
      </c>
      <c r="C2874" s="4" t="s">
        <v>11</v>
      </c>
      <c r="D2874" s="7">
        <v>37.72</v>
      </c>
      <c r="E2874" s="4" t="s">
        <v>12</v>
      </c>
      <c r="F2874" s="4" t="s">
        <v>20</v>
      </c>
      <c r="G2874" s="4" t="s">
        <v>49</v>
      </c>
      <c r="H2874" s="4" t="s">
        <v>32</v>
      </c>
      <c r="I2874" s="5">
        <v>45429</v>
      </c>
      <c r="J2874" s="4">
        <f t="shared" si="44"/>
        <v>30</v>
      </c>
    </row>
    <row r="2875" spans="1:10" x14ac:dyDescent="0.25">
      <c r="A2875" s="4">
        <f>_xlfn.XLOOKUP(E2875,'Data Validation'!$M$3:$M$10,'Data Validation'!$N$3:$N$10)</f>
        <v>8</v>
      </c>
      <c r="B2875" s="4">
        <v>20</v>
      </c>
      <c r="C2875" s="4" t="s">
        <v>11</v>
      </c>
      <c r="D2875" s="7">
        <v>37.72</v>
      </c>
      <c r="E2875" s="4" t="s">
        <v>12</v>
      </c>
      <c r="F2875" s="4" t="s">
        <v>20</v>
      </c>
      <c r="G2875" s="4" t="s">
        <v>50</v>
      </c>
      <c r="H2875" s="4" t="s">
        <v>32</v>
      </c>
      <c r="I2875" s="5">
        <v>45430</v>
      </c>
      <c r="J2875" s="4">
        <f t="shared" si="44"/>
        <v>30</v>
      </c>
    </row>
    <row r="2876" spans="1:10" x14ac:dyDescent="0.25">
      <c r="A2876" s="4">
        <f>_xlfn.XLOOKUP(E2876,'Data Validation'!$M$3:$M$10,'Data Validation'!$N$3:$N$10)</f>
        <v>8</v>
      </c>
      <c r="B2876" s="4">
        <v>10</v>
      </c>
      <c r="C2876" s="4" t="s">
        <v>11</v>
      </c>
      <c r="D2876" s="7">
        <v>37.72</v>
      </c>
      <c r="E2876" s="4" t="s">
        <v>12</v>
      </c>
      <c r="F2876" s="4" t="s">
        <v>13</v>
      </c>
      <c r="G2876" s="4" t="s">
        <v>45</v>
      </c>
      <c r="H2876" s="4" t="s">
        <v>32</v>
      </c>
      <c r="I2876" s="5">
        <v>45432</v>
      </c>
      <c r="J2876" s="4">
        <f t="shared" si="44"/>
        <v>30</v>
      </c>
    </row>
    <row r="2877" spans="1:10" x14ac:dyDescent="0.25">
      <c r="A2877" s="4">
        <f>_xlfn.XLOOKUP(E2877,'Data Validation'!$M$3:$M$10,'Data Validation'!$N$3:$N$10)</f>
        <v>8</v>
      </c>
      <c r="B2877" s="4">
        <v>10</v>
      </c>
      <c r="C2877" s="4" t="s">
        <v>11</v>
      </c>
      <c r="D2877" s="7">
        <v>37.72</v>
      </c>
      <c r="E2877" s="4" t="s">
        <v>12</v>
      </c>
      <c r="F2877" s="4" t="s">
        <v>13</v>
      </c>
      <c r="G2877" s="4" t="s">
        <v>45</v>
      </c>
      <c r="H2877" s="4" t="s">
        <v>32</v>
      </c>
      <c r="I2877" s="5">
        <v>45432</v>
      </c>
      <c r="J2877" s="4">
        <f t="shared" si="44"/>
        <v>30</v>
      </c>
    </row>
    <row r="2878" spans="1:10" x14ac:dyDescent="0.25">
      <c r="A2878" s="4">
        <f>_xlfn.XLOOKUP(E2878,'Data Validation'!$M$3:$M$10,'Data Validation'!$N$3:$N$10)</f>
        <v>8</v>
      </c>
      <c r="B2878" s="4">
        <v>17</v>
      </c>
      <c r="C2878" s="4" t="s">
        <v>11</v>
      </c>
      <c r="D2878" s="7">
        <v>37.72</v>
      </c>
      <c r="E2878" s="4" t="s">
        <v>12</v>
      </c>
      <c r="F2878" s="4" t="s">
        <v>20</v>
      </c>
      <c r="G2878" s="4" t="s">
        <v>45</v>
      </c>
      <c r="H2878" s="4" t="s">
        <v>32</v>
      </c>
      <c r="I2878" s="5">
        <v>45432</v>
      </c>
      <c r="J2878" s="4">
        <f t="shared" si="44"/>
        <v>30</v>
      </c>
    </row>
    <row r="2879" spans="1:10" x14ac:dyDescent="0.25">
      <c r="A2879" s="4">
        <f>_xlfn.XLOOKUP(E2879,'Data Validation'!$M$3:$M$10,'Data Validation'!$N$3:$N$10)</f>
        <v>8</v>
      </c>
      <c r="B2879" s="4">
        <v>17</v>
      </c>
      <c r="C2879" s="4" t="s">
        <v>11</v>
      </c>
      <c r="D2879" s="7">
        <v>37.72</v>
      </c>
      <c r="E2879" s="4" t="s">
        <v>12</v>
      </c>
      <c r="F2879" s="4" t="s">
        <v>20</v>
      </c>
      <c r="G2879" s="4" t="s">
        <v>45</v>
      </c>
      <c r="H2879" s="4" t="s">
        <v>32</v>
      </c>
      <c r="I2879" s="5">
        <v>45432</v>
      </c>
      <c r="J2879" s="4">
        <f t="shared" si="44"/>
        <v>30</v>
      </c>
    </row>
    <row r="2880" spans="1:10" x14ac:dyDescent="0.25">
      <c r="A2880" s="4">
        <f>_xlfn.XLOOKUP(E2880,'Data Validation'!$M$3:$M$10,'Data Validation'!$N$3:$N$10)</f>
        <v>8</v>
      </c>
      <c r="B2880" s="4">
        <v>8</v>
      </c>
      <c r="C2880" s="4" t="s">
        <v>11</v>
      </c>
      <c r="D2880" s="7">
        <v>37.72</v>
      </c>
      <c r="E2880" s="4" t="s">
        <v>12</v>
      </c>
      <c r="F2880" s="4" t="s">
        <v>13</v>
      </c>
      <c r="G2880" s="4" t="s">
        <v>46</v>
      </c>
      <c r="H2880" s="4" t="s">
        <v>32</v>
      </c>
      <c r="I2880" s="5">
        <v>45433</v>
      </c>
      <c r="J2880" s="4">
        <f t="shared" si="44"/>
        <v>30</v>
      </c>
    </row>
    <row r="2881" spans="1:10" x14ac:dyDescent="0.25">
      <c r="A2881" s="4">
        <f>_xlfn.XLOOKUP(E2881,'Data Validation'!$M$3:$M$10,'Data Validation'!$N$3:$N$10)</f>
        <v>8</v>
      </c>
      <c r="B2881" s="4">
        <v>16</v>
      </c>
      <c r="C2881" s="4" t="s">
        <v>11</v>
      </c>
      <c r="D2881" s="7">
        <v>37.72</v>
      </c>
      <c r="E2881" s="4" t="s">
        <v>12</v>
      </c>
      <c r="F2881" s="4" t="s">
        <v>17</v>
      </c>
      <c r="G2881" s="4" t="s">
        <v>46</v>
      </c>
      <c r="H2881" s="4" t="s">
        <v>32</v>
      </c>
      <c r="I2881" s="5">
        <v>45433</v>
      </c>
      <c r="J2881" s="4">
        <f t="shared" si="44"/>
        <v>30</v>
      </c>
    </row>
    <row r="2882" spans="1:10" x14ac:dyDescent="0.25">
      <c r="A2882" s="4">
        <f>_xlfn.XLOOKUP(E2882,'Data Validation'!$M$3:$M$10,'Data Validation'!$N$3:$N$10)</f>
        <v>8</v>
      </c>
      <c r="B2882" s="4">
        <v>16</v>
      </c>
      <c r="C2882" s="4" t="s">
        <v>11</v>
      </c>
      <c r="D2882" s="7">
        <v>37.72</v>
      </c>
      <c r="E2882" s="4" t="s">
        <v>12</v>
      </c>
      <c r="F2882" s="4" t="s">
        <v>17</v>
      </c>
      <c r="G2882" s="4" t="s">
        <v>48</v>
      </c>
      <c r="H2882" s="4" t="s">
        <v>32</v>
      </c>
      <c r="I2882" s="5">
        <v>45435</v>
      </c>
      <c r="J2882" s="4">
        <f t="shared" si="44"/>
        <v>30</v>
      </c>
    </row>
    <row r="2883" spans="1:10" x14ac:dyDescent="0.25">
      <c r="A2883" s="4">
        <f>_xlfn.XLOOKUP(E2883,'Data Validation'!$M$3:$M$10,'Data Validation'!$N$3:$N$10)</f>
        <v>8</v>
      </c>
      <c r="B2883" s="4">
        <v>17</v>
      </c>
      <c r="C2883" s="4" t="s">
        <v>11</v>
      </c>
      <c r="D2883" s="7">
        <v>37.72</v>
      </c>
      <c r="E2883" s="4" t="s">
        <v>12</v>
      </c>
      <c r="F2883" s="4" t="s">
        <v>20</v>
      </c>
      <c r="G2883" s="4" t="s">
        <v>48</v>
      </c>
      <c r="H2883" s="4" t="s">
        <v>32</v>
      </c>
      <c r="I2883" s="5">
        <v>45435</v>
      </c>
      <c r="J2883" s="4">
        <f t="shared" ref="J2883:J2946" si="45">IF(OR(E2883&lt;&gt;E2882,D2883&lt;&gt;D2882),J2882+1,J2882)</f>
        <v>30</v>
      </c>
    </row>
    <row r="2884" spans="1:10" x14ac:dyDescent="0.25">
      <c r="A2884" s="4">
        <f>_xlfn.XLOOKUP(E2884,'Data Validation'!$M$3:$M$10,'Data Validation'!$N$3:$N$10)</f>
        <v>8</v>
      </c>
      <c r="B2884" s="4">
        <v>20</v>
      </c>
      <c r="C2884" s="4" t="s">
        <v>11</v>
      </c>
      <c r="D2884" s="7">
        <v>37.72</v>
      </c>
      <c r="E2884" s="4" t="s">
        <v>12</v>
      </c>
      <c r="F2884" s="4" t="s">
        <v>20</v>
      </c>
      <c r="G2884" s="4" t="s">
        <v>48</v>
      </c>
      <c r="H2884" s="4" t="s">
        <v>32</v>
      </c>
      <c r="I2884" s="5">
        <v>45435</v>
      </c>
      <c r="J2884" s="4">
        <f t="shared" si="45"/>
        <v>30</v>
      </c>
    </row>
    <row r="2885" spans="1:10" x14ac:dyDescent="0.25">
      <c r="A2885" s="4">
        <f>_xlfn.XLOOKUP(E2885,'Data Validation'!$M$3:$M$10,'Data Validation'!$N$3:$N$10)</f>
        <v>8</v>
      </c>
      <c r="B2885" s="4">
        <v>12</v>
      </c>
      <c r="C2885" s="4" t="s">
        <v>11</v>
      </c>
      <c r="D2885" s="7">
        <v>37.72</v>
      </c>
      <c r="E2885" s="4" t="s">
        <v>12</v>
      </c>
      <c r="F2885" s="4" t="s">
        <v>17</v>
      </c>
      <c r="G2885" s="4" t="s">
        <v>50</v>
      </c>
      <c r="H2885" s="4" t="s">
        <v>32</v>
      </c>
      <c r="I2885" s="5">
        <v>45437</v>
      </c>
      <c r="J2885" s="4">
        <f t="shared" si="45"/>
        <v>30</v>
      </c>
    </row>
    <row r="2886" spans="1:10" x14ac:dyDescent="0.25">
      <c r="A2886" s="4">
        <f>_xlfn.XLOOKUP(E2886,'Data Validation'!$M$3:$M$10,'Data Validation'!$N$3:$N$10)</f>
        <v>8</v>
      </c>
      <c r="B2886" s="4">
        <v>10</v>
      </c>
      <c r="C2886" s="4" t="s">
        <v>11</v>
      </c>
      <c r="D2886" s="7">
        <v>37.72</v>
      </c>
      <c r="E2886" s="4" t="s">
        <v>12</v>
      </c>
      <c r="F2886" s="4" t="s">
        <v>13</v>
      </c>
      <c r="G2886" s="4" t="s">
        <v>51</v>
      </c>
      <c r="H2886" s="4" t="s">
        <v>32</v>
      </c>
      <c r="I2886" s="5">
        <v>45438</v>
      </c>
      <c r="J2886" s="4">
        <f t="shared" si="45"/>
        <v>30</v>
      </c>
    </row>
    <row r="2887" spans="1:10" x14ac:dyDescent="0.25">
      <c r="A2887" s="4">
        <f>_xlfn.XLOOKUP(E2887,'Data Validation'!$M$3:$M$10,'Data Validation'!$N$3:$N$10)</f>
        <v>8</v>
      </c>
      <c r="B2887" s="4">
        <v>18</v>
      </c>
      <c r="C2887" s="4" t="s">
        <v>11</v>
      </c>
      <c r="D2887" s="7">
        <v>37.72</v>
      </c>
      <c r="E2887" s="4" t="s">
        <v>12</v>
      </c>
      <c r="F2887" s="4" t="s">
        <v>20</v>
      </c>
      <c r="G2887" s="4" t="s">
        <v>51</v>
      </c>
      <c r="H2887" s="4" t="s">
        <v>32</v>
      </c>
      <c r="I2887" s="5">
        <v>45438</v>
      </c>
      <c r="J2887" s="4">
        <f t="shared" si="45"/>
        <v>30</v>
      </c>
    </row>
    <row r="2888" spans="1:10" x14ac:dyDescent="0.25">
      <c r="A2888" s="4">
        <f>_xlfn.XLOOKUP(E2888,'Data Validation'!$M$3:$M$10,'Data Validation'!$N$3:$N$10)</f>
        <v>8</v>
      </c>
      <c r="B2888" s="4">
        <v>21</v>
      </c>
      <c r="C2888" s="4" t="s">
        <v>11</v>
      </c>
      <c r="D2888" s="7">
        <v>37.72</v>
      </c>
      <c r="E2888" s="4" t="s">
        <v>12</v>
      </c>
      <c r="F2888" s="4" t="s">
        <v>20</v>
      </c>
      <c r="G2888" s="4" t="s">
        <v>51</v>
      </c>
      <c r="H2888" s="4" t="s">
        <v>32</v>
      </c>
      <c r="I2888" s="5">
        <v>45438</v>
      </c>
      <c r="J2888" s="4">
        <f t="shared" si="45"/>
        <v>30</v>
      </c>
    </row>
    <row r="2889" spans="1:10" x14ac:dyDescent="0.25">
      <c r="A2889" s="4">
        <f>_xlfn.XLOOKUP(E2889,'Data Validation'!$M$3:$M$10,'Data Validation'!$N$3:$N$10)</f>
        <v>8</v>
      </c>
      <c r="B2889" s="4">
        <v>17</v>
      </c>
      <c r="C2889" s="4" t="s">
        <v>11</v>
      </c>
      <c r="D2889" s="7">
        <v>37.72</v>
      </c>
      <c r="E2889" s="4" t="s">
        <v>12</v>
      </c>
      <c r="F2889" s="4" t="s">
        <v>20</v>
      </c>
      <c r="G2889" s="4" t="s">
        <v>45</v>
      </c>
      <c r="H2889" s="4" t="s">
        <v>32</v>
      </c>
      <c r="I2889" s="5">
        <v>45439</v>
      </c>
      <c r="J2889" s="4">
        <f t="shared" si="45"/>
        <v>30</v>
      </c>
    </row>
    <row r="2890" spans="1:10" x14ac:dyDescent="0.25">
      <c r="A2890" s="4">
        <f>_xlfn.XLOOKUP(E2890,'Data Validation'!$M$3:$M$10,'Data Validation'!$N$3:$N$10)</f>
        <v>8</v>
      </c>
      <c r="B2890" s="4">
        <v>19</v>
      </c>
      <c r="C2890" s="4" t="s">
        <v>11</v>
      </c>
      <c r="D2890" s="7">
        <v>37.72</v>
      </c>
      <c r="E2890" s="4" t="s">
        <v>12</v>
      </c>
      <c r="F2890" s="4" t="s">
        <v>20</v>
      </c>
      <c r="G2890" s="4" t="s">
        <v>45</v>
      </c>
      <c r="H2890" s="4" t="s">
        <v>32</v>
      </c>
      <c r="I2890" s="5">
        <v>45439</v>
      </c>
      <c r="J2890" s="4">
        <f t="shared" si="45"/>
        <v>30</v>
      </c>
    </row>
    <row r="2891" spans="1:10" x14ac:dyDescent="0.25">
      <c r="A2891" s="4">
        <f>_xlfn.XLOOKUP(E2891,'Data Validation'!$M$3:$M$10,'Data Validation'!$N$3:$N$10)</f>
        <v>8</v>
      </c>
      <c r="B2891" s="4">
        <v>19</v>
      </c>
      <c r="C2891" s="4" t="s">
        <v>11</v>
      </c>
      <c r="D2891" s="7">
        <v>37.72</v>
      </c>
      <c r="E2891" s="4" t="s">
        <v>12</v>
      </c>
      <c r="F2891" s="4" t="s">
        <v>20</v>
      </c>
      <c r="G2891" s="4" t="s">
        <v>45</v>
      </c>
      <c r="H2891" s="4" t="s">
        <v>32</v>
      </c>
      <c r="I2891" s="5">
        <v>45439</v>
      </c>
      <c r="J2891" s="4">
        <f t="shared" si="45"/>
        <v>30</v>
      </c>
    </row>
    <row r="2892" spans="1:10" x14ac:dyDescent="0.25">
      <c r="A2892" s="4">
        <f>_xlfn.XLOOKUP(E2892,'Data Validation'!$M$3:$M$10,'Data Validation'!$N$3:$N$10)</f>
        <v>8</v>
      </c>
      <c r="B2892" s="4">
        <v>19</v>
      </c>
      <c r="C2892" s="4" t="s">
        <v>11</v>
      </c>
      <c r="D2892" s="7">
        <v>37.72</v>
      </c>
      <c r="E2892" s="4" t="s">
        <v>12</v>
      </c>
      <c r="F2892" s="4" t="s">
        <v>20</v>
      </c>
      <c r="G2892" s="4" t="s">
        <v>46</v>
      </c>
      <c r="H2892" s="4" t="s">
        <v>32</v>
      </c>
      <c r="I2892" s="5">
        <v>45440</v>
      </c>
      <c r="J2892" s="4">
        <f t="shared" si="45"/>
        <v>30</v>
      </c>
    </row>
    <row r="2893" spans="1:10" x14ac:dyDescent="0.25">
      <c r="A2893" s="4">
        <f>_xlfn.XLOOKUP(E2893,'Data Validation'!$M$3:$M$10,'Data Validation'!$N$3:$N$10)</f>
        <v>8</v>
      </c>
      <c r="B2893" s="4">
        <v>9</v>
      </c>
      <c r="C2893" s="4" t="s">
        <v>11</v>
      </c>
      <c r="D2893" s="7">
        <v>37.72</v>
      </c>
      <c r="E2893" s="4" t="s">
        <v>12</v>
      </c>
      <c r="F2893" s="4" t="s">
        <v>13</v>
      </c>
      <c r="G2893" s="4" t="s">
        <v>47</v>
      </c>
      <c r="H2893" s="4" t="s">
        <v>32</v>
      </c>
      <c r="I2893" s="5">
        <v>45441</v>
      </c>
      <c r="J2893" s="4">
        <f t="shared" si="45"/>
        <v>30</v>
      </c>
    </row>
    <row r="2894" spans="1:10" x14ac:dyDescent="0.25">
      <c r="A2894" s="4">
        <f>_xlfn.XLOOKUP(E2894,'Data Validation'!$M$3:$M$10,'Data Validation'!$N$3:$N$10)</f>
        <v>8</v>
      </c>
      <c r="B2894" s="4">
        <v>15</v>
      </c>
      <c r="C2894" s="4" t="s">
        <v>11</v>
      </c>
      <c r="D2894" s="7">
        <v>37.72</v>
      </c>
      <c r="E2894" s="4" t="s">
        <v>12</v>
      </c>
      <c r="F2894" s="4" t="s">
        <v>17</v>
      </c>
      <c r="G2894" s="4" t="s">
        <v>47</v>
      </c>
      <c r="H2894" s="4" t="s">
        <v>32</v>
      </c>
      <c r="I2894" s="5">
        <v>45441</v>
      </c>
      <c r="J2894" s="4">
        <f t="shared" si="45"/>
        <v>30</v>
      </c>
    </row>
    <row r="2895" spans="1:10" x14ac:dyDescent="0.25">
      <c r="A2895" s="4">
        <f>_xlfn.XLOOKUP(E2895,'Data Validation'!$M$3:$M$10,'Data Validation'!$N$3:$N$10)</f>
        <v>8</v>
      </c>
      <c r="B2895" s="4">
        <v>16</v>
      </c>
      <c r="C2895" s="4" t="s">
        <v>11</v>
      </c>
      <c r="D2895" s="7">
        <v>37.72</v>
      </c>
      <c r="E2895" s="4" t="s">
        <v>12</v>
      </c>
      <c r="F2895" s="4" t="s">
        <v>17</v>
      </c>
      <c r="G2895" s="4" t="s">
        <v>47</v>
      </c>
      <c r="H2895" s="4" t="s">
        <v>32</v>
      </c>
      <c r="I2895" s="5">
        <v>45441</v>
      </c>
      <c r="J2895" s="4">
        <f t="shared" si="45"/>
        <v>30</v>
      </c>
    </row>
    <row r="2896" spans="1:10" x14ac:dyDescent="0.25">
      <c r="A2896" s="4">
        <f>_xlfn.XLOOKUP(E2896,'Data Validation'!$M$3:$M$10,'Data Validation'!$N$3:$N$10)</f>
        <v>8</v>
      </c>
      <c r="B2896" s="4">
        <v>18</v>
      </c>
      <c r="C2896" s="4" t="s">
        <v>11</v>
      </c>
      <c r="D2896" s="7">
        <v>37.72</v>
      </c>
      <c r="E2896" s="4" t="s">
        <v>12</v>
      </c>
      <c r="F2896" s="4" t="s">
        <v>20</v>
      </c>
      <c r="G2896" s="4" t="s">
        <v>47</v>
      </c>
      <c r="H2896" s="4" t="s">
        <v>32</v>
      </c>
      <c r="I2896" s="5">
        <v>45441</v>
      </c>
      <c r="J2896" s="4">
        <f t="shared" si="45"/>
        <v>30</v>
      </c>
    </row>
    <row r="2897" spans="1:10" x14ac:dyDescent="0.25">
      <c r="A2897" s="4">
        <f>_xlfn.XLOOKUP(E2897,'Data Validation'!$M$3:$M$10,'Data Validation'!$N$3:$N$10)</f>
        <v>8</v>
      </c>
      <c r="B2897" s="4">
        <v>8</v>
      </c>
      <c r="C2897" s="4" t="s">
        <v>11</v>
      </c>
      <c r="D2897" s="7">
        <v>37.72</v>
      </c>
      <c r="E2897" s="4" t="s">
        <v>12</v>
      </c>
      <c r="F2897" s="4" t="s">
        <v>13</v>
      </c>
      <c r="G2897" s="4" t="s">
        <v>48</v>
      </c>
      <c r="H2897" s="4" t="s">
        <v>32</v>
      </c>
      <c r="I2897" s="5">
        <v>45442</v>
      </c>
      <c r="J2897" s="4">
        <f t="shared" si="45"/>
        <v>30</v>
      </c>
    </row>
    <row r="2898" spans="1:10" x14ac:dyDescent="0.25">
      <c r="A2898" s="4">
        <f>_xlfn.XLOOKUP(E2898,'Data Validation'!$M$3:$M$10,'Data Validation'!$N$3:$N$10)</f>
        <v>8</v>
      </c>
      <c r="B2898" s="4">
        <v>9</v>
      </c>
      <c r="C2898" s="4" t="s">
        <v>11</v>
      </c>
      <c r="D2898" s="7">
        <v>37.72</v>
      </c>
      <c r="E2898" s="4" t="s">
        <v>12</v>
      </c>
      <c r="F2898" s="4" t="s">
        <v>13</v>
      </c>
      <c r="G2898" s="4" t="s">
        <v>48</v>
      </c>
      <c r="H2898" s="4" t="s">
        <v>32</v>
      </c>
      <c r="I2898" s="5">
        <v>45442</v>
      </c>
      <c r="J2898" s="4">
        <f t="shared" si="45"/>
        <v>30</v>
      </c>
    </row>
    <row r="2899" spans="1:10" x14ac:dyDescent="0.25">
      <c r="A2899" s="4">
        <f>_xlfn.XLOOKUP(E2899,'Data Validation'!$M$3:$M$10,'Data Validation'!$N$3:$N$10)</f>
        <v>8</v>
      </c>
      <c r="B2899" s="4">
        <v>20</v>
      </c>
      <c r="C2899" s="4" t="s">
        <v>11</v>
      </c>
      <c r="D2899" s="7">
        <v>37.72</v>
      </c>
      <c r="E2899" s="4" t="s">
        <v>12</v>
      </c>
      <c r="F2899" s="4" t="s">
        <v>20</v>
      </c>
      <c r="G2899" s="4" t="s">
        <v>48</v>
      </c>
      <c r="H2899" s="4" t="s">
        <v>32</v>
      </c>
      <c r="I2899" s="5">
        <v>45442</v>
      </c>
      <c r="J2899" s="4">
        <f t="shared" si="45"/>
        <v>30</v>
      </c>
    </row>
    <row r="2900" spans="1:10" x14ac:dyDescent="0.25">
      <c r="A2900" s="4">
        <f>_xlfn.XLOOKUP(E2900,'Data Validation'!$M$3:$M$10,'Data Validation'!$N$3:$N$10)</f>
        <v>8</v>
      </c>
      <c r="B2900" s="4">
        <v>9</v>
      </c>
      <c r="C2900" s="4" t="s">
        <v>11</v>
      </c>
      <c r="D2900" s="7">
        <v>37.72</v>
      </c>
      <c r="E2900" s="4" t="s">
        <v>12</v>
      </c>
      <c r="F2900" s="4" t="s">
        <v>13</v>
      </c>
      <c r="G2900" s="4" t="s">
        <v>49</v>
      </c>
      <c r="H2900" s="4" t="s">
        <v>32</v>
      </c>
      <c r="I2900" s="5">
        <v>45443</v>
      </c>
      <c r="J2900" s="4">
        <f t="shared" si="45"/>
        <v>30</v>
      </c>
    </row>
    <row r="2901" spans="1:10" x14ac:dyDescent="0.25">
      <c r="A2901" s="4">
        <f>_xlfn.XLOOKUP(E2901,'Data Validation'!$M$3:$M$10,'Data Validation'!$N$3:$N$10)</f>
        <v>8</v>
      </c>
      <c r="B2901" s="4">
        <v>18</v>
      </c>
      <c r="C2901" s="4" t="s">
        <v>11</v>
      </c>
      <c r="D2901" s="7">
        <v>37.72</v>
      </c>
      <c r="E2901" s="4" t="s">
        <v>12</v>
      </c>
      <c r="F2901" s="4" t="s">
        <v>20</v>
      </c>
      <c r="G2901" s="4" t="s">
        <v>49</v>
      </c>
      <c r="H2901" s="4" t="s">
        <v>32</v>
      </c>
      <c r="I2901" s="5">
        <v>45443</v>
      </c>
      <c r="J2901" s="4">
        <f t="shared" si="45"/>
        <v>30</v>
      </c>
    </row>
    <row r="2902" spans="1:10" x14ac:dyDescent="0.25">
      <c r="A2902" s="4">
        <f>_xlfn.XLOOKUP(E2902,'Data Validation'!$M$3:$M$10,'Data Validation'!$N$3:$N$10)</f>
        <v>8</v>
      </c>
      <c r="B2902" s="4">
        <v>18</v>
      </c>
      <c r="C2902" s="4" t="s">
        <v>11</v>
      </c>
      <c r="D2902" s="7">
        <v>37.72</v>
      </c>
      <c r="E2902" s="4" t="s">
        <v>12</v>
      </c>
      <c r="F2902" s="4" t="s">
        <v>20</v>
      </c>
      <c r="G2902" s="4" t="s">
        <v>49</v>
      </c>
      <c r="H2902" s="4" t="s">
        <v>32</v>
      </c>
      <c r="I2902" s="5">
        <v>45443</v>
      </c>
      <c r="J2902" s="4">
        <f t="shared" si="45"/>
        <v>30</v>
      </c>
    </row>
    <row r="2903" spans="1:10" x14ac:dyDescent="0.25">
      <c r="A2903" s="4">
        <f>_xlfn.XLOOKUP(E2903,'Data Validation'!$M$3:$M$10,'Data Validation'!$N$3:$N$10)</f>
        <v>8</v>
      </c>
      <c r="B2903" s="4">
        <v>20</v>
      </c>
      <c r="C2903" s="4" t="s">
        <v>11</v>
      </c>
      <c r="D2903" s="7">
        <v>37.72</v>
      </c>
      <c r="E2903" s="4" t="s">
        <v>12</v>
      </c>
      <c r="F2903" s="4" t="s">
        <v>20</v>
      </c>
      <c r="G2903" s="4" t="s">
        <v>49</v>
      </c>
      <c r="H2903" s="4" t="s">
        <v>32</v>
      </c>
      <c r="I2903" s="5">
        <v>45443</v>
      </c>
      <c r="J2903" s="4">
        <f t="shared" si="45"/>
        <v>30</v>
      </c>
    </row>
    <row r="2904" spans="1:10" x14ac:dyDescent="0.25">
      <c r="A2904" s="4">
        <f>_xlfn.XLOOKUP(E2904,'Data Validation'!$M$3:$M$10,'Data Validation'!$N$3:$N$10)</f>
        <v>8</v>
      </c>
      <c r="B2904" s="4">
        <v>9</v>
      </c>
      <c r="C2904" s="4" t="s">
        <v>11</v>
      </c>
      <c r="D2904" s="7">
        <v>37.72</v>
      </c>
      <c r="E2904" s="4" t="s">
        <v>12</v>
      </c>
      <c r="F2904" s="4" t="s">
        <v>13</v>
      </c>
      <c r="G2904" s="4" t="s">
        <v>50</v>
      </c>
      <c r="H2904" s="4" t="s">
        <v>53</v>
      </c>
      <c r="I2904" s="5">
        <v>45444</v>
      </c>
      <c r="J2904" s="4">
        <f t="shared" si="45"/>
        <v>30</v>
      </c>
    </row>
    <row r="2905" spans="1:10" x14ac:dyDescent="0.25">
      <c r="A2905" s="4">
        <f>_xlfn.XLOOKUP(E2905,'Data Validation'!$M$3:$M$10,'Data Validation'!$N$3:$N$10)</f>
        <v>8</v>
      </c>
      <c r="B2905" s="4">
        <v>11</v>
      </c>
      <c r="C2905" s="4" t="s">
        <v>11</v>
      </c>
      <c r="D2905" s="7">
        <v>37.72</v>
      </c>
      <c r="E2905" s="4" t="s">
        <v>12</v>
      </c>
      <c r="F2905" s="4" t="s">
        <v>13</v>
      </c>
      <c r="G2905" s="4" t="s">
        <v>50</v>
      </c>
      <c r="H2905" s="4" t="s">
        <v>53</v>
      </c>
      <c r="I2905" s="5">
        <v>45444</v>
      </c>
      <c r="J2905" s="4">
        <f t="shared" si="45"/>
        <v>30</v>
      </c>
    </row>
    <row r="2906" spans="1:10" x14ac:dyDescent="0.25">
      <c r="A2906" s="4">
        <f>_xlfn.XLOOKUP(E2906,'Data Validation'!$M$3:$M$10,'Data Validation'!$N$3:$N$10)</f>
        <v>8</v>
      </c>
      <c r="B2906" s="4">
        <v>20</v>
      </c>
      <c r="C2906" s="4" t="s">
        <v>11</v>
      </c>
      <c r="D2906" s="7">
        <v>37.72</v>
      </c>
      <c r="E2906" s="4" t="s">
        <v>12</v>
      </c>
      <c r="F2906" s="4" t="s">
        <v>20</v>
      </c>
      <c r="G2906" s="4" t="s">
        <v>51</v>
      </c>
      <c r="H2906" s="4" t="s">
        <v>53</v>
      </c>
      <c r="I2906" s="5">
        <v>45445</v>
      </c>
      <c r="J2906" s="4">
        <f t="shared" si="45"/>
        <v>30</v>
      </c>
    </row>
    <row r="2907" spans="1:10" x14ac:dyDescent="0.25">
      <c r="A2907" s="4">
        <f>_xlfn.XLOOKUP(E2907,'Data Validation'!$M$3:$M$10,'Data Validation'!$N$3:$N$10)</f>
        <v>8</v>
      </c>
      <c r="B2907" s="4">
        <v>21</v>
      </c>
      <c r="C2907" s="4" t="s">
        <v>11</v>
      </c>
      <c r="D2907" s="7">
        <v>37.72</v>
      </c>
      <c r="E2907" s="4" t="s">
        <v>12</v>
      </c>
      <c r="F2907" s="4" t="s">
        <v>20</v>
      </c>
      <c r="G2907" s="4" t="s">
        <v>51</v>
      </c>
      <c r="H2907" s="4" t="s">
        <v>53</v>
      </c>
      <c r="I2907" s="5">
        <v>45445</v>
      </c>
      <c r="J2907" s="4">
        <f t="shared" si="45"/>
        <v>30</v>
      </c>
    </row>
    <row r="2908" spans="1:10" x14ac:dyDescent="0.25">
      <c r="A2908" s="4">
        <f>_xlfn.XLOOKUP(E2908,'Data Validation'!$M$3:$M$10,'Data Validation'!$N$3:$N$10)</f>
        <v>8</v>
      </c>
      <c r="B2908" s="4">
        <v>10</v>
      </c>
      <c r="C2908" s="4" t="s">
        <v>11</v>
      </c>
      <c r="D2908" s="7">
        <v>37.72</v>
      </c>
      <c r="E2908" s="4" t="s">
        <v>12</v>
      </c>
      <c r="F2908" s="4" t="s">
        <v>13</v>
      </c>
      <c r="G2908" s="4" t="s">
        <v>45</v>
      </c>
      <c r="H2908" s="4" t="s">
        <v>53</v>
      </c>
      <c r="I2908" s="5">
        <v>45446</v>
      </c>
      <c r="J2908" s="4">
        <f t="shared" si="45"/>
        <v>30</v>
      </c>
    </row>
    <row r="2909" spans="1:10" x14ac:dyDescent="0.25">
      <c r="A2909" s="4">
        <f>_xlfn.XLOOKUP(E2909,'Data Validation'!$M$3:$M$10,'Data Validation'!$N$3:$N$10)</f>
        <v>8</v>
      </c>
      <c r="B2909" s="4">
        <v>10</v>
      </c>
      <c r="C2909" s="4" t="s">
        <v>11</v>
      </c>
      <c r="D2909" s="7">
        <v>37.72</v>
      </c>
      <c r="E2909" s="4" t="s">
        <v>12</v>
      </c>
      <c r="F2909" s="4" t="s">
        <v>13</v>
      </c>
      <c r="G2909" s="4" t="s">
        <v>45</v>
      </c>
      <c r="H2909" s="4" t="s">
        <v>53</v>
      </c>
      <c r="I2909" s="5">
        <v>45446</v>
      </c>
      <c r="J2909" s="4">
        <f t="shared" si="45"/>
        <v>30</v>
      </c>
    </row>
    <row r="2910" spans="1:10" x14ac:dyDescent="0.25">
      <c r="A2910" s="4">
        <f>_xlfn.XLOOKUP(E2910,'Data Validation'!$M$3:$M$10,'Data Validation'!$N$3:$N$10)</f>
        <v>8</v>
      </c>
      <c r="B2910" s="4">
        <v>14</v>
      </c>
      <c r="C2910" s="4" t="s">
        <v>11</v>
      </c>
      <c r="D2910" s="7">
        <v>37.72</v>
      </c>
      <c r="E2910" s="4" t="s">
        <v>12</v>
      </c>
      <c r="F2910" s="4" t="s">
        <v>17</v>
      </c>
      <c r="G2910" s="4" t="s">
        <v>45</v>
      </c>
      <c r="H2910" s="4" t="s">
        <v>53</v>
      </c>
      <c r="I2910" s="5">
        <v>45446</v>
      </c>
      <c r="J2910" s="4">
        <f t="shared" si="45"/>
        <v>30</v>
      </c>
    </row>
    <row r="2911" spans="1:10" x14ac:dyDescent="0.25">
      <c r="A2911" s="4">
        <f>_xlfn.XLOOKUP(E2911,'Data Validation'!$M$3:$M$10,'Data Validation'!$N$3:$N$10)</f>
        <v>8</v>
      </c>
      <c r="B2911" s="4">
        <v>12</v>
      </c>
      <c r="C2911" s="4" t="s">
        <v>11</v>
      </c>
      <c r="D2911" s="7">
        <v>37.72</v>
      </c>
      <c r="E2911" s="4" t="s">
        <v>12</v>
      </c>
      <c r="F2911" s="4" t="s">
        <v>17</v>
      </c>
      <c r="G2911" s="4" t="s">
        <v>46</v>
      </c>
      <c r="H2911" s="4" t="s">
        <v>53</v>
      </c>
      <c r="I2911" s="5">
        <v>45447</v>
      </c>
      <c r="J2911" s="4">
        <f t="shared" si="45"/>
        <v>30</v>
      </c>
    </row>
    <row r="2912" spans="1:10" x14ac:dyDescent="0.25">
      <c r="A2912" s="4">
        <f>_xlfn.XLOOKUP(E2912,'Data Validation'!$M$3:$M$10,'Data Validation'!$N$3:$N$10)</f>
        <v>8</v>
      </c>
      <c r="B2912" s="4">
        <v>15</v>
      </c>
      <c r="C2912" s="4" t="s">
        <v>11</v>
      </c>
      <c r="D2912" s="7">
        <v>37.72</v>
      </c>
      <c r="E2912" s="4" t="s">
        <v>12</v>
      </c>
      <c r="F2912" s="4" t="s">
        <v>17</v>
      </c>
      <c r="G2912" s="4" t="s">
        <v>46</v>
      </c>
      <c r="H2912" s="4" t="s">
        <v>53</v>
      </c>
      <c r="I2912" s="5">
        <v>45447</v>
      </c>
      <c r="J2912" s="4">
        <f t="shared" si="45"/>
        <v>30</v>
      </c>
    </row>
    <row r="2913" spans="1:10" x14ac:dyDescent="0.25">
      <c r="A2913" s="4">
        <f>_xlfn.XLOOKUP(E2913,'Data Validation'!$M$3:$M$10,'Data Validation'!$N$3:$N$10)</f>
        <v>8</v>
      </c>
      <c r="B2913" s="4">
        <v>10</v>
      </c>
      <c r="C2913" s="4" t="s">
        <v>11</v>
      </c>
      <c r="D2913" s="7">
        <v>37.72</v>
      </c>
      <c r="E2913" s="4" t="s">
        <v>12</v>
      </c>
      <c r="F2913" s="4" t="s">
        <v>13</v>
      </c>
      <c r="G2913" s="4" t="s">
        <v>47</v>
      </c>
      <c r="H2913" s="4" t="s">
        <v>53</v>
      </c>
      <c r="I2913" s="5">
        <v>45448</v>
      </c>
      <c r="J2913" s="4">
        <f t="shared" si="45"/>
        <v>30</v>
      </c>
    </row>
    <row r="2914" spans="1:10" x14ac:dyDescent="0.25">
      <c r="A2914" s="4">
        <f>_xlfn.XLOOKUP(E2914,'Data Validation'!$M$3:$M$10,'Data Validation'!$N$3:$N$10)</f>
        <v>8</v>
      </c>
      <c r="B2914" s="4">
        <v>19</v>
      </c>
      <c r="C2914" s="4" t="s">
        <v>11</v>
      </c>
      <c r="D2914" s="7">
        <v>37.72</v>
      </c>
      <c r="E2914" s="4" t="s">
        <v>12</v>
      </c>
      <c r="F2914" s="4" t="s">
        <v>20</v>
      </c>
      <c r="G2914" s="4" t="s">
        <v>47</v>
      </c>
      <c r="H2914" s="4" t="s">
        <v>53</v>
      </c>
      <c r="I2914" s="5">
        <v>45448</v>
      </c>
      <c r="J2914" s="4">
        <f t="shared" si="45"/>
        <v>30</v>
      </c>
    </row>
    <row r="2915" spans="1:10" x14ac:dyDescent="0.25">
      <c r="A2915" s="4">
        <f>_xlfn.XLOOKUP(E2915,'Data Validation'!$M$3:$M$10,'Data Validation'!$N$3:$N$10)</f>
        <v>8</v>
      </c>
      <c r="B2915" s="4">
        <v>10</v>
      </c>
      <c r="C2915" s="4" t="s">
        <v>11</v>
      </c>
      <c r="D2915" s="7">
        <v>37.72</v>
      </c>
      <c r="E2915" s="4" t="s">
        <v>12</v>
      </c>
      <c r="F2915" s="4" t="s">
        <v>13</v>
      </c>
      <c r="G2915" s="4" t="s">
        <v>48</v>
      </c>
      <c r="H2915" s="4" t="s">
        <v>53</v>
      </c>
      <c r="I2915" s="5">
        <v>45449</v>
      </c>
      <c r="J2915" s="4">
        <f t="shared" si="45"/>
        <v>30</v>
      </c>
    </row>
    <row r="2916" spans="1:10" x14ac:dyDescent="0.25">
      <c r="A2916" s="4">
        <f>_xlfn.XLOOKUP(E2916,'Data Validation'!$M$3:$M$10,'Data Validation'!$N$3:$N$10)</f>
        <v>8</v>
      </c>
      <c r="B2916" s="4">
        <v>21</v>
      </c>
      <c r="C2916" s="4" t="s">
        <v>11</v>
      </c>
      <c r="D2916" s="7">
        <v>37.72</v>
      </c>
      <c r="E2916" s="4" t="s">
        <v>12</v>
      </c>
      <c r="F2916" s="4" t="s">
        <v>20</v>
      </c>
      <c r="G2916" s="4" t="s">
        <v>48</v>
      </c>
      <c r="H2916" s="4" t="s">
        <v>53</v>
      </c>
      <c r="I2916" s="5">
        <v>45449</v>
      </c>
      <c r="J2916" s="4">
        <f t="shared" si="45"/>
        <v>30</v>
      </c>
    </row>
    <row r="2917" spans="1:10" x14ac:dyDescent="0.25">
      <c r="A2917" s="4">
        <f>_xlfn.XLOOKUP(E2917,'Data Validation'!$M$3:$M$10,'Data Validation'!$N$3:$N$10)</f>
        <v>8</v>
      </c>
      <c r="B2917" s="4">
        <v>21</v>
      </c>
      <c r="C2917" s="4" t="s">
        <v>11</v>
      </c>
      <c r="D2917" s="7">
        <v>37.72</v>
      </c>
      <c r="E2917" s="4" t="s">
        <v>12</v>
      </c>
      <c r="F2917" s="4" t="s">
        <v>20</v>
      </c>
      <c r="G2917" s="4" t="s">
        <v>48</v>
      </c>
      <c r="H2917" s="4" t="s">
        <v>53</v>
      </c>
      <c r="I2917" s="5">
        <v>45449</v>
      </c>
      <c r="J2917" s="4">
        <f t="shared" si="45"/>
        <v>30</v>
      </c>
    </row>
    <row r="2918" spans="1:10" x14ac:dyDescent="0.25">
      <c r="A2918" s="4">
        <f>_xlfn.XLOOKUP(E2918,'Data Validation'!$M$3:$M$10,'Data Validation'!$N$3:$N$10)</f>
        <v>8</v>
      </c>
      <c r="B2918" s="4">
        <v>21</v>
      </c>
      <c r="C2918" s="4" t="s">
        <v>11</v>
      </c>
      <c r="D2918" s="7">
        <v>37.72</v>
      </c>
      <c r="E2918" s="4" t="s">
        <v>12</v>
      </c>
      <c r="F2918" s="4" t="s">
        <v>20</v>
      </c>
      <c r="G2918" s="4" t="s">
        <v>48</v>
      </c>
      <c r="H2918" s="4" t="s">
        <v>53</v>
      </c>
      <c r="I2918" s="5">
        <v>45449</v>
      </c>
      <c r="J2918" s="4">
        <f t="shared" si="45"/>
        <v>30</v>
      </c>
    </row>
    <row r="2919" spans="1:10" x14ac:dyDescent="0.25">
      <c r="A2919" s="4">
        <f>_xlfn.XLOOKUP(E2919,'Data Validation'!$M$3:$M$10,'Data Validation'!$N$3:$N$10)</f>
        <v>8</v>
      </c>
      <c r="B2919" s="4">
        <v>8</v>
      </c>
      <c r="C2919" s="4" t="s">
        <v>11</v>
      </c>
      <c r="D2919" s="7">
        <v>37.72</v>
      </c>
      <c r="E2919" s="4" t="s">
        <v>12</v>
      </c>
      <c r="F2919" s="4" t="s">
        <v>13</v>
      </c>
      <c r="G2919" s="4" t="s">
        <v>51</v>
      </c>
      <c r="H2919" s="4" t="s">
        <v>53</v>
      </c>
      <c r="I2919" s="5">
        <v>45452</v>
      </c>
      <c r="J2919" s="4">
        <f t="shared" si="45"/>
        <v>30</v>
      </c>
    </row>
    <row r="2920" spans="1:10" x14ac:dyDescent="0.25">
      <c r="A2920" s="4">
        <f>_xlfn.XLOOKUP(E2920,'Data Validation'!$M$3:$M$10,'Data Validation'!$N$3:$N$10)</f>
        <v>8</v>
      </c>
      <c r="B2920" s="4">
        <v>10</v>
      </c>
      <c r="C2920" s="4" t="s">
        <v>11</v>
      </c>
      <c r="D2920" s="7">
        <v>37.72</v>
      </c>
      <c r="E2920" s="4" t="s">
        <v>12</v>
      </c>
      <c r="F2920" s="4" t="s">
        <v>13</v>
      </c>
      <c r="G2920" s="4" t="s">
        <v>51</v>
      </c>
      <c r="H2920" s="4" t="s">
        <v>53</v>
      </c>
      <c r="I2920" s="5">
        <v>45452</v>
      </c>
      <c r="J2920" s="4">
        <f t="shared" si="45"/>
        <v>30</v>
      </c>
    </row>
    <row r="2921" spans="1:10" x14ac:dyDescent="0.25">
      <c r="A2921" s="4">
        <f>_xlfn.XLOOKUP(E2921,'Data Validation'!$M$3:$M$10,'Data Validation'!$N$3:$N$10)</f>
        <v>8</v>
      </c>
      <c r="B2921" s="4">
        <v>12</v>
      </c>
      <c r="C2921" s="4" t="s">
        <v>11</v>
      </c>
      <c r="D2921" s="7">
        <v>37.72</v>
      </c>
      <c r="E2921" s="4" t="s">
        <v>12</v>
      </c>
      <c r="F2921" s="4" t="s">
        <v>17</v>
      </c>
      <c r="G2921" s="4" t="s">
        <v>51</v>
      </c>
      <c r="H2921" s="4" t="s">
        <v>53</v>
      </c>
      <c r="I2921" s="5">
        <v>45452</v>
      </c>
      <c r="J2921" s="4">
        <f t="shared" si="45"/>
        <v>30</v>
      </c>
    </row>
    <row r="2922" spans="1:10" x14ac:dyDescent="0.25">
      <c r="A2922" s="4">
        <f>_xlfn.XLOOKUP(E2922,'Data Validation'!$M$3:$M$10,'Data Validation'!$N$3:$N$10)</f>
        <v>8</v>
      </c>
      <c r="B2922" s="4">
        <v>12</v>
      </c>
      <c r="C2922" s="4" t="s">
        <v>11</v>
      </c>
      <c r="D2922" s="7">
        <v>37.72</v>
      </c>
      <c r="E2922" s="4" t="s">
        <v>12</v>
      </c>
      <c r="F2922" s="4" t="s">
        <v>17</v>
      </c>
      <c r="G2922" s="4" t="s">
        <v>51</v>
      </c>
      <c r="H2922" s="4" t="s">
        <v>53</v>
      </c>
      <c r="I2922" s="5">
        <v>45452</v>
      </c>
      <c r="J2922" s="4">
        <f t="shared" si="45"/>
        <v>30</v>
      </c>
    </row>
    <row r="2923" spans="1:10" x14ac:dyDescent="0.25">
      <c r="A2923" s="4">
        <f>_xlfn.XLOOKUP(E2923,'Data Validation'!$M$3:$M$10,'Data Validation'!$N$3:$N$10)</f>
        <v>8</v>
      </c>
      <c r="B2923" s="4">
        <v>12</v>
      </c>
      <c r="C2923" s="4" t="s">
        <v>11</v>
      </c>
      <c r="D2923" s="7">
        <v>37.72</v>
      </c>
      <c r="E2923" s="4" t="s">
        <v>12</v>
      </c>
      <c r="F2923" s="4" t="s">
        <v>17</v>
      </c>
      <c r="G2923" s="4" t="s">
        <v>45</v>
      </c>
      <c r="H2923" s="4" t="s">
        <v>53</v>
      </c>
      <c r="I2923" s="5">
        <v>45453</v>
      </c>
      <c r="J2923" s="4">
        <f t="shared" si="45"/>
        <v>30</v>
      </c>
    </row>
    <row r="2924" spans="1:10" x14ac:dyDescent="0.25">
      <c r="A2924" s="4">
        <f>_xlfn.XLOOKUP(E2924,'Data Validation'!$M$3:$M$10,'Data Validation'!$N$3:$N$10)</f>
        <v>8</v>
      </c>
      <c r="B2924" s="4">
        <v>19</v>
      </c>
      <c r="C2924" s="4" t="s">
        <v>11</v>
      </c>
      <c r="D2924" s="7">
        <v>37.72</v>
      </c>
      <c r="E2924" s="4" t="s">
        <v>12</v>
      </c>
      <c r="F2924" s="4" t="s">
        <v>20</v>
      </c>
      <c r="G2924" s="4" t="s">
        <v>45</v>
      </c>
      <c r="H2924" s="4" t="s">
        <v>53</v>
      </c>
      <c r="I2924" s="5">
        <v>45453</v>
      </c>
      <c r="J2924" s="4">
        <f t="shared" si="45"/>
        <v>30</v>
      </c>
    </row>
    <row r="2925" spans="1:10" x14ac:dyDescent="0.25">
      <c r="A2925" s="4">
        <f>_xlfn.XLOOKUP(E2925,'Data Validation'!$M$3:$M$10,'Data Validation'!$N$3:$N$10)</f>
        <v>8</v>
      </c>
      <c r="B2925" s="4">
        <v>19</v>
      </c>
      <c r="C2925" s="4" t="s">
        <v>11</v>
      </c>
      <c r="D2925" s="7">
        <v>37.72</v>
      </c>
      <c r="E2925" s="4" t="s">
        <v>12</v>
      </c>
      <c r="F2925" s="4" t="s">
        <v>20</v>
      </c>
      <c r="G2925" s="4" t="s">
        <v>45</v>
      </c>
      <c r="H2925" s="4" t="s">
        <v>53</v>
      </c>
      <c r="I2925" s="5">
        <v>45453</v>
      </c>
      <c r="J2925" s="4">
        <f t="shared" si="45"/>
        <v>30</v>
      </c>
    </row>
    <row r="2926" spans="1:10" x14ac:dyDescent="0.25">
      <c r="A2926" s="4">
        <f>_xlfn.XLOOKUP(E2926,'Data Validation'!$M$3:$M$10,'Data Validation'!$N$3:$N$10)</f>
        <v>8</v>
      </c>
      <c r="B2926" s="4">
        <v>18</v>
      </c>
      <c r="C2926" s="4" t="s">
        <v>11</v>
      </c>
      <c r="D2926" s="7">
        <v>37.72</v>
      </c>
      <c r="E2926" s="4" t="s">
        <v>12</v>
      </c>
      <c r="F2926" s="4" t="s">
        <v>20</v>
      </c>
      <c r="G2926" s="4" t="s">
        <v>46</v>
      </c>
      <c r="H2926" s="4" t="s">
        <v>53</v>
      </c>
      <c r="I2926" s="5">
        <v>45454</v>
      </c>
      <c r="J2926" s="4">
        <f t="shared" si="45"/>
        <v>30</v>
      </c>
    </row>
    <row r="2927" spans="1:10" x14ac:dyDescent="0.25">
      <c r="A2927" s="4">
        <f>_xlfn.XLOOKUP(E2927,'Data Validation'!$M$3:$M$10,'Data Validation'!$N$3:$N$10)</f>
        <v>8</v>
      </c>
      <c r="B2927" s="4">
        <v>18</v>
      </c>
      <c r="C2927" s="4" t="s">
        <v>11</v>
      </c>
      <c r="D2927" s="7">
        <v>37.72</v>
      </c>
      <c r="E2927" s="4" t="s">
        <v>12</v>
      </c>
      <c r="F2927" s="4" t="s">
        <v>20</v>
      </c>
      <c r="G2927" s="4" t="s">
        <v>46</v>
      </c>
      <c r="H2927" s="4" t="s">
        <v>53</v>
      </c>
      <c r="I2927" s="5">
        <v>45454</v>
      </c>
      <c r="J2927" s="4">
        <f t="shared" si="45"/>
        <v>30</v>
      </c>
    </row>
    <row r="2928" spans="1:10" x14ac:dyDescent="0.25">
      <c r="A2928" s="4">
        <f>_xlfn.XLOOKUP(E2928,'Data Validation'!$M$3:$M$10,'Data Validation'!$N$3:$N$10)</f>
        <v>8</v>
      </c>
      <c r="B2928" s="4">
        <v>17</v>
      </c>
      <c r="C2928" s="4" t="s">
        <v>11</v>
      </c>
      <c r="D2928" s="7">
        <v>37.72</v>
      </c>
      <c r="E2928" s="4" t="s">
        <v>12</v>
      </c>
      <c r="F2928" s="4" t="s">
        <v>20</v>
      </c>
      <c r="G2928" s="4" t="s">
        <v>47</v>
      </c>
      <c r="H2928" s="4" t="s">
        <v>53</v>
      </c>
      <c r="I2928" s="5">
        <v>45455</v>
      </c>
      <c r="J2928" s="4">
        <f t="shared" si="45"/>
        <v>30</v>
      </c>
    </row>
    <row r="2929" spans="1:10" x14ac:dyDescent="0.25">
      <c r="A2929" s="4">
        <f>_xlfn.XLOOKUP(E2929,'Data Validation'!$M$3:$M$10,'Data Validation'!$N$3:$N$10)</f>
        <v>8</v>
      </c>
      <c r="B2929" s="4">
        <v>17</v>
      </c>
      <c r="C2929" s="4" t="s">
        <v>11</v>
      </c>
      <c r="D2929" s="7">
        <v>37.72</v>
      </c>
      <c r="E2929" s="4" t="s">
        <v>12</v>
      </c>
      <c r="F2929" s="4" t="s">
        <v>20</v>
      </c>
      <c r="G2929" s="4" t="s">
        <v>47</v>
      </c>
      <c r="H2929" s="4" t="s">
        <v>53</v>
      </c>
      <c r="I2929" s="5">
        <v>45455</v>
      </c>
      <c r="J2929" s="4">
        <f t="shared" si="45"/>
        <v>30</v>
      </c>
    </row>
    <row r="2930" spans="1:10" x14ac:dyDescent="0.25">
      <c r="A2930" s="4">
        <f>_xlfn.XLOOKUP(E2930,'Data Validation'!$M$3:$M$10,'Data Validation'!$N$3:$N$10)</f>
        <v>8</v>
      </c>
      <c r="B2930" s="4">
        <v>8</v>
      </c>
      <c r="C2930" s="4" t="s">
        <v>11</v>
      </c>
      <c r="D2930" s="7">
        <v>37.72</v>
      </c>
      <c r="E2930" s="4" t="s">
        <v>12</v>
      </c>
      <c r="F2930" s="4" t="s">
        <v>13</v>
      </c>
      <c r="G2930" s="4" t="s">
        <v>48</v>
      </c>
      <c r="H2930" s="4" t="s">
        <v>53</v>
      </c>
      <c r="I2930" s="5">
        <v>45456</v>
      </c>
      <c r="J2930" s="4">
        <f t="shared" si="45"/>
        <v>30</v>
      </c>
    </row>
    <row r="2931" spans="1:10" x14ac:dyDescent="0.25">
      <c r="A2931" s="4">
        <f>_xlfn.XLOOKUP(E2931,'Data Validation'!$M$3:$M$10,'Data Validation'!$N$3:$N$10)</f>
        <v>8</v>
      </c>
      <c r="B2931" s="4">
        <v>19</v>
      </c>
      <c r="C2931" s="4" t="s">
        <v>11</v>
      </c>
      <c r="D2931" s="7">
        <v>37.72</v>
      </c>
      <c r="E2931" s="4" t="s">
        <v>12</v>
      </c>
      <c r="F2931" s="4" t="s">
        <v>20</v>
      </c>
      <c r="G2931" s="4" t="s">
        <v>48</v>
      </c>
      <c r="H2931" s="4" t="s">
        <v>53</v>
      </c>
      <c r="I2931" s="5">
        <v>45456</v>
      </c>
      <c r="J2931" s="4">
        <f t="shared" si="45"/>
        <v>30</v>
      </c>
    </row>
    <row r="2932" spans="1:10" x14ac:dyDescent="0.25">
      <c r="A2932" s="4">
        <f>_xlfn.XLOOKUP(E2932,'Data Validation'!$M$3:$M$10,'Data Validation'!$N$3:$N$10)</f>
        <v>8</v>
      </c>
      <c r="B2932" s="4">
        <v>12</v>
      </c>
      <c r="C2932" s="4" t="s">
        <v>11</v>
      </c>
      <c r="D2932" s="7">
        <v>37.72</v>
      </c>
      <c r="E2932" s="4" t="s">
        <v>12</v>
      </c>
      <c r="F2932" s="4" t="s">
        <v>17</v>
      </c>
      <c r="G2932" s="4" t="s">
        <v>49</v>
      </c>
      <c r="H2932" s="4" t="s">
        <v>53</v>
      </c>
      <c r="I2932" s="5">
        <v>45457</v>
      </c>
      <c r="J2932" s="4">
        <f t="shared" si="45"/>
        <v>30</v>
      </c>
    </row>
    <row r="2933" spans="1:10" x14ac:dyDescent="0.25">
      <c r="A2933" s="4">
        <f>_xlfn.XLOOKUP(E2933,'Data Validation'!$M$3:$M$10,'Data Validation'!$N$3:$N$10)</f>
        <v>8</v>
      </c>
      <c r="B2933" s="4">
        <v>12</v>
      </c>
      <c r="C2933" s="4" t="s">
        <v>11</v>
      </c>
      <c r="D2933" s="7">
        <v>37.72</v>
      </c>
      <c r="E2933" s="4" t="s">
        <v>12</v>
      </c>
      <c r="F2933" s="4" t="s">
        <v>17</v>
      </c>
      <c r="G2933" s="4" t="s">
        <v>50</v>
      </c>
      <c r="H2933" s="4" t="s">
        <v>53</v>
      </c>
      <c r="I2933" s="5">
        <v>45458</v>
      </c>
      <c r="J2933" s="4">
        <f t="shared" si="45"/>
        <v>30</v>
      </c>
    </row>
    <row r="2934" spans="1:10" x14ac:dyDescent="0.25">
      <c r="A2934" s="4">
        <f>_xlfn.XLOOKUP(E2934,'Data Validation'!$M$3:$M$10,'Data Validation'!$N$3:$N$10)</f>
        <v>8</v>
      </c>
      <c r="B2934" s="4">
        <v>10</v>
      </c>
      <c r="C2934" s="4" t="s">
        <v>11</v>
      </c>
      <c r="D2934" s="7">
        <v>37.72</v>
      </c>
      <c r="E2934" s="4" t="s">
        <v>12</v>
      </c>
      <c r="F2934" s="4" t="s">
        <v>13</v>
      </c>
      <c r="G2934" s="4" t="s">
        <v>51</v>
      </c>
      <c r="H2934" s="4" t="s">
        <v>53</v>
      </c>
      <c r="I2934" s="5">
        <v>45459</v>
      </c>
      <c r="J2934" s="4">
        <f t="shared" si="45"/>
        <v>30</v>
      </c>
    </row>
    <row r="2935" spans="1:10" x14ac:dyDescent="0.25">
      <c r="A2935" s="4">
        <f>_xlfn.XLOOKUP(E2935,'Data Validation'!$M$3:$M$10,'Data Validation'!$N$3:$N$10)</f>
        <v>8</v>
      </c>
      <c r="B2935" s="4">
        <v>7</v>
      </c>
      <c r="C2935" s="4" t="s">
        <v>11</v>
      </c>
      <c r="D2935" s="7">
        <v>37.72</v>
      </c>
      <c r="E2935" s="4" t="s">
        <v>12</v>
      </c>
      <c r="F2935" s="4" t="s">
        <v>13</v>
      </c>
      <c r="G2935" s="4" t="s">
        <v>47</v>
      </c>
      <c r="H2935" s="4" t="s">
        <v>53</v>
      </c>
      <c r="I2935" s="5">
        <v>45462</v>
      </c>
      <c r="J2935" s="4">
        <f t="shared" si="45"/>
        <v>30</v>
      </c>
    </row>
    <row r="2936" spans="1:10" x14ac:dyDescent="0.25">
      <c r="A2936" s="4">
        <f>_xlfn.XLOOKUP(E2936,'Data Validation'!$M$3:$M$10,'Data Validation'!$N$3:$N$10)</f>
        <v>8</v>
      </c>
      <c r="B2936" s="4">
        <v>11</v>
      </c>
      <c r="C2936" s="4" t="s">
        <v>11</v>
      </c>
      <c r="D2936" s="7">
        <v>37.72</v>
      </c>
      <c r="E2936" s="4" t="s">
        <v>12</v>
      </c>
      <c r="F2936" s="4" t="s">
        <v>13</v>
      </c>
      <c r="G2936" s="4" t="s">
        <v>47</v>
      </c>
      <c r="H2936" s="4" t="s">
        <v>53</v>
      </c>
      <c r="I2936" s="5">
        <v>45462</v>
      </c>
      <c r="J2936" s="4">
        <f t="shared" si="45"/>
        <v>30</v>
      </c>
    </row>
    <row r="2937" spans="1:10" x14ac:dyDescent="0.25">
      <c r="A2937" s="4">
        <f>_xlfn.XLOOKUP(E2937,'Data Validation'!$M$3:$M$10,'Data Validation'!$N$3:$N$10)</f>
        <v>8</v>
      </c>
      <c r="B2937" s="4">
        <v>18</v>
      </c>
      <c r="C2937" s="4" t="s">
        <v>11</v>
      </c>
      <c r="D2937" s="7">
        <v>37.72</v>
      </c>
      <c r="E2937" s="4" t="s">
        <v>12</v>
      </c>
      <c r="F2937" s="4" t="s">
        <v>20</v>
      </c>
      <c r="G2937" s="4" t="s">
        <v>47</v>
      </c>
      <c r="H2937" s="4" t="s">
        <v>53</v>
      </c>
      <c r="I2937" s="5">
        <v>45462</v>
      </c>
      <c r="J2937" s="4">
        <f t="shared" si="45"/>
        <v>30</v>
      </c>
    </row>
    <row r="2938" spans="1:10" x14ac:dyDescent="0.25">
      <c r="A2938" s="4">
        <f>_xlfn.XLOOKUP(E2938,'Data Validation'!$M$3:$M$10,'Data Validation'!$N$3:$N$10)</f>
        <v>8</v>
      </c>
      <c r="B2938" s="4">
        <v>10</v>
      </c>
      <c r="C2938" s="4" t="s">
        <v>11</v>
      </c>
      <c r="D2938" s="7">
        <v>37.72</v>
      </c>
      <c r="E2938" s="4" t="s">
        <v>12</v>
      </c>
      <c r="F2938" s="4" t="s">
        <v>13</v>
      </c>
      <c r="G2938" s="4" t="s">
        <v>48</v>
      </c>
      <c r="H2938" s="4" t="s">
        <v>53</v>
      </c>
      <c r="I2938" s="5">
        <v>45463</v>
      </c>
      <c r="J2938" s="4">
        <f t="shared" si="45"/>
        <v>30</v>
      </c>
    </row>
    <row r="2939" spans="1:10" x14ac:dyDescent="0.25">
      <c r="A2939" s="4">
        <f>_xlfn.XLOOKUP(E2939,'Data Validation'!$M$3:$M$10,'Data Validation'!$N$3:$N$10)</f>
        <v>8</v>
      </c>
      <c r="B2939" s="4">
        <v>18</v>
      </c>
      <c r="C2939" s="4" t="s">
        <v>11</v>
      </c>
      <c r="D2939" s="7">
        <v>37.72</v>
      </c>
      <c r="E2939" s="4" t="s">
        <v>12</v>
      </c>
      <c r="F2939" s="4" t="s">
        <v>20</v>
      </c>
      <c r="G2939" s="4" t="s">
        <v>48</v>
      </c>
      <c r="H2939" s="4" t="s">
        <v>53</v>
      </c>
      <c r="I2939" s="5">
        <v>45463</v>
      </c>
      <c r="J2939" s="4">
        <f t="shared" si="45"/>
        <v>30</v>
      </c>
    </row>
    <row r="2940" spans="1:10" x14ac:dyDescent="0.25">
      <c r="A2940" s="4">
        <f>_xlfn.XLOOKUP(E2940,'Data Validation'!$M$3:$M$10,'Data Validation'!$N$3:$N$10)</f>
        <v>8</v>
      </c>
      <c r="B2940" s="4">
        <v>19</v>
      </c>
      <c r="C2940" s="4" t="s">
        <v>11</v>
      </c>
      <c r="D2940" s="7">
        <v>37.72</v>
      </c>
      <c r="E2940" s="4" t="s">
        <v>12</v>
      </c>
      <c r="F2940" s="4" t="s">
        <v>20</v>
      </c>
      <c r="G2940" s="4" t="s">
        <v>48</v>
      </c>
      <c r="H2940" s="4" t="s">
        <v>53</v>
      </c>
      <c r="I2940" s="5">
        <v>45463</v>
      </c>
      <c r="J2940" s="4">
        <f t="shared" si="45"/>
        <v>30</v>
      </c>
    </row>
    <row r="2941" spans="1:10" x14ac:dyDescent="0.25">
      <c r="A2941" s="4">
        <f>_xlfn.XLOOKUP(E2941,'Data Validation'!$M$3:$M$10,'Data Validation'!$N$3:$N$10)</f>
        <v>8</v>
      </c>
      <c r="B2941" s="4">
        <v>21</v>
      </c>
      <c r="C2941" s="4" t="s">
        <v>11</v>
      </c>
      <c r="D2941" s="7">
        <v>37.72</v>
      </c>
      <c r="E2941" s="4" t="s">
        <v>12</v>
      </c>
      <c r="F2941" s="4" t="s">
        <v>20</v>
      </c>
      <c r="G2941" s="4" t="s">
        <v>48</v>
      </c>
      <c r="H2941" s="4" t="s">
        <v>53</v>
      </c>
      <c r="I2941" s="5">
        <v>45463</v>
      </c>
      <c r="J2941" s="4">
        <f t="shared" si="45"/>
        <v>30</v>
      </c>
    </row>
    <row r="2942" spans="1:10" x14ac:dyDescent="0.25">
      <c r="A2942" s="4">
        <f>_xlfn.XLOOKUP(E2942,'Data Validation'!$M$3:$M$10,'Data Validation'!$N$3:$N$10)</f>
        <v>8</v>
      </c>
      <c r="B2942" s="4">
        <v>21</v>
      </c>
      <c r="C2942" s="4" t="s">
        <v>11</v>
      </c>
      <c r="D2942" s="7">
        <v>37.72</v>
      </c>
      <c r="E2942" s="4" t="s">
        <v>12</v>
      </c>
      <c r="F2942" s="4" t="s">
        <v>20</v>
      </c>
      <c r="G2942" s="4" t="s">
        <v>48</v>
      </c>
      <c r="H2942" s="4" t="s">
        <v>53</v>
      </c>
      <c r="I2942" s="5">
        <v>45463</v>
      </c>
      <c r="J2942" s="4">
        <f t="shared" si="45"/>
        <v>30</v>
      </c>
    </row>
    <row r="2943" spans="1:10" x14ac:dyDescent="0.25">
      <c r="A2943" s="4">
        <f>_xlfn.XLOOKUP(E2943,'Data Validation'!$M$3:$M$10,'Data Validation'!$N$3:$N$10)</f>
        <v>8</v>
      </c>
      <c r="B2943" s="4">
        <v>9</v>
      </c>
      <c r="C2943" s="4" t="s">
        <v>11</v>
      </c>
      <c r="D2943" s="7">
        <v>37.72</v>
      </c>
      <c r="E2943" s="4" t="s">
        <v>12</v>
      </c>
      <c r="F2943" s="4" t="s">
        <v>13</v>
      </c>
      <c r="G2943" s="4" t="s">
        <v>49</v>
      </c>
      <c r="H2943" s="4" t="s">
        <v>53</v>
      </c>
      <c r="I2943" s="5">
        <v>45464</v>
      </c>
      <c r="J2943" s="4">
        <f t="shared" si="45"/>
        <v>30</v>
      </c>
    </row>
    <row r="2944" spans="1:10" x14ac:dyDescent="0.25">
      <c r="A2944" s="4">
        <f>_xlfn.XLOOKUP(E2944,'Data Validation'!$M$3:$M$10,'Data Validation'!$N$3:$N$10)</f>
        <v>8</v>
      </c>
      <c r="B2944" s="4">
        <v>19</v>
      </c>
      <c r="C2944" s="4" t="s">
        <v>11</v>
      </c>
      <c r="D2944" s="7">
        <v>37.72</v>
      </c>
      <c r="E2944" s="4" t="s">
        <v>12</v>
      </c>
      <c r="F2944" s="4" t="s">
        <v>20</v>
      </c>
      <c r="G2944" s="4" t="s">
        <v>49</v>
      </c>
      <c r="H2944" s="4" t="s">
        <v>53</v>
      </c>
      <c r="I2944" s="5">
        <v>45464</v>
      </c>
      <c r="J2944" s="4">
        <f t="shared" si="45"/>
        <v>30</v>
      </c>
    </row>
    <row r="2945" spans="1:10" x14ac:dyDescent="0.25">
      <c r="A2945" s="4">
        <f>_xlfn.XLOOKUP(E2945,'Data Validation'!$M$3:$M$10,'Data Validation'!$N$3:$N$10)</f>
        <v>8</v>
      </c>
      <c r="B2945" s="4">
        <v>15</v>
      </c>
      <c r="C2945" s="4" t="s">
        <v>11</v>
      </c>
      <c r="D2945" s="7">
        <v>37.72</v>
      </c>
      <c r="E2945" s="4" t="s">
        <v>12</v>
      </c>
      <c r="F2945" s="4" t="s">
        <v>17</v>
      </c>
      <c r="G2945" s="4" t="s">
        <v>50</v>
      </c>
      <c r="H2945" s="4" t="s">
        <v>53</v>
      </c>
      <c r="I2945" s="5">
        <v>45465</v>
      </c>
      <c r="J2945" s="4">
        <f t="shared" si="45"/>
        <v>30</v>
      </c>
    </row>
    <row r="2946" spans="1:10" x14ac:dyDescent="0.25">
      <c r="A2946" s="4">
        <f>_xlfn.XLOOKUP(E2946,'Data Validation'!$M$3:$M$10,'Data Validation'!$N$3:$N$10)</f>
        <v>8</v>
      </c>
      <c r="B2946" s="4">
        <v>21</v>
      </c>
      <c r="C2946" s="4" t="s">
        <v>11</v>
      </c>
      <c r="D2946" s="7">
        <v>37.72</v>
      </c>
      <c r="E2946" s="4" t="s">
        <v>12</v>
      </c>
      <c r="F2946" s="4" t="s">
        <v>20</v>
      </c>
      <c r="G2946" s="4" t="s">
        <v>51</v>
      </c>
      <c r="H2946" s="4" t="s">
        <v>53</v>
      </c>
      <c r="I2946" s="5">
        <v>45466</v>
      </c>
      <c r="J2946" s="4">
        <f t="shared" si="45"/>
        <v>30</v>
      </c>
    </row>
    <row r="2947" spans="1:10" x14ac:dyDescent="0.25">
      <c r="A2947" s="4">
        <f>_xlfn.XLOOKUP(E2947,'Data Validation'!$M$3:$M$10,'Data Validation'!$N$3:$N$10)</f>
        <v>8</v>
      </c>
      <c r="B2947" s="4">
        <v>15</v>
      </c>
      <c r="C2947" s="4" t="s">
        <v>11</v>
      </c>
      <c r="D2947" s="7">
        <v>37.72</v>
      </c>
      <c r="E2947" s="4" t="s">
        <v>12</v>
      </c>
      <c r="F2947" s="4" t="s">
        <v>17</v>
      </c>
      <c r="G2947" s="4" t="s">
        <v>45</v>
      </c>
      <c r="H2947" s="4" t="s">
        <v>53</v>
      </c>
      <c r="I2947" s="5">
        <v>45467</v>
      </c>
      <c r="J2947" s="4">
        <f t="shared" ref="J2947:J3010" si="46">IF(OR(E2947&lt;&gt;E2946,D2947&lt;&gt;D2946),J2946+1,J2946)</f>
        <v>30</v>
      </c>
    </row>
    <row r="2948" spans="1:10" x14ac:dyDescent="0.25">
      <c r="A2948" s="4">
        <f>_xlfn.XLOOKUP(E2948,'Data Validation'!$M$3:$M$10,'Data Validation'!$N$3:$N$10)</f>
        <v>8</v>
      </c>
      <c r="B2948" s="4">
        <v>8</v>
      </c>
      <c r="C2948" s="4" t="s">
        <v>11</v>
      </c>
      <c r="D2948" s="7">
        <v>37.72</v>
      </c>
      <c r="E2948" s="4" t="s">
        <v>12</v>
      </c>
      <c r="F2948" s="4" t="s">
        <v>13</v>
      </c>
      <c r="G2948" s="4" t="s">
        <v>46</v>
      </c>
      <c r="H2948" s="4" t="s">
        <v>53</v>
      </c>
      <c r="I2948" s="5">
        <v>45468</v>
      </c>
      <c r="J2948" s="4">
        <f t="shared" si="46"/>
        <v>30</v>
      </c>
    </row>
    <row r="2949" spans="1:10" x14ac:dyDescent="0.25">
      <c r="A2949" s="4">
        <f>_xlfn.XLOOKUP(E2949,'Data Validation'!$M$3:$M$10,'Data Validation'!$N$3:$N$10)</f>
        <v>8</v>
      </c>
      <c r="B2949" s="4">
        <v>9</v>
      </c>
      <c r="C2949" s="4" t="s">
        <v>11</v>
      </c>
      <c r="D2949" s="7">
        <v>37.72</v>
      </c>
      <c r="E2949" s="4" t="s">
        <v>12</v>
      </c>
      <c r="F2949" s="4" t="s">
        <v>13</v>
      </c>
      <c r="G2949" s="4" t="s">
        <v>47</v>
      </c>
      <c r="H2949" s="4" t="s">
        <v>53</v>
      </c>
      <c r="I2949" s="5">
        <v>45469</v>
      </c>
      <c r="J2949" s="4">
        <f t="shared" si="46"/>
        <v>30</v>
      </c>
    </row>
    <row r="2950" spans="1:10" x14ac:dyDescent="0.25">
      <c r="A2950" s="4">
        <f>_xlfn.XLOOKUP(E2950,'Data Validation'!$M$3:$M$10,'Data Validation'!$N$3:$N$10)</f>
        <v>8</v>
      </c>
      <c r="B2950" s="4">
        <v>21</v>
      </c>
      <c r="C2950" s="4" t="s">
        <v>11</v>
      </c>
      <c r="D2950" s="7">
        <v>37.72</v>
      </c>
      <c r="E2950" s="4" t="s">
        <v>12</v>
      </c>
      <c r="F2950" s="4" t="s">
        <v>20</v>
      </c>
      <c r="G2950" s="4" t="s">
        <v>47</v>
      </c>
      <c r="H2950" s="4" t="s">
        <v>53</v>
      </c>
      <c r="I2950" s="5">
        <v>45469</v>
      </c>
      <c r="J2950" s="4">
        <f t="shared" si="46"/>
        <v>30</v>
      </c>
    </row>
    <row r="2951" spans="1:10" x14ac:dyDescent="0.25">
      <c r="A2951" s="4">
        <f>_xlfn.XLOOKUP(E2951,'Data Validation'!$M$3:$M$10,'Data Validation'!$N$3:$N$10)</f>
        <v>8</v>
      </c>
      <c r="B2951" s="4">
        <v>21</v>
      </c>
      <c r="C2951" s="4" t="s">
        <v>11</v>
      </c>
      <c r="D2951" s="7">
        <v>37.72</v>
      </c>
      <c r="E2951" s="4" t="s">
        <v>12</v>
      </c>
      <c r="F2951" s="4" t="s">
        <v>20</v>
      </c>
      <c r="G2951" s="4" t="s">
        <v>49</v>
      </c>
      <c r="H2951" s="4" t="s">
        <v>53</v>
      </c>
      <c r="I2951" s="5">
        <v>45471</v>
      </c>
      <c r="J2951" s="4">
        <f t="shared" si="46"/>
        <v>30</v>
      </c>
    </row>
    <row r="2952" spans="1:10" x14ac:dyDescent="0.25">
      <c r="A2952" s="4">
        <f>_xlfn.XLOOKUP(E2952,'Data Validation'!$M$3:$M$10,'Data Validation'!$N$3:$N$10)</f>
        <v>8</v>
      </c>
      <c r="B2952" s="4">
        <v>21</v>
      </c>
      <c r="C2952" s="4" t="s">
        <v>11</v>
      </c>
      <c r="D2952" s="7">
        <v>37.72</v>
      </c>
      <c r="E2952" s="4" t="s">
        <v>12</v>
      </c>
      <c r="F2952" s="4" t="s">
        <v>20</v>
      </c>
      <c r="G2952" s="4" t="s">
        <v>50</v>
      </c>
      <c r="H2952" s="4" t="s">
        <v>53</v>
      </c>
      <c r="I2952" s="5">
        <v>45472</v>
      </c>
      <c r="J2952" s="4">
        <f t="shared" si="46"/>
        <v>30</v>
      </c>
    </row>
    <row r="2953" spans="1:10" x14ac:dyDescent="0.25">
      <c r="A2953" s="4">
        <f>_xlfn.XLOOKUP(E2953,'Data Validation'!$M$3:$M$10,'Data Validation'!$N$3:$N$10)</f>
        <v>8</v>
      </c>
      <c r="B2953" s="4">
        <v>10</v>
      </c>
      <c r="C2953" s="4" t="s">
        <v>11</v>
      </c>
      <c r="D2953" s="7">
        <v>37.72</v>
      </c>
      <c r="E2953" s="4" t="s">
        <v>12</v>
      </c>
      <c r="F2953" s="4" t="s">
        <v>13</v>
      </c>
      <c r="G2953" s="4" t="s">
        <v>51</v>
      </c>
      <c r="H2953" s="4" t="s">
        <v>53</v>
      </c>
      <c r="I2953" s="5">
        <v>45473</v>
      </c>
      <c r="J2953" s="4">
        <f t="shared" si="46"/>
        <v>30</v>
      </c>
    </row>
    <row r="2954" spans="1:10" x14ac:dyDescent="0.25">
      <c r="A2954" s="4">
        <f>_xlfn.XLOOKUP(E2954,'Data Validation'!$M$3:$M$10,'Data Validation'!$N$3:$N$10)</f>
        <v>8</v>
      </c>
      <c r="B2954" s="4">
        <v>12</v>
      </c>
      <c r="C2954" s="4" t="s">
        <v>11</v>
      </c>
      <c r="D2954" s="7">
        <v>37.72</v>
      </c>
      <c r="E2954" s="4" t="s">
        <v>12</v>
      </c>
      <c r="F2954" s="4" t="s">
        <v>17</v>
      </c>
      <c r="G2954" s="4" t="s">
        <v>46</v>
      </c>
      <c r="H2954" s="4" t="s">
        <v>54</v>
      </c>
      <c r="I2954" s="5">
        <v>45475</v>
      </c>
      <c r="J2954" s="4">
        <f t="shared" si="46"/>
        <v>30</v>
      </c>
    </row>
    <row r="2955" spans="1:10" x14ac:dyDescent="0.25">
      <c r="A2955" s="4">
        <f>_xlfn.XLOOKUP(E2955,'Data Validation'!$M$3:$M$10,'Data Validation'!$N$3:$N$10)</f>
        <v>8</v>
      </c>
      <c r="B2955" s="4">
        <v>16</v>
      </c>
      <c r="C2955" s="4" t="s">
        <v>11</v>
      </c>
      <c r="D2955" s="7">
        <v>37.72</v>
      </c>
      <c r="E2955" s="4" t="s">
        <v>12</v>
      </c>
      <c r="F2955" s="4" t="s">
        <v>17</v>
      </c>
      <c r="G2955" s="4" t="s">
        <v>47</v>
      </c>
      <c r="H2955" s="4" t="s">
        <v>54</v>
      </c>
      <c r="I2955" s="5">
        <v>45476</v>
      </c>
      <c r="J2955" s="4">
        <f t="shared" si="46"/>
        <v>30</v>
      </c>
    </row>
    <row r="2956" spans="1:10" x14ac:dyDescent="0.25">
      <c r="A2956" s="4">
        <f>_xlfn.XLOOKUP(E2956,'Data Validation'!$M$3:$M$10,'Data Validation'!$N$3:$N$10)</f>
        <v>8</v>
      </c>
      <c r="B2956" s="4">
        <v>19</v>
      </c>
      <c r="C2956" s="4" t="s">
        <v>11</v>
      </c>
      <c r="D2956" s="7">
        <v>37.72</v>
      </c>
      <c r="E2956" s="4" t="s">
        <v>12</v>
      </c>
      <c r="F2956" s="4" t="s">
        <v>20</v>
      </c>
      <c r="G2956" s="4" t="s">
        <v>47</v>
      </c>
      <c r="H2956" s="4" t="s">
        <v>54</v>
      </c>
      <c r="I2956" s="5">
        <v>45476</v>
      </c>
      <c r="J2956" s="4">
        <f t="shared" si="46"/>
        <v>30</v>
      </c>
    </row>
    <row r="2957" spans="1:10" x14ac:dyDescent="0.25">
      <c r="A2957" s="4">
        <f>_xlfn.XLOOKUP(E2957,'Data Validation'!$M$3:$M$10,'Data Validation'!$N$3:$N$10)</f>
        <v>8</v>
      </c>
      <c r="B2957" s="4">
        <v>10</v>
      </c>
      <c r="C2957" s="4" t="s">
        <v>11</v>
      </c>
      <c r="D2957" s="7">
        <v>37.72</v>
      </c>
      <c r="E2957" s="4" t="s">
        <v>12</v>
      </c>
      <c r="F2957" s="4" t="s">
        <v>13</v>
      </c>
      <c r="G2957" s="4" t="s">
        <v>50</v>
      </c>
      <c r="H2957" s="4" t="s">
        <v>54</v>
      </c>
      <c r="I2957" s="5">
        <v>45479</v>
      </c>
      <c r="J2957" s="4">
        <f t="shared" si="46"/>
        <v>30</v>
      </c>
    </row>
    <row r="2958" spans="1:10" x14ac:dyDescent="0.25">
      <c r="A2958" s="4">
        <f>_xlfn.XLOOKUP(E2958,'Data Validation'!$M$3:$M$10,'Data Validation'!$N$3:$N$10)</f>
        <v>8</v>
      </c>
      <c r="B2958" s="4">
        <v>17</v>
      </c>
      <c r="C2958" s="4" t="s">
        <v>11</v>
      </c>
      <c r="D2958" s="7">
        <v>32.82</v>
      </c>
      <c r="E2958" s="4" t="s">
        <v>12</v>
      </c>
      <c r="F2958" s="4" t="s">
        <v>20</v>
      </c>
      <c r="G2958" s="4" t="s">
        <v>50</v>
      </c>
      <c r="H2958" s="4" t="s">
        <v>54</v>
      </c>
      <c r="I2958" s="5">
        <v>45479</v>
      </c>
      <c r="J2958" s="4">
        <f t="shared" si="46"/>
        <v>31</v>
      </c>
    </row>
    <row r="2959" spans="1:10" x14ac:dyDescent="0.25">
      <c r="A2959" s="4">
        <f>_xlfn.XLOOKUP(E2959,'Data Validation'!$M$3:$M$10,'Data Validation'!$N$3:$N$10)</f>
        <v>8</v>
      </c>
      <c r="B2959" s="4">
        <v>17</v>
      </c>
      <c r="C2959" s="4" t="s">
        <v>11</v>
      </c>
      <c r="D2959" s="7">
        <v>32.82</v>
      </c>
      <c r="E2959" s="4" t="s">
        <v>12</v>
      </c>
      <c r="F2959" s="4" t="s">
        <v>20</v>
      </c>
      <c r="G2959" s="4" t="s">
        <v>50</v>
      </c>
      <c r="H2959" s="4" t="s">
        <v>54</v>
      </c>
      <c r="I2959" s="5">
        <v>45479</v>
      </c>
      <c r="J2959" s="4">
        <f t="shared" si="46"/>
        <v>31</v>
      </c>
    </row>
    <row r="2960" spans="1:10" x14ac:dyDescent="0.25">
      <c r="A2960" s="4">
        <f>_xlfn.XLOOKUP(E2960,'Data Validation'!$M$3:$M$10,'Data Validation'!$N$3:$N$10)</f>
        <v>8</v>
      </c>
      <c r="B2960" s="4">
        <v>19</v>
      </c>
      <c r="C2960" s="4" t="s">
        <v>11</v>
      </c>
      <c r="D2960" s="7">
        <v>32.82</v>
      </c>
      <c r="E2960" s="4" t="s">
        <v>12</v>
      </c>
      <c r="F2960" s="4" t="s">
        <v>20</v>
      </c>
      <c r="G2960" s="4" t="s">
        <v>50</v>
      </c>
      <c r="H2960" s="4" t="s">
        <v>54</v>
      </c>
      <c r="I2960" s="5">
        <v>45479</v>
      </c>
      <c r="J2960" s="4">
        <f t="shared" si="46"/>
        <v>31</v>
      </c>
    </row>
    <row r="2961" spans="1:10" x14ac:dyDescent="0.25">
      <c r="A2961" s="4">
        <f>_xlfn.XLOOKUP(E2961,'Data Validation'!$M$3:$M$10,'Data Validation'!$N$3:$N$10)</f>
        <v>8</v>
      </c>
      <c r="B2961" s="4">
        <v>17</v>
      </c>
      <c r="C2961" s="4" t="s">
        <v>11</v>
      </c>
      <c r="D2961" s="7">
        <v>32.82</v>
      </c>
      <c r="E2961" s="4" t="s">
        <v>12</v>
      </c>
      <c r="F2961" s="4" t="s">
        <v>20</v>
      </c>
      <c r="G2961" s="4" t="s">
        <v>51</v>
      </c>
      <c r="H2961" s="4" t="s">
        <v>54</v>
      </c>
      <c r="I2961" s="5">
        <v>45480</v>
      </c>
      <c r="J2961" s="4">
        <f t="shared" si="46"/>
        <v>31</v>
      </c>
    </row>
    <row r="2962" spans="1:10" x14ac:dyDescent="0.25">
      <c r="A2962" s="4">
        <f>_xlfn.XLOOKUP(E2962,'Data Validation'!$M$3:$M$10,'Data Validation'!$N$3:$N$10)</f>
        <v>8</v>
      </c>
      <c r="B2962" s="4">
        <v>7</v>
      </c>
      <c r="C2962" s="4" t="s">
        <v>11</v>
      </c>
      <c r="D2962" s="7">
        <v>32.82</v>
      </c>
      <c r="E2962" s="4" t="s">
        <v>12</v>
      </c>
      <c r="F2962" s="4" t="s">
        <v>13</v>
      </c>
      <c r="G2962" s="4" t="s">
        <v>45</v>
      </c>
      <c r="H2962" s="4" t="s">
        <v>54</v>
      </c>
      <c r="I2962" s="5">
        <v>45481</v>
      </c>
      <c r="J2962" s="4">
        <f t="shared" si="46"/>
        <v>31</v>
      </c>
    </row>
    <row r="2963" spans="1:10" x14ac:dyDescent="0.25">
      <c r="A2963" s="4">
        <f>_xlfn.XLOOKUP(E2963,'Data Validation'!$M$3:$M$10,'Data Validation'!$N$3:$N$10)</f>
        <v>8</v>
      </c>
      <c r="B2963" s="4">
        <v>22</v>
      </c>
      <c r="C2963" s="4" t="s">
        <v>11</v>
      </c>
      <c r="D2963" s="7">
        <v>32.82</v>
      </c>
      <c r="E2963" s="4" t="s">
        <v>12</v>
      </c>
      <c r="F2963" s="4" t="s">
        <v>20</v>
      </c>
      <c r="G2963" s="4" t="s">
        <v>45</v>
      </c>
      <c r="H2963" s="4" t="s">
        <v>54</v>
      </c>
      <c r="I2963" s="5">
        <v>45481</v>
      </c>
      <c r="J2963" s="4">
        <f t="shared" si="46"/>
        <v>31</v>
      </c>
    </row>
    <row r="2964" spans="1:10" x14ac:dyDescent="0.25">
      <c r="A2964" s="4">
        <f>_xlfn.XLOOKUP(E2964,'Data Validation'!$M$3:$M$10,'Data Validation'!$N$3:$N$10)</f>
        <v>8</v>
      </c>
      <c r="B2964" s="4">
        <v>22</v>
      </c>
      <c r="C2964" s="4" t="s">
        <v>11</v>
      </c>
      <c r="D2964" s="7">
        <v>32.82</v>
      </c>
      <c r="E2964" s="4" t="s">
        <v>12</v>
      </c>
      <c r="F2964" s="4" t="s">
        <v>20</v>
      </c>
      <c r="G2964" s="4" t="s">
        <v>47</v>
      </c>
      <c r="H2964" s="4" t="s">
        <v>54</v>
      </c>
      <c r="I2964" s="5">
        <v>45483</v>
      </c>
      <c r="J2964" s="4">
        <f t="shared" si="46"/>
        <v>31</v>
      </c>
    </row>
    <row r="2965" spans="1:10" x14ac:dyDescent="0.25">
      <c r="A2965" s="4">
        <f>_xlfn.XLOOKUP(E2965,'Data Validation'!$M$3:$M$10,'Data Validation'!$N$3:$N$10)</f>
        <v>8</v>
      </c>
      <c r="B2965" s="4">
        <v>22</v>
      </c>
      <c r="C2965" s="4" t="s">
        <v>11</v>
      </c>
      <c r="D2965" s="7">
        <v>32.82</v>
      </c>
      <c r="E2965" s="4" t="s">
        <v>12</v>
      </c>
      <c r="F2965" s="4" t="s">
        <v>20</v>
      </c>
      <c r="G2965" s="4" t="s">
        <v>48</v>
      </c>
      <c r="H2965" s="4" t="s">
        <v>54</v>
      </c>
      <c r="I2965" s="5">
        <v>45484</v>
      </c>
      <c r="J2965" s="4">
        <f t="shared" si="46"/>
        <v>31</v>
      </c>
    </row>
    <row r="2966" spans="1:10" x14ac:dyDescent="0.25">
      <c r="A2966" s="4">
        <f>_xlfn.XLOOKUP(E2966,'Data Validation'!$M$3:$M$10,'Data Validation'!$N$3:$N$10)</f>
        <v>8</v>
      </c>
      <c r="B2966" s="4">
        <v>10</v>
      </c>
      <c r="C2966" s="4" t="s">
        <v>11</v>
      </c>
      <c r="D2966" s="7">
        <v>32.82</v>
      </c>
      <c r="E2966" s="4" t="s">
        <v>12</v>
      </c>
      <c r="F2966" s="4" t="s">
        <v>13</v>
      </c>
      <c r="G2966" s="4" t="s">
        <v>50</v>
      </c>
      <c r="H2966" s="4" t="s">
        <v>54</v>
      </c>
      <c r="I2966" s="5">
        <v>45486</v>
      </c>
      <c r="J2966" s="4">
        <f t="shared" si="46"/>
        <v>31</v>
      </c>
    </row>
    <row r="2967" spans="1:10" x14ac:dyDescent="0.25">
      <c r="A2967" s="4">
        <f>_xlfn.XLOOKUP(E2967,'Data Validation'!$M$3:$M$10,'Data Validation'!$N$3:$N$10)</f>
        <v>8</v>
      </c>
      <c r="B2967" s="4">
        <v>11</v>
      </c>
      <c r="C2967" s="4" t="s">
        <v>11</v>
      </c>
      <c r="D2967" s="7">
        <v>32.82</v>
      </c>
      <c r="E2967" s="4" t="s">
        <v>12</v>
      </c>
      <c r="F2967" s="4" t="s">
        <v>13</v>
      </c>
      <c r="G2967" s="4" t="s">
        <v>50</v>
      </c>
      <c r="H2967" s="4" t="s">
        <v>54</v>
      </c>
      <c r="I2967" s="5">
        <v>45486</v>
      </c>
      <c r="J2967" s="4">
        <f t="shared" si="46"/>
        <v>31</v>
      </c>
    </row>
    <row r="2968" spans="1:10" x14ac:dyDescent="0.25">
      <c r="A2968" s="4">
        <f>_xlfn.XLOOKUP(E2968,'Data Validation'!$M$3:$M$10,'Data Validation'!$N$3:$N$10)</f>
        <v>8</v>
      </c>
      <c r="B2968" s="4">
        <v>10</v>
      </c>
      <c r="C2968" s="4" t="s">
        <v>11</v>
      </c>
      <c r="D2968" s="7">
        <v>32.82</v>
      </c>
      <c r="E2968" s="4" t="s">
        <v>12</v>
      </c>
      <c r="F2968" s="4" t="s">
        <v>13</v>
      </c>
      <c r="G2968" s="4" t="s">
        <v>51</v>
      </c>
      <c r="H2968" s="4" t="s">
        <v>54</v>
      </c>
      <c r="I2968" s="5">
        <v>45487</v>
      </c>
      <c r="J2968" s="4">
        <f t="shared" si="46"/>
        <v>31</v>
      </c>
    </row>
    <row r="2969" spans="1:10" x14ac:dyDescent="0.25">
      <c r="A2969" s="4">
        <f>_xlfn.XLOOKUP(E2969,'Data Validation'!$M$3:$M$10,'Data Validation'!$N$3:$N$10)</f>
        <v>8</v>
      </c>
      <c r="B2969" s="4">
        <v>22</v>
      </c>
      <c r="C2969" s="4" t="s">
        <v>11</v>
      </c>
      <c r="D2969" s="7">
        <v>32.82</v>
      </c>
      <c r="E2969" s="4" t="s">
        <v>12</v>
      </c>
      <c r="F2969" s="4" t="s">
        <v>20</v>
      </c>
      <c r="G2969" s="4" t="s">
        <v>51</v>
      </c>
      <c r="H2969" s="4" t="s">
        <v>54</v>
      </c>
      <c r="I2969" s="5">
        <v>45487</v>
      </c>
      <c r="J2969" s="4">
        <f t="shared" si="46"/>
        <v>31</v>
      </c>
    </row>
    <row r="2970" spans="1:10" x14ac:dyDescent="0.25">
      <c r="A2970" s="4">
        <f>_xlfn.XLOOKUP(E2970,'Data Validation'!$M$3:$M$10,'Data Validation'!$N$3:$N$10)</f>
        <v>8</v>
      </c>
      <c r="B2970" s="4">
        <v>13</v>
      </c>
      <c r="C2970" s="4" t="s">
        <v>11</v>
      </c>
      <c r="D2970" s="7">
        <v>32.82</v>
      </c>
      <c r="E2970" s="4" t="s">
        <v>12</v>
      </c>
      <c r="F2970" s="4" t="s">
        <v>17</v>
      </c>
      <c r="G2970" s="4" t="s">
        <v>48</v>
      </c>
      <c r="H2970" s="4" t="s">
        <v>54</v>
      </c>
      <c r="I2970" s="5">
        <v>45491</v>
      </c>
      <c r="J2970" s="4">
        <f t="shared" si="46"/>
        <v>31</v>
      </c>
    </row>
    <row r="2971" spans="1:10" x14ac:dyDescent="0.25">
      <c r="A2971" s="4">
        <f>_xlfn.XLOOKUP(E2971,'Data Validation'!$M$3:$M$10,'Data Validation'!$N$3:$N$10)</f>
        <v>8</v>
      </c>
      <c r="B2971" s="4">
        <v>19</v>
      </c>
      <c r="C2971" s="4" t="s">
        <v>11</v>
      </c>
      <c r="D2971" s="7">
        <v>32.82</v>
      </c>
      <c r="E2971" s="4" t="s">
        <v>12</v>
      </c>
      <c r="F2971" s="4" t="s">
        <v>20</v>
      </c>
      <c r="G2971" s="4" t="s">
        <v>48</v>
      </c>
      <c r="H2971" s="4" t="s">
        <v>54</v>
      </c>
      <c r="I2971" s="5">
        <v>45491</v>
      </c>
      <c r="J2971" s="4">
        <f t="shared" si="46"/>
        <v>31</v>
      </c>
    </row>
    <row r="2972" spans="1:10" x14ac:dyDescent="0.25">
      <c r="A2972" s="4">
        <f>_xlfn.XLOOKUP(E2972,'Data Validation'!$M$3:$M$10,'Data Validation'!$N$3:$N$10)</f>
        <v>8</v>
      </c>
      <c r="B2972" s="4">
        <v>21</v>
      </c>
      <c r="C2972" s="4" t="s">
        <v>11</v>
      </c>
      <c r="D2972" s="7">
        <v>32.82</v>
      </c>
      <c r="E2972" s="4" t="s">
        <v>12</v>
      </c>
      <c r="F2972" s="4" t="s">
        <v>20</v>
      </c>
      <c r="G2972" s="4" t="s">
        <v>48</v>
      </c>
      <c r="H2972" s="4" t="s">
        <v>54</v>
      </c>
      <c r="I2972" s="5">
        <v>45491</v>
      </c>
      <c r="J2972" s="4">
        <f t="shared" si="46"/>
        <v>31</v>
      </c>
    </row>
    <row r="2973" spans="1:10" x14ac:dyDescent="0.25">
      <c r="A2973" s="4">
        <f>_xlfn.XLOOKUP(E2973,'Data Validation'!$M$3:$M$10,'Data Validation'!$N$3:$N$10)</f>
        <v>8</v>
      </c>
      <c r="B2973" s="4">
        <v>21</v>
      </c>
      <c r="C2973" s="4" t="s">
        <v>11</v>
      </c>
      <c r="D2973" s="7">
        <v>32.82</v>
      </c>
      <c r="E2973" s="4" t="s">
        <v>12</v>
      </c>
      <c r="F2973" s="4" t="s">
        <v>20</v>
      </c>
      <c r="G2973" s="4" t="s">
        <v>48</v>
      </c>
      <c r="H2973" s="4" t="s">
        <v>54</v>
      </c>
      <c r="I2973" s="5">
        <v>45491</v>
      </c>
      <c r="J2973" s="4">
        <f t="shared" si="46"/>
        <v>31</v>
      </c>
    </row>
    <row r="2974" spans="1:10" x14ac:dyDescent="0.25">
      <c r="A2974" s="4">
        <f>_xlfn.XLOOKUP(E2974,'Data Validation'!$M$3:$M$10,'Data Validation'!$N$3:$N$10)</f>
        <v>8</v>
      </c>
      <c r="B2974" s="4">
        <v>12</v>
      </c>
      <c r="C2974" s="4" t="s">
        <v>11</v>
      </c>
      <c r="D2974" s="7">
        <v>32.82</v>
      </c>
      <c r="E2974" s="4" t="s">
        <v>12</v>
      </c>
      <c r="F2974" s="4" t="s">
        <v>17</v>
      </c>
      <c r="G2974" s="4" t="s">
        <v>49</v>
      </c>
      <c r="H2974" s="4" t="s">
        <v>54</v>
      </c>
      <c r="I2974" s="5">
        <v>45492</v>
      </c>
      <c r="J2974" s="4">
        <f t="shared" si="46"/>
        <v>31</v>
      </c>
    </row>
    <row r="2975" spans="1:10" x14ac:dyDescent="0.25">
      <c r="A2975" s="4">
        <f>_xlfn.XLOOKUP(E2975,'Data Validation'!$M$3:$M$10,'Data Validation'!$N$3:$N$10)</f>
        <v>8</v>
      </c>
      <c r="B2975" s="4">
        <v>14</v>
      </c>
      <c r="C2975" s="4" t="s">
        <v>11</v>
      </c>
      <c r="D2975" s="7">
        <v>32.82</v>
      </c>
      <c r="E2975" s="4" t="s">
        <v>12</v>
      </c>
      <c r="F2975" s="4" t="s">
        <v>17</v>
      </c>
      <c r="G2975" s="4" t="s">
        <v>49</v>
      </c>
      <c r="H2975" s="4" t="s">
        <v>54</v>
      </c>
      <c r="I2975" s="5">
        <v>45492</v>
      </c>
      <c r="J2975" s="4">
        <f t="shared" si="46"/>
        <v>31</v>
      </c>
    </row>
    <row r="2976" spans="1:10" x14ac:dyDescent="0.25">
      <c r="A2976" s="4">
        <f>_xlfn.XLOOKUP(E2976,'Data Validation'!$M$3:$M$10,'Data Validation'!$N$3:$N$10)</f>
        <v>8</v>
      </c>
      <c r="B2976" s="4">
        <v>16</v>
      </c>
      <c r="C2976" s="4" t="s">
        <v>11</v>
      </c>
      <c r="D2976" s="7">
        <v>32.82</v>
      </c>
      <c r="E2976" s="4" t="s">
        <v>12</v>
      </c>
      <c r="F2976" s="4" t="s">
        <v>17</v>
      </c>
      <c r="G2976" s="4" t="s">
        <v>49</v>
      </c>
      <c r="H2976" s="4" t="s">
        <v>54</v>
      </c>
      <c r="I2976" s="5">
        <v>45492</v>
      </c>
      <c r="J2976" s="4">
        <f t="shared" si="46"/>
        <v>31</v>
      </c>
    </row>
    <row r="2977" spans="1:10" x14ac:dyDescent="0.25">
      <c r="A2977" s="4">
        <f>_xlfn.XLOOKUP(E2977,'Data Validation'!$M$3:$M$10,'Data Validation'!$N$3:$N$10)</f>
        <v>8</v>
      </c>
      <c r="B2977" s="4">
        <v>16</v>
      </c>
      <c r="C2977" s="4" t="s">
        <v>11</v>
      </c>
      <c r="D2977" s="7">
        <v>32.82</v>
      </c>
      <c r="E2977" s="4" t="s">
        <v>12</v>
      </c>
      <c r="F2977" s="4" t="s">
        <v>17</v>
      </c>
      <c r="G2977" s="4" t="s">
        <v>49</v>
      </c>
      <c r="H2977" s="4" t="s">
        <v>54</v>
      </c>
      <c r="I2977" s="5">
        <v>45492</v>
      </c>
      <c r="J2977" s="4">
        <f t="shared" si="46"/>
        <v>31</v>
      </c>
    </row>
    <row r="2978" spans="1:10" x14ac:dyDescent="0.25">
      <c r="A2978" s="4">
        <f>_xlfn.XLOOKUP(E2978,'Data Validation'!$M$3:$M$10,'Data Validation'!$N$3:$N$10)</f>
        <v>8</v>
      </c>
      <c r="B2978" s="4">
        <v>8</v>
      </c>
      <c r="C2978" s="4" t="s">
        <v>11</v>
      </c>
      <c r="D2978" s="7">
        <v>32.82</v>
      </c>
      <c r="E2978" s="4" t="s">
        <v>12</v>
      </c>
      <c r="F2978" s="4" t="s">
        <v>13</v>
      </c>
      <c r="G2978" s="4" t="s">
        <v>50</v>
      </c>
      <c r="H2978" s="4" t="s">
        <v>54</v>
      </c>
      <c r="I2978" s="5">
        <v>45493</v>
      </c>
      <c r="J2978" s="4">
        <f t="shared" si="46"/>
        <v>31</v>
      </c>
    </row>
    <row r="2979" spans="1:10" x14ac:dyDescent="0.25">
      <c r="A2979" s="4">
        <f>_xlfn.XLOOKUP(E2979,'Data Validation'!$M$3:$M$10,'Data Validation'!$N$3:$N$10)</f>
        <v>8</v>
      </c>
      <c r="B2979" s="4">
        <v>9</v>
      </c>
      <c r="C2979" s="4" t="s">
        <v>11</v>
      </c>
      <c r="D2979" s="7">
        <v>32.82</v>
      </c>
      <c r="E2979" s="4" t="s">
        <v>12</v>
      </c>
      <c r="F2979" s="4" t="s">
        <v>13</v>
      </c>
      <c r="G2979" s="4" t="s">
        <v>50</v>
      </c>
      <c r="H2979" s="4" t="s">
        <v>54</v>
      </c>
      <c r="I2979" s="5">
        <v>45493</v>
      </c>
      <c r="J2979" s="4">
        <f t="shared" si="46"/>
        <v>31</v>
      </c>
    </row>
    <row r="2980" spans="1:10" x14ac:dyDescent="0.25">
      <c r="A2980" s="4">
        <f>_xlfn.XLOOKUP(E2980,'Data Validation'!$M$3:$M$10,'Data Validation'!$N$3:$N$10)</f>
        <v>8</v>
      </c>
      <c r="B2980" s="4">
        <v>9</v>
      </c>
      <c r="C2980" s="4" t="s">
        <v>11</v>
      </c>
      <c r="D2980" s="7">
        <v>32.82</v>
      </c>
      <c r="E2980" s="4" t="s">
        <v>12</v>
      </c>
      <c r="F2980" s="4" t="s">
        <v>13</v>
      </c>
      <c r="G2980" s="4" t="s">
        <v>50</v>
      </c>
      <c r="H2980" s="4" t="s">
        <v>54</v>
      </c>
      <c r="I2980" s="5">
        <v>45493</v>
      </c>
      <c r="J2980" s="4">
        <f t="shared" si="46"/>
        <v>31</v>
      </c>
    </row>
    <row r="2981" spans="1:10" x14ac:dyDescent="0.25">
      <c r="A2981" s="4">
        <f>_xlfn.XLOOKUP(E2981,'Data Validation'!$M$3:$M$10,'Data Validation'!$N$3:$N$10)</f>
        <v>8</v>
      </c>
      <c r="B2981" s="4">
        <v>15</v>
      </c>
      <c r="C2981" s="4" t="s">
        <v>11</v>
      </c>
      <c r="D2981" s="7">
        <v>32.82</v>
      </c>
      <c r="E2981" s="4" t="s">
        <v>12</v>
      </c>
      <c r="F2981" s="4" t="s">
        <v>17</v>
      </c>
      <c r="G2981" s="4" t="s">
        <v>50</v>
      </c>
      <c r="H2981" s="4" t="s">
        <v>54</v>
      </c>
      <c r="I2981" s="5">
        <v>45493</v>
      </c>
      <c r="J2981" s="4">
        <f t="shared" si="46"/>
        <v>31</v>
      </c>
    </row>
    <row r="2982" spans="1:10" x14ac:dyDescent="0.25">
      <c r="A2982" s="4">
        <f>_xlfn.XLOOKUP(E2982,'Data Validation'!$M$3:$M$10,'Data Validation'!$N$3:$N$10)</f>
        <v>8</v>
      </c>
      <c r="B2982" s="4">
        <v>13</v>
      </c>
      <c r="C2982" s="4" t="s">
        <v>11</v>
      </c>
      <c r="D2982" s="7">
        <v>32.82</v>
      </c>
      <c r="E2982" s="4" t="s">
        <v>12</v>
      </c>
      <c r="F2982" s="4" t="s">
        <v>17</v>
      </c>
      <c r="G2982" s="4" t="s">
        <v>51</v>
      </c>
      <c r="H2982" s="4" t="s">
        <v>54</v>
      </c>
      <c r="I2982" s="5">
        <v>45494</v>
      </c>
      <c r="J2982" s="4">
        <f t="shared" si="46"/>
        <v>31</v>
      </c>
    </row>
    <row r="2983" spans="1:10" x14ac:dyDescent="0.25">
      <c r="A2983" s="4">
        <f>_xlfn.XLOOKUP(E2983,'Data Validation'!$M$3:$M$10,'Data Validation'!$N$3:$N$10)</f>
        <v>8</v>
      </c>
      <c r="B2983" s="4">
        <v>16</v>
      </c>
      <c r="C2983" s="4" t="s">
        <v>11</v>
      </c>
      <c r="D2983" s="7">
        <v>32.82</v>
      </c>
      <c r="E2983" s="4" t="s">
        <v>12</v>
      </c>
      <c r="F2983" s="4" t="s">
        <v>17</v>
      </c>
      <c r="G2983" s="4" t="s">
        <v>45</v>
      </c>
      <c r="H2983" s="4" t="s">
        <v>54</v>
      </c>
      <c r="I2983" s="5">
        <v>45495</v>
      </c>
      <c r="J2983" s="4">
        <f t="shared" si="46"/>
        <v>31</v>
      </c>
    </row>
    <row r="2984" spans="1:10" x14ac:dyDescent="0.25">
      <c r="A2984" s="4">
        <f>_xlfn.XLOOKUP(E2984,'Data Validation'!$M$3:$M$10,'Data Validation'!$N$3:$N$10)</f>
        <v>8</v>
      </c>
      <c r="B2984" s="4">
        <v>8</v>
      </c>
      <c r="C2984" s="4" t="s">
        <v>11</v>
      </c>
      <c r="D2984" s="7">
        <v>32.82</v>
      </c>
      <c r="E2984" s="4" t="s">
        <v>12</v>
      </c>
      <c r="F2984" s="4" t="s">
        <v>13</v>
      </c>
      <c r="G2984" s="4" t="s">
        <v>46</v>
      </c>
      <c r="H2984" s="4" t="s">
        <v>54</v>
      </c>
      <c r="I2984" s="5">
        <v>45496</v>
      </c>
      <c r="J2984" s="4">
        <f t="shared" si="46"/>
        <v>31</v>
      </c>
    </row>
    <row r="2985" spans="1:10" x14ac:dyDescent="0.25">
      <c r="A2985" s="4">
        <f>_xlfn.XLOOKUP(E2985,'Data Validation'!$M$3:$M$10,'Data Validation'!$N$3:$N$10)</f>
        <v>8</v>
      </c>
      <c r="B2985" s="4">
        <v>8</v>
      </c>
      <c r="C2985" s="4" t="s">
        <v>11</v>
      </c>
      <c r="D2985" s="7">
        <v>32.82</v>
      </c>
      <c r="E2985" s="4" t="s">
        <v>12</v>
      </c>
      <c r="F2985" s="4" t="s">
        <v>13</v>
      </c>
      <c r="G2985" s="4" t="s">
        <v>46</v>
      </c>
      <c r="H2985" s="4" t="s">
        <v>54</v>
      </c>
      <c r="I2985" s="5">
        <v>45496</v>
      </c>
      <c r="J2985" s="4">
        <f t="shared" si="46"/>
        <v>31</v>
      </c>
    </row>
    <row r="2986" spans="1:10" x14ac:dyDescent="0.25">
      <c r="A2986" s="4">
        <f>_xlfn.XLOOKUP(E2986,'Data Validation'!$M$3:$M$10,'Data Validation'!$N$3:$N$10)</f>
        <v>8</v>
      </c>
      <c r="B2986" s="4">
        <v>15</v>
      </c>
      <c r="C2986" s="4" t="s">
        <v>11</v>
      </c>
      <c r="D2986" s="7">
        <v>32.82</v>
      </c>
      <c r="E2986" s="4" t="s">
        <v>12</v>
      </c>
      <c r="F2986" s="4" t="s">
        <v>17</v>
      </c>
      <c r="G2986" s="4" t="s">
        <v>46</v>
      </c>
      <c r="H2986" s="4" t="s">
        <v>54</v>
      </c>
      <c r="I2986" s="5">
        <v>45496</v>
      </c>
      <c r="J2986" s="4">
        <f t="shared" si="46"/>
        <v>31</v>
      </c>
    </row>
    <row r="2987" spans="1:10" x14ac:dyDescent="0.25">
      <c r="A2987" s="4">
        <f>_xlfn.XLOOKUP(E2987,'Data Validation'!$M$3:$M$10,'Data Validation'!$N$3:$N$10)</f>
        <v>8</v>
      </c>
      <c r="B2987" s="4">
        <v>21</v>
      </c>
      <c r="C2987" s="4" t="s">
        <v>11</v>
      </c>
      <c r="D2987" s="7">
        <v>32.82</v>
      </c>
      <c r="E2987" s="4" t="s">
        <v>12</v>
      </c>
      <c r="F2987" s="4" t="s">
        <v>20</v>
      </c>
      <c r="G2987" s="4" t="s">
        <v>46</v>
      </c>
      <c r="H2987" s="4" t="s">
        <v>54</v>
      </c>
      <c r="I2987" s="5">
        <v>45496</v>
      </c>
      <c r="J2987" s="4">
        <f t="shared" si="46"/>
        <v>31</v>
      </c>
    </row>
    <row r="2988" spans="1:10" x14ac:dyDescent="0.25">
      <c r="A2988" s="4">
        <f>_xlfn.XLOOKUP(E2988,'Data Validation'!$M$3:$M$10,'Data Validation'!$N$3:$N$10)</f>
        <v>8</v>
      </c>
      <c r="B2988" s="4">
        <v>13</v>
      </c>
      <c r="C2988" s="4" t="s">
        <v>11</v>
      </c>
      <c r="D2988" s="7">
        <v>32.82</v>
      </c>
      <c r="E2988" s="4" t="s">
        <v>12</v>
      </c>
      <c r="F2988" s="4" t="s">
        <v>17</v>
      </c>
      <c r="G2988" s="4" t="s">
        <v>47</v>
      </c>
      <c r="H2988" s="4" t="s">
        <v>54</v>
      </c>
      <c r="I2988" s="5">
        <v>45497</v>
      </c>
      <c r="J2988" s="4">
        <f t="shared" si="46"/>
        <v>31</v>
      </c>
    </row>
    <row r="2989" spans="1:10" x14ac:dyDescent="0.25">
      <c r="A2989" s="4">
        <f>_xlfn.XLOOKUP(E2989,'Data Validation'!$M$3:$M$10,'Data Validation'!$N$3:$N$10)</f>
        <v>8</v>
      </c>
      <c r="B2989" s="4">
        <v>15</v>
      </c>
      <c r="C2989" s="4" t="s">
        <v>11</v>
      </c>
      <c r="D2989" s="7">
        <v>32.82</v>
      </c>
      <c r="E2989" s="4" t="s">
        <v>12</v>
      </c>
      <c r="F2989" s="4" t="s">
        <v>17</v>
      </c>
      <c r="G2989" s="4" t="s">
        <v>47</v>
      </c>
      <c r="H2989" s="4" t="s">
        <v>54</v>
      </c>
      <c r="I2989" s="5">
        <v>45497</v>
      </c>
      <c r="J2989" s="4">
        <f t="shared" si="46"/>
        <v>31</v>
      </c>
    </row>
    <row r="2990" spans="1:10" x14ac:dyDescent="0.25">
      <c r="A2990" s="4">
        <f>_xlfn.XLOOKUP(E2990,'Data Validation'!$M$3:$M$10,'Data Validation'!$N$3:$N$10)</f>
        <v>8</v>
      </c>
      <c r="B2990" s="4">
        <v>8</v>
      </c>
      <c r="C2990" s="4" t="s">
        <v>11</v>
      </c>
      <c r="D2990" s="7">
        <v>32.82</v>
      </c>
      <c r="E2990" s="4" t="s">
        <v>12</v>
      </c>
      <c r="F2990" s="4" t="s">
        <v>13</v>
      </c>
      <c r="G2990" s="4" t="s">
        <v>48</v>
      </c>
      <c r="H2990" s="4" t="s">
        <v>54</v>
      </c>
      <c r="I2990" s="5">
        <v>45498</v>
      </c>
      <c r="J2990" s="4">
        <f t="shared" si="46"/>
        <v>31</v>
      </c>
    </row>
    <row r="2991" spans="1:10" x14ac:dyDescent="0.25">
      <c r="A2991" s="4">
        <f>_xlfn.XLOOKUP(E2991,'Data Validation'!$M$3:$M$10,'Data Validation'!$N$3:$N$10)</f>
        <v>8</v>
      </c>
      <c r="B2991" s="4">
        <v>8</v>
      </c>
      <c r="C2991" s="4" t="s">
        <v>11</v>
      </c>
      <c r="D2991" s="7">
        <v>32.82</v>
      </c>
      <c r="E2991" s="4" t="s">
        <v>12</v>
      </c>
      <c r="F2991" s="4" t="s">
        <v>13</v>
      </c>
      <c r="G2991" s="4" t="s">
        <v>49</v>
      </c>
      <c r="H2991" s="4" t="s">
        <v>54</v>
      </c>
      <c r="I2991" s="5">
        <v>45499</v>
      </c>
      <c r="J2991" s="4">
        <f t="shared" si="46"/>
        <v>31</v>
      </c>
    </row>
    <row r="2992" spans="1:10" x14ac:dyDescent="0.25">
      <c r="A2992" s="4">
        <f>_xlfn.XLOOKUP(E2992,'Data Validation'!$M$3:$M$10,'Data Validation'!$N$3:$N$10)</f>
        <v>8</v>
      </c>
      <c r="B2992" s="4">
        <v>9</v>
      </c>
      <c r="C2992" s="4" t="s">
        <v>11</v>
      </c>
      <c r="D2992" s="7">
        <v>32.82</v>
      </c>
      <c r="E2992" s="4" t="s">
        <v>12</v>
      </c>
      <c r="F2992" s="4" t="s">
        <v>13</v>
      </c>
      <c r="G2992" s="4" t="s">
        <v>49</v>
      </c>
      <c r="H2992" s="4" t="s">
        <v>54</v>
      </c>
      <c r="I2992" s="5">
        <v>45499</v>
      </c>
      <c r="J2992" s="4">
        <f t="shared" si="46"/>
        <v>31</v>
      </c>
    </row>
    <row r="2993" spans="1:10" x14ac:dyDescent="0.25">
      <c r="A2993" s="4">
        <f>_xlfn.XLOOKUP(E2993,'Data Validation'!$M$3:$M$10,'Data Validation'!$N$3:$N$10)</f>
        <v>8</v>
      </c>
      <c r="B2993" s="4">
        <v>10</v>
      </c>
      <c r="C2993" s="4" t="s">
        <v>11</v>
      </c>
      <c r="D2993" s="7">
        <v>32.82</v>
      </c>
      <c r="E2993" s="4" t="s">
        <v>12</v>
      </c>
      <c r="F2993" s="4" t="s">
        <v>13</v>
      </c>
      <c r="G2993" s="4" t="s">
        <v>49</v>
      </c>
      <c r="H2993" s="4" t="s">
        <v>54</v>
      </c>
      <c r="I2993" s="5">
        <v>45499</v>
      </c>
      <c r="J2993" s="4">
        <f t="shared" si="46"/>
        <v>31</v>
      </c>
    </row>
    <row r="2994" spans="1:10" x14ac:dyDescent="0.25">
      <c r="A2994" s="4">
        <f>_xlfn.XLOOKUP(E2994,'Data Validation'!$M$3:$M$10,'Data Validation'!$N$3:$N$10)</f>
        <v>8</v>
      </c>
      <c r="B2994" s="4">
        <v>13</v>
      </c>
      <c r="C2994" s="4" t="s">
        <v>11</v>
      </c>
      <c r="D2994" s="7">
        <v>32.82</v>
      </c>
      <c r="E2994" s="4" t="s">
        <v>12</v>
      </c>
      <c r="F2994" s="4" t="s">
        <v>17</v>
      </c>
      <c r="G2994" s="4" t="s">
        <v>49</v>
      </c>
      <c r="H2994" s="4" t="s">
        <v>54</v>
      </c>
      <c r="I2994" s="5">
        <v>45499</v>
      </c>
      <c r="J2994" s="4">
        <f t="shared" si="46"/>
        <v>31</v>
      </c>
    </row>
    <row r="2995" spans="1:10" x14ac:dyDescent="0.25">
      <c r="A2995" s="4">
        <f>_xlfn.XLOOKUP(E2995,'Data Validation'!$M$3:$M$10,'Data Validation'!$N$3:$N$10)</f>
        <v>8</v>
      </c>
      <c r="B2995" s="4">
        <v>21</v>
      </c>
      <c r="C2995" s="4" t="s">
        <v>11</v>
      </c>
      <c r="D2995" s="7">
        <v>32.82</v>
      </c>
      <c r="E2995" s="4" t="s">
        <v>12</v>
      </c>
      <c r="F2995" s="4" t="s">
        <v>20</v>
      </c>
      <c r="G2995" s="4" t="s">
        <v>49</v>
      </c>
      <c r="H2995" s="4" t="s">
        <v>54</v>
      </c>
      <c r="I2995" s="5">
        <v>45499</v>
      </c>
      <c r="J2995" s="4">
        <f t="shared" si="46"/>
        <v>31</v>
      </c>
    </row>
    <row r="2996" spans="1:10" x14ac:dyDescent="0.25">
      <c r="A2996" s="4">
        <f>_xlfn.XLOOKUP(E2996,'Data Validation'!$M$3:$M$10,'Data Validation'!$N$3:$N$10)</f>
        <v>8</v>
      </c>
      <c r="B2996" s="4">
        <v>14</v>
      </c>
      <c r="C2996" s="4" t="s">
        <v>11</v>
      </c>
      <c r="D2996" s="7">
        <v>32.82</v>
      </c>
      <c r="E2996" s="4" t="s">
        <v>12</v>
      </c>
      <c r="F2996" s="4" t="s">
        <v>17</v>
      </c>
      <c r="G2996" s="4" t="s">
        <v>50</v>
      </c>
      <c r="H2996" s="4" t="s">
        <v>54</v>
      </c>
      <c r="I2996" s="5">
        <v>45500</v>
      </c>
      <c r="J2996" s="4">
        <f t="shared" si="46"/>
        <v>31</v>
      </c>
    </row>
    <row r="2997" spans="1:10" x14ac:dyDescent="0.25">
      <c r="A2997" s="4">
        <f>_xlfn.XLOOKUP(E2997,'Data Validation'!$M$3:$M$10,'Data Validation'!$N$3:$N$10)</f>
        <v>8</v>
      </c>
      <c r="B2997" s="4">
        <v>20</v>
      </c>
      <c r="C2997" s="4" t="s">
        <v>11</v>
      </c>
      <c r="D2997" s="7">
        <v>32.82</v>
      </c>
      <c r="E2997" s="4" t="s">
        <v>12</v>
      </c>
      <c r="F2997" s="4" t="s">
        <v>20</v>
      </c>
      <c r="G2997" s="4" t="s">
        <v>50</v>
      </c>
      <c r="H2997" s="4" t="s">
        <v>54</v>
      </c>
      <c r="I2997" s="5">
        <v>45500</v>
      </c>
      <c r="J2997" s="4">
        <f t="shared" si="46"/>
        <v>31</v>
      </c>
    </row>
    <row r="2998" spans="1:10" x14ac:dyDescent="0.25">
      <c r="A2998" s="4">
        <f>_xlfn.XLOOKUP(E2998,'Data Validation'!$M$3:$M$10,'Data Validation'!$N$3:$N$10)</f>
        <v>8</v>
      </c>
      <c r="B2998" s="4">
        <v>14</v>
      </c>
      <c r="C2998" s="4" t="s">
        <v>11</v>
      </c>
      <c r="D2998" s="7">
        <v>32.82</v>
      </c>
      <c r="E2998" s="4" t="s">
        <v>12</v>
      </c>
      <c r="F2998" s="4" t="s">
        <v>17</v>
      </c>
      <c r="G2998" s="4" t="s">
        <v>51</v>
      </c>
      <c r="H2998" s="4" t="s">
        <v>54</v>
      </c>
      <c r="I2998" s="5">
        <v>45501</v>
      </c>
      <c r="J2998" s="4">
        <f t="shared" si="46"/>
        <v>31</v>
      </c>
    </row>
    <row r="2999" spans="1:10" x14ac:dyDescent="0.25">
      <c r="A2999" s="4">
        <f>_xlfn.XLOOKUP(E2999,'Data Validation'!$M$3:$M$10,'Data Validation'!$N$3:$N$10)</f>
        <v>8</v>
      </c>
      <c r="B2999" s="4">
        <v>8</v>
      </c>
      <c r="C2999" s="4" t="s">
        <v>11</v>
      </c>
      <c r="D2999" s="7">
        <v>32.82</v>
      </c>
      <c r="E2999" s="4" t="s">
        <v>12</v>
      </c>
      <c r="F2999" s="4" t="s">
        <v>13</v>
      </c>
      <c r="G2999" s="4" t="s">
        <v>45</v>
      </c>
      <c r="H2999" s="4" t="s">
        <v>54</v>
      </c>
      <c r="I2999" s="5">
        <v>45502</v>
      </c>
      <c r="J2999" s="4">
        <f t="shared" si="46"/>
        <v>31</v>
      </c>
    </row>
    <row r="3000" spans="1:10" x14ac:dyDescent="0.25">
      <c r="A3000" s="4">
        <f>_xlfn.XLOOKUP(E3000,'Data Validation'!$M$3:$M$10,'Data Validation'!$N$3:$N$10)</f>
        <v>8</v>
      </c>
      <c r="B3000" s="4">
        <v>10</v>
      </c>
      <c r="C3000" s="4" t="s">
        <v>11</v>
      </c>
      <c r="D3000" s="7">
        <v>32.82</v>
      </c>
      <c r="E3000" s="4" t="s">
        <v>12</v>
      </c>
      <c r="F3000" s="4" t="s">
        <v>13</v>
      </c>
      <c r="G3000" s="4" t="s">
        <v>46</v>
      </c>
      <c r="H3000" s="4" t="s">
        <v>54</v>
      </c>
      <c r="I3000" s="5">
        <v>45503</v>
      </c>
      <c r="J3000" s="4">
        <f t="shared" si="46"/>
        <v>31</v>
      </c>
    </row>
    <row r="3001" spans="1:10" x14ac:dyDescent="0.25">
      <c r="A3001" s="4">
        <f>_xlfn.XLOOKUP(E3001,'Data Validation'!$M$3:$M$10,'Data Validation'!$N$3:$N$10)</f>
        <v>8</v>
      </c>
      <c r="B3001" s="4">
        <v>12</v>
      </c>
      <c r="C3001" s="4" t="s">
        <v>11</v>
      </c>
      <c r="D3001" s="7">
        <v>32.82</v>
      </c>
      <c r="E3001" s="4" t="s">
        <v>12</v>
      </c>
      <c r="F3001" s="4" t="s">
        <v>17</v>
      </c>
      <c r="G3001" s="4" t="s">
        <v>46</v>
      </c>
      <c r="H3001" s="4" t="s">
        <v>54</v>
      </c>
      <c r="I3001" s="5">
        <v>45503</v>
      </c>
      <c r="J3001" s="4">
        <f t="shared" si="46"/>
        <v>31</v>
      </c>
    </row>
    <row r="3002" spans="1:10" x14ac:dyDescent="0.25">
      <c r="A3002" s="4">
        <f>_xlfn.XLOOKUP(E3002,'Data Validation'!$M$3:$M$10,'Data Validation'!$N$3:$N$10)</f>
        <v>8</v>
      </c>
      <c r="B3002" s="4">
        <v>21</v>
      </c>
      <c r="C3002" s="4" t="s">
        <v>11</v>
      </c>
      <c r="D3002" s="7">
        <v>32.82</v>
      </c>
      <c r="E3002" s="4" t="s">
        <v>12</v>
      </c>
      <c r="F3002" s="4" t="s">
        <v>20</v>
      </c>
      <c r="G3002" s="4" t="s">
        <v>46</v>
      </c>
      <c r="H3002" s="4" t="s">
        <v>54</v>
      </c>
      <c r="I3002" s="5">
        <v>45503</v>
      </c>
      <c r="J3002" s="4">
        <f t="shared" si="46"/>
        <v>31</v>
      </c>
    </row>
    <row r="3003" spans="1:10" x14ac:dyDescent="0.25">
      <c r="A3003" s="4">
        <f>_xlfn.XLOOKUP(E3003,'Data Validation'!$M$3:$M$10,'Data Validation'!$N$3:$N$10)</f>
        <v>8</v>
      </c>
      <c r="B3003" s="4">
        <v>13</v>
      </c>
      <c r="C3003" s="4" t="s">
        <v>11</v>
      </c>
      <c r="D3003" s="7">
        <v>32.82</v>
      </c>
      <c r="E3003" s="4" t="s">
        <v>12</v>
      </c>
      <c r="F3003" s="4" t="s">
        <v>17</v>
      </c>
      <c r="G3003" s="4" t="s">
        <v>47</v>
      </c>
      <c r="H3003" s="4" t="s">
        <v>54</v>
      </c>
      <c r="I3003" s="5">
        <v>45504</v>
      </c>
      <c r="J3003" s="4">
        <f t="shared" si="46"/>
        <v>31</v>
      </c>
    </row>
    <row r="3004" spans="1:10" x14ac:dyDescent="0.25">
      <c r="A3004" s="4">
        <f>_xlfn.XLOOKUP(E3004,'Data Validation'!$M$3:$M$10,'Data Validation'!$N$3:$N$10)</f>
        <v>8</v>
      </c>
      <c r="B3004" s="4">
        <v>18</v>
      </c>
      <c r="C3004" s="4" t="s">
        <v>11</v>
      </c>
      <c r="D3004" s="7">
        <v>32.82</v>
      </c>
      <c r="E3004" s="4" t="s">
        <v>12</v>
      </c>
      <c r="F3004" s="4" t="s">
        <v>20</v>
      </c>
      <c r="G3004" s="4" t="s">
        <v>47</v>
      </c>
      <c r="H3004" s="4" t="s">
        <v>54</v>
      </c>
      <c r="I3004" s="5">
        <v>45504</v>
      </c>
      <c r="J3004" s="4">
        <f t="shared" si="46"/>
        <v>31</v>
      </c>
    </row>
    <row r="3005" spans="1:10" x14ac:dyDescent="0.25">
      <c r="A3005" s="4">
        <f>_xlfn.XLOOKUP(E3005,'Data Validation'!$M$3:$M$10,'Data Validation'!$N$3:$N$10)</f>
        <v>8</v>
      </c>
      <c r="B3005" s="4">
        <v>19</v>
      </c>
      <c r="C3005" s="4" t="s">
        <v>11</v>
      </c>
      <c r="D3005" s="7">
        <v>32.82</v>
      </c>
      <c r="E3005" s="4" t="s">
        <v>12</v>
      </c>
      <c r="F3005" s="4" t="s">
        <v>20</v>
      </c>
      <c r="G3005" s="4" t="s">
        <v>47</v>
      </c>
      <c r="H3005" s="4" t="s">
        <v>54</v>
      </c>
      <c r="I3005" s="5">
        <v>45504</v>
      </c>
      <c r="J3005" s="4">
        <f t="shared" si="46"/>
        <v>31</v>
      </c>
    </row>
    <row r="3006" spans="1:10" x14ac:dyDescent="0.25">
      <c r="A3006" s="4">
        <f>_xlfn.XLOOKUP(E3006,'Data Validation'!$M$3:$M$10,'Data Validation'!$N$3:$N$10)</f>
        <v>8</v>
      </c>
      <c r="B3006" s="4">
        <v>20</v>
      </c>
      <c r="C3006" s="4" t="s">
        <v>11</v>
      </c>
      <c r="D3006" s="7">
        <v>32.82</v>
      </c>
      <c r="E3006" s="4" t="s">
        <v>12</v>
      </c>
      <c r="F3006" s="4" t="s">
        <v>20</v>
      </c>
      <c r="G3006" s="4" t="s">
        <v>47</v>
      </c>
      <c r="H3006" s="4" t="s">
        <v>54</v>
      </c>
      <c r="I3006" s="5">
        <v>45504</v>
      </c>
      <c r="J3006" s="4">
        <f t="shared" si="46"/>
        <v>31</v>
      </c>
    </row>
    <row r="3007" spans="1:10" x14ac:dyDescent="0.25">
      <c r="A3007" s="4">
        <f>_xlfn.XLOOKUP(E3007,'Data Validation'!$M$3:$M$10,'Data Validation'!$N$3:$N$10)</f>
        <v>8</v>
      </c>
      <c r="B3007" s="4">
        <v>21</v>
      </c>
      <c r="C3007" s="4" t="s">
        <v>11</v>
      </c>
      <c r="D3007" s="7">
        <v>32.82</v>
      </c>
      <c r="E3007" s="4" t="s">
        <v>12</v>
      </c>
      <c r="F3007" s="4" t="s">
        <v>20</v>
      </c>
      <c r="G3007" s="4" t="s">
        <v>47</v>
      </c>
      <c r="H3007" s="4" t="s">
        <v>54</v>
      </c>
      <c r="I3007" s="5">
        <v>45504</v>
      </c>
      <c r="J3007" s="4">
        <f t="shared" si="46"/>
        <v>31</v>
      </c>
    </row>
    <row r="3008" spans="1:10" x14ac:dyDescent="0.25">
      <c r="A3008" s="4">
        <f>_xlfn.XLOOKUP(E3008,'Data Validation'!$M$3:$M$10,'Data Validation'!$N$3:$N$10)</f>
        <v>8</v>
      </c>
      <c r="B3008" s="4">
        <v>21</v>
      </c>
      <c r="C3008" s="4" t="s">
        <v>11</v>
      </c>
      <c r="D3008" s="7">
        <v>32.82</v>
      </c>
      <c r="E3008" s="4" t="s">
        <v>12</v>
      </c>
      <c r="F3008" s="4" t="s">
        <v>20</v>
      </c>
      <c r="G3008" s="4" t="s">
        <v>47</v>
      </c>
      <c r="H3008" s="4" t="s">
        <v>54</v>
      </c>
      <c r="I3008" s="5">
        <v>45504</v>
      </c>
      <c r="J3008" s="4">
        <f t="shared" si="46"/>
        <v>31</v>
      </c>
    </row>
    <row r="3009" spans="1:10" x14ac:dyDescent="0.25">
      <c r="A3009" s="4">
        <f>_xlfn.XLOOKUP(E3009,'Data Validation'!$M$3:$M$10,'Data Validation'!$N$3:$N$10)</f>
        <v>8</v>
      </c>
      <c r="B3009" s="4">
        <v>21</v>
      </c>
      <c r="C3009" s="4" t="s">
        <v>11</v>
      </c>
      <c r="D3009" s="7">
        <v>32.82</v>
      </c>
      <c r="E3009" s="4" t="s">
        <v>12</v>
      </c>
      <c r="F3009" s="4" t="s">
        <v>20</v>
      </c>
      <c r="G3009" s="4" t="s">
        <v>47</v>
      </c>
      <c r="H3009" s="4" t="s">
        <v>54</v>
      </c>
      <c r="I3009" s="5">
        <v>45504</v>
      </c>
      <c r="J3009" s="4">
        <f t="shared" si="46"/>
        <v>31</v>
      </c>
    </row>
    <row r="3010" spans="1:10" x14ac:dyDescent="0.25">
      <c r="A3010" s="4">
        <f>_xlfn.XLOOKUP(E3010,'Data Validation'!$M$3:$M$10,'Data Validation'!$N$3:$N$10)</f>
        <v>8</v>
      </c>
      <c r="B3010" s="4">
        <v>21</v>
      </c>
      <c r="C3010" s="4" t="s">
        <v>11</v>
      </c>
      <c r="D3010" s="7">
        <v>32.82</v>
      </c>
      <c r="E3010" s="4" t="s">
        <v>12</v>
      </c>
      <c r="F3010" s="4" t="s">
        <v>20</v>
      </c>
      <c r="G3010" s="4" t="s">
        <v>49</v>
      </c>
      <c r="H3010" s="4" t="s">
        <v>55</v>
      </c>
      <c r="I3010" s="5">
        <v>45506</v>
      </c>
      <c r="J3010" s="4">
        <f t="shared" si="46"/>
        <v>31</v>
      </c>
    </row>
    <row r="3011" spans="1:10" x14ac:dyDescent="0.25">
      <c r="A3011" s="4">
        <f>_xlfn.XLOOKUP(E3011,'Data Validation'!$M$3:$M$10,'Data Validation'!$N$3:$N$10)</f>
        <v>8</v>
      </c>
      <c r="B3011" s="4">
        <v>21</v>
      </c>
      <c r="C3011" s="4" t="s">
        <v>11</v>
      </c>
      <c r="D3011" s="7">
        <v>32.82</v>
      </c>
      <c r="E3011" s="4" t="s">
        <v>12</v>
      </c>
      <c r="F3011" s="4" t="s">
        <v>20</v>
      </c>
      <c r="G3011" s="4" t="s">
        <v>50</v>
      </c>
      <c r="H3011" s="4" t="s">
        <v>55</v>
      </c>
      <c r="I3011" s="5">
        <v>45507</v>
      </c>
      <c r="J3011" s="4">
        <f t="shared" ref="J3011:J3074" si="47">IF(OR(E3011&lt;&gt;E3010,D3011&lt;&gt;D3010),J3010+1,J3010)</f>
        <v>31</v>
      </c>
    </row>
    <row r="3012" spans="1:10" x14ac:dyDescent="0.25">
      <c r="A3012" s="4">
        <f>_xlfn.XLOOKUP(E3012,'Data Validation'!$M$3:$M$10,'Data Validation'!$N$3:$N$10)</f>
        <v>8</v>
      </c>
      <c r="B3012" s="4">
        <v>21</v>
      </c>
      <c r="C3012" s="4" t="s">
        <v>11</v>
      </c>
      <c r="D3012" s="7">
        <v>32.82</v>
      </c>
      <c r="E3012" s="4" t="s">
        <v>12</v>
      </c>
      <c r="F3012" s="4" t="s">
        <v>20</v>
      </c>
      <c r="G3012" s="4" t="s">
        <v>50</v>
      </c>
      <c r="H3012" s="4" t="s">
        <v>55</v>
      </c>
      <c r="I3012" s="5">
        <v>45507</v>
      </c>
      <c r="J3012" s="4">
        <f t="shared" si="47"/>
        <v>31</v>
      </c>
    </row>
    <row r="3013" spans="1:10" x14ac:dyDescent="0.25">
      <c r="A3013" s="4">
        <f>_xlfn.XLOOKUP(E3013,'Data Validation'!$M$3:$M$10,'Data Validation'!$N$3:$N$10)</f>
        <v>8</v>
      </c>
      <c r="B3013" s="4">
        <v>16</v>
      </c>
      <c r="C3013" s="4" t="s">
        <v>11</v>
      </c>
      <c r="D3013" s="7">
        <v>32.82</v>
      </c>
      <c r="E3013" s="4" t="s">
        <v>12</v>
      </c>
      <c r="F3013" s="4" t="s">
        <v>17</v>
      </c>
      <c r="G3013" s="4" t="s">
        <v>45</v>
      </c>
      <c r="H3013" s="4" t="s">
        <v>55</v>
      </c>
      <c r="I3013" s="5">
        <v>45509</v>
      </c>
      <c r="J3013" s="4">
        <f t="shared" si="47"/>
        <v>31</v>
      </c>
    </row>
    <row r="3014" spans="1:10" x14ac:dyDescent="0.25">
      <c r="A3014" s="4">
        <f>_xlfn.XLOOKUP(E3014,'Data Validation'!$M$3:$M$10,'Data Validation'!$N$3:$N$10)</f>
        <v>8</v>
      </c>
      <c r="B3014" s="4">
        <v>16</v>
      </c>
      <c r="C3014" s="4" t="s">
        <v>11</v>
      </c>
      <c r="D3014" s="7">
        <v>32.82</v>
      </c>
      <c r="E3014" s="4" t="s">
        <v>12</v>
      </c>
      <c r="F3014" s="4" t="s">
        <v>17</v>
      </c>
      <c r="G3014" s="4" t="s">
        <v>45</v>
      </c>
      <c r="H3014" s="4" t="s">
        <v>55</v>
      </c>
      <c r="I3014" s="5">
        <v>45509</v>
      </c>
      <c r="J3014" s="4">
        <f t="shared" si="47"/>
        <v>31</v>
      </c>
    </row>
    <row r="3015" spans="1:10" x14ac:dyDescent="0.25">
      <c r="A3015" s="4">
        <f>_xlfn.XLOOKUP(E3015,'Data Validation'!$M$3:$M$10,'Data Validation'!$N$3:$N$10)</f>
        <v>8</v>
      </c>
      <c r="B3015" s="4">
        <v>17</v>
      </c>
      <c r="C3015" s="4" t="s">
        <v>11</v>
      </c>
      <c r="D3015" s="7">
        <v>32.82</v>
      </c>
      <c r="E3015" s="4" t="s">
        <v>12</v>
      </c>
      <c r="F3015" s="4" t="s">
        <v>20</v>
      </c>
      <c r="G3015" s="4" t="s">
        <v>45</v>
      </c>
      <c r="H3015" s="4" t="s">
        <v>55</v>
      </c>
      <c r="I3015" s="5">
        <v>45509</v>
      </c>
      <c r="J3015" s="4">
        <f t="shared" si="47"/>
        <v>31</v>
      </c>
    </row>
    <row r="3016" spans="1:10" x14ac:dyDescent="0.25">
      <c r="A3016" s="4">
        <f>_xlfn.XLOOKUP(E3016,'Data Validation'!$M$3:$M$10,'Data Validation'!$N$3:$N$10)</f>
        <v>8</v>
      </c>
      <c r="B3016" s="4">
        <v>19</v>
      </c>
      <c r="C3016" s="4" t="s">
        <v>11</v>
      </c>
      <c r="D3016" s="7">
        <v>32.82</v>
      </c>
      <c r="E3016" s="4" t="s">
        <v>12</v>
      </c>
      <c r="F3016" s="4" t="s">
        <v>20</v>
      </c>
      <c r="G3016" s="4" t="s">
        <v>45</v>
      </c>
      <c r="H3016" s="4" t="s">
        <v>55</v>
      </c>
      <c r="I3016" s="5">
        <v>45509</v>
      </c>
      <c r="J3016" s="4">
        <f t="shared" si="47"/>
        <v>31</v>
      </c>
    </row>
    <row r="3017" spans="1:10" x14ac:dyDescent="0.25">
      <c r="A3017" s="4">
        <f>_xlfn.XLOOKUP(E3017,'Data Validation'!$M$3:$M$10,'Data Validation'!$N$3:$N$10)</f>
        <v>8</v>
      </c>
      <c r="B3017" s="4">
        <v>19</v>
      </c>
      <c r="C3017" s="4" t="s">
        <v>11</v>
      </c>
      <c r="D3017" s="7">
        <v>32.82</v>
      </c>
      <c r="E3017" s="4" t="s">
        <v>12</v>
      </c>
      <c r="F3017" s="4" t="s">
        <v>20</v>
      </c>
      <c r="G3017" s="4" t="s">
        <v>45</v>
      </c>
      <c r="H3017" s="4" t="s">
        <v>55</v>
      </c>
      <c r="I3017" s="5">
        <v>45509</v>
      </c>
      <c r="J3017" s="4">
        <f t="shared" si="47"/>
        <v>31</v>
      </c>
    </row>
    <row r="3018" spans="1:10" x14ac:dyDescent="0.25">
      <c r="A3018" s="4">
        <f>_xlfn.XLOOKUP(E3018,'Data Validation'!$M$3:$M$10,'Data Validation'!$N$3:$N$10)</f>
        <v>8</v>
      </c>
      <c r="B3018" s="4">
        <v>17</v>
      </c>
      <c r="C3018" s="4" t="s">
        <v>11</v>
      </c>
      <c r="D3018" s="7">
        <v>32.82</v>
      </c>
      <c r="E3018" s="4" t="s">
        <v>12</v>
      </c>
      <c r="F3018" s="4" t="s">
        <v>20</v>
      </c>
      <c r="G3018" s="4" t="s">
        <v>46</v>
      </c>
      <c r="H3018" s="4" t="s">
        <v>55</v>
      </c>
      <c r="I3018" s="5">
        <v>45510</v>
      </c>
      <c r="J3018" s="4">
        <f t="shared" si="47"/>
        <v>31</v>
      </c>
    </row>
    <row r="3019" spans="1:10" x14ac:dyDescent="0.25">
      <c r="A3019" s="4">
        <f>_xlfn.XLOOKUP(E3019,'Data Validation'!$M$3:$M$10,'Data Validation'!$N$3:$N$10)</f>
        <v>8</v>
      </c>
      <c r="B3019" s="4">
        <v>19</v>
      </c>
      <c r="C3019" s="4" t="s">
        <v>11</v>
      </c>
      <c r="D3019" s="7">
        <v>32.82</v>
      </c>
      <c r="E3019" s="4" t="s">
        <v>12</v>
      </c>
      <c r="F3019" s="4" t="s">
        <v>20</v>
      </c>
      <c r="G3019" s="4" t="s">
        <v>46</v>
      </c>
      <c r="H3019" s="4" t="s">
        <v>55</v>
      </c>
      <c r="I3019" s="5">
        <v>45510</v>
      </c>
      <c r="J3019" s="4">
        <f t="shared" si="47"/>
        <v>31</v>
      </c>
    </row>
    <row r="3020" spans="1:10" x14ac:dyDescent="0.25">
      <c r="A3020" s="4">
        <f>_xlfn.XLOOKUP(E3020,'Data Validation'!$M$3:$M$10,'Data Validation'!$N$3:$N$10)</f>
        <v>8</v>
      </c>
      <c r="B3020" s="4">
        <v>20</v>
      </c>
      <c r="C3020" s="4" t="s">
        <v>11</v>
      </c>
      <c r="D3020" s="7">
        <v>32.82</v>
      </c>
      <c r="E3020" s="4" t="s">
        <v>12</v>
      </c>
      <c r="F3020" s="4" t="s">
        <v>20</v>
      </c>
      <c r="G3020" s="4" t="s">
        <v>46</v>
      </c>
      <c r="H3020" s="4" t="s">
        <v>55</v>
      </c>
      <c r="I3020" s="5">
        <v>45510</v>
      </c>
      <c r="J3020" s="4">
        <f t="shared" si="47"/>
        <v>31</v>
      </c>
    </row>
    <row r="3021" spans="1:10" x14ac:dyDescent="0.25">
      <c r="A3021" s="4">
        <f>_xlfn.XLOOKUP(E3021,'Data Validation'!$M$3:$M$10,'Data Validation'!$N$3:$N$10)</f>
        <v>8</v>
      </c>
      <c r="B3021" s="4">
        <v>19</v>
      </c>
      <c r="C3021" s="4" t="s">
        <v>11</v>
      </c>
      <c r="D3021" s="7">
        <v>32.82</v>
      </c>
      <c r="E3021" s="4" t="s">
        <v>12</v>
      </c>
      <c r="F3021" s="4" t="s">
        <v>20</v>
      </c>
      <c r="G3021" s="4" t="s">
        <v>47</v>
      </c>
      <c r="H3021" s="4" t="s">
        <v>55</v>
      </c>
      <c r="I3021" s="5">
        <v>45511</v>
      </c>
      <c r="J3021" s="4">
        <f t="shared" si="47"/>
        <v>31</v>
      </c>
    </row>
    <row r="3022" spans="1:10" x14ac:dyDescent="0.25">
      <c r="A3022" s="4">
        <f>_xlfn.XLOOKUP(E3022,'Data Validation'!$M$3:$M$10,'Data Validation'!$N$3:$N$10)</f>
        <v>8</v>
      </c>
      <c r="B3022" s="4">
        <v>22</v>
      </c>
      <c r="C3022" s="4" t="s">
        <v>11</v>
      </c>
      <c r="D3022" s="7">
        <v>32.82</v>
      </c>
      <c r="E3022" s="4" t="s">
        <v>12</v>
      </c>
      <c r="F3022" s="4" t="s">
        <v>20</v>
      </c>
      <c r="G3022" s="4" t="s">
        <v>47</v>
      </c>
      <c r="H3022" s="4" t="s">
        <v>55</v>
      </c>
      <c r="I3022" s="5">
        <v>45511</v>
      </c>
      <c r="J3022" s="4">
        <f t="shared" si="47"/>
        <v>31</v>
      </c>
    </row>
    <row r="3023" spans="1:10" x14ac:dyDescent="0.25">
      <c r="A3023" s="4">
        <f>_xlfn.XLOOKUP(E3023,'Data Validation'!$M$3:$M$10,'Data Validation'!$N$3:$N$10)</f>
        <v>8</v>
      </c>
      <c r="B3023" s="4">
        <v>22</v>
      </c>
      <c r="C3023" s="4" t="s">
        <v>11</v>
      </c>
      <c r="D3023" s="7">
        <v>32.82</v>
      </c>
      <c r="E3023" s="4" t="s">
        <v>12</v>
      </c>
      <c r="F3023" s="4" t="s">
        <v>20</v>
      </c>
      <c r="G3023" s="4" t="s">
        <v>47</v>
      </c>
      <c r="H3023" s="4" t="s">
        <v>55</v>
      </c>
      <c r="I3023" s="5">
        <v>45511</v>
      </c>
      <c r="J3023" s="4">
        <f t="shared" si="47"/>
        <v>31</v>
      </c>
    </row>
    <row r="3024" spans="1:10" x14ac:dyDescent="0.25">
      <c r="A3024" s="4">
        <f>_xlfn.XLOOKUP(E3024,'Data Validation'!$M$3:$M$10,'Data Validation'!$N$3:$N$10)</f>
        <v>8</v>
      </c>
      <c r="B3024" s="4">
        <v>7</v>
      </c>
      <c r="C3024" s="4" t="s">
        <v>11</v>
      </c>
      <c r="D3024" s="7">
        <v>32.82</v>
      </c>
      <c r="E3024" s="4" t="s">
        <v>12</v>
      </c>
      <c r="F3024" s="4" t="s">
        <v>13</v>
      </c>
      <c r="G3024" s="4" t="s">
        <v>49</v>
      </c>
      <c r="H3024" s="4" t="s">
        <v>55</v>
      </c>
      <c r="I3024" s="5">
        <v>45513</v>
      </c>
      <c r="J3024" s="4">
        <f t="shared" si="47"/>
        <v>31</v>
      </c>
    </row>
    <row r="3025" spans="1:10" x14ac:dyDescent="0.25">
      <c r="A3025" s="4">
        <f>_xlfn.XLOOKUP(E3025,'Data Validation'!$M$3:$M$10,'Data Validation'!$N$3:$N$10)</f>
        <v>8</v>
      </c>
      <c r="B3025" s="4">
        <v>11</v>
      </c>
      <c r="C3025" s="4" t="s">
        <v>11</v>
      </c>
      <c r="D3025" s="7">
        <v>32.82</v>
      </c>
      <c r="E3025" s="4" t="s">
        <v>12</v>
      </c>
      <c r="F3025" s="4" t="s">
        <v>13</v>
      </c>
      <c r="G3025" s="4" t="s">
        <v>49</v>
      </c>
      <c r="H3025" s="4" t="s">
        <v>55</v>
      </c>
      <c r="I3025" s="5">
        <v>45513</v>
      </c>
      <c r="J3025" s="4">
        <f t="shared" si="47"/>
        <v>31</v>
      </c>
    </row>
    <row r="3026" spans="1:10" x14ac:dyDescent="0.25">
      <c r="A3026" s="4">
        <f>_xlfn.XLOOKUP(E3026,'Data Validation'!$M$3:$M$10,'Data Validation'!$N$3:$N$10)</f>
        <v>8</v>
      </c>
      <c r="B3026" s="4">
        <v>12</v>
      </c>
      <c r="C3026" s="4" t="s">
        <v>11</v>
      </c>
      <c r="D3026" s="7">
        <v>32.82</v>
      </c>
      <c r="E3026" s="4" t="s">
        <v>12</v>
      </c>
      <c r="F3026" s="4" t="s">
        <v>17</v>
      </c>
      <c r="G3026" s="4" t="s">
        <v>50</v>
      </c>
      <c r="H3026" s="4" t="s">
        <v>55</v>
      </c>
      <c r="I3026" s="5">
        <v>45514</v>
      </c>
      <c r="J3026" s="4">
        <f t="shared" si="47"/>
        <v>31</v>
      </c>
    </row>
    <row r="3027" spans="1:10" x14ac:dyDescent="0.25">
      <c r="A3027" s="4">
        <f>_xlfn.XLOOKUP(E3027,'Data Validation'!$M$3:$M$10,'Data Validation'!$N$3:$N$10)</f>
        <v>8</v>
      </c>
      <c r="B3027" s="4">
        <v>16</v>
      </c>
      <c r="C3027" s="4" t="s">
        <v>11</v>
      </c>
      <c r="D3027" s="7">
        <v>32.82</v>
      </c>
      <c r="E3027" s="4" t="s">
        <v>12</v>
      </c>
      <c r="F3027" s="4" t="s">
        <v>17</v>
      </c>
      <c r="G3027" s="4" t="s">
        <v>50</v>
      </c>
      <c r="H3027" s="4" t="s">
        <v>55</v>
      </c>
      <c r="I3027" s="5">
        <v>45514</v>
      </c>
      <c r="J3027" s="4">
        <f t="shared" si="47"/>
        <v>31</v>
      </c>
    </row>
    <row r="3028" spans="1:10" x14ac:dyDescent="0.25">
      <c r="A3028" s="4">
        <f>_xlfn.XLOOKUP(E3028,'Data Validation'!$M$3:$M$10,'Data Validation'!$N$3:$N$10)</f>
        <v>8</v>
      </c>
      <c r="B3028" s="4">
        <v>9</v>
      </c>
      <c r="C3028" s="4" t="s">
        <v>11</v>
      </c>
      <c r="D3028" s="7">
        <v>32.82</v>
      </c>
      <c r="E3028" s="4" t="s">
        <v>12</v>
      </c>
      <c r="F3028" s="4" t="s">
        <v>13</v>
      </c>
      <c r="G3028" s="4" t="s">
        <v>51</v>
      </c>
      <c r="H3028" s="4" t="s">
        <v>55</v>
      </c>
      <c r="I3028" s="5">
        <v>45515</v>
      </c>
      <c r="J3028" s="4">
        <f t="shared" si="47"/>
        <v>31</v>
      </c>
    </row>
    <row r="3029" spans="1:10" x14ac:dyDescent="0.25">
      <c r="A3029" s="4">
        <f>_xlfn.XLOOKUP(E3029,'Data Validation'!$M$3:$M$10,'Data Validation'!$N$3:$N$10)</f>
        <v>8</v>
      </c>
      <c r="B3029" s="4">
        <v>9</v>
      </c>
      <c r="C3029" s="4" t="s">
        <v>11</v>
      </c>
      <c r="D3029" s="7">
        <v>32.82</v>
      </c>
      <c r="E3029" s="4" t="s">
        <v>12</v>
      </c>
      <c r="F3029" s="4" t="s">
        <v>13</v>
      </c>
      <c r="G3029" s="4" t="s">
        <v>51</v>
      </c>
      <c r="H3029" s="4" t="s">
        <v>55</v>
      </c>
      <c r="I3029" s="5">
        <v>45515</v>
      </c>
      <c r="J3029" s="4">
        <f t="shared" si="47"/>
        <v>31</v>
      </c>
    </row>
    <row r="3030" spans="1:10" x14ac:dyDescent="0.25">
      <c r="A3030" s="4">
        <f>_xlfn.XLOOKUP(E3030,'Data Validation'!$M$3:$M$10,'Data Validation'!$N$3:$N$10)</f>
        <v>8</v>
      </c>
      <c r="B3030" s="4">
        <v>15</v>
      </c>
      <c r="C3030" s="4" t="s">
        <v>11</v>
      </c>
      <c r="D3030" s="7">
        <v>32.82</v>
      </c>
      <c r="E3030" s="4" t="s">
        <v>12</v>
      </c>
      <c r="F3030" s="4" t="s">
        <v>17</v>
      </c>
      <c r="G3030" s="4" t="s">
        <v>51</v>
      </c>
      <c r="H3030" s="4" t="s">
        <v>55</v>
      </c>
      <c r="I3030" s="5">
        <v>45515</v>
      </c>
      <c r="J3030" s="4">
        <f t="shared" si="47"/>
        <v>31</v>
      </c>
    </row>
    <row r="3031" spans="1:10" x14ac:dyDescent="0.25">
      <c r="A3031" s="4">
        <f>_xlfn.XLOOKUP(E3031,'Data Validation'!$M$3:$M$10,'Data Validation'!$N$3:$N$10)</f>
        <v>8</v>
      </c>
      <c r="B3031" s="4">
        <v>21</v>
      </c>
      <c r="C3031" s="4" t="s">
        <v>11</v>
      </c>
      <c r="D3031" s="7">
        <v>32.82</v>
      </c>
      <c r="E3031" s="4" t="s">
        <v>12</v>
      </c>
      <c r="F3031" s="4" t="s">
        <v>20</v>
      </c>
      <c r="G3031" s="4" t="s">
        <v>51</v>
      </c>
      <c r="H3031" s="4" t="s">
        <v>55</v>
      </c>
      <c r="I3031" s="5">
        <v>45515</v>
      </c>
      <c r="J3031" s="4">
        <f t="shared" si="47"/>
        <v>31</v>
      </c>
    </row>
    <row r="3032" spans="1:10" x14ac:dyDescent="0.25">
      <c r="A3032" s="4">
        <f>_xlfn.XLOOKUP(E3032,'Data Validation'!$M$3:$M$10,'Data Validation'!$N$3:$N$10)</f>
        <v>8</v>
      </c>
      <c r="B3032" s="4">
        <v>21</v>
      </c>
      <c r="C3032" s="4" t="s">
        <v>11</v>
      </c>
      <c r="D3032" s="7">
        <v>32.82</v>
      </c>
      <c r="E3032" s="4" t="s">
        <v>12</v>
      </c>
      <c r="F3032" s="4" t="s">
        <v>20</v>
      </c>
      <c r="G3032" s="4" t="s">
        <v>51</v>
      </c>
      <c r="H3032" s="4" t="s">
        <v>55</v>
      </c>
      <c r="I3032" s="5">
        <v>45515</v>
      </c>
      <c r="J3032" s="4">
        <f t="shared" si="47"/>
        <v>31</v>
      </c>
    </row>
    <row r="3033" spans="1:10" x14ac:dyDescent="0.25">
      <c r="A3033" s="4">
        <f>_xlfn.XLOOKUP(E3033,'Data Validation'!$M$3:$M$10,'Data Validation'!$N$3:$N$10)</f>
        <v>8</v>
      </c>
      <c r="B3033" s="4">
        <v>11</v>
      </c>
      <c r="C3033" s="4" t="s">
        <v>11</v>
      </c>
      <c r="D3033" s="7">
        <v>32.82</v>
      </c>
      <c r="E3033" s="4" t="s">
        <v>12</v>
      </c>
      <c r="F3033" s="4" t="s">
        <v>13</v>
      </c>
      <c r="G3033" s="4" t="s">
        <v>45</v>
      </c>
      <c r="H3033" s="4" t="s">
        <v>55</v>
      </c>
      <c r="I3033" s="5">
        <v>45516</v>
      </c>
      <c r="J3033" s="4">
        <f t="shared" si="47"/>
        <v>31</v>
      </c>
    </row>
    <row r="3034" spans="1:10" x14ac:dyDescent="0.25">
      <c r="A3034" s="4">
        <f>_xlfn.XLOOKUP(E3034,'Data Validation'!$M$3:$M$10,'Data Validation'!$N$3:$N$10)</f>
        <v>8</v>
      </c>
      <c r="B3034" s="4">
        <v>11</v>
      </c>
      <c r="C3034" s="4" t="s">
        <v>11</v>
      </c>
      <c r="D3034" s="7">
        <v>32.82</v>
      </c>
      <c r="E3034" s="4" t="s">
        <v>12</v>
      </c>
      <c r="F3034" s="4" t="s">
        <v>13</v>
      </c>
      <c r="G3034" s="4" t="s">
        <v>45</v>
      </c>
      <c r="H3034" s="4" t="s">
        <v>55</v>
      </c>
      <c r="I3034" s="5">
        <v>45516</v>
      </c>
      <c r="J3034" s="4">
        <f t="shared" si="47"/>
        <v>31</v>
      </c>
    </row>
    <row r="3035" spans="1:10" x14ac:dyDescent="0.25">
      <c r="A3035" s="4">
        <f>_xlfn.XLOOKUP(E3035,'Data Validation'!$M$3:$M$10,'Data Validation'!$N$3:$N$10)</f>
        <v>8</v>
      </c>
      <c r="B3035" s="4">
        <v>21</v>
      </c>
      <c r="C3035" s="4" t="s">
        <v>11</v>
      </c>
      <c r="D3035" s="7">
        <v>32.82</v>
      </c>
      <c r="E3035" s="4" t="s">
        <v>12</v>
      </c>
      <c r="F3035" s="4" t="s">
        <v>20</v>
      </c>
      <c r="G3035" s="4" t="s">
        <v>45</v>
      </c>
      <c r="H3035" s="4" t="s">
        <v>55</v>
      </c>
      <c r="I3035" s="5">
        <v>45516</v>
      </c>
      <c r="J3035" s="4">
        <f t="shared" si="47"/>
        <v>31</v>
      </c>
    </row>
    <row r="3036" spans="1:10" x14ac:dyDescent="0.25">
      <c r="A3036" s="4">
        <f>_xlfn.XLOOKUP(E3036,'Data Validation'!$M$3:$M$10,'Data Validation'!$N$3:$N$10)</f>
        <v>8</v>
      </c>
      <c r="B3036" s="4">
        <v>11</v>
      </c>
      <c r="C3036" s="4" t="s">
        <v>11</v>
      </c>
      <c r="D3036" s="7">
        <v>32.82</v>
      </c>
      <c r="E3036" s="4" t="s">
        <v>12</v>
      </c>
      <c r="F3036" s="4" t="s">
        <v>13</v>
      </c>
      <c r="G3036" s="4" t="s">
        <v>46</v>
      </c>
      <c r="H3036" s="4" t="s">
        <v>55</v>
      </c>
      <c r="I3036" s="5">
        <v>45517</v>
      </c>
      <c r="J3036" s="4">
        <f t="shared" si="47"/>
        <v>31</v>
      </c>
    </row>
    <row r="3037" spans="1:10" x14ac:dyDescent="0.25">
      <c r="A3037" s="4">
        <f>_xlfn.XLOOKUP(E3037,'Data Validation'!$M$3:$M$10,'Data Validation'!$N$3:$N$10)</f>
        <v>8</v>
      </c>
      <c r="B3037" s="4">
        <v>14</v>
      </c>
      <c r="C3037" s="4" t="s">
        <v>11</v>
      </c>
      <c r="D3037" s="7">
        <v>32.82</v>
      </c>
      <c r="E3037" s="4" t="s">
        <v>12</v>
      </c>
      <c r="F3037" s="4" t="s">
        <v>17</v>
      </c>
      <c r="G3037" s="4" t="s">
        <v>46</v>
      </c>
      <c r="H3037" s="4" t="s">
        <v>55</v>
      </c>
      <c r="I3037" s="5">
        <v>45517</v>
      </c>
      <c r="J3037" s="4">
        <f t="shared" si="47"/>
        <v>31</v>
      </c>
    </row>
    <row r="3038" spans="1:10" x14ac:dyDescent="0.25">
      <c r="A3038" s="4">
        <f>_xlfn.XLOOKUP(E3038,'Data Validation'!$M$3:$M$10,'Data Validation'!$N$3:$N$10)</f>
        <v>8</v>
      </c>
      <c r="B3038" s="4">
        <v>20</v>
      </c>
      <c r="C3038" s="4" t="s">
        <v>11</v>
      </c>
      <c r="D3038" s="7">
        <v>32.82</v>
      </c>
      <c r="E3038" s="4" t="s">
        <v>12</v>
      </c>
      <c r="F3038" s="4" t="s">
        <v>20</v>
      </c>
      <c r="G3038" s="4" t="s">
        <v>46</v>
      </c>
      <c r="H3038" s="4" t="s">
        <v>55</v>
      </c>
      <c r="I3038" s="5">
        <v>45517</v>
      </c>
      <c r="J3038" s="4">
        <f t="shared" si="47"/>
        <v>31</v>
      </c>
    </row>
    <row r="3039" spans="1:10" x14ac:dyDescent="0.25">
      <c r="A3039" s="4">
        <f>_xlfn.XLOOKUP(E3039,'Data Validation'!$M$3:$M$10,'Data Validation'!$N$3:$N$10)</f>
        <v>8</v>
      </c>
      <c r="B3039" s="4">
        <v>7</v>
      </c>
      <c r="C3039" s="4" t="s">
        <v>11</v>
      </c>
      <c r="D3039" s="7">
        <v>32.82</v>
      </c>
      <c r="E3039" s="4" t="s">
        <v>12</v>
      </c>
      <c r="F3039" s="4" t="s">
        <v>13</v>
      </c>
      <c r="G3039" s="4" t="s">
        <v>47</v>
      </c>
      <c r="H3039" s="4" t="s">
        <v>55</v>
      </c>
      <c r="I3039" s="5">
        <v>45518</v>
      </c>
      <c r="J3039" s="4">
        <f t="shared" si="47"/>
        <v>31</v>
      </c>
    </row>
    <row r="3040" spans="1:10" x14ac:dyDescent="0.25">
      <c r="A3040" s="4">
        <f>_xlfn.XLOOKUP(E3040,'Data Validation'!$M$3:$M$10,'Data Validation'!$N$3:$N$10)</f>
        <v>8</v>
      </c>
      <c r="B3040" s="4">
        <v>15</v>
      </c>
      <c r="C3040" s="4" t="s">
        <v>11</v>
      </c>
      <c r="D3040" s="7">
        <v>32.82</v>
      </c>
      <c r="E3040" s="4" t="s">
        <v>12</v>
      </c>
      <c r="F3040" s="4" t="s">
        <v>17</v>
      </c>
      <c r="G3040" s="4" t="s">
        <v>47</v>
      </c>
      <c r="H3040" s="4" t="s">
        <v>55</v>
      </c>
      <c r="I3040" s="5">
        <v>45518</v>
      </c>
      <c r="J3040" s="4">
        <f t="shared" si="47"/>
        <v>31</v>
      </c>
    </row>
    <row r="3041" spans="1:10" x14ac:dyDescent="0.25">
      <c r="A3041" s="4">
        <f>_xlfn.XLOOKUP(E3041,'Data Validation'!$M$3:$M$10,'Data Validation'!$N$3:$N$10)</f>
        <v>8</v>
      </c>
      <c r="B3041" s="4">
        <v>19</v>
      </c>
      <c r="C3041" s="4" t="s">
        <v>11</v>
      </c>
      <c r="D3041" s="7">
        <v>32.82</v>
      </c>
      <c r="E3041" s="4" t="s">
        <v>12</v>
      </c>
      <c r="F3041" s="4" t="s">
        <v>20</v>
      </c>
      <c r="G3041" s="4" t="s">
        <v>47</v>
      </c>
      <c r="H3041" s="4" t="s">
        <v>55</v>
      </c>
      <c r="I3041" s="5">
        <v>45518</v>
      </c>
      <c r="J3041" s="4">
        <f t="shared" si="47"/>
        <v>31</v>
      </c>
    </row>
    <row r="3042" spans="1:10" x14ac:dyDescent="0.25">
      <c r="A3042" s="4">
        <f>_xlfn.XLOOKUP(E3042,'Data Validation'!$M$3:$M$10,'Data Validation'!$N$3:$N$10)</f>
        <v>8</v>
      </c>
      <c r="B3042" s="4">
        <v>21</v>
      </c>
      <c r="C3042" s="4" t="s">
        <v>11</v>
      </c>
      <c r="D3042" s="7">
        <v>32.82</v>
      </c>
      <c r="E3042" s="4" t="s">
        <v>12</v>
      </c>
      <c r="F3042" s="4" t="s">
        <v>20</v>
      </c>
      <c r="G3042" s="4" t="s">
        <v>47</v>
      </c>
      <c r="H3042" s="4" t="s">
        <v>55</v>
      </c>
      <c r="I3042" s="5">
        <v>45518</v>
      </c>
      <c r="J3042" s="4">
        <f t="shared" si="47"/>
        <v>31</v>
      </c>
    </row>
    <row r="3043" spans="1:10" x14ac:dyDescent="0.25">
      <c r="A3043" s="4">
        <f>_xlfn.XLOOKUP(E3043,'Data Validation'!$M$3:$M$10,'Data Validation'!$N$3:$N$10)</f>
        <v>8</v>
      </c>
      <c r="B3043" s="4">
        <v>9</v>
      </c>
      <c r="C3043" s="4" t="s">
        <v>11</v>
      </c>
      <c r="D3043" s="7">
        <v>32.82</v>
      </c>
      <c r="E3043" s="4" t="s">
        <v>12</v>
      </c>
      <c r="F3043" s="4" t="s">
        <v>13</v>
      </c>
      <c r="G3043" s="4" t="s">
        <v>48</v>
      </c>
      <c r="H3043" s="4" t="s">
        <v>55</v>
      </c>
      <c r="I3043" s="5">
        <v>45519</v>
      </c>
      <c r="J3043" s="4">
        <f t="shared" si="47"/>
        <v>31</v>
      </c>
    </row>
    <row r="3044" spans="1:10" x14ac:dyDescent="0.25">
      <c r="A3044" s="4">
        <f>_xlfn.XLOOKUP(E3044,'Data Validation'!$M$3:$M$10,'Data Validation'!$N$3:$N$10)</f>
        <v>8</v>
      </c>
      <c r="B3044" s="4">
        <v>12</v>
      </c>
      <c r="C3044" s="4" t="s">
        <v>11</v>
      </c>
      <c r="D3044" s="7">
        <v>32.82</v>
      </c>
      <c r="E3044" s="4" t="s">
        <v>12</v>
      </c>
      <c r="F3044" s="4" t="s">
        <v>17</v>
      </c>
      <c r="G3044" s="4" t="s">
        <v>48</v>
      </c>
      <c r="H3044" s="4" t="s">
        <v>55</v>
      </c>
      <c r="I3044" s="5">
        <v>45519</v>
      </c>
      <c r="J3044" s="4">
        <f t="shared" si="47"/>
        <v>31</v>
      </c>
    </row>
    <row r="3045" spans="1:10" x14ac:dyDescent="0.25">
      <c r="A3045" s="4">
        <f>_xlfn.XLOOKUP(E3045,'Data Validation'!$M$3:$M$10,'Data Validation'!$N$3:$N$10)</f>
        <v>8</v>
      </c>
      <c r="B3045" s="4">
        <v>13</v>
      </c>
      <c r="C3045" s="4" t="s">
        <v>11</v>
      </c>
      <c r="D3045" s="7">
        <v>32.82</v>
      </c>
      <c r="E3045" s="4" t="s">
        <v>12</v>
      </c>
      <c r="F3045" s="4" t="s">
        <v>17</v>
      </c>
      <c r="G3045" s="4" t="s">
        <v>48</v>
      </c>
      <c r="H3045" s="4" t="s">
        <v>55</v>
      </c>
      <c r="I3045" s="5">
        <v>45519</v>
      </c>
      <c r="J3045" s="4">
        <f t="shared" si="47"/>
        <v>31</v>
      </c>
    </row>
    <row r="3046" spans="1:10" x14ac:dyDescent="0.25">
      <c r="A3046" s="4">
        <f>_xlfn.XLOOKUP(E3046,'Data Validation'!$M$3:$M$10,'Data Validation'!$N$3:$N$10)</f>
        <v>8</v>
      </c>
      <c r="B3046" s="4">
        <v>12</v>
      </c>
      <c r="C3046" s="4" t="s">
        <v>11</v>
      </c>
      <c r="D3046" s="7">
        <v>32.82</v>
      </c>
      <c r="E3046" s="4" t="s">
        <v>12</v>
      </c>
      <c r="F3046" s="4" t="s">
        <v>17</v>
      </c>
      <c r="G3046" s="4" t="s">
        <v>49</v>
      </c>
      <c r="H3046" s="4" t="s">
        <v>55</v>
      </c>
      <c r="I3046" s="5">
        <v>45520</v>
      </c>
      <c r="J3046" s="4">
        <f t="shared" si="47"/>
        <v>31</v>
      </c>
    </row>
    <row r="3047" spans="1:10" x14ac:dyDescent="0.25">
      <c r="A3047" s="4">
        <f>_xlfn.XLOOKUP(E3047,'Data Validation'!$M$3:$M$10,'Data Validation'!$N$3:$N$10)</f>
        <v>8</v>
      </c>
      <c r="B3047" s="4">
        <v>16</v>
      </c>
      <c r="C3047" s="4" t="s">
        <v>11</v>
      </c>
      <c r="D3047" s="7">
        <v>32.82</v>
      </c>
      <c r="E3047" s="4" t="s">
        <v>12</v>
      </c>
      <c r="F3047" s="4" t="s">
        <v>17</v>
      </c>
      <c r="G3047" s="4" t="s">
        <v>50</v>
      </c>
      <c r="H3047" s="4" t="s">
        <v>55</v>
      </c>
      <c r="I3047" s="5">
        <v>45521</v>
      </c>
      <c r="J3047" s="4">
        <f t="shared" si="47"/>
        <v>31</v>
      </c>
    </row>
    <row r="3048" spans="1:10" x14ac:dyDescent="0.25">
      <c r="A3048" s="4">
        <f>_xlfn.XLOOKUP(E3048,'Data Validation'!$M$3:$M$10,'Data Validation'!$N$3:$N$10)</f>
        <v>8</v>
      </c>
      <c r="B3048" s="4">
        <v>22</v>
      </c>
      <c r="C3048" s="4" t="s">
        <v>11</v>
      </c>
      <c r="D3048" s="7">
        <v>32.82</v>
      </c>
      <c r="E3048" s="4" t="s">
        <v>12</v>
      </c>
      <c r="F3048" s="4" t="s">
        <v>20</v>
      </c>
      <c r="G3048" s="4" t="s">
        <v>50</v>
      </c>
      <c r="H3048" s="4" t="s">
        <v>55</v>
      </c>
      <c r="I3048" s="5">
        <v>45521</v>
      </c>
      <c r="J3048" s="4">
        <f t="shared" si="47"/>
        <v>31</v>
      </c>
    </row>
    <row r="3049" spans="1:10" x14ac:dyDescent="0.25">
      <c r="A3049" s="4">
        <f>_xlfn.XLOOKUP(E3049,'Data Validation'!$M$3:$M$10,'Data Validation'!$N$3:$N$10)</f>
        <v>8</v>
      </c>
      <c r="B3049" s="4">
        <v>21</v>
      </c>
      <c r="C3049" s="4" t="s">
        <v>11</v>
      </c>
      <c r="D3049" s="7">
        <v>32.82</v>
      </c>
      <c r="E3049" s="4" t="s">
        <v>12</v>
      </c>
      <c r="F3049" s="4" t="s">
        <v>20</v>
      </c>
      <c r="G3049" s="4" t="s">
        <v>45</v>
      </c>
      <c r="H3049" s="4" t="s">
        <v>55</v>
      </c>
      <c r="I3049" s="5">
        <v>45523</v>
      </c>
      <c r="J3049" s="4">
        <f t="shared" si="47"/>
        <v>31</v>
      </c>
    </row>
    <row r="3050" spans="1:10" x14ac:dyDescent="0.25">
      <c r="A3050" s="4">
        <f>_xlfn.XLOOKUP(E3050,'Data Validation'!$M$3:$M$10,'Data Validation'!$N$3:$N$10)</f>
        <v>8</v>
      </c>
      <c r="B3050" s="4">
        <v>8</v>
      </c>
      <c r="C3050" s="4" t="s">
        <v>11</v>
      </c>
      <c r="D3050" s="7">
        <v>32.82</v>
      </c>
      <c r="E3050" s="4" t="s">
        <v>12</v>
      </c>
      <c r="F3050" s="4" t="s">
        <v>13</v>
      </c>
      <c r="G3050" s="4" t="s">
        <v>46</v>
      </c>
      <c r="H3050" s="4" t="s">
        <v>55</v>
      </c>
      <c r="I3050" s="5">
        <v>45524</v>
      </c>
      <c r="J3050" s="4">
        <f t="shared" si="47"/>
        <v>31</v>
      </c>
    </row>
    <row r="3051" spans="1:10" x14ac:dyDescent="0.25">
      <c r="A3051" s="4">
        <f>_xlfn.XLOOKUP(E3051,'Data Validation'!$M$3:$M$10,'Data Validation'!$N$3:$N$10)</f>
        <v>8</v>
      </c>
      <c r="B3051" s="4">
        <v>11</v>
      </c>
      <c r="C3051" s="4" t="s">
        <v>11</v>
      </c>
      <c r="D3051" s="7">
        <v>32.82</v>
      </c>
      <c r="E3051" s="4" t="s">
        <v>12</v>
      </c>
      <c r="F3051" s="4" t="s">
        <v>13</v>
      </c>
      <c r="G3051" s="4" t="s">
        <v>46</v>
      </c>
      <c r="H3051" s="4" t="s">
        <v>55</v>
      </c>
      <c r="I3051" s="5">
        <v>45524</v>
      </c>
      <c r="J3051" s="4">
        <f t="shared" si="47"/>
        <v>31</v>
      </c>
    </row>
    <row r="3052" spans="1:10" x14ac:dyDescent="0.25">
      <c r="A3052" s="4">
        <f>_xlfn.XLOOKUP(E3052,'Data Validation'!$M$3:$M$10,'Data Validation'!$N$3:$N$10)</f>
        <v>8</v>
      </c>
      <c r="B3052" s="4">
        <v>20</v>
      </c>
      <c r="C3052" s="4" t="s">
        <v>11</v>
      </c>
      <c r="D3052" s="7">
        <v>32.82</v>
      </c>
      <c r="E3052" s="4" t="s">
        <v>12</v>
      </c>
      <c r="F3052" s="4" t="s">
        <v>20</v>
      </c>
      <c r="G3052" s="4" t="s">
        <v>46</v>
      </c>
      <c r="H3052" s="4" t="s">
        <v>55</v>
      </c>
      <c r="I3052" s="5">
        <v>45524</v>
      </c>
      <c r="J3052" s="4">
        <f t="shared" si="47"/>
        <v>31</v>
      </c>
    </row>
    <row r="3053" spans="1:10" x14ac:dyDescent="0.25">
      <c r="A3053" s="4">
        <f>_xlfn.XLOOKUP(E3053,'Data Validation'!$M$3:$M$10,'Data Validation'!$N$3:$N$10)</f>
        <v>8</v>
      </c>
      <c r="B3053" s="4">
        <v>20</v>
      </c>
      <c r="C3053" s="4" t="s">
        <v>11</v>
      </c>
      <c r="D3053" s="7">
        <v>32.82</v>
      </c>
      <c r="E3053" s="4" t="s">
        <v>12</v>
      </c>
      <c r="F3053" s="4" t="s">
        <v>20</v>
      </c>
      <c r="G3053" s="4" t="s">
        <v>46</v>
      </c>
      <c r="H3053" s="4" t="s">
        <v>55</v>
      </c>
      <c r="I3053" s="5">
        <v>45524</v>
      </c>
      <c r="J3053" s="4">
        <f t="shared" si="47"/>
        <v>31</v>
      </c>
    </row>
    <row r="3054" spans="1:10" x14ac:dyDescent="0.25">
      <c r="A3054" s="4">
        <f>_xlfn.XLOOKUP(E3054,'Data Validation'!$M$3:$M$10,'Data Validation'!$N$3:$N$10)</f>
        <v>8</v>
      </c>
      <c r="B3054" s="4">
        <v>20</v>
      </c>
      <c r="C3054" s="4" t="s">
        <v>11</v>
      </c>
      <c r="D3054" s="7">
        <v>32.82</v>
      </c>
      <c r="E3054" s="4" t="s">
        <v>12</v>
      </c>
      <c r="F3054" s="4" t="s">
        <v>20</v>
      </c>
      <c r="G3054" s="4" t="s">
        <v>46</v>
      </c>
      <c r="H3054" s="4" t="s">
        <v>55</v>
      </c>
      <c r="I3054" s="5">
        <v>45524</v>
      </c>
      <c r="J3054" s="4">
        <f t="shared" si="47"/>
        <v>31</v>
      </c>
    </row>
    <row r="3055" spans="1:10" x14ac:dyDescent="0.25">
      <c r="A3055" s="4">
        <f>_xlfn.XLOOKUP(E3055,'Data Validation'!$M$3:$M$10,'Data Validation'!$N$3:$N$10)</f>
        <v>8</v>
      </c>
      <c r="B3055" s="4">
        <v>20</v>
      </c>
      <c r="C3055" s="4" t="s">
        <v>11</v>
      </c>
      <c r="D3055" s="7">
        <v>32.82</v>
      </c>
      <c r="E3055" s="4" t="s">
        <v>12</v>
      </c>
      <c r="F3055" s="4" t="s">
        <v>20</v>
      </c>
      <c r="G3055" s="4" t="s">
        <v>46</v>
      </c>
      <c r="H3055" s="4" t="s">
        <v>55</v>
      </c>
      <c r="I3055" s="5">
        <v>45524</v>
      </c>
      <c r="J3055" s="4">
        <f t="shared" si="47"/>
        <v>31</v>
      </c>
    </row>
    <row r="3056" spans="1:10" x14ac:dyDescent="0.25">
      <c r="A3056" s="4">
        <f>_xlfn.XLOOKUP(E3056,'Data Validation'!$M$3:$M$10,'Data Validation'!$N$3:$N$10)</f>
        <v>8</v>
      </c>
      <c r="B3056" s="4">
        <v>13</v>
      </c>
      <c r="C3056" s="4" t="s">
        <v>11</v>
      </c>
      <c r="D3056" s="7">
        <v>32.82</v>
      </c>
      <c r="E3056" s="4" t="s">
        <v>12</v>
      </c>
      <c r="F3056" s="4" t="s">
        <v>17</v>
      </c>
      <c r="G3056" s="4" t="s">
        <v>47</v>
      </c>
      <c r="H3056" s="4" t="s">
        <v>55</v>
      </c>
      <c r="I3056" s="5">
        <v>45525</v>
      </c>
      <c r="J3056" s="4">
        <f t="shared" si="47"/>
        <v>31</v>
      </c>
    </row>
    <row r="3057" spans="1:10" x14ac:dyDescent="0.25">
      <c r="A3057" s="4">
        <f>_xlfn.XLOOKUP(E3057,'Data Validation'!$M$3:$M$10,'Data Validation'!$N$3:$N$10)</f>
        <v>8</v>
      </c>
      <c r="B3057" s="4">
        <v>19</v>
      </c>
      <c r="C3057" s="4" t="s">
        <v>11</v>
      </c>
      <c r="D3057" s="7">
        <v>32.82</v>
      </c>
      <c r="E3057" s="4" t="s">
        <v>12</v>
      </c>
      <c r="F3057" s="4" t="s">
        <v>20</v>
      </c>
      <c r="G3057" s="4" t="s">
        <v>47</v>
      </c>
      <c r="H3057" s="4" t="s">
        <v>55</v>
      </c>
      <c r="I3057" s="5">
        <v>45525</v>
      </c>
      <c r="J3057" s="4">
        <f t="shared" si="47"/>
        <v>31</v>
      </c>
    </row>
    <row r="3058" spans="1:10" x14ac:dyDescent="0.25">
      <c r="A3058" s="4">
        <f>_xlfn.XLOOKUP(E3058,'Data Validation'!$M$3:$M$10,'Data Validation'!$N$3:$N$10)</f>
        <v>8</v>
      </c>
      <c r="B3058" s="4">
        <v>14</v>
      </c>
      <c r="C3058" s="4" t="s">
        <v>11</v>
      </c>
      <c r="D3058" s="7">
        <v>32.82</v>
      </c>
      <c r="E3058" s="4" t="s">
        <v>12</v>
      </c>
      <c r="F3058" s="4" t="s">
        <v>17</v>
      </c>
      <c r="G3058" s="4" t="s">
        <v>48</v>
      </c>
      <c r="H3058" s="4" t="s">
        <v>55</v>
      </c>
      <c r="I3058" s="5">
        <v>45526</v>
      </c>
      <c r="J3058" s="4">
        <f t="shared" si="47"/>
        <v>31</v>
      </c>
    </row>
    <row r="3059" spans="1:10" x14ac:dyDescent="0.25">
      <c r="A3059" s="4">
        <f>_xlfn.XLOOKUP(E3059,'Data Validation'!$M$3:$M$10,'Data Validation'!$N$3:$N$10)</f>
        <v>8</v>
      </c>
      <c r="B3059" s="4">
        <v>14</v>
      </c>
      <c r="C3059" s="4" t="s">
        <v>11</v>
      </c>
      <c r="D3059" s="7">
        <v>32.82</v>
      </c>
      <c r="E3059" s="4" t="s">
        <v>12</v>
      </c>
      <c r="F3059" s="4" t="s">
        <v>17</v>
      </c>
      <c r="G3059" s="4" t="s">
        <v>48</v>
      </c>
      <c r="H3059" s="4" t="s">
        <v>55</v>
      </c>
      <c r="I3059" s="5">
        <v>45526</v>
      </c>
      <c r="J3059" s="4">
        <f t="shared" si="47"/>
        <v>31</v>
      </c>
    </row>
    <row r="3060" spans="1:10" x14ac:dyDescent="0.25">
      <c r="A3060" s="4">
        <f>_xlfn.XLOOKUP(E3060,'Data Validation'!$M$3:$M$10,'Data Validation'!$N$3:$N$10)</f>
        <v>8</v>
      </c>
      <c r="B3060" s="4">
        <v>7</v>
      </c>
      <c r="C3060" s="4" t="s">
        <v>11</v>
      </c>
      <c r="D3060" s="7">
        <v>32.82</v>
      </c>
      <c r="E3060" s="4" t="s">
        <v>12</v>
      </c>
      <c r="F3060" s="4" t="s">
        <v>13</v>
      </c>
      <c r="G3060" s="4" t="s">
        <v>49</v>
      </c>
      <c r="H3060" s="4" t="s">
        <v>55</v>
      </c>
      <c r="I3060" s="5">
        <v>45527</v>
      </c>
      <c r="J3060" s="4">
        <f t="shared" si="47"/>
        <v>31</v>
      </c>
    </row>
    <row r="3061" spans="1:10" x14ac:dyDescent="0.25">
      <c r="A3061" s="4">
        <f>_xlfn.XLOOKUP(E3061,'Data Validation'!$M$3:$M$10,'Data Validation'!$N$3:$N$10)</f>
        <v>8</v>
      </c>
      <c r="B3061" s="4">
        <v>8</v>
      </c>
      <c r="C3061" s="4" t="s">
        <v>11</v>
      </c>
      <c r="D3061" s="7">
        <v>32.82</v>
      </c>
      <c r="E3061" s="4" t="s">
        <v>12</v>
      </c>
      <c r="F3061" s="4" t="s">
        <v>13</v>
      </c>
      <c r="G3061" s="4" t="s">
        <v>49</v>
      </c>
      <c r="H3061" s="4" t="s">
        <v>55</v>
      </c>
      <c r="I3061" s="5">
        <v>45527</v>
      </c>
      <c r="J3061" s="4">
        <f t="shared" si="47"/>
        <v>31</v>
      </c>
    </row>
    <row r="3062" spans="1:10" x14ac:dyDescent="0.25">
      <c r="A3062" s="4">
        <f>_xlfn.XLOOKUP(E3062,'Data Validation'!$M$3:$M$10,'Data Validation'!$N$3:$N$10)</f>
        <v>8</v>
      </c>
      <c r="B3062" s="4">
        <v>19</v>
      </c>
      <c r="C3062" s="4" t="s">
        <v>11</v>
      </c>
      <c r="D3062" s="7">
        <v>32.82</v>
      </c>
      <c r="E3062" s="4" t="s">
        <v>12</v>
      </c>
      <c r="F3062" s="4" t="s">
        <v>20</v>
      </c>
      <c r="G3062" s="4" t="s">
        <v>49</v>
      </c>
      <c r="H3062" s="4" t="s">
        <v>55</v>
      </c>
      <c r="I3062" s="5">
        <v>45527</v>
      </c>
      <c r="J3062" s="4">
        <f t="shared" si="47"/>
        <v>31</v>
      </c>
    </row>
    <row r="3063" spans="1:10" x14ac:dyDescent="0.25">
      <c r="A3063" s="4">
        <f>_xlfn.XLOOKUP(E3063,'Data Validation'!$M$3:$M$10,'Data Validation'!$N$3:$N$10)</f>
        <v>8</v>
      </c>
      <c r="B3063" s="4">
        <v>14</v>
      </c>
      <c r="C3063" s="4" t="s">
        <v>11</v>
      </c>
      <c r="D3063" s="7">
        <v>32.82</v>
      </c>
      <c r="E3063" s="4" t="s">
        <v>12</v>
      </c>
      <c r="F3063" s="4" t="s">
        <v>17</v>
      </c>
      <c r="G3063" s="4" t="s">
        <v>51</v>
      </c>
      <c r="H3063" s="4" t="s">
        <v>55</v>
      </c>
      <c r="I3063" s="5">
        <v>45529</v>
      </c>
      <c r="J3063" s="4">
        <f t="shared" si="47"/>
        <v>31</v>
      </c>
    </row>
    <row r="3064" spans="1:10" x14ac:dyDescent="0.25">
      <c r="A3064" s="4">
        <f>_xlfn.XLOOKUP(E3064,'Data Validation'!$M$3:$M$10,'Data Validation'!$N$3:$N$10)</f>
        <v>8</v>
      </c>
      <c r="B3064" s="4">
        <v>10</v>
      </c>
      <c r="C3064" s="4" t="s">
        <v>11</v>
      </c>
      <c r="D3064" s="7">
        <v>32.82</v>
      </c>
      <c r="E3064" s="4" t="s">
        <v>12</v>
      </c>
      <c r="F3064" s="4" t="s">
        <v>13</v>
      </c>
      <c r="G3064" s="4" t="s">
        <v>45</v>
      </c>
      <c r="H3064" s="4" t="s">
        <v>55</v>
      </c>
      <c r="I3064" s="5">
        <v>45530</v>
      </c>
      <c r="J3064" s="4">
        <f t="shared" si="47"/>
        <v>31</v>
      </c>
    </row>
    <row r="3065" spans="1:10" x14ac:dyDescent="0.25">
      <c r="A3065" s="4">
        <f>_xlfn.XLOOKUP(E3065,'Data Validation'!$M$3:$M$10,'Data Validation'!$N$3:$N$10)</f>
        <v>8</v>
      </c>
      <c r="B3065" s="4">
        <v>18</v>
      </c>
      <c r="C3065" s="4" t="s">
        <v>11</v>
      </c>
      <c r="D3065" s="7">
        <v>32.82</v>
      </c>
      <c r="E3065" s="4" t="s">
        <v>12</v>
      </c>
      <c r="F3065" s="4" t="s">
        <v>20</v>
      </c>
      <c r="G3065" s="4" t="s">
        <v>45</v>
      </c>
      <c r="H3065" s="4" t="s">
        <v>55</v>
      </c>
      <c r="I3065" s="5">
        <v>45530</v>
      </c>
      <c r="J3065" s="4">
        <f t="shared" si="47"/>
        <v>31</v>
      </c>
    </row>
    <row r="3066" spans="1:10" x14ac:dyDescent="0.25">
      <c r="A3066" s="4">
        <f>_xlfn.XLOOKUP(E3066,'Data Validation'!$M$3:$M$10,'Data Validation'!$N$3:$N$10)</f>
        <v>8</v>
      </c>
      <c r="B3066" s="4">
        <v>10</v>
      </c>
      <c r="C3066" s="4" t="s">
        <v>11</v>
      </c>
      <c r="D3066" s="7">
        <v>32.82</v>
      </c>
      <c r="E3066" s="4" t="s">
        <v>12</v>
      </c>
      <c r="F3066" s="4" t="s">
        <v>13</v>
      </c>
      <c r="G3066" s="4" t="s">
        <v>46</v>
      </c>
      <c r="H3066" s="4" t="s">
        <v>55</v>
      </c>
      <c r="I3066" s="5">
        <v>45531</v>
      </c>
      <c r="J3066" s="4">
        <f t="shared" si="47"/>
        <v>31</v>
      </c>
    </row>
    <row r="3067" spans="1:10" x14ac:dyDescent="0.25">
      <c r="A3067" s="4">
        <f>_xlfn.XLOOKUP(E3067,'Data Validation'!$M$3:$M$10,'Data Validation'!$N$3:$N$10)</f>
        <v>8</v>
      </c>
      <c r="B3067" s="4">
        <v>17</v>
      </c>
      <c r="C3067" s="4" t="s">
        <v>11</v>
      </c>
      <c r="D3067" s="7">
        <v>32.82</v>
      </c>
      <c r="E3067" s="4" t="s">
        <v>12</v>
      </c>
      <c r="F3067" s="4" t="s">
        <v>20</v>
      </c>
      <c r="G3067" s="4" t="s">
        <v>49</v>
      </c>
      <c r="H3067" s="4" t="s">
        <v>55</v>
      </c>
      <c r="I3067" s="5">
        <v>45534</v>
      </c>
      <c r="J3067" s="4">
        <f t="shared" si="47"/>
        <v>31</v>
      </c>
    </row>
    <row r="3068" spans="1:10" x14ac:dyDescent="0.25">
      <c r="A3068" s="4">
        <f>_xlfn.XLOOKUP(E3068,'Data Validation'!$M$3:$M$10,'Data Validation'!$N$3:$N$10)</f>
        <v>8</v>
      </c>
      <c r="B3068" s="4">
        <v>13</v>
      </c>
      <c r="C3068" s="4" t="s">
        <v>11</v>
      </c>
      <c r="D3068" s="7">
        <v>32.82</v>
      </c>
      <c r="E3068" s="4" t="s">
        <v>12</v>
      </c>
      <c r="F3068" s="4" t="s">
        <v>17</v>
      </c>
      <c r="G3068" s="4" t="s">
        <v>51</v>
      </c>
      <c r="H3068" s="4" t="s">
        <v>56</v>
      </c>
      <c r="I3068" s="5">
        <v>45536</v>
      </c>
      <c r="J3068" s="4">
        <f t="shared" si="47"/>
        <v>31</v>
      </c>
    </row>
    <row r="3069" spans="1:10" x14ac:dyDescent="0.25">
      <c r="A3069" s="4">
        <f>_xlfn.XLOOKUP(E3069,'Data Validation'!$M$3:$M$10,'Data Validation'!$N$3:$N$10)</f>
        <v>8</v>
      </c>
      <c r="B3069" s="4">
        <v>17</v>
      </c>
      <c r="C3069" s="4" t="s">
        <v>11</v>
      </c>
      <c r="D3069" s="7">
        <v>32.82</v>
      </c>
      <c r="E3069" s="4" t="s">
        <v>12</v>
      </c>
      <c r="F3069" s="4" t="s">
        <v>20</v>
      </c>
      <c r="G3069" s="4" t="s">
        <v>51</v>
      </c>
      <c r="H3069" s="4" t="s">
        <v>56</v>
      </c>
      <c r="I3069" s="5">
        <v>45536</v>
      </c>
      <c r="J3069" s="4">
        <f t="shared" si="47"/>
        <v>31</v>
      </c>
    </row>
    <row r="3070" spans="1:10" x14ac:dyDescent="0.25">
      <c r="A3070" s="4">
        <f>_xlfn.XLOOKUP(E3070,'Data Validation'!$M$3:$M$10,'Data Validation'!$N$3:$N$10)</f>
        <v>8</v>
      </c>
      <c r="B3070" s="4">
        <v>17</v>
      </c>
      <c r="C3070" s="4" t="s">
        <v>11</v>
      </c>
      <c r="D3070" s="7">
        <v>32.82</v>
      </c>
      <c r="E3070" s="4" t="s">
        <v>12</v>
      </c>
      <c r="F3070" s="4" t="s">
        <v>20</v>
      </c>
      <c r="G3070" s="4" t="s">
        <v>51</v>
      </c>
      <c r="H3070" s="4" t="s">
        <v>56</v>
      </c>
      <c r="I3070" s="5">
        <v>45536</v>
      </c>
      <c r="J3070" s="4">
        <f t="shared" si="47"/>
        <v>31</v>
      </c>
    </row>
    <row r="3071" spans="1:10" x14ac:dyDescent="0.25">
      <c r="A3071" s="4">
        <f>_xlfn.XLOOKUP(E3071,'Data Validation'!$M$3:$M$10,'Data Validation'!$N$3:$N$10)</f>
        <v>8</v>
      </c>
      <c r="B3071" s="4">
        <v>17</v>
      </c>
      <c r="C3071" s="4" t="s">
        <v>11</v>
      </c>
      <c r="D3071" s="7">
        <v>32.82</v>
      </c>
      <c r="E3071" s="4" t="s">
        <v>12</v>
      </c>
      <c r="F3071" s="4" t="s">
        <v>20</v>
      </c>
      <c r="G3071" s="4" t="s">
        <v>51</v>
      </c>
      <c r="H3071" s="4" t="s">
        <v>56</v>
      </c>
      <c r="I3071" s="5">
        <v>45536</v>
      </c>
      <c r="J3071" s="4">
        <f t="shared" si="47"/>
        <v>31</v>
      </c>
    </row>
    <row r="3072" spans="1:10" x14ac:dyDescent="0.25">
      <c r="A3072" s="4">
        <f>_xlfn.XLOOKUP(E3072,'Data Validation'!$M$3:$M$10,'Data Validation'!$N$3:$N$10)</f>
        <v>8</v>
      </c>
      <c r="B3072" s="4">
        <v>8</v>
      </c>
      <c r="C3072" s="4" t="s">
        <v>11</v>
      </c>
      <c r="D3072" s="7">
        <v>32.82</v>
      </c>
      <c r="E3072" s="4" t="s">
        <v>12</v>
      </c>
      <c r="F3072" s="4" t="s">
        <v>13</v>
      </c>
      <c r="G3072" s="4" t="s">
        <v>45</v>
      </c>
      <c r="H3072" s="4" t="s">
        <v>56</v>
      </c>
      <c r="I3072" s="5">
        <v>45537</v>
      </c>
      <c r="J3072" s="4">
        <f t="shared" si="47"/>
        <v>31</v>
      </c>
    </row>
    <row r="3073" spans="1:10" x14ac:dyDescent="0.25">
      <c r="A3073" s="4">
        <f>_xlfn.XLOOKUP(E3073,'Data Validation'!$M$3:$M$10,'Data Validation'!$N$3:$N$10)</f>
        <v>8</v>
      </c>
      <c r="B3073" s="4">
        <v>8</v>
      </c>
      <c r="C3073" s="4" t="s">
        <v>11</v>
      </c>
      <c r="D3073" s="7">
        <v>32.82</v>
      </c>
      <c r="E3073" s="4" t="s">
        <v>12</v>
      </c>
      <c r="F3073" s="4" t="s">
        <v>13</v>
      </c>
      <c r="G3073" s="4" t="s">
        <v>45</v>
      </c>
      <c r="H3073" s="4" t="s">
        <v>56</v>
      </c>
      <c r="I3073" s="5">
        <v>45537</v>
      </c>
      <c r="J3073" s="4">
        <f t="shared" si="47"/>
        <v>31</v>
      </c>
    </row>
    <row r="3074" spans="1:10" x14ac:dyDescent="0.25">
      <c r="A3074" s="4">
        <f>_xlfn.XLOOKUP(E3074,'Data Validation'!$M$3:$M$10,'Data Validation'!$N$3:$N$10)</f>
        <v>8</v>
      </c>
      <c r="B3074" s="4">
        <v>8</v>
      </c>
      <c r="C3074" s="4" t="s">
        <v>11</v>
      </c>
      <c r="D3074" s="7">
        <v>32.82</v>
      </c>
      <c r="E3074" s="4" t="s">
        <v>12</v>
      </c>
      <c r="F3074" s="4" t="s">
        <v>13</v>
      </c>
      <c r="G3074" s="4" t="s">
        <v>46</v>
      </c>
      <c r="H3074" s="4" t="s">
        <v>56</v>
      </c>
      <c r="I3074" s="5">
        <v>45538</v>
      </c>
      <c r="J3074" s="4">
        <f t="shared" si="47"/>
        <v>31</v>
      </c>
    </row>
    <row r="3075" spans="1:10" x14ac:dyDescent="0.25">
      <c r="A3075" s="4">
        <f>_xlfn.XLOOKUP(E3075,'Data Validation'!$M$3:$M$10,'Data Validation'!$N$3:$N$10)</f>
        <v>8</v>
      </c>
      <c r="B3075" s="4">
        <v>9</v>
      </c>
      <c r="C3075" s="4" t="s">
        <v>11</v>
      </c>
      <c r="D3075" s="7">
        <v>32.82</v>
      </c>
      <c r="E3075" s="4" t="s">
        <v>12</v>
      </c>
      <c r="F3075" s="4" t="s">
        <v>13</v>
      </c>
      <c r="G3075" s="4" t="s">
        <v>46</v>
      </c>
      <c r="H3075" s="4" t="s">
        <v>56</v>
      </c>
      <c r="I3075" s="5">
        <v>45538</v>
      </c>
      <c r="J3075" s="4">
        <f t="shared" ref="J3075:J3138" si="48">IF(OR(E3075&lt;&gt;E3074,D3075&lt;&gt;D3074),J3074+1,J3074)</f>
        <v>31</v>
      </c>
    </row>
    <row r="3076" spans="1:10" x14ac:dyDescent="0.25">
      <c r="A3076" s="4">
        <f>_xlfn.XLOOKUP(E3076,'Data Validation'!$M$3:$M$10,'Data Validation'!$N$3:$N$10)</f>
        <v>8</v>
      </c>
      <c r="B3076" s="4">
        <v>19</v>
      </c>
      <c r="C3076" s="4" t="s">
        <v>11</v>
      </c>
      <c r="D3076" s="7">
        <v>32.82</v>
      </c>
      <c r="E3076" s="4" t="s">
        <v>12</v>
      </c>
      <c r="F3076" s="4" t="s">
        <v>20</v>
      </c>
      <c r="G3076" s="4" t="s">
        <v>46</v>
      </c>
      <c r="H3076" s="4" t="s">
        <v>56</v>
      </c>
      <c r="I3076" s="5">
        <v>45538</v>
      </c>
      <c r="J3076" s="4">
        <f t="shared" si="48"/>
        <v>31</v>
      </c>
    </row>
    <row r="3077" spans="1:10" x14ac:dyDescent="0.25">
      <c r="A3077" s="4">
        <f>_xlfn.XLOOKUP(E3077,'Data Validation'!$M$3:$M$10,'Data Validation'!$N$3:$N$10)</f>
        <v>8</v>
      </c>
      <c r="B3077" s="4">
        <v>11</v>
      </c>
      <c r="C3077" s="4" t="s">
        <v>11</v>
      </c>
      <c r="D3077" s="7">
        <v>32.82</v>
      </c>
      <c r="E3077" s="4" t="s">
        <v>12</v>
      </c>
      <c r="F3077" s="4" t="s">
        <v>13</v>
      </c>
      <c r="G3077" s="4" t="s">
        <v>47</v>
      </c>
      <c r="H3077" s="4" t="s">
        <v>56</v>
      </c>
      <c r="I3077" s="5">
        <v>45539</v>
      </c>
      <c r="J3077" s="4">
        <f t="shared" si="48"/>
        <v>31</v>
      </c>
    </row>
    <row r="3078" spans="1:10" x14ac:dyDescent="0.25">
      <c r="A3078" s="4">
        <f>_xlfn.XLOOKUP(E3078,'Data Validation'!$M$3:$M$10,'Data Validation'!$N$3:$N$10)</f>
        <v>8</v>
      </c>
      <c r="B3078" s="4">
        <v>12</v>
      </c>
      <c r="C3078" s="4" t="s">
        <v>11</v>
      </c>
      <c r="D3078" s="7">
        <v>32.82</v>
      </c>
      <c r="E3078" s="4" t="s">
        <v>12</v>
      </c>
      <c r="F3078" s="4" t="s">
        <v>17</v>
      </c>
      <c r="G3078" s="4" t="s">
        <v>47</v>
      </c>
      <c r="H3078" s="4" t="s">
        <v>56</v>
      </c>
      <c r="I3078" s="5">
        <v>45539</v>
      </c>
      <c r="J3078" s="4">
        <f t="shared" si="48"/>
        <v>31</v>
      </c>
    </row>
    <row r="3079" spans="1:10" x14ac:dyDescent="0.25">
      <c r="A3079" s="4">
        <f>_xlfn.XLOOKUP(E3079,'Data Validation'!$M$3:$M$10,'Data Validation'!$N$3:$N$10)</f>
        <v>8</v>
      </c>
      <c r="B3079" s="4">
        <v>13</v>
      </c>
      <c r="C3079" s="4" t="s">
        <v>11</v>
      </c>
      <c r="D3079" s="7">
        <v>32.82</v>
      </c>
      <c r="E3079" s="4" t="s">
        <v>12</v>
      </c>
      <c r="F3079" s="4" t="s">
        <v>17</v>
      </c>
      <c r="G3079" s="4" t="s">
        <v>47</v>
      </c>
      <c r="H3079" s="4" t="s">
        <v>56</v>
      </c>
      <c r="I3079" s="5">
        <v>45539</v>
      </c>
      <c r="J3079" s="4">
        <f t="shared" si="48"/>
        <v>31</v>
      </c>
    </row>
    <row r="3080" spans="1:10" x14ac:dyDescent="0.25">
      <c r="A3080" s="4">
        <f>_xlfn.XLOOKUP(E3080,'Data Validation'!$M$3:$M$10,'Data Validation'!$N$3:$N$10)</f>
        <v>8</v>
      </c>
      <c r="B3080" s="4">
        <v>21</v>
      </c>
      <c r="C3080" s="4" t="s">
        <v>11</v>
      </c>
      <c r="D3080" s="7">
        <v>32.82</v>
      </c>
      <c r="E3080" s="4" t="s">
        <v>12</v>
      </c>
      <c r="F3080" s="4" t="s">
        <v>20</v>
      </c>
      <c r="G3080" s="4" t="s">
        <v>47</v>
      </c>
      <c r="H3080" s="4" t="s">
        <v>56</v>
      </c>
      <c r="I3080" s="5">
        <v>45539</v>
      </c>
      <c r="J3080" s="4">
        <f t="shared" si="48"/>
        <v>31</v>
      </c>
    </row>
    <row r="3081" spans="1:10" x14ac:dyDescent="0.25">
      <c r="A3081" s="4">
        <f>_xlfn.XLOOKUP(E3081,'Data Validation'!$M$3:$M$10,'Data Validation'!$N$3:$N$10)</f>
        <v>8</v>
      </c>
      <c r="B3081" s="4">
        <v>14</v>
      </c>
      <c r="C3081" s="4" t="s">
        <v>11</v>
      </c>
      <c r="D3081" s="7">
        <v>32.82</v>
      </c>
      <c r="E3081" s="4" t="s">
        <v>12</v>
      </c>
      <c r="F3081" s="4" t="s">
        <v>17</v>
      </c>
      <c r="G3081" s="4" t="s">
        <v>48</v>
      </c>
      <c r="H3081" s="4" t="s">
        <v>56</v>
      </c>
      <c r="I3081" s="5">
        <v>45540</v>
      </c>
      <c r="J3081" s="4">
        <f t="shared" si="48"/>
        <v>31</v>
      </c>
    </row>
    <row r="3082" spans="1:10" x14ac:dyDescent="0.25">
      <c r="A3082" s="4">
        <f>_xlfn.XLOOKUP(E3082,'Data Validation'!$M$3:$M$10,'Data Validation'!$N$3:$N$10)</f>
        <v>8</v>
      </c>
      <c r="B3082" s="4">
        <v>15</v>
      </c>
      <c r="C3082" s="4" t="s">
        <v>11</v>
      </c>
      <c r="D3082" s="7">
        <v>32.82</v>
      </c>
      <c r="E3082" s="4" t="s">
        <v>12</v>
      </c>
      <c r="F3082" s="4" t="s">
        <v>17</v>
      </c>
      <c r="G3082" s="4" t="s">
        <v>48</v>
      </c>
      <c r="H3082" s="4" t="s">
        <v>56</v>
      </c>
      <c r="I3082" s="5">
        <v>45540</v>
      </c>
      <c r="J3082" s="4">
        <f t="shared" si="48"/>
        <v>31</v>
      </c>
    </row>
    <row r="3083" spans="1:10" x14ac:dyDescent="0.25">
      <c r="A3083" s="4">
        <f>_xlfn.XLOOKUP(E3083,'Data Validation'!$M$3:$M$10,'Data Validation'!$N$3:$N$10)</f>
        <v>8</v>
      </c>
      <c r="B3083" s="4">
        <v>8</v>
      </c>
      <c r="C3083" s="4" t="s">
        <v>11</v>
      </c>
      <c r="D3083" s="7">
        <v>32.82</v>
      </c>
      <c r="E3083" s="4" t="s">
        <v>12</v>
      </c>
      <c r="F3083" s="4" t="s">
        <v>13</v>
      </c>
      <c r="G3083" s="4" t="s">
        <v>49</v>
      </c>
      <c r="H3083" s="4" t="s">
        <v>56</v>
      </c>
      <c r="I3083" s="5">
        <v>45541</v>
      </c>
      <c r="J3083" s="4">
        <f t="shared" si="48"/>
        <v>31</v>
      </c>
    </row>
    <row r="3084" spans="1:10" x14ac:dyDescent="0.25">
      <c r="A3084" s="4">
        <f>_xlfn.XLOOKUP(E3084,'Data Validation'!$M$3:$M$10,'Data Validation'!$N$3:$N$10)</f>
        <v>8</v>
      </c>
      <c r="B3084" s="4">
        <v>9</v>
      </c>
      <c r="C3084" s="4" t="s">
        <v>11</v>
      </c>
      <c r="D3084" s="7">
        <v>32.82</v>
      </c>
      <c r="E3084" s="4" t="s">
        <v>12</v>
      </c>
      <c r="F3084" s="4" t="s">
        <v>13</v>
      </c>
      <c r="G3084" s="4" t="s">
        <v>49</v>
      </c>
      <c r="H3084" s="4" t="s">
        <v>56</v>
      </c>
      <c r="I3084" s="5">
        <v>45541</v>
      </c>
      <c r="J3084" s="4">
        <f t="shared" si="48"/>
        <v>31</v>
      </c>
    </row>
    <row r="3085" spans="1:10" x14ac:dyDescent="0.25">
      <c r="A3085" s="4">
        <f>_xlfn.XLOOKUP(E3085,'Data Validation'!$M$3:$M$10,'Data Validation'!$N$3:$N$10)</f>
        <v>8</v>
      </c>
      <c r="B3085" s="4">
        <v>20</v>
      </c>
      <c r="C3085" s="4" t="s">
        <v>11</v>
      </c>
      <c r="D3085" s="7">
        <v>32.82</v>
      </c>
      <c r="E3085" s="4" t="s">
        <v>12</v>
      </c>
      <c r="F3085" s="4" t="s">
        <v>20</v>
      </c>
      <c r="G3085" s="4" t="s">
        <v>49</v>
      </c>
      <c r="H3085" s="4" t="s">
        <v>56</v>
      </c>
      <c r="I3085" s="5">
        <v>45541</v>
      </c>
      <c r="J3085" s="4">
        <f t="shared" si="48"/>
        <v>31</v>
      </c>
    </row>
    <row r="3086" spans="1:10" x14ac:dyDescent="0.25">
      <c r="A3086" s="4">
        <f>_xlfn.XLOOKUP(E3086,'Data Validation'!$M$3:$M$10,'Data Validation'!$N$3:$N$10)</f>
        <v>8</v>
      </c>
      <c r="B3086" s="4">
        <v>21</v>
      </c>
      <c r="C3086" s="4" t="s">
        <v>11</v>
      </c>
      <c r="D3086" s="7">
        <v>32.82</v>
      </c>
      <c r="E3086" s="4" t="s">
        <v>12</v>
      </c>
      <c r="F3086" s="4" t="s">
        <v>20</v>
      </c>
      <c r="G3086" s="4" t="s">
        <v>49</v>
      </c>
      <c r="H3086" s="4" t="s">
        <v>56</v>
      </c>
      <c r="I3086" s="5">
        <v>45541</v>
      </c>
      <c r="J3086" s="4">
        <f t="shared" si="48"/>
        <v>31</v>
      </c>
    </row>
    <row r="3087" spans="1:10" x14ac:dyDescent="0.25">
      <c r="A3087" s="4">
        <f>_xlfn.XLOOKUP(E3087,'Data Validation'!$M$3:$M$10,'Data Validation'!$N$3:$N$10)</f>
        <v>8</v>
      </c>
      <c r="B3087" s="4">
        <v>8</v>
      </c>
      <c r="C3087" s="4" t="s">
        <v>11</v>
      </c>
      <c r="D3087" s="7">
        <v>32.82</v>
      </c>
      <c r="E3087" s="4" t="s">
        <v>12</v>
      </c>
      <c r="F3087" s="4" t="s">
        <v>13</v>
      </c>
      <c r="G3087" s="4" t="s">
        <v>50</v>
      </c>
      <c r="H3087" s="4" t="s">
        <v>56</v>
      </c>
      <c r="I3087" s="5">
        <v>45542</v>
      </c>
      <c r="J3087" s="4">
        <f t="shared" si="48"/>
        <v>31</v>
      </c>
    </row>
    <row r="3088" spans="1:10" x14ac:dyDescent="0.25">
      <c r="A3088" s="4">
        <f>_xlfn.XLOOKUP(E3088,'Data Validation'!$M$3:$M$10,'Data Validation'!$N$3:$N$10)</f>
        <v>8</v>
      </c>
      <c r="B3088" s="4">
        <v>10</v>
      </c>
      <c r="C3088" s="4" t="s">
        <v>11</v>
      </c>
      <c r="D3088" s="7">
        <v>32.82</v>
      </c>
      <c r="E3088" s="4" t="s">
        <v>12</v>
      </c>
      <c r="F3088" s="4" t="s">
        <v>13</v>
      </c>
      <c r="G3088" s="4" t="s">
        <v>50</v>
      </c>
      <c r="H3088" s="4" t="s">
        <v>56</v>
      </c>
      <c r="I3088" s="5">
        <v>45542</v>
      </c>
      <c r="J3088" s="4">
        <f t="shared" si="48"/>
        <v>31</v>
      </c>
    </row>
    <row r="3089" spans="1:10" x14ac:dyDescent="0.25">
      <c r="A3089" s="4">
        <f>_xlfn.XLOOKUP(E3089,'Data Validation'!$M$3:$M$10,'Data Validation'!$N$3:$N$10)</f>
        <v>8</v>
      </c>
      <c r="B3089" s="4">
        <v>15</v>
      </c>
      <c r="C3089" s="4" t="s">
        <v>11</v>
      </c>
      <c r="D3089" s="7">
        <v>32.82</v>
      </c>
      <c r="E3089" s="4" t="s">
        <v>12</v>
      </c>
      <c r="F3089" s="4" t="s">
        <v>17</v>
      </c>
      <c r="G3089" s="4" t="s">
        <v>50</v>
      </c>
      <c r="H3089" s="4" t="s">
        <v>56</v>
      </c>
      <c r="I3089" s="5">
        <v>45542</v>
      </c>
      <c r="J3089" s="4">
        <f t="shared" si="48"/>
        <v>31</v>
      </c>
    </row>
    <row r="3090" spans="1:10" x14ac:dyDescent="0.25">
      <c r="A3090" s="4">
        <f>_xlfn.XLOOKUP(E3090,'Data Validation'!$M$3:$M$10,'Data Validation'!$N$3:$N$10)</f>
        <v>8</v>
      </c>
      <c r="B3090" s="4">
        <v>19</v>
      </c>
      <c r="C3090" s="4" t="s">
        <v>11</v>
      </c>
      <c r="D3090" s="7">
        <v>32.82</v>
      </c>
      <c r="E3090" s="4" t="s">
        <v>12</v>
      </c>
      <c r="F3090" s="4" t="s">
        <v>20</v>
      </c>
      <c r="G3090" s="4" t="s">
        <v>50</v>
      </c>
      <c r="H3090" s="4" t="s">
        <v>56</v>
      </c>
      <c r="I3090" s="5">
        <v>45542</v>
      </c>
      <c r="J3090" s="4">
        <f t="shared" si="48"/>
        <v>31</v>
      </c>
    </row>
    <row r="3091" spans="1:10" x14ac:dyDescent="0.25">
      <c r="A3091" s="4">
        <f>_xlfn.XLOOKUP(E3091,'Data Validation'!$M$3:$M$10,'Data Validation'!$N$3:$N$10)</f>
        <v>8</v>
      </c>
      <c r="B3091" s="4">
        <v>19</v>
      </c>
      <c r="C3091" s="4" t="s">
        <v>11</v>
      </c>
      <c r="D3091" s="7">
        <v>32.82</v>
      </c>
      <c r="E3091" s="4" t="s">
        <v>12</v>
      </c>
      <c r="F3091" s="4" t="s">
        <v>20</v>
      </c>
      <c r="G3091" s="4" t="s">
        <v>50</v>
      </c>
      <c r="H3091" s="4" t="s">
        <v>56</v>
      </c>
      <c r="I3091" s="5">
        <v>45542</v>
      </c>
      <c r="J3091" s="4">
        <f t="shared" si="48"/>
        <v>31</v>
      </c>
    </row>
    <row r="3092" spans="1:10" x14ac:dyDescent="0.25">
      <c r="A3092" s="4">
        <f>_xlfn.XLOOKUP(E3092,'Data Validation'!$M$3:$M$10,'Data Validation'!$N$3:$N$10)</f>
        <v>8</v>
      </c>
      <c r="B3092" s="4">
        <v>20</v>
      </c>
      <c r="C3092" s="4" t="s">
        <v>11</v>
      </c>
      <c r="D3092" s="7">
        <v>32.82</v>
      </c>
      <c r="E3092" s="4" t="s">
        <v>12</v>
      </c>
      <c r="F3092" s="4" t="s">
        <v>20</v>
      </c>
      <c r="G3092" s="4" t="s">
        <v>50</v>
      </c>
      <c r="H3092" s="4" t="s">
        <v>56</v>
      </c>
      <c r="I3092" s="5">
        <v>45542</v>
      </c>
      <c r="J3092" s="4">
        <f t="shared" si="48"/>
        <v>31</v>
      </c>
    </row>
    <row r="3093" spans="1:10" x14ac:dyDescent="0.25">
      <c r="A3093" s="4">
        <f>_xlfn.XLOOKUP(E3093,'Data Validation'!$M$3:$M$10,'Data Validation'!$N$3:$N$10)</f>
        <v>8</v>
      </c>
      <c r="B3093" s="4">
        <v>20</v>
      </c>
      <c r="C3093" s="4" t="s">
        <v>11</v>
      </c>
      <c r="D3093" s="7">
        <v>32.82</v>
      </c>
      <c r="E3093" s="4" t="s">
        <v>12</v>
      </c>
      <c r="F3093" s="4" t="s">
        <v>20</v>
      </c>
      <c r="G3093" s="4" t="s">
        <v>50</v>
      </c>
      <c r="H3093" s="4" t="s">
        <v>56</v>
      </c>
      <c r="I3093" s="5">
        <v>45542</v>
      </c>
      <c r="J3093" s="4">
        <f t="shared" si="48"/>
        <v>31</v>
      </c>
    </row>
    <row r="3094" spans="1:10" x14ac:dyDescent="0.25">
      <c r="A3094" s="4">
        <f>_xlfn.XLOOKUP(E3094,'Data Validation'!$M$3:$M$10,'Data Validation'!$N$3:$N$10)</f>
        <v>8</v>
      </c>
      <c r="B3094" s="4">
        <v>7</v>
      </c>
      <c r="C3094" s="4" t="s">
        <v>11</v>
      </c>
      <c r="D3094" s="7">
        <v>32.82</v>
      </c>
      <c r="E3094" s="4" t="s">
        <v>12</v>
      </c>
      <c r="F3094" s="4" t="s">
        <v>13</v>
      </c>
      <c r="G3094" s="4" t="s">
        <v>45</v>
      </c>
      <c r="H3094" s="4" t="s">
        <v>56</v>
      </c>
      <c r="I3094" s="5">
        <v>45544</v>
      </c>
      <c r="J3094" s="4">
        <f t="shared" si="48"/>
        <v>31</v>
      </c>
    </row>
    <row r="3095" spans="1:10" x14ac:dyDescent="0.25">
      <c r="A3095" s="4">
        <f>_xlfn.XLOOKUP(E3095,'Data Validation'!$M$3:$M$10,'Data Validation'!$N$3:$N$10)</f>
        <v>8</v>
      </c>
      <c r="B3095" s="4">
        <v>7</v>
      </c>
      <c r="C3095" s="4" t="s">
        <v>11</v>
      </c>
      <c r="D3095" s="7">
        <v>32.82</v>
      </c>
      <c r="E3095" s="4" t="s">
        <v>12</v>
      </c>
      <c r="F3095" s="4" t="s">
        <v>13</v>
      </c>
      <c r="G3095" s="4" t="s">
        <v>45</v>
      </c>
      <c r="H3095" s="4" t="s">
        <v>56</v>
      </c>
      <c r="I3095" s="5">
        <v>45544</v>
      </c>
      <c r="J3095" s="4">
        <f t="shared" si="48"/>
        <v>31</v>
      </c>
    </row>
    <row r="3096" spans="1:10" x14ac:dyDescent="0.25">
      <c r="A3096" s="4">
        <f>_xlfn.XLOOKUP(E3096,'Data Validation'!$M$3:$M$10,'Data Validation'!$N$3:$N$10)</f>
        <v>8</v>
      </c>
      <c r="B3096" s="4">
        <v>9</v>
      </c>
      <c r="C3096" s="4" t="s">
        <v>11</v>
      </c>
      <c r="D3096" s="7">
        <v>32.82</v>
      </c>
      <c r="E3096" s="4" t="s">
        <v>12</v>
      </c>
      <c r="F3096" s="4" t="s">
        <v>13</v>
      </c>
      <c r="G3096" s="4" t="s">
        <v>45</v>
      </c>
      <c r="H3096" s="4" t="s">
        <v>56</v>
      </c>
      <c r="I3096" s="5">
        <v>45544</v>
      </c>
      <c r="J3096" s="4">
        <f t="shared" si="48"/>
        <v>31</v>
      </c>
    </row>
    <row r="3097" spans="1:10" x14ac:dyDescent="0.25">
      <c r="A3097" s="4">
        <f>_xlfn.XLOOKUP(E3097,'Data Validation'!$M$3:$M$10,'Data Validation'!$N$3:$N$10)</f>
        <v>8</v>
      </c>
      <c r="B3097" s="4">
        <v>9</v>
      </c>
      <c r="C3097" s="4" t="s">
        <v>11</v>
      </c>
      <c r="D3097" s="7">
        <v>32.82</v>
      </c>
      <c r="E3097" s="4" t="s">
        <v>12</v>
      </c>
      <c r="F3097" s="4" t="s">
        <v>13</v>
      </c>
      <c r="G3097" s="4" t="s">
        <v>45</v>
      </c>
      <c r="H3097" s="4" t="s">
        <v>56</v>
      </c>
      <c r="I3097" s="5">
        <v>45544</v>
      </c>
      <c r="J3097" s="4">
        <f t="shared" si="48"/>
        <v>31</v>
      </c>
    </row>
    <row r="3098" spans="1:10" x14ac:dyDescent="0.25">
      <c r="A3098" s="4">
        <f>_xlfn.XLOOKUP(E3098,'Data Validation'!$M$3:$M$10,'Data Validation'!$N$3:$N$10)</f>
        <v>8</v>
      </c>
      <c r="B3098" s="4">
        <v>11</v>
      </c>
      <c r="C3098" s="4" t="s">
        <v>11</v>
      </c>
      <c r="D3098" s="7">
        <v>32.82</v>
      </c>
      <c r="E3098" s="4" t="s">
        <v>12</v>
      </c>
      <c r="F3098" s="4" t="s">
        <v>13</v>
      </c>
      <c r="G3098" s="4" t="s">
        <v>45</v>
      </c>
      <c r="H3098" s="4" t="s">
        <v>56</v>
      </c>
      <c r="I3098" s="5">
        <v>45544</v>
      </c>
      <c r="J3098" s="4">
        <f t="shared" si="48"/>
        <v>31</v>
      </c>
    </row>
    <row r="3099" spans="1:10" x14ac:dyDescent="0.25">
      <c r="A3099" s="4">
        <f>_xlfn.XLOOKUP(E3099,'Data Validation'!$M$3:$M$10,'Data Validation'!$N$3:$N$10)</f>
        <v>8</v>
      </c>
      <c r="B3099" s="4">
        <v>15</v>
      </c>
      <c r="C3099" s="4" t="s">
        <v>11</v>
      </c>
      <c r="D3099" s="7">
        <v>32.82</v>
      </c>
      <c r="E3099" s="4" t="s">
        <v>12</v>
      </c>
      <c r="F3099" s="4" t="s">
        <v>17</v>
      </c>
      <c r="G3099" s="4" t="s">
        <v>45</v>
      </c>
      <c r="H3099" s="4" t="s">
        <v>56</v>
      </c>
      <c r="I3099" s="5">
        <v>45544</v>
      </c>
      <c r="J3099" s="4">
        <f t="shared" si="48"/>
        <v>31</v>
      </c>
    </row>
    <row r="3100" spans="1:10" x14ac:dyDescent="0.25">
      <c r="A3100" s="4">
        <f>_xlfn.XLOOKUP(E3100,'Data Validation'!$M$3:$M$10,'Data Validation'!$N$3:$N$10)</f>
        <v>8</v>
      </c>
      <c r="B3100" s="4">
        <v>17</v>
      </c>
      <c r="C3100" s="4" t="s">
        <v>11</v>
      </c>
      <c r="D3100" s="7">
        <v>32.82</v>
      </c>
      <c r="E3100" s="4" t="s">
        <v>12</v>
      </c>
      <c r="F3100" s="4" t="s">
        <v>20</v>
      </c>
      <c r="G3100" s="4" t="s">
        <v>45</v>
      </c>
      <c r="H3100" s="4" t="s">
        <v>56</v>
      </c>
      <c r="I3100" s="5">
        <v>45544</v>
      </c>
      <c r="J3100" s="4">
        <f t="shared" si="48"/>
        <v>31</v>
      </c>
    </row>
    <row r="3101" spans="1:10" x14ac:dyDescent="0.25">
      <c r="A3101" s="4">
        <f>_xlfn.XLOOKUP(E3101,'Data Validation'!$M$3:$M$10,'Data Validation'!$N$3:$N$10)</f>
        <v>8</v>
      </c>
      <c r="B3101" s="4">
        <v>18</v>
      </c>
      <c r="C3101" s="4" t="s">
        <v>11</v>
      </c>
      <c r="D3101" s="7">
        <v>32.82</v>
      </c>
      <c r="E3101" s="4" t="s">
        <v>12</v>
      </c>
      <c r="F3101" s="4" t="s">
        <v>20</v>
      </c>
      <c r="G3101" s="4" t="s">
        <v>45</v>
      </c>
      <c r="H3101" s="4" t="s">
        <v>56</v>
      </c>
      <c r="I3101" s="5">
        <v>45544</v>
      </c>
      <c r="J3101" s="4">
        <f t="shared" si="48"/>
        <v>31</v>
      </c>
    </row>
    <row r="3102" spans="1:10" x14ac:dyDescent="0.25">
      <c r="A3102" s="4">
        <f>_xlfn.XLOOKUP(E3102,'Data Validation'!$M$3:$M$10,'Data Validation'!$N$3:$N$10)</f>
        <v>8</v>
      </c>
      <c r="B3102" s="4">
        <v>20</v>
      </c>
      <c r="C3102" s="4" t="s">
        <v>11</v>
      </c>
      <c r="D3102" s="7">
        <v>32.82</v>
      </c>
      <c r="E3102" s="4" t="s">
        <v>12</v>
      </c>
      <c r="F3102" s="4" t="s">
        <v>20</v>
      </c>
      <c r="G3102" s="4" t="s">
        <v>45</v>
      </c>
      <c r="H3102" s="4" t="s">
        <v>56</v>
      </c>
      <c r="I3102" s="5">
        <v>45544</v>
      </c>
      <c r="J3102" s="4">
        <f t="shared" si="48"/>
        <v>31</v>
      </c>
    </row>
    <row r="3103" spans="1:10" x14ac:dyDescent="0.25">
      <c r="A3103" s="4">
        <f>_xlfn.XLOOKUP(E3103,'Data Validation'!$M$3:$M$10,'Data Validation'!$N$3:$N$10)</f>
        <v>8</v>
      </c>
      <c r="B3103" s="4">
        <v>19</v>
      </c>
      <c r="C3103" s="4" t="s">
        <v>11</v>
      </c>
      <c r="D3103" s="7">
        <v>32.82</v>
      </c>
      <c r="E3103" s="4" t="s">
        <v>12</v>
      </c>
      <c r="F3103" s="4" t="s">
        <v>20</v>
      </c>
      <c r="G3103" s="4" t="s">
        <v>46</v>
      </c>
      <c r="H3103" s="4" t="s">
        <v>56</v>
      </c>
      <c r="I3103" s="5">
        <v>45545</v>
      </c>
      <c r="J3103" s="4">
        <f t="shared" si="48"/>
        <v>31</v>
      </c>
    </row>
    <row r="3104" spans="1:10" x14ac:dyDescent="0.25">
      <c r="A3104" s="4">
        <f>_xlfn.XLOOKUP(E3104,'Data Validation'!$M$3:$M$10,'Data Validation'!$N$3:$N$10)</f>
        <v>8</v>
      </c>
      <c r="B3104" s="4">
        <v>19</v>
      </c>
      <c r="C3104" s="4" t="s">
        <v>11</v>
      </c>
      <c r="D3104" s="7">
        <v>32.82</v>
      </c>
      <c r="E3104" s="4" t="s">
        <v>12</v>
      </c>
      <c r="F3104" s="4" t="s">
        <v>20</v>
      </c>
      <c r="G3104" s="4" t="s">
        <v>46</v>
      </c>
      <c r="H3104" s="4" t="s">
        <v>56</v>
      </c>
      <c r="I3104" s="5">
        <v>45545</v>
      </c>
      <c r="J3104" s="4">
        <f t="shared" si="48"/>
        <v>31</v>
      </c>
    </row>
    <row r="3105" spans="1:10" x14ac:dyDescent="0.25">
      <c r="A3105" s="4">
        <f>_xlfn.XLOOKUP(E3105,'Data Validation'!$M$3:$M$10,'Data Validation'!$N$3:$N$10)</f>
        <v>8</v>
      </c>
      <c r="B3105" s="4">
        <v>8</v>
      </c>
      <c r="C3105" s="4" t="s">
        <v>11</v>
      </c>
      <c r="D3105" s="7">
        <v>32.82</v>
      </c>
      <c r="E3105" s="4" t="s">
        <v>12</v>
      </c>
      <c r="F3105" s="4" t="s">
        <v>13</v>
      </c>
      <c r="G3105" s="4" t="s">
        <v>47</v>
      </c>
      <c r="H3105" s="4" t="s">
        <v>56</v>
      </c>
      <c r="I3105" s="5">
        <v>45546</v>
      </c>
      <c r="J3105" s="4">
        <f t="shared" si="48"/>
        <v>31</v>
      </c>
    </row>
    <row r="3106" spans="1:10" x14ac:dyDescent="0.25">
      <c r="A3106" s="4">
        <f>_xlfn.XLOOKUP(E3106,'Data Validation'!$M$3:$M$10,'Data Validation'!$N$3:$N$10)</f>
        <v>8</v>
      </c>
      <c r="B3106" s="4">
        <v>10</v>
      </c>
      <c r="C3106" s="4" t="s">
        <v>11</v>
      </c>
      <c r="D3106" s="7">
        <v>32.82</v>
      </c>
      <c r="E3106" s="4" t="s">
        <v>12</v>
      </c>
      <c r="F3106" s="4" t="s">
        <v>13</v>
      </c>
      <c r="G3106" s="4" t="s">
        <v>47</v>
      </c>
      <c r="H3106" s="4" t="s">
        <v>56</v>
      </c>
      <c r="I3106" s="5">
        <v>45546</v>
      </c>
      <c r="J3106" s="4">
        <f t="shared" si="48"/>
        <v>31</v>
      </c>
    </row>
    <row r="3107" spans="1:10" x14ac:dyDescent="0.25">
      <c r="A3107" s="4">
        <f>_xlfn.XLOOKUP(E3107,'Data Validation'!$M$3:$M$10,'Data Validation'!$N$3:$N$10)</f>
        <v>8</v>
      </c>
      <c r="B3107" s="4">
        <v>20</v>
      </c>
      <c r="C3107" s="4" t="s">
        <v>11</v>
      </c>
      <c r="D3107" s="7">
        <v>32.82</v>
      </c>
      <c r="E3107" s="4" t="s">
        <v>12</v>
      </c>
      <c r="F3107" s="4" t="s">
        <v>20</v>
      </c>
      <c r="G3107" s="4" t="s">
        <v>47</v>
      </c>
      <c r="H3107" s="4" t="s">
        <v>56</v>
      </c>
      <c r="I3107" s="5">
        <v>45546</v>
      </c>
      <c r="J3107" s="4">
        <f t="shared" si="48"/>
        <v>31</v>
      </c>
    </row>
    <row r="3108" spans="1:10" x14ac:dyDescent="0.25">
      <c r="A3108" s="4">
        <f>_xlfn.XLOOKUP(E3108,'Data Validation'!$M$3:$M$10,'Data Validation'!$N$3:$N$10)</f>
        <v>8</v>
      </c>
      <c r="B3108" s="4">
        <v>20</v>
      </c>
      <c r="C3108" s="4" t="s">
        <v>11</v>
      </c>
      <c r="D3108" s="7">
        <v>32.82</v>
      </c>
      <c r="E3108" s="4" t="s">
        <v>12</v>
      </c>
      <c r="F3108" s="4" t="s">
        <v>20</v>
      </c>
      <c r="G3108" s="4" t="s">
        <v>47</v>
      </c>
      <c r="H3108" s="4" t="s">
        <v>56</v>
      </c>
      <c r="I3108" s="5">
        <v>45546</v>
      </c>
      <c r="J3108" s="4">
        <f t="shared" si="48"/>
        <v>31</v>
      </c>
    </row>
    <row r="3109" spans="1:10" x14ac:dyDescent="0.25">
      <c r="A3109" s="4">
        <f>_xlfn.XLOOKUP(E3109,'Data Validation'!$M$3:$M$10,'Data Validation'!$N$3:$N$10)</f>
        <v>8</v>
      </c>
      <c r="B3109" s="4">
        <v>17</v>
      </c>
      <c r="C3109" s="4" t="s">
        <v>11</v>
      </c>
      <c r="D3109" s="7">
        <v>32.82</v>
      </c>
      <c r="E3109" s="4" t="s">
        <v>12</v>
      </c>
      <c r="F3109" s="4" t="s">
        <v>20</v>
      </c>
      <c r="G3109" s="4" t="s">
        <v>48</v>
      </c>
      <c r="H3109" s="4" t="s">
        <v>56</v>
      </c>
      <c r="I3109" s="5">
        <v>45547</v>
      </c>
      <c r="J3109" s="4">
        <f t="shared" si="48"/>
        <v>31</v>
      </c>
    </row>
    <row r="3110" spans="1:10" x14ac:dyDescent="0.25">
      <c r="A3110" s="4">
        <f>_xlfn.XLOOKUP(E3110,'Data Validation'!$M$3:$M$10,'Data Validation'!$N$3:$N$10)</f>
        <v>8</v>
      </c>
      <c r="B3110" s="4">
        <v>7</v>
      </c>
      <c r="C3110" s="4" t="s">
        <v>11</v>
      </c>
      <c r="D3110" s="7">
        <v>32.82</v>
      </c>
      <c r="E3110" s="4" t="s">
        <v>12</v>
      </c>
      <c r="F3110" s="4" t="s">
        <v>13</v>
      </c>
      <c r="G3110" s="4" t="s">
        <v>49</v>
      </c>
      <c r="H3110" s="4" t="s">
        <v>56</v>
      </c>
      <c r="I3110" s="5">
        <v>45548</v>
      </c>
      <c r="J3110" s="4">
        <f t="shared" si="48"/>
        <v>31</v>
      </c>
    </row>
    <row r="3111" spans="1:10" x14ac:dyDescent="0.25">
      <c r="A3111" s="4">
        <f>_xlfn.XLOOKUP(E3111,'Data Validation'!$M$3:$M$10,'Data Validation'!$N$3:$N$10)</f>
        <v>8</v>
      </c>
      <c r="B3111" s="4">
        <v>8</v>
      </c>
      <c r="C3111" s="4" t="s">
        <v>11</v>
      </c>
      <c r="D3111" s="7">
        <v>32.82</v>
      </c>
      <c r="E3111" s="4" t="s">
        <v>12</v>
      </c>
      <c r="F3111" s="4" t="s">
        <v>13</v>
      </c>
      <c r="G3111" s="4" t="s">
        <v>49</v>
      </c>
      <c r="H3111" s="4" t="s">
        <v>56</v>
      </c>
      <c r="I3111" s="5">
        <v>45548</v>
      </c>
      <c r="J3111" s="4">
        <f t="shared" si="48"/>
        <v>31</v>
      </c>
    </row>
    <row r="3112" spans="1:10" x14ac:dyDescent="0.25">
      <c r="A3112" s="4">
        <f>_xlfn.XLOOKUP(E3112,'Data Validation'!$M$3:$M$10,'Data Validation'!$N$3:$N$10)</f>
        <v>8</v>
      </c>
      <c r="B3112" s="4">
        <v>8</v>
      </c>
      <c r="C3112" s="4" t="s">
        <v>11</v>
      </c>
      <c r="D3112" s="7">
        <v>32.82</v>
      </c>
      <c r="E3112" s="4" t="s">
        <v>12</v>
      </c>
      <c r="F3112" s="4" t="s">
        <v>13</v>
      </c>
      <c r="G3112" s="4" t="s">
        <v>49</v>
      </c>
      <c r="H3112" s="4" t="s">
        <v>56</v>
      </c>
      <c r="I3112" s="5">
        <v>45548</v>
      </c>
      <c r="J3112" s="4">
        <f t="shared" si="48"/>
        <v>31</v>
      </c>
    </row>
    <row r="3113" spans="1:10" x14ac:dyDescent="0.25">
      <c r="A3113" s="4">
        <f>_xlfn.XLOOKUP(E3113,'Data Validation'!$M$3:$M$10,'Data Validation'!$N$3:$N$10)</f>
        <v>8</v>
      </c>
      <c r="B3113" s="4">
        <v>9</v>
      </c>
      <c r="C3113" s="4" t="s">
        <v>11</v>
      </c>
      <c r="D3113" s="7">
        <v>32.82</v>
      </c>
      <c r="E3113" s="4" t="s">
        <v>12</v>
      </c>
      <c r="F3113" s="4" t="s">
        <v>13</v>
      </c>
      <c r="G3113" s="4" t="s">
        <v>49</v>
      </c>
      <c r="H3113" s="4" t="s">
        <v>56</v>
      </c>
      <c r="I3113" s="5">
        <v>45548</v>
      </c>
      <c r="J3113" s="4">
        <f t="shared" si="48"/>
        <v>31</v>
      </c>
    </row>
    <row r="3114" spans="1:10" x14ac:dyDescent="0.25">
      <c r="A3114" s="4">
        <f>_xlfn.XLOOKUP(E3114,'Data Validation'!$M$3:$M$10,'Data Validation'!$N$3:$N$10)</f>
        <v>8</v>
      </c>
      <c r="B3114" s="4">
        <v>13</v>
      </c>
      <c r="C3114" s="4" t="s">
        <v>11</v>
      </c>
      <c r="D3114" s="7">
        <v>32.82</v>
      </c>
      <c r="E3114" s="4" t="s">
        <v>12</v>
      </c>
      <c r="F3114" s="4" t="s">
        <v>17</v>
      </c>
      <c r="G3114" s="4" t="s">
        <v>45</v>
      </c>
      <c r="H3114" s="4" t="s">
        <v>56</v>
      </c>
      <c r="I3114" s="5">
        <v>45551</v>
      </c>
      <c r="J3114" s="4">
        <f t="shared" si="48"/>
        <v>31</v>
      </c>
    </row>
    <row r="3115" spans="1:10" x14ac:dyDescent="0.25">
      <c r="A3115" s="4">
        <f>_xlfn.XLOOKUP(E3115,'Data Validation'!$M$3:$M$10,'Data Validation'!$N$3:$N$10)</f>
        <v>8</v>
      </c>
      <c r="B3115" s="4">
        <v>15</v>
      </c>
      <c r="C3115" s="4" t="s">
        <v>11</v>
      </c>
      <c r="D3115" s="7">
        <v>32.82</v>
      </c>
      <c r="E3115" s="4" t="s">
        <v>12</v>
      </c>
      <c r="F3115" s="4" t="s">
        <v>17</v>
      </c>
      <c r="G3115" s="4" t="s">
        <v>45</v>
      </c>
      <c r="H3115" s="4" t="s">
        <v>56</v>
      </c>
      <c r="I3115" s="5">
        <v>45551</v>
      </c>
      <c r="J3115" s="4">
        <f t="shared" si="48"/>
        <v>31</v>
      </c>
    </row>
    <row r="3116" spans="1:10" x14ac:dyDescent="0.25">
      <c r="A3116" s="4">
        <f>_xlfn.XLOOKUP(E3116,'Data Validation'!$M$3:$M$10,'Data Validation'!$N$3:$N$10)</f>
        <v>8</v>
      </c>
      <c r="B3116" s="4">
        <v>17</v>
      </c>
      <c r="C3116" s="4" t="s">
        <v>11</v>
      </c>
      <c r="D3116" s="7">
        <v>32.82</v>
      </c>
      <c r="E3116" s="4" t="s">
        <v>12</v>
      </c>
      <c r="F3116" s="4" t="s">
        <v>20</v>
      </c>
      <c r="G3116" s="4" t="s">
        <v>45</v>
      </c>
      <c r="H3116" s="4" t="s">
        <v>56</v>
      </c>
      <c r="I3116" s="5">
        <v>45551</v>
      </c>
      <c r="J3116" s="4">
        <f t="shared" si="48"/>
        <v>31</v>
      </c>
    </row>
    <row r="3117" spans="1:10" x14ac:dyDescent="0.25">
      <c r="A3117" s="4">
        <f>_xlfn.XLOOKUP(E3117,'Data Validation'!$M$3:$M$10,'Data Validation'!$N$3:$N$10)</f>
        <v>8</v>
      </c>
      <c r="B3117" s="4">
        <v>18</v>
      </c>
      <c r="C3117" s="4" t="s">
        <v>11</v>
      </c>
      <c r="D3117" s="7">
        <v>32.82</v>
      </c>
      <c r="E3117" s="4" t="s">
        <v>12</v>
      </c>
      <c r="F3117" s="4" t="s">
        <v>20</v>
      </c>
      <c r="G3117" s="4" t="s">
        <v>45</v>
      </c>
      <c r="H3117" s="4" t="s">
        <v>56</v>
      </c>
      <c r="I3117" s="5">
        <v>45551</v>
      </c>
      <c r="J3117" s="4">
        <f t="shared" si="48"/>
        <v>31</v>
      </c>
    </row>
    <row r="3118" spans="1:10" x14ac:dyDescent="0.25">
      <c r="A3118" s="4">
        <f>_xlfn.XLOOKUP(E3118,'Data Validation'!$M$3:$M$10,'Data Validation'!$N$3:$N$10)</f>
        <v>8</v>
      </c>
      <c r="B3118" s="4">
        <v>18</v>
      </c>
      <c r="C3118" s="4" t="s">
        <v>11</v>
      </c>
      <c r="D3118" s="7">
        <v>32.82</v>
      </c>
      <c r="E3118" s="4" t="s">
        <v>12</v>
      </c>
      <c r="F3118" s="4" t="s">
        <v>20</v>
      </c>
      <c r="G3118" s="4" t="s">
        <v>45</v>
      </c>
      <c r="H3118" s="4" t="s">
        <v>56</v>
      </c>
      <c r="I3118" s="5">
        <v>45551</v>
      </c>
      <c r="J3118" s="4">
        <f t="shared" si="48"/>
        <v>31</v>
      </c>
    </row>
    <row r="3119" spans="1:10" x14ac:dyDescent="0.25">
      <c r="A3119" s="4">
        <f>_xlfn.XLOOKUP(E3119,'Data Validation'!$M$3:$M$10,'Data Validation'!$N$3:$N$10)</f>
        <v>8</v>
      </c>
      <c r="B3119" s="4">
        <v>21</v>
      </c>
      <c r="C3119" s="4" t="s">
        <v>11</v>
      </c>
      <c r="D3119" s="7">
        <v>32.82</v>
      </c>
      <c r="E3119" s="4" t="s">
        <v>12</v>
      </c>
      <c r="F3119" s="4" t="s">
        <v>20</v>
      </c>
      <c r="G3119" s="4" t="s">
        <v>45</v>
      </c>
      <c r="H3119" s="4" t="s">
        <v>56</v>
      </c>
      <c r="I3119" s="5">
        <v>45551</v>
      </c>
      <c r="J3119" s="4">
        <f t="shared" si="48"/>
        <v>31</v>
      </c>
    </row>
    <row r="3120" spans="1:10" x14ac:dyDescent="0.25">
      <c r="A3120" s="4">
        <f>_xlfn.XLOOKUP(E3120,'Data Validation'!$M$3:$M$10,'Data Validation'!$N$3:$N$10)</f>
        <v>8</v>
      </c>
      <c r="B3120" s="4">
        <v>8</v>
      </c>
      <c r="C3120" s="4" t="s">
        <v>11</v>
      </c>
      <c r="D3120" s="7">
        <v>32.82</v>
      </c>
      <c r="E3120" s="4" t="s">
        <v>12</v>
      </c>
      <c r="F3120" s="4" t="s">
        <v>13</v>
      </c>
      <c r="G3120" s="4" t="s">
        <v>46</v>
      </c>
      <c r="H3120" s="4" t="s">
        <v>56</v>
      </c>
      <c r="I3120" s="5">
        <v>45552</v>
      </c>
      <c r="J3120" s="4">
        <f t="shared" si="48"/>
        <v>31</v>
      </c>
    </row>
    <row r="3121" spans="1:10" x14ac:dyDescent="0.25">
      <c r="A3121" s="4">
        <f>_xlfn.XLOOKUP(E3121,'Data Validation'!$M$3:$M$10,'Data Validation'!$N$3:$N$10)</f>
        <v>8</v>
      </c>
      <c r="B3121" s="4">
        <v>12</v>
      </c>
      <c r="C3121" s="4" t="s">
        <v>11</v>
      </c>
      <c r="D3121" s="7">
        <v>32.82</v>
      </c>
      <c r="E3121" s="4" t="s">
        <v>12</v>
      </c>
      <c r="F3121" s="4" t="s">
        <v>17</v>
      </c>
      <c r="G3121" s="4" t="s">
        <v>46</v>
      </c>
      <c r="H3121" s="4" t="s">
        <v>56</v>
      </c>
      <c r="I3121" s="5">
        <v>45552</v>
      </c>
      <c r="J3121" s="4">
        <f t="shared" si="48"/>
        <v>31</v>
      </c>
    </row>
    <row r="3122" spans="1:10" x14ac:dyDescent="0.25">
      <c r="A3122" s="4">
        <f>_xlfn.XLOOKUP(E3122,'Data Validation'!$M$3:$M$10,'Data Validation'!$N$3:$N$10)</f>
        <v>8</v>
      </c>
      <c r="B3122" s="4">
        <v>16</v>
      </c>
      <c r="C3122" s="4" t="s">
        <v>11</v>
      </c>
      <c r="D3122" s="7">
        <v>32.82</v>
      </c>
      <c r="E3122" s="4" t="s">
        <v>12</v>
      </c>
      <c r="F3122" s="4" t="s">
        <v>17</v>
      </c>
      <c r="G3122" s="4" t="s">
        <v>46</v>
      </c>
      <c r="H3122" s="4" t="s">
        <v>56</v>
      </c>
      <c r="I3122" s="5">
        <v>45552</v>
      </c>
      <c r="J3122" s="4">
        <f t="shared" si="48"/>
        <v>31</v>
      </c>
    </row>
    <row r="3123" spans="1:10" x14ac:dyDescent="0.25">
      <c r="A3123" s="4">
        <f>_xlfn.XLOOKUP(E3123,'Data Validation'!$M$3:$M$10,'Data Validation'!$N$3:$N$10)</f>
        <v>8</v>
      </c>
      <c r="B3123" s="4">
        <v>19</v>
      </c>
      <c r="C3123" s="4" t="s">
        <v>11</v>
      </c>
      <c r="D3123" s="7">
        <v>32.82</v>
      </c>
      <c r="E3123" s="4" t="s">
        <v>12</v>
      </c>
      <c r="F3123" s="4" t="s">
        <v>20</v>
      </c>
      <c r="G3123" s="4" t="s">
        <v>46</v>
      </c>
      <c r="H3123" s="4" t="s">
        <v>56</v>
      </c>
      <c r="I3123" s="5">
        <v>45552</v>
      </c>
      <c r="J3123" s="4">
        <f t="shared" si="48"/>
        <v>31</v>
      </c>
    </row>
    <row r="3124" spans="1:10" x14ac:dyDescent="0.25">
      <c r="A3124" s="4">
        <f>_xlfn.XLOOKUP(E3124,'Data Validation'!$M$3:$M$10,'Data Validation'!$N$3:$N$10)</f>
        <v>8</v>
      </c>
      <c r="B3124" s="4">
        <v>14</v>
      </c>
      <c r="C3124" s="4" t="s">
        <v>11</v>
      </c>
      <c r="D3124" s="7">
        <v>32.82</v>
      </c>
      <c r="E3124" s="4" t="s">
        <v>12</v>
      </c>
      <c r="F3124" s="4" t="s">
        <v>17</v>
      </c>
      <c r="G3124" s="4" t="s">
        <v>47</v>
      </c>
      <c r="H3124" s="4" t="s">
        <v>56</v>
      </c>
      <c r="I3124" s="5">
        <v>45553</v>
      </c>
      <c r="J3124" s="4">
        <f t="shared" si="48"/>
        <v>31</v>
      </c>
    </row>
    <row r="3125" spans="1:10" x14ac:dyDescent="0.25">
      <c r="A3125" s="4">
        <f>_xlfn.XLOOKUP(E3125,'Data Validation'!$M$3:$M$10,'Data Validation'!$N$3:$N$10)</f>
        <v>8</v>
      </c>
      <c r="B3125" s="4">
        <v>17</v>
      </c>
      <c r="C3125" s="4" t="s">
        <v>11</v>
      </c>
      <c r="D3125" s="7">
        <v>32.82</v>
      </c>
      <c r="E3125" s="4" t="s">
        <v>12</v>
      </c>
      <c r="F3125" s="4" t="s">
        <v>20</v>
      </c>
      <c r="G3125" s="4" t="s">
        <v>47</v>
      </c>
      <c r="H3125" s="4" t="s">
        <v>56</v>
      </c>
      <c r="I3125" s="5">
        <v>45553</v>
      </c>
      <c r="J3125" s="4">
        <f t="shared" si="48"/>
        <v>31</v>
      </c>
    </row>
    <row r="3126" spans="1:10" x14ac:dyDescent="0.25">
      <c r="A3126" s="4">
        <f>_xlfn.XLOOKUP(E3126,'Data Validation'!$M$3:$M$10,'Data Validation'!$N$3:$N$10)</f>
        <v>8</v>
      </c>
      <c r="B3126" s="4">
        <v>10</v>
      </c>
      <c r="C3126" s="4" t="s">
        <v>11</v>
      </c>
      <c r="D3126" s="7">
        <v>32.82</v>
      </c>
      <c r="E3126" s="4" t="s">
        <v>12</v>
      </c>
      <c r="F3126" s="4" t="s">
        <v>13</v>
      </c>
      <c r="G3126" s="4" t="s">
        <v>48</v>
      </c>
      <c r="H3126" s="4" t="s">
        <v>56</v>
      </c>
      <c r="I3126" s="5">
        <v>45554</v>
      </c>
      <c r="J3126" s="4">
        <f t="shared" si="48"/>
        <v>31</v>
      </c>
    </row>
    <row r="3127" spans="1:10" x14ac:dyDescent="0.25">
      <c r="A3127" s="4">
        <f>_xlfn.XLOOKUP(E3127,'Data Validation'!$M$3:$M$10,'Data Validation'!$N$3:$N$10)</f>
        <v>8</v>
      </c>
      <c r="B3127" s="4">
        <v>16</v>
      </c>
      <c r="C3127" s="4" t="s">
        <v>11</v>
      </c>
      <c r="D3127" s="7">
        <v>32.82</v>
      </c>
      <c r="E3127" s="4" t="s">
        <v>12</v>
      </c>
      <c r="F3127" s="4" t="s">
        <v>17</v>
      </c>
      <c r="G3127" s="4" t="s">
        <v>49</v>
      </c>
      <c r="H3127" s="4" t="s">
        <v>56</v>
      </c>
      <c r="I3127" s="5">
        <v>45555</v>
      </c>
      <c r="J3127" s="4">
        <f t="shared" si="48"/>
        <v>31</v>
      </c>
    </row>
    <row r="3128" spans="1:10" x14ac:dyDescent="0.25">
      <c r="A3128" s="4">
        <f>_xlfn.XLOOKUP(E3128,'Data Validation'!$M$3:$M$10,'Data Validation'!$N$3:$N$10)</f>
        <v>8</v>
      </c>
      <c r="B3128" s="4">
        <v>11</v>
      </c>
      <c r="C3128" s="4" t="s">
        <v>11</v>
      </c>
      <c r="D3128" s="7">
        <v>32.82</v>
      </c>
      <c r="E3128" s="4" t="s">
        <v>12</v>
      </c>
      <c r="F3128" s="4" t="s">
        <v>13</v>
      </c>
      <c r="G3128" s="4" t="s">
        <v>50</v>
      </c>
      <c r="H3128" s="4" t="s">
        <v>56</v>
      </c>
      <c r="I3128" s="5">
        <v>45556</v>
      </c>
      <c r="J3128" s="4">
        <f t="shared" si="48"/>
        <v>31</v>
      </c>
    </row>
    <row r="3129" spans="1:10" x14ac:dyDescent="0.25">
      <c r="A3129" s="4">
        <f>_xlfn.XLOOKUP(E3129,'Data Validation'!$M$3:$M$10,'Data Validation'!$N$3:$N$10)</f>
        <v>8</v>
      </c>
      <c r="B3129" s="4">
        <v>15</v>
      </c>
      <c r="C3129" s="4" t="s">
        <v>11</v>
      </c>
      <c r="D3129" s="7">
        <v>32.82</v>
      </c>
      <c r="E3129" s="4" t="s">
        <v>12</v>
      </c>
      <c r="F3129" s="4" t="s">
        <v>17</v>
      </c>
      <c r="G3129" s="4" t="s">
        <v>50</v>
      </c>
      <c r="H3129" s="4" t="s">
        <v>56</v>
      </c>
      <c r="I3129" s="5">
        <v>45556</v>
      </c>
      <c r="J3129" s="4">
        <f t="shared" si="48"/>
        <v>31</v>
      </c>
    </row>
    <row r="3130" spans="1:10" x14ac:dyDescent="0.25">
      <c r="A3130" s="4">
        <f>_xlfn.XLOOKUP(E3130,'Data Validation'!$M$3:$M$10,'Data Validation'!$N$3:$N$10)</f>
        <v>8</v>
      </c>
      <c r="B3130" s="4">
        <v>18</v>
      </c>
      <c r="C3130" s="4" t="s">
        <v>11</v>
      </c>
      <c r="D3130" s="7">
        <v>32.82</v>
      </c>
      <c r="E3130" s="4" t="s">
        <v>12</v>
      </c>
      <c r="F3130" s="4" t="s">
        <v>20</v>
      </c>
      <c r="G3130" s="4" t="s">
        <v>50</v>
      </c>
      <c r="H3130" s="4" t="s">
        <v>56</v>
      </c>
      <c r="I3130" s="5">
        <v>45556</v>
      </c>
      <c r="J3130" s="4">
        <f t="shared" si="48"/>
        <v>31</v>
      </c>
    </row>
    <row r="3131" spans="1:10" x14ac:dyDescent="0.25">
      <c r="A3131" s="4">
        <f>_xlfn.XLOOKUP(E3131,'Data Validation'!$M$3:$M$10,'Data Validation'!$N$3:$N$10)</f>
        <v>8</v>
      </c>
      <c r="B3131" s="4">
        <v>18</v>
      </c>
      <c r="C3131" s="4" t="s">
        <v>11</v>
      </c>
      <c r="D3131" s="7">
        <v>32.82</v>
      </c>
      <c r="E3131" s="4" t="s">
        <v>12</v>
      </c>
      <c r="F3131" s="4" t="s">
        <v>20</v>
      </c>
      <c r="G3131" s="4" t="s">
        <v>50</v>
      </c>
      <c r="H3131" s="4" t="s">
        <v>56</v>
      </c>
      <c r="I3131" s="5">
        <v>45556</v>
      </c>
      <c r="J3131" s="4">
        <f t="shared" si="48"/>
        <v>31</v>
      </c>
    </row>
    <row r="3132" spans="1:10" x14ac:dyDescent="0.25">
      <c r="A3132" s="4">
        <f>_xlfn.XLOOKUP(E3132,'Data Validation'!$M$3:$M$10,'Data Validation'!$N$3:$N$10)</f>
        <v>8</v>
      </c>
      <c r="B3132" s="4">
        <v>20</v>
      </c>
      <c r="C3132" s="4" t="s">
        <v>11</v>
      </c>
      <c r="D3132" s="7">
        <v>32.82</v>
      </c>
      <c r="E3132" s="4" t="s">
        <v>12</v>
      </c>
      <c r="F3132" s="4" t="s">
        <v>20</v>
      </c>
      <c r="G3132" s="4" t="s">
        <v>50</v>
      </c>
      <c r="H3132" s="4" t="s">
        <v>56</v>
      </c>
      <c r="I3132" s="5">
        <v>45556</v>
      </c>
      <c r="J3132" s="4">
        <f t="shared" si="48"/>
        <v>31</v>
      </c>
    </row>
    <row r="3133" spans="1:10" x14ac:dyDescent="0.25">
      <c r="A3133" s="4">
        <f>_xlfn.XLOOKUP(E3133,'Data Validation'!$M$3:$M$10,'Data Validation'!$N$3:$N$10)</f>
        <v>8</v>
      </c>
      <c r="B3133" s="4">
        <v>20</v>
      </c>
      <c r="C3133" s="4" t="s">
        <v>11</v>
      </c>
      <c r="D3133" s="7">
        <v>32.82</v>
      </c>
      <c r="E3133" s="4" t="s">
        <v>12</v>
      </c>
      <c r="F3133" s="4" t="s">
        <v>20</v>
      </c>
      <c r="G3133" s="4" t="s">
        <v>50</v>
      </c>
      <c r="H3133" s="4" t="s">
        <v>56</v>
      </c>
      <c r="I3133" s="5">
        <v>45556</v>
      </c>
      <c r="J3133" s="4">
        <f t="shared" si="48"/>
        <v>31</v>
      </c>
    </row>
    <row r="3134" spans="1:10" x14ac:dyDescent="0.25">
      <c r="A3134" s="4">
        <f>_xlfn.XLOOKUP(E3134,'Data Validation'!$M$3:$M$10,'Data Validation'!$N$3:$N$10)</f>
        <v>8</v>
      </c>
      <c r="B3134" s="4">
        <v>10</v>
      </c>
      <c r="C3134" s="4" t="s">
        <v>11</v>
      </c>
      <c r="D3134" s="7">
        <v>32.82</v>
      </c>
      <c r="E3134" s="4" t="s">
        <v>12</v>
      </c>
      <c r="F3134" s="4" t="s">
        <v>13</v>
      </c>
      <c r="G3134" s="4" t="s">
        <v>51</v>
      </c>
      <c r="H3134" s="4" t="s">
        <v>56</v>
      </c>
      <c r="I3134" s="5">
        <v>45557</v>
      </c>
      <c r="J3134" s="4">
        <f t="shared" si="48"/>
        <v>31</v>
      </c>
    </row>
    <row r="3135" spans="1:10" x14ac:dyDescent="0.25">
      <c r="A3135" s="4">
        <f>_xlfn.XLOOKUP(E3135,'Data Validation'!$M$3:$M$10,'Data Validation'!$N$3:$N$10)</f>
        <v>8</v>
      </c>
      <c r="B3135" s="4">
        <v>15</v>
      </c>
      <c r="C3135" s="4" t="s">
        <v>11</v>
      </c>
      <c r="D3135" s="7">
        <v>32.82</v>
      </c>
      <c r="E3135" s="4" t="s">
        <v>12</v>
      </c>
      <c r="F3135" s="4" t="s">
        <v>17</v>
      </c>
      <c r="G3135" s="4" t="s">
        <v>51</v>
      </c>
      <c r="H3135" s="4" t="s">
        <v>56</v>
      </c>
      <c r="I3135" s="5">
        <v>45557</v>
      </c>
      <c r="J3135" s="4">
        <f t="shared" si="48"/>
        <v>31</v>
      </c>
    </row>
    <row r="3136" spans="1:10" x14ac:dyDescent="0.25">
      <c r="A3136" s="4">
        <f>_xlfn.XLOOKUP(E3136,'Data Validation'!$M$3:$M$10,'Data Validation'!$N$3:$N$10)</f>
        <v>8</v>
      </c>
      <c r="B3136" s="4">
        <v>20</v>
      </c>
      <c r="C3136" s="4" t="s">
        <v>11</v>
      </c>
      <c r="D3136" s="7">
        <v>32.82</v>
      </c>
      <c r="E3136" s="4" t="s">
        <v>12</v>
      </c>
      <c r="F3136" s="4" t="s">
        <v>20</v>
      </c>
      <c r="G3136" s="4" t="s">
        <v>51</v>
      </c>
      <c r="H3136" s="4" t="s">
        <v>56</v>
      </c>
      <c r="I3136" s="5">
        <v>45557</v>
      </c>
      <c r="J3136" s="4">
        <f t="shared" si="48"/>
        <v>31</v>
      </c>
    </row>
    <row r="3137" spans="1:10" x14ac:dyDescent="0.25">
      <c r="A3137" s="4">
        <f>_xlfn.XLOOKUP(E3137,'Data Validation'!$M$3:$M$10,'Data Validation'!$N$3:$N$10)</f>
        <v>8</v>
      </c>
      <c r="B3137" s="4">
        <v>19</v>
      </c>
      <c r="C3137" s="4" t="s">
        <v>11</v>
      </c>
      <c r="D3137" s="7">
        <v>32.82</v>
      </c>
      <c r="E3137" s="4" t="s">
        <v>12</v>
      </c>
      <c r="F3137" s="4" t="s">
        <v>20</v>
      </c>
      <c r="G3137" s="4" t="s">
        <v>45</v>
      </c>
      <c r="H3137" s="4" t="s">
        <v>56</v>
      </c>
      <c r="I3137" s="5">
        <v>45558</v>
      </c>
      <c r="J3137" s="4">
        <f t="shared" si="48"/>
        <v>31</v>
      </c>
    </row>
    <row r="3138" spans="1:10" x14ac:dyDescent="0.25">
      <c r="A3138" s="4">
        <f>_xlfn.XLOOKUP(E3138,'Data Validation'!$M$3:$M$10,'Data Validation'!$N$3:$N$10)</f>
        <v>8</v>
      </c>
      <c r="B3138" s="4">
        <v>12</v>
      </c>
      <c r="C3138" s="4" t="s">
        <v>11</v>
      </c>
      <c r="D3138" s="7">
        <v>32.82</v>
      </c>
      <c r="E3138" s="4" t="s">
        <v>12</v>
      </c>
      <c r="F3138" s="4" t="s">
        <v>17</v>
      </c>
      <c r="G3138" s="4" t="s">
        <v>46</v>
      </c>
      <c r="H3138" s="4" t="s">
        <v>56</v>
      </c>
      <c r="I3138" s="5">
        <v>45559</v>
      </c>
      <c r="J3138" s="4">
        <f t="shared" si="48"/>
        <v>31</v>
      </c>
    </row>
    <row r="3139" spans="1:10" x14ac:dyDescent="0.25">
      <c r="A3139" s="4">
        <f>_xlfn.XLOOKUP(E3139,'Data Validation'!$M$3:$M$10,'Data Validation'!$N$3:$N$10)</f>
        <v>8</v>
      </c>
      <c r="B3139" s="4">
        <v>12</v>
      </c>
      <c r="C3139" s="4" t="s">
        <v>11</v>
      </c>
      <c r="D3139" s="7">
        <v>32.82</v>
      </c>
      <c r="E3139" s="4" t="s">
        <v>12</v>
      </c>
      <c r="F3139" s="4" t="s">
        <v>17</v>
      </c>
      <c r="G3139" s="4" t="s">
        <v>46</v>
      </c>
      <c r="H3139" s="4" t="s">
        <v>56</v>
      </c>
      <c r="I3139" s="5">
        <v>45559</v>
      </c>
      <c r="J3139" s="4">
        <f t="shared" ref="J3139:J3202" si="49">IF(OR(E3139&lt;&gt;E3138,D3139&lt;&gt;D3138),J3138+1,J3138)</f>
        <v>31</v>
      </c>
    </row>
    <row r="3140" spans="1:10" x14ac:dyDescent="0.25">
      <c r="A3140" s="4">
        <f>_xlfn.XLOOKUP(E3140,'Data Validation'!$M$3:$M$10,'Data Validation'!$N$3:$N$10)</f>
        <v>8</v>
      </c>
      <c r="B3140" s="4">
        <v>12</v>
      </c>
      <c r="C3140" s="4" t="s">
        <v>11</v>
      </c>
      <c r="D3140" s="7">
        <v>32.82</v>
      </c>
      <c r="E3140" s="4" t="s">
        <v>12</v>
      </c>
      <c r="F3140" s="4" t="s">
        <v>17</v>
      </c>
      <c r="G3140" s="4" t="s">
        <v>46</v>
      </c>
      <c r="H3140" s="4" t="s">
        <v>56</v>
      </c>
      <c r="I3140" s="5">
        <v>45559</v>
      </c>
      <c r="J3140" s="4">
        <f t="shared" si="49"/>
        <v>31</v>
      </c>
    </row>
    <row r="3141" spans="1:10" x14ac:dyDescent="0.25">
      <c r="A3141" s="4">
        <f>_xlfn.XLOOKUP(E3141,'Data Validation'!$M$3:$M$10,'Data Validation'!$N$3:$N$10)</f>
        <v>8</v>
      </c>
      <c r="B3141" s="4">
        <v>12</v>
      </c>
      <c r="C3141" s="4" t="s">
        <v>11</v>
      </c>
      <c r="D3141" s="7">
        <v>32.82</v>
      </c>
      <c r="E3141" s="4" t="s">
        <v>12</v>
      </c>
      <c r="F3141" s="4" t="s">
        <v>17</v>
      </c>
      <c r="G3141" s="4" t="s">
        <v>46</v>
      </c>
      <c r="H3141" s="4" t="s">
        <v>56</v>
      </c>
      <c r="I3141" s="5">
        <v>45559</v>
      </c>
      <c r="J3141" s="4">
        <f t="shared" si="49"/>
        <v>31</v>
      </c>
    </row>
    <row r="3142" spans="1:10" x14ac:dyDescent="0.25">
      <c r="A3142" s="4">
        <f>_xlfn.XLOOKUP(E3142,'Data Validation'!$M$3:$M$10,'Data Validation'!$N$3:$N$10)</f>
        <v>8</v>
      </c>
      <c r="B3142" s="4">
        <v>14</v>
      </c>
      <c r="C3142" s="4" t="s">
        <v>11</v>
      </c>
      <c r="D3142" s="7">
        <v>32.82</v>
      </c>
      <c r="E3142" s="4" t="s">
        <v>12</v>
      </c>
      <c r="F3142" s="4" t="s">
        <v>17</v>
      </c>
      <c r="G3142" s="4" t="s">
        <v>46</v>
      </c>
      <c r="H3142" s="4" t="s">
        <v>56</v>
      </c>
      <c r="I3142" s="5">
        <v>45559</v>
      </c>
      <c r="J3142" s="4">
        <f t="shared" si="49"/>
        <v>31</v>
      </c>
    </row>
    <row r="3143" spans="1:10" x14ac:dyDescent="0.25">
      <c r="A3143" s="4">
        <f>_xlfn.XLOOKUP(E3143,'Data Validation'!$M$3:$M$10,'Data Validation'!$N$3:$N$10)</f>
        <v>8</v>
      </c>
      <c r="B3143" s="4">
        <v>16</v>
      </c>
      <c r="C3143" s="4" t="s">
        <v>11</v>
      </c>
      <c r="D3143" s="7">
        <v>32.82</v>
      </c>
      <c r="E3143" s="4" t="s">
        <v>12</v>
      </c>
      <c r="F3143" s="4" t="s">
        <v>17</v>
      </c>
      <c r="G3143" s="4" t="s">
        <v>46</v>
      </c>
      <c r="H3143" s="4" t="s">
        <v>56</v>
      </c>
      <c r="I3143" s="5">
        <v>45559</v>
      </c>
      <c r="J3143" s="4">
        <f t="shared" si="49"/>
        <v>31</v>
      </c>
    </row>
    <row r="3144" spans="1:10" x14ac:dyDescent="0.25">
      <c r="A3144" s="4">
        <f>_xlfn.XLOOKUP(E3144,'Data Validation'!$M$3:$M$10,'Data Validation'!$N$3:$N$10)</f>
        <v>8</v>
      </c>
      <c r="B3144" s="4">
        <v>21</v>
      </c>
      <c r="C3144" s="4" t="s">
        <v>11</v>
      </c>
      <c r="D3144" s="7">
        <v>32.82</v>
      </c>
      <c r="E3144" s="4" t="s">
        <v>12</v>
      </c>
      <c r="F3144" s="4" t="s">
        <v>20</v>
      </c>
      <c r="G3144" s="4" t="s">
        <v>46</v>
      </c>
      <c r="H3144" s="4" t="s">
        <v>56</v>
      </c>
      <c r="I3144" s="5">
        <v>45559</v>
      </c>
      <c r="J3144" s="4">
        <f t="shared" si="49"/>
        <v>31</v>
      </c>
    </row>
    <row r="3145" spans="1:10" x14ac:dyDescent="0.25">
      <c r="A3145" s="4">
        <f>_xlfn.XLOOKUP(E3145,'Data Validation'!$M$3:$M$10,'Data Validation'!$N$3:$N$10)</f>
        <v>8</v>
      </c>
      <c r="B3145" s="4">
        <v>11</v>
      </c>
      <c r="C3145" s="4" t="s">
        <v>11</v>
      </c>
      <c r="D3145" s="7">
        <v>32.82</v>
      </c>
      <c r="E3145" s="4" t="s">
        <v>12</v>
      </c>
      <c r="F3145" s="4" t="s">
        <v>13</v>
      </c>
      <c r="G3145" s="4" t="s">
        <v>47</v>
      </c>
      <c r="H3145" s="4" t="s">
        <v>56</v>
      </c>
      <c r="I3145" s="5">
        <v>45560</v>
      </c>
      <c r="J3145" s="4">
        <f t="shared" si="49"/>
        <v>31</v>
      </c>
    </row>
    <row r="3146" spans="1:10" x14ac:dyDescent="0.25">
      <c r="A3146" s="4">
        <f>_xlfn.XLOOKUP(E3146,'Data Validation'!$M$3:$M$10,'Data Validation'!$N$3:$N$10)</f>
        <v>8</v>
      </c>
      <c r="B3146" s="4">
        <v>8</v>
      </c>
      <c r="C3146" s="4" t="s">
        <v>11</v>
      </c>
      <c r="D3146" s="7">
        <v>32.82</v>
      </c>
      <c r="E3146" s="4" t="s">
        <v>12</v>
      </c>
      <c r="F3146" s="4" t="s">
        <v>13</v>
      </c>
      <c r="G3146" s="4" t="s">
        <v>48</v>
      </c>
      <c r="H3146" s="4" t="s">
        <v>56</v>
      </c>
      <c r="I3146" s="5">
        <v>45561</v>
      </c>
      <c r="J3146" s="4">
        <f t="shared" si="49"/>
        <v>31</v>
      </c>
    </row>
    <row r="3147" spans="1:10" x14ac:dyDescent="0.25">
      <c r="A3147" s="4">
        <f>_xlfn.XLOOKUP(E3147,'Data Validation'!$M$3:$M$10,'Data Validation'!$N$3:$N$10)</f>
        <v>8</v>
      </c>
      <c r="B3147" s="4">
        <v>12</v>
      </c>
      <c r="C3147" s="4" t="s">
        <v>11</v>
      </c>
      <c r="D3147" s="7">
        <v>32.82</v>
      </c>
      <c r="E3147" s="4" t="s">
        <v>12</v>
      </c>
      <c r="F3147" s="4" t="s">
        <v>17</v>
      </c>
      <c r="G3147" s="4" t="s">
        <v>48</v>
      </c>
      <c r="H3147" s="4" t="s">
        <v>56</v>
      </c>
      <c r="I3147" s="5">
        <v>45561</v>
      </c>
      <c r="J3147" s="4">
        <f t="shared" si="49"/>
        <v>31</v>
      </c>
    </row>
    <row r="3148" spans="1:10" x14ac:dyDescent="0.25">
      <c r="A3148" s="4">
        <f>_xlfn.XLOOKUP(E3148,'Data Validation'!$M$3:$M$10,'Data Validation'!$N$3:$N$10)</f>
        <v>8</v>
      </c>
      <c r="B3148" s="4">
        <v>18</v>
      </c>
      <c r="C3148" s="4" t="s">
        <v>11</v>
      </c>
      <c r="D3148" s="7">
        <v>32.82</v>
      </c>
      <c r="E3148" s="4" t="s">
        <v>12</v>
      </c>
      <c r="F3148" s="4" t="s">
        <v>20</v>
      </c>
      <c r="G3148" s="4" t="s">
        <v>48</v>
      </c>
      <c r="H3148" s="4" t="s">
        <v>56</v>
      </c>
      <c r="I3148" s="5">
        <v>45561</v>
      </c>
      <c r="J3148" s="4">
        <f t="shared" si="49"/>
        <v>31</v>
      </c>
    </row>
    <row r="3149" spans="1:10" x14ac:dyDescent="0.25">
      <c r="A3149" s="4">
        <f>_xlfn.XLOOKUP(E3149,'Data Validation'!$M$3:$M$10,'Data Validation'!$N$3:$N$10)</f>
        <v>8</v>
      </c>
      <c r="B3149" s="4">
        <v>22</v>
      </c>
      <c r="C3149" s="4" t="s">
        <v>11</v>
      </c>
      <c r="D3149" s="7">
        <v>32.82</v>
      </c>
      <c r="E3149" s="4" t="s">
        <v>12</v>
      </c>
      <c r="F3149" s="4" t="s">
        <v>20</v>
      </c>
      <c r="G3149" s="4" t="s">
        <v>48</v>
      </c>
      <c r="H3149" s="4" t="s">
        <v>56</v>
      </c>
      <c r="I3149" s="5">
        <v>45561</v>
      </c>
      <c r="J3149" s="4">
        <f t="shared" si="49"/>
        <v>31</v>
      </c>
    </row>
    <row r="3150" spans="1:10" x14ac:dyDescent="0.25">
      <c r="A3150" s="4">
        <f>_xlfn.XLOOKUP(E3150,'Data Validation'!$M$3:$M$10,'Data Validation'!$N$3:$N$10)</f>
        <v>8</v>
      </c>
      <c r="B3150" s="4">
        <v>18</v>
      </c>
      <c r="C3150" s="4" t="s">
        <v>11</v>
      </c>
      <c r="D3150" s="7">
        <v>32.82</v>
      </c>
      <c r="E3150" s="4" t="s">
        <v>12</v>
      </c>
      <c r="F3150" s="4" t="s">
        <v>20</v>
      </c>
      <c r="G3150" s="4" t="s">
        <v>49</v>
      </c>
      <c r="H3150" s="4" t="s">
        <v>56</v>
      </c>
      <c r="I3150" s="5">
        <v>45562</v>
      </c>
      <c r="J3150" s="4">
        <f t="shared" si="49"/>
        <v>31</v>
      </c>
    </row>
    <row r="3151" spans="1:10" x14ac:dyDescent="0.25">
      <c r="A3151" s="4">
        <f>_xlfn.XLOOKUP(E3151,'Data Validation'!$M$3:$M$10,'Data Validation'!$N$3:$N$10)</f>
        <v>8</v>
      </c>
      <c r="B3151" s="4">
        <v>18</v>
      </c>
      <c r="C3151" s="4" t="s">
        <v>11</v>
      </c>
      <c r="D3151" s="7">
        <v>32.82</v>
      </c>
      <c r="E3151" s="4" t="s">
        <v>12</v>
      </c>
      <c r="F3151" s="4" t="s">
        <v>20</v>
      </c>
      <c r="G3151" s="4" t="s">
        <v>49</v>
      </c>
      <c r="H3151" s="4" t="s">
        <v>56</v>
      </c>
      <c r="I3151" s="5">
        <v>45562</v>
      </c>
      <c r="J3151" s="4">
        <f t="shared" si="49"/>
        <v>31</v>
      </c>
    </row>
    <row r="3152" spans="1:10" x14ac:dyDescent="0.25">
      <c r="A3152" s="4">
        <f>_xlfn.XLOOKUP(E3152,'Data Validation'!$M$3:$M$10,'Data Validation'!$N$3:$N$10)</f>
        <v>8</v>
      </c>
      <c r="B3152" s="4">
        <v>14</v>
      </c>
      <c r="C3152" s="4" t="s">
        <v>11</v>
      </c>
      <c r="D3152" s="7">
        <v>35.76</v>
      </c>
      <c r="E3152" s="4" t="s">
        <v>12</v>
      </c>
      <c r="F3152" s="4" t="s">
        <v>17</v>
      </c>
      <c r="G3152" s="4" t="s">
        <v>50</v>
      </c>
      <c r="H3152" s="4" t="s">
        <v>56</v>
      </c>
      <c r="I3152" s="5">
        <v>45563</v>
      </c>
      <c r="J3152" s="4">
        <f t="shared" si="49"/>
        <v>32</v>
      </c>
    </row>
    <row r="3153" spans="1:10" x14ac:dyDescent="0.25">
      <c r="A3153" s="4">
        <f>_xlfn.XLOOKUP(E3153,'Data Validation'!$M$3:$M$10,'Data Validation'!$N$3:$N$10)</f>
        <v>8</v>
      </c>
      <c r="B3153" s="4">
        <v>16</v>
      </c>
      <c r="C3153" s="4" t="s">
        <v>11</v>
      </c>
      <c r="D3153" s="7">
        <v>35.76</v>
      </c>
      <c r="E3153" s="4" t="s">
        <v>12</v>
      </c>
      <c r="F3153" s="4" t="s">
        <v>17</v>
      </c>
      <c r="G3153" s="4" t="s">
        <v>50</v>
      </c>
      <c r="H3153" s="4" t="s">
        <v>56</v>
      </c>
      <c r="I3153" s="5">
        <v>45563</v>
      </c>
      <c r="J3153" s="4">
        <f t="shared" si="49"/>
        <v>32</v>
      </c>
    </row>
    <row r="3154" spans="1:10" x14ac:dyDescent="0.25">
      <c r="A3154" s="4">
        <f>_xlfn.XLOOKUP(E3154,'Data Validation'!$M$3:$M$10,'Data Validation'!$N$3:$N$10)</f>
        <v>8</v>
      </c>
      <c r="B3154" s="4">
        <v>20</v>
      </c>
      <c r="C3154" s="4" t="s">
        <v>11</v>
      </c>
      <c r="D3154" s="7">
        <v>35.76</v>
      </c>
      <c r="E3154" s="4" t="s">
        <v>12</v>
      </c>
      <c r="F3154" s="4" t="s">
        <v>20</v>
      </c>
      <c r="G3154" s="4" t="s">
        <v>50</v>
      </c>
      <c r="H3154" s="4" t="s">
        <v>56</v>
      </c>
      <c r="I3154" s="5">
        <v>45563</v>
      </c>
      <c r="J3154" s="4">
        <f t="shared" si="49"/>
        <v>32</v>
      </c>
    </row>
    <row r="3155" spans="1:10" x14ac:dyDescent="0.25">
      <c r="A3155" s="4">
        <f>_xlfn.XLOOKUP(E3155,'Data Validation'!$M$3:$M$10,'Data Validation'!$N$3:$N$10)</f>
        <v>8</v>
      </c>
      <c r="B3155" s="4">
        <v>20</v>
      </c>
      <c r="C3155" s="4" t="s">
        <v>11</v>
      </c>
      <c r="D3155" s="7">
        <v>35.76</v>
      </c>
      <c r="E3155" s="4" t="s">
        <v>12</v>
      </c>
      <c r="F3155" s="4" t="s">
        <v>20</v>
      </c>
      <c r="G3155" s="4" t="s">
        <v>50</v>
      </c>
      <c r="H3155" s="4" t="s">
        <v>56</v>
      </c>
      <c r="I3155" s="5">
        <v>45563</v>
      </c>
      <c r="J3155" s="4">
        <f t="shared" si="49"/>
        <v>32</v>
      </c>
    </row>
    <row r="3156" spans="1:10" x14ac:dyDescent="0.25">
      <c r="A3156" s="4">
        <f>_xlfn.XLOOKUP(E3156,'Data Validation'!$M$3:$M$10,'Data Validation'!$N$3:$N$10)</f>
        <v>8</v>
      </c>
      <c r="B3156" s="4">
        <v>12</v>
      </c>
      <c r="C3156" s="4" t="s">
        <v>11</v>
      </c>
      <c r="D3156" s="7">
        <v>35.76</v>
      </c>
      <c r="E3156" s="4" t="s">
        <v>12</v>
      </c>
      <c r="F3156" s="4" t="s">
        <v>17</v>
      </c>
      <c r="G3156" s="4" t="s">
        <v>51</v>
      </c>
      <c r="H3156" s="4" t="s">
        <v>56</v>
      </c>
      <c r="I3156" s="5">
        <v>45564</v>
      </c>
      <c r="J3156" s="4">
        <f t="shared" si="49"/>
        <v>32</v>
      </c>
    </row>
    <row r="3157" spans="1:10" x14ac:dyDescent="0.25">
      <c r="A3157" s="4">
        <f>_xlfn.XLOOKUP(E3157,'Data Validation'!$M$3:$M$10,'Data Validation'!$N$3:$N$10)</f>
        <v>8</v>
      </c>
      <c r="B3157" s="4">
        <v>12</v>
      </c>
      <c r="C3157" s="4" t="s">
        <v>11</v>
      </c>
      <c r="D3157" s="7">
        <v>35.76</v>
      </c>
      <c r="E3157" s="4" t="s">
        <v>12</v>
      </c>
      <c r="F3157" s="4" t="s">
        <v>17</v>
      </c>
      <c r="G3157" s="4" t="s">
        <v>51</v>
      </c>
      <c r="H3157" s="4" t="s">
        <v>56</v>
      </c>
      <c r="I3157" s="5">
        <v>45564</v>
      </c>
      <c r="J3157" s="4">
        <f t="shared" si="49"/>
        <v>32</v>
      </c>
    </row>
    <row r="3158" spans="1:10" x14ac:dyDescent="0.25">
      <c r="A3158" s="4">
        <f>_xlfn.XLOOKUP(E3158,'Data Validation'!$M$3:$M$10,'Data Validation'!$N$3:$N$10)</f>
        <v>8</v>
      </c>
      <c r="B3158" s="4">
        <v>12</v>
      </c>
      <c r="C3158" s="4" t="s">
        <v>11</v>
      </c>
      <c r="D3158" s="7">
        <v>35.76</v>
      </c>
      <c r="E3158" s="4" t="s">
        <v>12</v>
      </c>
      <c r="F3158" s="4" t="s">
        <v>17</v>
      </c>
      <c r="G3158" s="4" t="s">
        <v>51</v>
      </c>
      <c r="H3158" s="4" t="s">
        <v>56</v>
      </c>
      <c r="I3158" s="5">
        <v>45564</v>
      </c>
      <c r="J3158" s="4">
        <f t="shared" si="49"/>
        <v>32</v>
      </c>
    </row>
    <row r="3159" spans="1:10" x14ac:dyDescent="0.25">
      <c r="A3159" s="4">
        <f>_xlfn.XLOOKUP(E3159,'Data Validation'!$M$3:$M$10,'Data Validation'!$N$3:$N$10)</f>
        <v>8</v>
      </c>
      <c r="B3159" s="4">
        <v>22</v>
      </c>
      <c r="C3159" s="4" t="s">
        <v>11</v>
      </c>
      <c r="D3159" s="7">
        <v>35.76</v>
      </c>
      <c r="E3159" s="4" t="s">
        <v>12</v>
      </c>
      <c r="F3159" s="4" t="s">
        <v>20</v>
      </c>
      <c r="G3159" s="4" t="s">
        <v>51</v>
      </c>
      <c r="H3159" s="4" t="s">
        <v>56</v>
      </c>
      <c r="I3159" s="5">
        <v>45564</v>
      </c>
      <c r="J3159" s="4">
        <f t="shared" si="49"/>
        <v>32</v>
      </c>
    </row>
    <row r="3160" spans="1:10" x14ac:dyDescent="0.25">
      <c r="A3160" s="4">
        <f>_xlfn.XLOOKUP(E3160,'Data Validation'!$M$3:$M$10,'Data Validation'!$N$3:$N$10)</f>
        <v>8</v>
      </c>
      <c r="B3160" s="4">
        <v>19</v>
      </c>
      <c r="C3160" s="4" t="s">
        <v>11</v>
      </c>
      <c r="D3160" s="7">
        <v>35.76</v>
      </c>
      <c r="E3160" s="4" t="s">
        <v>12</v>
      </c>
      <c r="F3160" s="4" t="s">
        <v>20</v>
      </c>
      <c r="G3160" s="4" t="s">
        <v>45</v>
      </c>
      <c r="H3160" s="4" t="s">
        <v>56</v>
      </c>
      <c r="I3160" s="5">
        <v>45565</v>
      </c>
      <c r="J3160" s="4">
        <f t="shared" si="49"/>
        <v>32</v>
      </c>
    </row>
    <row r="3161" spans="1:10" x14ac:dyDescent="0.25">
      <c r="A3161" s="4">
        <f>_xlfn.XLOOKUP(E3161,'Data Validation'!$M$3:$M$10,'Data Validation'!$N$3:$N$10)</f>
        <v>8</v>
      </c>
      <c r="B3161" s="4">
        <v>19</v>
      </c>
      <c r="C3161" s="4" t="s">
        <v>11</v>
      </c>
      <c r="D3161" s="7">
        <v>35.76</v>
      </c>
      <c r="E3161" s="4" t="s">
        <v>12</v>
      </c>
      <c r="F3161" s="4" t="s">
        <v>20</v>
      </c>
      <c r="G3161" s="4" t="s">
        <v>45</v>
      </c>
      <c r="H3161" s="4" t="s">
        <v>56</v>
      </c>
      <c r="I3161" s="5">
        <v>45565</v>
      </c>
      <c r="J3161" s="4">
        <f t="shared" si="49"/>
        <v>32</v>
      </c>
    </row>
    <row r="3162" spans="1:10" x14ac:dyDescent="0.25">
      <c r="A3162" s="4">
        <f>_xlfn.XLOOKUP(E3162,'Data Validation'!$M$3:$M$10,'Data Validation'!$N$3:$N$10)</f>
        <v>8</v>
      </c>
      <c r="B3162" s="4">
        <v>7</v>
      </c>
      <c r="C3162" s="4" t="s">
        <v>11</v>
      </c>
      <c r="D3162" s="7">
        <v>35.76</v>
      </c>
      <c r="E3162" s="4" t="s">
        <v>12</v>
      </c>
      <c r="F3162" s="4" t="s">
        <v>13</v>
      </c>
      <c r="G3162" s="4" t="s">
        <v>46</v>
      </c>
      <c r="H3162" s="4" t="s">
        <v>57</v>
      </c>
      <c r="I3162" s="5">
        <v>45566</v>
      </c>
      <c r="J3162" s="4">
        <f t="shared" si="49"/>
        <v>32</v>
      </c>
    </row>
    <row r="3163" spans="1:10" x14ac:dyDescent="0.25">
      <c r="A3163" s="4">
        <f>_xlfn.XLOOKUP(E3163,'Data Validation'!$M$3:$M$10,'Data Validation'!$N$3:$N$10)</f>
        <v>8</v>
      </c>
      <c r="B3163" s="4">
        <v>18</v>
      </c>
      <c r="C3163" s="4" t="s">
        <v>11</v>
      </c>
      <c r="D3163" s="7">
        <v>35.76</v>
      </c>
      <c r="E3163" s="4" t="s">
        <v>12</v>
      </c>
      <c r="F3163" s="4" t="s">
        <v>20</v>
      </c>
      <c r="G3163" s="4" t="s">
        <v>46</v>
      </c>
      <c r="H3163" s="4" t="s">
        <v>57</v>
      </c>
      <c r="I3163" s="5">
        <v>45566</v>
      </c>
      <c r="J3163" s="4">
        <f t="shared" si="49"/>
        <v>32</v>
      </c>
    </row>
    <row r="3164" spans="1:10" x14ac:dyDescent="0.25">
      <c r="A3164" s="4">
        <f>_xlfn.XLOOKUP(E3164,'Data Validation'!$M$3:$M$10,'Data Validation'!$N$3:$N$10)</f>
        <v>8</v>
      </c>
      <c r="B3164" s="4">
        <v>18</v>
      </c>
      <c r="C3164" s="4" t="s">
        <v>11</v>
      </c>
      <c r="D3164" s="7">
        <v>35.76</v>
      </c>
      <c r="E3164" s="4" t="s">
        <v>12</v>
      </c>
      <c r="F3164" s="4" t="s">
        <v>20</v>
      </c>
      <c r="G3164" s="4" t="s">
        <v>46</v>
      </c>
      <c r="H3164" s="4" t="s">
        <v>57</v>
      </c>
      <c r="I3164" s="5">
        <v>45566</v>
      </c>
      <c r="J3164" s="4">
        <f t="shared" si="49"/>
        <v>32</v>
      </c>
    </row>
    <row r="3165" spans="1:10" x14ac:dyDescent="0.25">
      <c r="A3165" s="4">
        <f>_xlfn.XLOOKUP(E3165,'Data Validation'!$M$3:$M$10,'Data Validation'!$N$3:$N$10)</f>
        <v>8</v>
      </c>
      <c r="B3165" s="4">
        <v>7</v>
      </c>
      <c r="C3165" s="4" t="s">
        <v>11</v>
      </c>
      <c r="D3165" s="7">
        <v>35.76</v>
      </c>
      <c r="E3165" s="4" t="s">
        <v>12</v>
      </c>
      <c r="F3165" s="4" t="s">
        <v>13</v>
      </c>
      <c r="G3165" s="4" t="s">
        <v>47</v>
      </c>
      <c r="H3165" s="4" t="s">
        <v>57</v>
      </c>
      <c r="I3165" s="5">
        <v>45567</v>
      </c>
      <c r="J3165" s="4">
        <f t="shared" si="49"/>
        <v>32</v>
      </c>
    </row>
    <row r="3166" spans="1:10" x14ac:dyDescent="0.25">
      <c r="A3166" s="4">
        <f>_xlfn.XLOOKUP(E3166,'Data Validation'!$M$3:$M$10,'Data Validation'!$N$3:$N$10)</f>
        <v>8</v>
      </c>
      <c r="B3166" s="4">
        <v>10</v>
      </c>
      <c r="C3166" s="4" t="s">
        <v>11</v>
      </c>
      <c r="D3166" s="7">
        <v>35.76</v>
      </c>
      <c r="E3166" s="4" t="s">
        <v>12</v>
      </c>
      <c r="F3166" s="4" t="s">
        <v>13</v>
      </c>
      <c r="G3166" s="4" t="s">
        <v>47</v>
      </c>
      <c r="H3166" s="4" t="s">
        <v>57</v>
      </c>
      <c r="I3166" s="5">
        <v>45567</v>
      </c>
      <c r="J3166" s="4">
        <f t="shared" si="49"/>
        <v>32</v>
      </c>
    </row>
    <row r="3167" spans="1:10" x14ac:dyDescent="0.25">
      <c r="A3167" s="4">
        <f>_xlfn.XLOOKUP(E3167,'Data Validation'!$M$3:$M$10,'Data Validation'!$N$3:$N$10)</f>
        <v>8</v>
      </c>
      <c r="B3167" s="4">
        <v>17</v>
      </c>
      <c r="C3167" s="4" t="s">
        <v>11</v>
      </c>
      <c r="D3167" s="7">
        <v>35.76</v>
      </c>
      <c r="E3167" s="4" t="s">
        <v>12</v>
      </c>
      <c r="F3167" s="4" t="s">
        <v>20</v>
      </c>
      <c r="G3167" s="4" t="s">
        <v>49</v>
      </c>
      <c r="H3167" s="4" t="s">
        <v>57</v>
      </c>
      <c r="I3167" s="5">
        <v>45569</v>
      </c>
      <c r="J3167" s="4">
        <f t="shared" si="49"/>
        <v>32</v>
      </c>
    </row>
    <row r="3168" spans="1:10" x14ac:dyDescent="0.25">
      <c r="A3168" s="4">
        <f>_xlfn.XLOOKUP(E3168,'Data Validation'!$M$3:$M$10,'Data Validation'!$N$3:$N$10)</f>
        <v>8</v>
      </c>
      <c r="B3168" s="4">
        <v>11</v>
      </c>
      <c r="C3168" s="4" t="s">
        <v>11</v>
      </c>
      <c r="D3168" s="7">
        <v>35.76</v>
      </c>
      <c r="E3168" s="4" t="s">
        <v>12</v>
      </c>
      <c r="F3168" s="4" t="s">
        <v>13</v>
      </c>
      <c r="G3168" s="4" t="s">
        <v>51</v>
      </c>
      <c r="H3168" s="4" t="s">
        <v>57</v>
      </c>
      <c r="I3168" s="5">
        <v>45571</v>
      </c>
      <c r="J3168" s="4">
        <f t="shared" si="49"/>
        <v>32</v>
      </c>
    </row>
    <row r="3169" spans="1:10" x14ac:dyDescent="0.25">
      <c r="A3169" s="4">
        <f>_xlfn.XLOOKUP(E3169,'Data Validation'!$M$3:$M$10,'Data Validation'!$N$3:$N$10)</f>
        <v>8</v>
      </c>
      <c r="B3169" s="4">
        <v>12</v>
      </c>
      <c r="C3169" s="4" t="s">
        <v>11</v>
      </c>
      <c r="D3169" s="7">
        <v>35.76</v>
      </c>
      <c r="E3169" s="4" t="s">
        <v>12</v>
      </c>
      <c r="F3169" s="4" t="s">
        <v>17</v>
      </c>
      <c r="G3169" s="4" t="s">
        <v>51</v>
      </c>
      <c r="H3169" s="4" t="s">
        <v>57</v>
      </c>
      <c r="I3169" s="5">
        <v>45571</v>
      </c>
      <c r="J3169" s="4">
        <f t="shared" si="49"/>
        <v>32</v>
      </c>
    </row>
    <row r="3170" spans="1:10" x14ac:dyDescent="0.25">
      <c r="A3170" s="4">
        <f>_xlfn.XLOOKUP(E3170,'Data Validation'!$M$3:$M$10,'Data Validation'!$N$3:$N$10)</f>
        <v>8</v>
      </c>
      <c r="B3170" s="4">
        <v>13</v>
      </c>
      <c r="C3170" s="4" t="s">
        <v>11</v>
      </c>
      <c r="D3170" s="7">
        <v>35.76</v>
      </c>
      <c r="E3170" s="4" t="s">
        <v>12</v>
      </c>
      <c r="F3170" s="4" t="s">
        <v>17</v>
      </c>
      <c r="G3170" s="4" t="s">
        <v>51</v>
      </c>
      <c r="H3170" s="4" t="s">
        <v>57</v>
      </c>
      <c r="I3170" s="5">
        <v>45571</v>
      </c>
      <c r="J3170" s="4">
        <f t="shared" si="49"/>
        <v>32</v>
      </c>
    </row>
    <row r="3171" spans="1:10" x14ac:dyDescent="0.25">
      <c r="A3171" s="4">
        <f>_xlfn.XLOOKUP(E3171,'Data Validation'!$M$3:$M$10,'Data Validation'!$N$3:$N$10)</f>
        <v>8</v>
      </c>
      <c r="B3171" s="4">
        <v>21</v>
      </c>
      <c r="C3171" s="4" t="s">
        <v>11</v>
      </c>
      <c r="D3171" s="7">
        <v>35.76</v>
      </c>
      <c r="E3171" s="4" t="s">
        <v>12</v>
      </c>
      <c r="F3171" s="4" t="s">
        <v>20</v>
      </c>
      <c r="G3171" s="4" t="s">
        <v>51</v>
      </c>
      <c r="H3171" s="4" t="s">
        <v>57</v>
      </c>
      <c r="I3171" s="5">
        <v>45571</v>
      </c>
      <c r="J3171" s="4">
        <f t="shared" si="49"/>
        <v>32</v>
      </c>
    </row>
    <row r="3172" spans="1:10" x14ac:dyDescent="0.25">
      <c r="A3172" s="4">
        <f>_xlfn.XLOOKUP(E3172,'Data Validation'!$M$3:$M$10,'Data Validation'!$N$3:$N$10)</f>
        <v>8</v>
      </c>
      <c r="B3172" s="4">
        <v>8</v>
      </c>
      <c r="C3172" s="4" t="s">
        <v>11</v>
      </c>
      <c r="D3172" s="7">
        <v>35.76</v>
      </c>
      <c r="E3172" s="4" t="s">
        <v>12</v>
      </c>
      <c r="F3172" s="4" t="s">
        <v>13</v>
      </c>
      <c r="G3172" s="4" t="s">
        <v>45</v>
      </c>
      <c r="H3172" s="4" t="s">
        <v>57</v>
      </c>
      <c r="I3172" s="5">
        <v>45572</v>
      </c>
      <c r="J3172" s="4">
        <f t="shared" si="49"/>
        <v>32</v>
      </c>
    </row>
    <row r="3173" spans="1:10" x14ac:dyDescent="0.25">
      <c r="A3173" s="4">
        <f>_xlfn.XLOOKUP(E3173,'Data Validation'!$M$3:$M$10,'Data Validation'!$N$3:$N$10)</f>
        <v>8</v>
      </c>
      <c r="B3173" s="4">
        <v>8</v>
      </c>
      <c r="C3173" s="4" t="s">
        <v>11</v>
      </c>
      <c r="D3173" s="7">
        <v>35.76</v>
      </c>
      <c r="E3173" s="4" t="s">
        <v>12</v>
      </c>
      <c r="F3173" s="4" t="s">
        <v>13</v>
      </c>
      <c r="G3173" s="4" t="s">
        <v>45</v>
      </c>
      <c r="H3173" s="4" t="s">
        <v>57</v>
      </c>
      <c r="I3173" s="5">
        <v>45572</v>
      </c>
      <c r="J3173" s="4">
        <f t="shared" si="49"/>
        <v>32</v>
      </c>
    </row>
    <row r="3174" spans="1:10" x14ac:dyDescent="0.25">
      <c r="A3174" s="4">
        <f>_xlfn.XLOOKUP(E3174,'Data Validation'!$M$3:$M$10,'Data Validation'!$N$3:$N$10)</f>
        <v>8</v>
      </c>
      <c r="B3174" s="4">
        <v>9</v>
      </c>
      <c r="C3174" s="4" t="s">
        <v>11</v>
      </c>
      <c r="D3174" s="7">
        <v>35.76</v>
      </c>
      <c r="E3174" s="4" t="s">
        <v>12</v>
      </c>
      <c r="F3174" s="4" t="s">
        <v>13</v>
      </c>
      <c r="G3174" s="4" t="s">
        <v>45</v>
      </c>
      <c r="H3174" s="4" t="s">
        <v>57</v>
      </c>
      <c r="I3174" s="5">
        <v>45572</v>
      </c>
      <c r="J3174" s="4">
        <f t="shared" si="49"/>
        <v>32</v>
      </c>
    </row>
    <row r="3175" spans="1:10" x14ac:dyDescent="0.25">
      <c r="A3175" s="4">
        <f>_xlfn.XLOOKUP(E3175,'Data Validation'!$M$3:$M$10,'Data Validation'!$N$3:$N$10)</f>
        <v>8</v>
      </c>
      <c r="B3175" s="4">
        <v>17</v>
      </c>
      <c r="C3175" s="4" t="s">
        <v>11</v>
      </c>
      <c r="D3175" s="7">
        <v>35.76</v>
      </c>
      <c r="E3175" s="4" t="s">
        <v>12</v>
      </c>
      <c r="F3175" s="4" t="s">
        <v>20</v>
      </c>
      <c r="G3175" s="4" t="s">
        <v>45</v>
      </c>
      <c r="H3175" s="4" t="s">
        <v>57</v>
      </c>
      <c r="I3175" s="5">
        <v>45572</v>
      </c>
      <c r="J3175" s="4">
        <f t="shared" si="49"/>
        <v>32</v>
      </c>
    </row>
    <row r="3176" spans="1:10" x14ac:dyDescent="0.25">
      <c r="A3176" s="4">
        <f>_xlfn.XLOOKUP(E3176,'Data Validation'!$M$3:$M$10,'Data Validation'!$N$3:$N$10)</f>
        <v>8</v>
      </c>
      <c r="B3176" s="4">
        <v>21</v>
      </c>
      <c r="C3176" s="4" t="s">
        <v>11</v>
      </c>
      <c r="D3176" s="7">
        <v>35.76</v>
      </c>
      <c r="E3176" s="4" t="s">
        <v>12</v>
      </c>
      <c r="F3176" s="4" t="s">
        <v>20</v>
      </c>
      <c r="G3176" s="4" t="s">
        <v>45</v>
      </c>
      <c r="H3176" s="4" t="s">
        <v>57</v>
      </c>
      <c r="I3176" s="5">
        <v>45572</v>
      </c>
      <c r="J3176" s="4">
        <f t="shared" si="49"/>
        <v>32</v>
      </c>
    </row>
    <row r="3177" spans="1:10" x14ac:dyDescent="0.25">
      <c r="A3177" s="4">
        <f>_xlfn.XLOOKUP(E3177,'Data Validation'!$M$3:$M$10,'Data Validation'!$N$3:$N$10)</f>
        <v>8</v>
      </c>
      <c r="B3177" s="4">
        <v>8</v>
      </c>
      <c r="C3177" s="4" t="s">
        <v>11</v>
      </c>
      <c r="D3177" s="7">
        <v>35.76</v>
      </c>
      <c r="E3177" s="4" t="s">
        <v>12</v>
      </c>
      <c r="F3177" s="4" t="s">
        <v>13</v>
      </c>
      <c r="G3177" s="4" t="s">
        <v>46</v>
      </c>
      <c r="H3177" s="4" t="s">
        <v>57</v>
      </c>
      <c r="I3177" s="5">
        <v>45573</v>
      </c>
      <c r="J3177" s="4">
        <f t="shared" si="49"/>
        <v>32</v>
      </c>
    </row>
    <row r="3178" spans="1:10" x14ac:dyDescent="0.25">
      <c r="A3178" s="4">
        <f>_xlfn.XLOOKUP(E3178,'Data Validation'!$M$3:$M$10,'Data Validation'!$N$3:$N$10)</f>
        <v>8</v>
      </c>
      <c r="B3178" s="4">
        <v>10</v>
      </c>
      <c r="C3178" s="4" t="s">
        <v>11</v>
      </c>
      <c r="D3178" s="7">
        <v>35.76</v>
      </c>
      <c r="E3178" s="4" t="s">
        <v>12</v>
      </c>
      <c r="F3178" s="4" t="s">
        <v>13</v>
      </c>
      <c r="G3178" s="4" t="s">
        <v>46</v>
      </c>
      <c r="H3178" s="4" t="s">
        <v>57</v>
      </c>
      <c r="I3178" s="5">
        <v>45573</v>
      </c>
      <c r="J3178" s="4">
        <f t="shared" si="49"/>
        <v>32</v>
      </c>
    </row>
    <row r="3179" spans="1:10" x14ac:dyDescent="0.25">
      <c r="A3179" s="4">
        <f>_xlfn.XLOOKUP(E3179,'Data Validation'!$M$3:$M$10,'Data Validation'!$N$3:$N$10)</f>
        <v>8</v>
      </c>
      <c r="B3179" s="4">
        <v>11</v>
      </c>
      <c r="C3179" s="4" t="s">
        <v>11</v>
      </c>
      <c r="D3179" s="7">
        <v>35.76</v>
      </c>
      <c r="E3179" s="4" t="s">
        <v>12</v>
      </c>
      <c r="F3179" s="4" t="s">
        <v>13</v>
      </c>
      <c r="G3179" s="4" t="s">
        <v>46</v>
      </c>
      <c r="H3179" s="4" t="s">
        <v>57</v>
      </c>
      <c r="I3179" s="5">
        <v>45573</v>
      </c>
      <c r="J3179" s="4">
        <f t="shared" si="49"/>
        <v>32</v>
      </c>
    </row>
    <row r="3180" spans="1:10" x14ac:dyDescent="0.25">
      <c r="A3180" s="4">
        <f>_xlfn.XLOOKUP(E3180,'Data Validation'!$M$3:$M$10,'Data Validation'!$N$3:$N$10)</f>
        <v>8</v>
      </c>
      <c r="B3180" s="4">
        <v>13</v>
      </c>
      <c r="C3180" s="4" t="s">
        <v>11</v>
      </c>
      <c r="D3180" s="7">
        <v>35.76</v>
      </c>
      <c r="E3180" s="4" t="s">
        <v>12</v>
      </c>
      <c r="F3180" s="4" t="s">
        <v>17</v>
      </c>
      <c r="G3180" s="4" t="s">
        <v>46</v>
      </c>
      <c r="H3180" s="4" t="s">
        <v>57</v>
      </c>
      <c r="I3180" s="5">
        <v>45573</v>
      </c>
      <c r="J3180" s="4">
        <f t="shared" si="49"/>
        <v>32</v>
      </c>
    </row>
    <row r="3181" spans="1:10" x14ac:dyDescent="0.25">
      <c r="A3181" s="4">
        <f>_xlfn.XLOOKUP(E3181,'Data Validation'!$M$3:$M$10,'Data Validation'!$N$3:$N$10)</f>
        <v>8</v>
      </c>
      <c r="B3181" s="4">
        <v>13</v>
      </c>
      <c r="C3181" s="4" t="s">
        <v>11</v>
      </c>
      <c r="D3181" s="7">
        <v>35.76</v>
      </c>
      <c r="E3181" s="4" t="s">
        <v>12</v>
      </c>
      <c r="F3181" s="4" t="s">
        <v>17</v>
      </c>
      <c r="G3181" s="4" t="s">
        <v>46</v>
      </c>
      <c r="H3181" s="4" t="s">
        <v>57</v>
      </c>
      <c r="I3181" s="5">
        <v>45573</v>
      </c>
      <c r="J3181" s="4">
        <f t="shared" si="49"/>
        <v>32</v>
      </c>
    </row>
    <row r="3182" spans="1:10" x14ac:dyDescent="0.25">
      <c r="A3182" s="4">
        <f>_xlfn.XLOOKUP(E3182,'Data Validation'!$M$3:$M$10,'Data Validation'!$N$3:$N$10)</f>
        <v>8</v>
      </c>
      <c r="B3182" s="4">
        <v>14</v>
      </c>
      <c r="C3182" s="4" t="s">
        <v>11</v>
      </c>
      <c r="D3182" s="7">
        <v>35.76</v>
      </c>
      <c r="E3182" s="4" t="s">
        <v>12</v>
      </c>
      <c r="F3182" s="4" t="s">
        <v>17</v>
      </c>
      <c r="G3182" s="4" t="s">
        <v>46</v>
      </c>
      <c r="H3182" s="4" t="s">
        <v>57</v>
      </c>
      <c r="I3182" s="5">
        <v>45573</v>
      </c>
      <c r="J3182" s="4">
        <f t="shared" si="49"/>
        <v>32</v>
      </c>
    </row>
    <row r="3183" spans="1:10" x14ac:dyDescent="0.25">
      <c r="A3183" s="4">
        <f>_xlfn.XLOOKUP(E3183,'Data Validation'!$M$3:$M$10,'Data Validation'!$N$3:$N$10)</f>
        <v>8</v>
      </c>
      <c r="B3183" s="4">
        <v>15</v>
      </c>
      <c r="C3183" s="4" t="s">
        <v>11</v>
      </c>
      <c r="D3183" s="7">
        <v>35.76</v>
      </c>
      <c r="E3183" s="4" t="s">
        <v>12</v>
      </c>
      <c r="F3183" s="4" t="s">
        <v>17</v>
      </c>
      <c r="G3183" s="4" t="s">
        <v>46</v>
      </c>
      <c r="H3183" s="4" t="s">
        <v>57</v>
      </c>
      <c r="I3183" s="5">
        <v>45573</v>
      </c>
      <c r="J3183" s="4">
        <f t="shared" si="49"/>
        <v>32</v>
      </c>
    </row>
    <row r="3184" spans="1:10" x14ac:dyDescent="0.25">
      <c r="A3184" s="4">
        <f>_xlfn.XLOOKUP(E3184,'Data Validation'!$M$3:$M$10,'Data Validation'!$N$3:$N$10)</f>
        <v>8</v>
      </c>
      <c r="B3184" s="4">
        <v>20</v>
      </c>
      <c r="C3184" s="4" t="s">
        <v>11</v>
      </c>
      <c r="D3184" s="7">
        <v>35.76</v>
      </c>
      <c r="E3184" s="4" t="s">
        <v>12</v>
      </c>
      <c r="F3184" s="4" t="s">
        <v>20</v>
      </c>
      <c r="G3184" s="4" t="s">
        <v>46</v>
      </c>
      <c r="H3184" s="4" t="s">
        <v>57</v>
      </c>
      <c r="I3184" s="5">
        <v>45573</v>
      </c>
      <c r="J3184" s="4">
        <f t="shared" si="49"/>
        <v>32</v>
      </c>
    </row>
    <row r="3185" spans="1:10" x14ac:dyDescent="0.25">
      <c r="A3185" s="4">
        <f>_xlfn.XLOOKUP(E3185,'Data Validation'!$M$3:$M$10,'Data Validation'!$N$3:$N$10)</f>
        <v>8</v>
      </c>
      <c r="B3185" s="4">
        <v>7</v>
      </c>
      <c r="C3185" s="4" t="s">
        <v>11</v>
      </c>
      <c r="D3185" s="7">
        <v>35.76</v>
      </c>
      <c r="E3185" s="4" t="s">
        <v>12</v>
      </c>
      <c r="F3185" s="4" t="s">
        <v>13</v>
      </c>
      <c r="G3185" s="4" t="s">
        <v>47</v>
      </c>
      <c r="H3185" s="4" t="s">
        <v>57</v>
      </c>
      <c r="I3185" s="5">
        <v>45574</v>
      </c>
      <c r="J3185" s="4">
        <f t="shared" si="49"/>
        <v>32</v>
      </c>
    </row>
    <row r="3186" spans="1:10" x14ac:dyDescent="0.25">
      <c r="A3186" s="4">
        <f>_xlfn.XLOOKUP(E3186,'Data Validation'!$M$3:$M$10,'Data Validation'!$N$3:$N$10)</f>
        <v>8</v>
      </c>
      <c r="B3186" s="4">
        <v>9</v>
      </c>
      <c r="C3186" s="4" t="s">
        <v>11</v>
      </c>
      <c r="D3186" s="7">
        <v>35.76</v>
      </c>
      <c r="E3186" s="4" t="s">
        <v>12</v>
      </c>
      <c r="F3186" s="4" t="s">
        <v>13</v>
      </c>
      <c r="G3186" s="4" t="s">
        <v>47</v>
      </c>
      <c r="H3186" s="4" t="s">
        <v>57</v>
      </c>
      <c r="I3186" s="5">
        <v>45574</v>
      </c>
      <c r="J3186" s="4">
        <f t="shared" si="49"/>
        <v>32</v>
      </c>
    </row>
    <row r="3187" spans="1:10" x14ac:dyDescent="0.25">
      <c r="A3187" s="4">
        <f>_xlfn.XLOOKUP(E3187,'Data Validation'!$M$3:$M$10,'Data Validation'!$N$3:$N$10)</f>
        <v>8</v>
      </c>
      <c r="B3187" s="4">
        <v>13</v>
      </c>
      <c r="C3187" s="4" t="s">
        <v>11</v>
      </c>
      <c r="D3187" s="7">
        <v>35.76</v>
      </c>
      <c r="E3187" s="4" t="s">
        <v>12</v>
      </c>
      <c r="F3187" s="4" t="s">
        <v>17</v>
      </c>
      <c r="G3187" s="4" t="s">
        <v>47</v>
      </c>
      <c r="H3187" s="4" t="s">
        <v>57</v>
      </c>
      <c r="I3187" s="5">
        <v>45574</v>
      </c>
      <c r="J3187" s="4">
        <f t="shared" si="49"/>
        <v>32</v>
      </c>
    </row>
    <row r="3188" spans="1:10" x14ac:dyDescent="0.25">
      <c r="A3188" s="4">
        <f>_xlfn.XLOOKUP(E3188,'Data Validation'!$M$3:$M$10,'Data Validation'!$N$3:$N$10)</f>
        <v>8</v>
      </c>
      <c r="B3188" s="4">
        <v>10</v>
      </c>
      <c r="C3188" s="4" t="s">
        <v>11</v>
      </c>
      <c r="D3188" s="7">
        <v>35.76</v>
      </c>
      <c r="E3188" s="4" t="s">
        <v>12</v>
      </c>
      <c r="F3188" s="4" t="s">
        <v>13</v>
      </c>
      <c r="G3188" s="4" t="s">
        <v>48</v>
      </c>
      <c r="H3188" s="4" t="s">
        <v>57</v>
      </c>
      <c r="I3188" s="5">
        <v>45575</v>
      </c>
      <c r="J3188" s="4">
        <f t="shared" si="49"/>
        <v>32</v>
      </c>
    </row>
    <row r="3189" spans="1:10" x14ac:dyDescent="0.25">
      <c r="A3189" s="4">
        <f>_xlfn.XLOOKUP(E3189,'Data Validation'!$M$3:$M$10,'Data Validation'!$N$3:$N$10)</f>
        <v>8</v>
      </c>
      <c r="B3189" s="4">
        <v>10</v>
      </c>
      <c r="C3189" s="4" t="s">
        <v>11</v>
      </c>
      <c r="D3189" s="7">
        <v>35.76</v>
      </c>
      <c r="E3189" s="4" t="s">
        <v>12</v>
      </c>
      <c r="F3189" s="4" t="s">
        <v>13</v>
      </c>
      <c r="G3189" s="4" t="s">
        <v>48</v>
      </c>
      <c r="H3189" s="4" t="s">
        <v>57</v>
      </c>
      <c r="I3189" s="5">
        <v>45575</v>
      </c>
      <c r="J3189" s="4">
        <f t="shared" si="49"/>
        <v>32</v>
      </c>
    </row>
    <row r="3190" spans="1:10" x14ac:dyDescent="0.25">
      <c r="A3190" s="4">
        <f>_xlfn.XLOOKUP(E3190,'Data Validation'!$M$3:$M$10,'Data Validation'!$N$3:$N$10)</f>
        <v>8</v>
      </c>
      <c r="B3190" s="4">
        <v>11</v>
      </c>
      <c r="C3190" s="4" t="s">
        <v>11</v>
      </c>
      <c r="D3190" s="7">
        <v>35.76</v>
      </c>
      <c r="E3190" s="4" t="s">
        <v>12</v>
      </c>
      <c r="F3190" s="4" t="s">
        <v>13</v>
      </c>
      <c r="G3190" s="4" t="s">
        <v>48</v>
      </c>
      <c r="H3190" s="4" t="s">
        <v>57</v>
      </c>
      <c r="I3190" s="5">
        <v>45575</v>
      </c>
      <c r="J3190" s="4">
        <f t="shared" si="49"/>
        <v>32</v>
      </c>
    </row>
    <row r="3191" spans="1:10" x14ac:dyDescent="0.25">
      <c r="A3191" s="4">
        <f>_xlfn.XLOOKUP(E3191,'Data Validation'!$M$3:$M$10,'Data Validation'!$N$3:$N$10)</f>
        <v>8</v>
      </c>
      <c r="B3191" s="4">
        <v>17</v>
      </c>
      <c r="C3191" s="4" t="s">
        <v>11</v>
      </c>
      <c r="D3191" s="7">
        <v>35.76</v>
      </c>
      <c r="E3191" s="4" t="s">
        <v>12</v>
      </c>
      <c r="F3191" s="4" t="s">
        <v>20</v>
      </c>
      <c r="G3191" s="4" t="s">
        <v>48</v>
      </c>
      <c r="H3191" s="4" t="s">
        <v>57</v>
      </c>
      <c r="I3191" s="5">
        <v>45575</v>
      </c>
      <c r="J3191" s="4">
        <f t="shared" si="49"/>
        <v>32</v>
      </c>
    </row>
    <row r="3192" spans="1:10" x14ac:dyDescent="0.25">
      <c r="A3192" s="4">
        <f>_xlfn.XLOOKUP(E3192,'Data Validation'!$M$3:$M$10,'Data Validation'!$N$3:$N$10)</f>
        <v>8</v>
      </c>
      <c r="B3192" s="4">
        <v>18</v>
      </c>
      <c r="C3192" s="4" t="s">
        <v>11</v>
      </c>
      <c r="D3192" s="7">
        <v>35.76</v>
      </c>
      <c r="E3192" s="4" t="s">
        <v>12</v>
      </c>
      <c r="F3192" s="4" t="s">
        <v>20</v>
      </c>
      <c r="G3192" s="4" t="s">
        <v>48</v>
      </c>
      <c r="H3192" s="4" t="s">
        <v>57</v>
      </c>
      <c r="I3192" s="5">
        <v>45575</v>
      </c>
      <c r="J3192" s="4">
        <f t="shared" si="49"/>
        <v>32</v>
      </c>
    </row>
    <row r="3193" spans="1:10" x14ac:dyDescent="0.25">
      <c r="A3193" s="4">
        <f>_xlfn.XLOOKUP(E3193,'Data Validation'!$M$3:$M$10,'Data Validation'!$N$3:$N$10)</f>
        <v>8</v>
      </c>
      <c r="B3193" s="4">
        <v>8</v>
      </c>
      <c r="C3193" s="4" t="s">
        <v>11</v>
      </c>
      <c r="D3193" s="7">
        <v>35.76</v>
      </c>
      <c r="E3193" s="4" t="s">
        <v>12</v>
      </c>
      <c r="F3193" s="4" t="s">
        <v>13</v>
      </c>
      <c r="G3193" s="4" t="s">
        <v>49</v>
      </c>
      <c r="H3193" s="4" t="s">
        <v>57</v>
      </c>
      <c r="I3193" s="5">
        <v>45576</v>
      </c>
      <c r="J3193" s="4">
        <f t="shared" si="49"/>
        <v>32</v>
      </c>
    </row>
    <row r="3194" spans="1:10" x14ac:dyDescent="0.25">
      <c r="A3194" s="4">
        <f>_xlfn.XLOOKUP(E3194,'Data Validation'!$M$3:$M$10,'Data Validation'!$N$3:$N$10)</f>
        <v>8</v>
      </c>
      <c r="B3194" s="4">
        <v>8</v>
      </c>
      <c r="C3194" s="4" t="s">
        <v>11</v>
      </c>
      <c r="D3194" s="7">
        <v>35.76</v>
      </c>
      <c r="E3194" s="4" t="s">
        <v>12</v>
      </c>
      <c r="F3194" s="4" t="s">
        <v>13</v>
      </c>
      <c r="G3194" s="4" t="s">
        <v>49</v>
      </c>
      <c r="H3194" s="4" t="s">
        <v>57</v>
      </c>
      <c r="I3194" s="5">
        <v>45576</v>
      </c>
      <c r="J3194" s="4">
        <f t="shared" si="49"/>
        <v>32</v>
      </c>
    </row>
    <row r="3195" spans="1:10" x14ac:dyDescent="0.25">
      <c r="A3195" s="4">
        <f>_xlfn.XLOOKUP(E3195,'Data Validation'!$M$3:$M$10,'Data Validation'!$N$3:$N$10)</f>
        <v>8</v>
      </c>
      <c r="B3195" s="4">
        <v>13</v>
      </c>
      <c r="C3195" s="4" t="s">
        <v>11</v>
      </c>
      <c r="D3195" s="7">
        <v>35.76</v>
      </c>
      <c r="E3195" s="4" t="s">
        <v>12</v>
      </c>
      <c r="F3195" s="4" t="s">
        <v>17</v>
      </c>
      <c r="G3195" s="4" t="s">
        <v>49</v>
      </c>
      <c r="H3195" s="4" t="s">
        <v>57</v>
      </c>
      <c r="I3195" s="5">
        <v>45576</v>
      </c>
      <c r="J3195" s="4">
        <f t="shared" si="49"/>
        <v>32</v>
      </c>
    </row>
    <row r="3196" spans="1:10" x14ac:dyDescent="0.25">
      <c r="A3196" s="4">
        <f>_xlfn.XLOOKUP(E3196,'Data Validation'!$M$3:$M$10,'Data Validation'!$N$3:$N$10)</f>
        <v>8</v>
      </c>
      <c r="B3196" s="4">
        <v>17</v>
      </c>
      <c r="C3196" s="4" t="s">
        <v>11</v>
      </c>
      <c r="D3196" s="7">
        <v>35.76</v>
      </c>
      <c r="E3196" s="4" t="s">
        <v>12</v>
      </c>
      <c r="F3196" s="4" t="s">
        <v>20</v>
      </c>
      <c r="G3196" s="4" t="s">
        <v>49</v>
      </c>
      <c r="H3196" s="4" t="s">
        <v>57</v>
      </c>
      <c r="I3196" s="5">
        <v>45576</v>
      </c>
      <c r="J3196" s="4">
        <f t="shared" si="49"/>
        <v>32</v>
      </c>
    </row>
    <row r="3197" spans="1:10" x14ac:dyDescent="0.25">
      <c r="A3197" s="4">
        <f>_xlfn.XLOOKUP(E3197,'Data Validation'!$M$3:$M$10,'Data Validation'!$N$3:$N$10)</f>
        <v>8</v>
      </c>
      <c r="B3197" s="4">
        <v>21</v>
      </c>
      <c r="C3197" s="4" t="s">
        <v>11</v>
      </c>
      <c r="D3197" s="7">
        <v>35.76</v>
      </c>
      <c r="E3197" s="4" t="s">
        <v>12</v>
      </c>
      <c r="F3197" s="4" t="s">
        <v>20</v>
      </c>
      <c r="G3197" s="4" t="s">
        <v>49</v>
      </c>
      <c r="H3197" s="4" t="s">
        <v>57</v>
      </c>
      <c r="I3197" s="5">
        <v>45576</v>
      </c>
      <c r="J3197" s="4">
        <f t="shared" si="49"/>
        <v>32</v>
      </c>
    </row>
    <row r="3198" spans="1:10" x14ac:dyDescent="0.25">
      <c r="A3198" s="4">
        <f>_xlfn.XLOOKUP(E3198,'Data Validation'!$M$3:$M$10,'Data Validation'!$N$3:$N$10)</f>
        <v>8</v>
      </c>
      <c r="B3198" s="4">
        <v>11</v>
      </c>
      <c r="C3198" s="4" t="s">
        <v>11</v>
      </c>
      <c r="D3198" s="7">
        <v>35.76</v>
      </c>
      <c r="E3198" s="4" t="s">
        <v>12</v>
      </c>
      <c r="F3198" s="4" t="s">
        <v>13</v>
      </c>
      <c r="G3198" s="4" t="s">
        <v>50</v>
      </c>
      <c r="H3198" s="4" t="s">
        <v>57</v>
      </c>
      <c r="I3198" s="5">
        <v>45577</v>
      </c>
      <c r="J3198" s="4">
        <f t="shared" si="49"/>
        <v>32</v>
      </c>
    </row>
    <row r="3199" spans="1:10" x14ac:dyDescent="0.25">
      <c r="A3199" s="4">
        <f>_xlfn.XLOOKUP(E3199,'Data Validation'!$M$3:$M$10,'Data Validation'!$N$3:$N$10)</f>
        <v>8</v>
      </c>
      <c r="B3199" s="4">
        <v>20</v>
      </c>
      <c r="C3199" s="4" t="s">
        <v>11</v>
      </c>
      <c r="D3199" s="7">
        <v>35.76</v>
      </c>
      <c r="E3199" s="4" t="s">
        <v>12</v>
      </c>
      <c r="F3199" s="4" t="s">
        <v>20</v>
      </c>
      <c r="G3199" s="4" t="s">
        <v>50</v>
      </c>
      <c r="H3199" s="4" t="s">
        <v>57</v>
      </c>
      <c r="I3199" s="5">
        <v>45577</v>
      </c>
      <c r="J3199" s="4">
        <f t="shared" si="49"/>
        <v>32</v>
      </c>
    </row>
    <row r="3200" spans="1:10" x14ac:dyDescent="0.25">
      <c r="A3200" s="4">
        <f>_xlfn.XLOOKUP(E3200,'Data Validation'!$M$3:$M$10,'Data Validation'!$N$3:$N$10)</f>
        <v>8</v>
      </c>
      <c r="B3200" s="4">
        <v>17</v>
      </c>
      <c r="C3200" s="4" t="s">
        <v>11</v>
      </c>
      <c r="D3200" s="7">
        <v>35.76</v>
      </c>
      <c r="E3200" s="4" t="s">
        <v>12</v>
      </c>
      <c r="F3200" s="4" t="s">
        <v>20</v>
      </c>
      <c r="G3200" s="4" t="s">
        <v>51</v>
      </c>
      <c r="H3200" s="4" t="s">
        <v>57</v>
      </c>
      <c r="I3200" s="5">
        <v>45578</v>
      </c>
      <c r="J3200" s="4">
        <f t="shared" si="49"/>
        <v>32</v>
      </c>
    </row>
    <row r="3201" spans="1:10" x14ac:dyDescent="0.25">
      <c r="A3201" s="4">
        <f>_xlfn.XLOOKUP(E3201,'Data Validation'!$M$3:$M$10,'Data Validation'!$N$3:$N$10)</f>
        <v>8</v>
      </c>
      <c r="B3201" s="4">
        <v>17</v>
      </c>
      <c r="C3201" s="4" t="s">
        <v>11</v>
      </c>
      <c r="D3201" s="7">
        <v>35.76</v>
      </c>
      <c r="E3201" s="4" t="s">
        <v>12</v>
      </c>
      <c r="F3201" s="4" t="s">
        <v>20</v>
      </c>
      <c r="G3201" s="4" t="s">
        <v>51</v>
      </c>
      <c r="H3201" s="4" t="s">
        <v>57</v>
      </c>
      <c r="I3201" s="5">
        <v>45578</v>
      </c>
      <c r="J3201" s="4">
        <f t="shared" si="49"/>
        <v>32</v>
      </c>
    </row>
    <row r="3202" spans="1:10" x14ac:dyDescent="0.25">
      <c r="A3202" s="4">
        <f>_xlfn.XLOOKUP(E3202,'Data Validation'!$M$3:$M$10,'Data Validation'!$N$3:$N$10)</f>
        <v>8</v>
      </c>
      <c r="B3202" s="4">
        <v>10</v>
      </c>
      <c r="C3202" s="4" t="s">
        <v>11</v>
      </c>
      <c r="D3202" s="7">
        <v>35.76</v>
      </c>
      <c r="E3202" s="4" t="s">
        <v>12</v>
      </c>
      <c r="F3202" s="4" t="s">
        <v>13</v>
      </c>
      <c r="G3202" s="4" t="s">
        <v>45</v>
      </c>
      <c r="H3202" s="4" t="s">
        <v>57</v>
      </c>
      <c r="I3202" s="5">
        <v>45579</v>
      </c>
      <c r="J3202" s="4">
        <f t="shared" si="49"/>
        <v>32</v>
      </c>
    </row>
    <row r="3203" spans="1:10" x14ac:dyDescent="0.25">
      <c r="A3203" s="4">
        <f>_xlfn.XLOOKUP(E3203,'Data Validation'!$M$3:$M$10,'Data Validation'!$N$3:$N$10)</f>
        <v>8</v>
      </c>
      <c r="B3203" s="4">
        <v>10</v>
      </c>
      <c r="C3203" s="4" t="s">
        <v>11</v>
      </c>
      <c r="D3203" s="7">
        <v>35.76</v>
      </c>
      <c r="E3203" s="4" t="s">
        <v>12</v>
      </c>
      <c r="F3203" s="4" t="s">
        <v>13</v>
      </c>
      <c r="G3203" s="4" t="s">
        <v>45</v>
      </c>
      <c r="H3203" s="4" t="s">
        <v>57</v>
      </c>
      <c r="I3203" s="5">
        <v>45579</v>
      </c>
      <c r="J3203" s="4">
        <f t="shared" ref="J3203:J3266" si="50">IF(OR(E3203&lt;&gt;E3202,D3203&lt;&gt;D3202),J3202+1,J3202)</f>
        <v>32</v>
      </c>
    </row>
    <row r="3204" spans="1:10" x14ac:dyDescent="0.25">
      <c r="A3204" s="4">
        <f>_xlfn.XLOOKUP(E3204,'Data Validation'!$M$3:$M$10,'Data Validation'!$N$3:$N$10)</f>
        <v>8</v>
      </c>
      <c r="B3204" s="4">
        <v>14</v>
      </c>
      <c r="C3204" s="4" t="s">
        <v>11</v>
      </c>
      <c r="D3204" s="7">
        <v>35.76</v>
      </c>
      <c r="E3204" s="4" t="s">
        <v>12</v>
      </c>
      <c r="F3204" s="4" t="s">
        <v>17</v>
      </c>
      <c r="G3204" s="4" t="s">
        <v>45</v>
      </c>
      <c r="H3204" s="4" t="s">
        <v>57</v>
      </c>
      <c r="I3204" s="5">
        <v>45579</v>
      </c>
      <c r="J3204" s="4">
        <f t="shared" si="50"/>
        <v>32</v>
      </c>
    </row>
    <row r="3205" spans="1:10" x14ac:dyDescent="0.25">
      <c r="A3205" s="4">
        <f>_xlfn.XLOOKUP(E3205,'Data Validation'!$M$3:$M$10,'Data Validation'!$N$3:$N$10)</f>
        <v>8</v>
      </c>
      <c r="B3205" s="4">
        <v>14</v>
      </c>
      <c r="C3205" s="4" t="s">
        <v>11</v>
      </c>
      <c r="D3205" s="7">
        <v>35.76</v>
      </c>
      <c r="E3205" s="4" t="s">
        <v>12</v>
      </c>
      <c r="F3205" s="4" t="s">
        <v>17</v>
      </c>
      <c r="G3205" s="4" t="s">
        <v>45</v>
      </c>
      <c r="H3205" s="4" t="s">
        <v>57</v>
      </c>
      <c r="I3205" s="5">
        <v>45579</v>
      </c>
      <c r="J3205" s="4">
        <f t="shared" si="50"/>
        <v>32</v>
      </c>
    </row>
    <row r="3206" spans="1:10" x14ac:dyDescent="0.25">
      <c r="A3206" s="4">
        <f>_xlfn.XLOOKUP(E3206,'Data Validation'!$M$3:$M$10,'Data Validation'!$N$3:$N$10)</f>
        <v>8</v>
      </c>
      <c r="B3206" s="4">
        <v>18</v>
      </c>
      <c r="C3206" s="4" t="s">
        <v>11</v>
      </c>
      <c r="D3206" s="7">
        <v>35.76</v>
      </c>
      <c r="E3206" s="4" t="s">
        <v>12</v>
      </c>
      <c r="F3206" s="4" t="s">
        <v>20</v>
      </c>
      <c r="G3206" s="4" t="s">
        <v>45</v>
      </c>
      <c r="H3206" s="4" t="s">
        <v>57</v>
      </c>
      <c r="I3206" s="5">
        <v>45579</v>
      </c>
      <c r="J3206" s="4">
        <f t="shared" si="50"/>
        <v>32</v>
      </c>
    </row>
    <row r="3207" spans="1:10" x14ac:dyDescent="0.25">
      <c r="A3207" s="4">
        <f>_xlfn.XLOOKUP(E3207,'Data Validation'!$M$3:$M$10,'Data Validation'!$N$3:$N$10)</f>
        <v>8</v>
      </c>
      <c r="B3207" s="4">
        <v>22</v>
      </c>
      <c r="C3207" s="4" t="s">
        <v>11</v>
      </c>
      <c r="D3207" s="7">
        <v>35.76</v>
      </c>
      <c r="E3207" s="4" t="s">
        <v>12</v>
      </c>
      <c r="F3207" s="4" t="s">
        <v>20</v>
      </c>
      <c r="G3207" s="4" t="s">
        <v>45</v>
      </c>
      <c r="H3207" s="4" t="s">
        <v>57</v>
      </c>
      <c r="I3207" s="5">
        <v>45579</v>
      </c>
      <c r="J3207" s="4">
        <f t="shared" si="50"/>
        <v>32</v>
      </c>
    </row>
    <row r="3208" spans="1:10" x14ac:dyDescent="0.25">
      <c r="A3208" s="4">
        <f>_xlfn.XLOOKUP(E3208,'Data Validation'!$M$3:$M$10,'Data Validation'!$N$3:$N$10)</f>
        <v>8</v>
      </c>
      <c r="B3208" s="4">
        <v>22</v>
      </c>
      <c r="C3208" s="4" t="s">
        <v>11</v>
      </c>
      <c r="D3208" s="7">
        <v>35.76</v>
      </c>
      <c r="E3208" s="4" t="s">
        <v>12</v>
      </c>
      <c r="F3208" s="4" t="s">
        <v>20</v>
      </c>
      <c r="G3208" s="4" t="s">
        <v>45</v>
      </c>
      <c r="H3208" s="4" t="s">
        <v>57</v>
      </c>
      <c r="I3208" s="5">
        <v>45579</v>
      </c>
      <c r="J3208" s="4">
        <f t="shared" si="50"/>
        <v>32</v>
      </c>
    </row>
    <row r="3209" spans="1:10" x14ac:dyDescent="0.25">
      <c r="A3209" s="4">
        <f>_xlfn.XLOOKUP(E3209,'Data Validation'!$M$3:$M$10,'Data Validation'!$N$3:$N$10)</f>
        <v>8</v>
      </c>
      <c r="B3209" s="4">
        <v>22</v>
      </c>
      <c r="C3209" s="4" t="s">
        <v>11</v>
      </c>
      <c r="D3209" s="7">
        <v>35.76</v>
      </c>
      <c r="E3209" s="4" t="s">
        <v>12</v>
      </c>
      <c r="F3209" s="4" t="s">
        <v>20</v>
      </c>
      <c r="G3209" s="4" t="s">
        <v>45</v>
      </c>
      <c r="H3209" s="4" t="s">
        <v>57</v>
      </c>
      <c r="I3209" s="5">
        <v>45579</v>
      </c>
      <c r="J3209" s="4">
        <f t="shared" si="50"/>
        <v>32</v>
      </c>
    </row>
    <row r="3210" spans="1:10" x14ac:dyDescent="0.25">
      <c r="A3210" s="4">
        <f>_xlfn.XLOOKUP(E3210,'Data Validation'!$M$3:$M$10,'Data Validation'!$N$3:$N$10)</f>
        <v>8</v>
      </c>
      <c r="B3210" s="4">
        <v>11</v>
      </c>
      <c r="C3210" s="4" t="s">
        <v>11</v>
      </c>
      <c r="D3210" s="7">
        <v>35.76</v>
      </c>
      <c r="E3210" s="4" t="s">
        <v>12</v>
      </c>
      <c r="F3210" s="4" t="s">
        <v>13</v>
      </c>
      <c r="G3210" s="4" t="s">
        <v>46</v>
      </c>
      <c r="H3210" s="4" t="s">
        <v>57</v>
      </c>
      <c r="I3210" s="5">
        <v>45580</v>
      </c>
      <c r="J3210" s="4">
        <f t="shared" si="50"/>
        <v>32</v>
      </c>
    </row>
    <row r="3211" spans="1:10" x14ac:dyDescent="0.25">
      <c r="A3211" s="4">
        <f>_xlfn.XLOOKUP(E3211,'Data Validation'!$M$3:$M$10,'Data Validation'!$N$3:$N$10)</f>
        <v>8</v>
      </c>
      <c r="B3211" s="4">
        <v>13</v>
      </c>
      <c r="C3211" s="4" t="s">
        <v>11</v>
      </c>
      <c r="D3211" s="7">
        <v>35.76</v>
      </c>
      <c r="E3211" s="4" t="s">
        <v>12</v>
      </c>
      <c r="F3211" s="4" t="s">
        <v>17</v>
      </c>
      <c r="G3211" s="4" t="s">
        <v>46</v>
      </c>
      <c r="H3211" s="4" t="s">
        <v>57</v>
      </c>
      <c r="I3211" s="5">
        <v>45580</v>
      </c>
      <c r="J3211" s="4">
        <f t="shared" si="50"/>
        <v>32</v>
      </c>
    </row>
    <row r="3212" spans="1:10" x14ac:dyDescent="0.25">
      <c r="A3212" s="4">
        <f>_xlfn.XLOOKUP(E3212,'Data Validation'!$M$3:$M$10,'Data Validation'!$N$3:$N$10)</f>
        <v>8</v>
      </c>
      <c r="B3212" s="4">
        <v>15</v>
      </c>
      <c r="C3212" s="4" t="s">
        <v>11</v>
      </c>
      <c r="D3212" s="7">
        <v>35.76</v>
      </c>
      <c r="E3212" s="4" t="s">
        <v>12</v>
      </c>
      <c r="F3212" s="4" t="s">
        <v>17</v>
      </c>
      <c r="G3212" s="4" t="s">
        <v>46</v>
      </c>
      <c r="H3212" s="4" t="s">
        <v>57</v>
      </c>
      <c r="I3212" s="5">
        <v>45580</v>
      </c>
      <c r="J3212" s="4">
        <f t="shared" si="50"/>
        <v>32</v>
      </c>
    </row>
    <row r="3213" spans="1:10" x14ac:dyDescent="0.25">
      <c r="A3213" s="4">
        <f>_xlfn.XLOOKUP(E3213,'Data Validation'!$M$3:$M$10,'Data Validation'!$N$3:$N$10)</f>
        <v>8</v>
      </c>
      <c r="B3213" s="4">
        <v>20</v>
      </c>
      <c r="C3213" s="4" t="s">
        <v>11</v>
      </c>
      <c r="D3213" s="7">
        <v>35.76</v>
      </c>
      <c r="E3213" s="4" t="s">
        <v>12</v>
      </c>
      <c r="F3213" s="4" t="s">
        <v>20</v>
      </c>
      <c r="G3213" s="4" t="s">
        <v>46</v>
      </c>
      <c r="H3213" s="4" t="s">
        <v>57</v>
      </c>
      <c r="I3213" s="5">
        <v>45580</v>
      </c>
      <c r="J3213" s="4">
        <f t="shared" si="50"/>
        <v>32</v>
      </c>
    </row>
    <row r="3214" spans="1:10" x14ac:dyDescent="0.25">
      <c r="A3214" s="4">
        <f>_xlfn.XLOOKUP(E3214,'Data Validation'!$M$3:$M$10,'Data Validation'!$N$3:$N$10)</f>
        <v>8</v>
      </c>
      <c r="B3214" s="4">
        <v>20</v>
      </c>
      <c r="C3214" s="4" t="s">
        <v>11</v>
      </c>
      <c r="D3214" s="7">
        <v>35.76</v>
      </c>
      <c r="E3214" s="4" t="s">
        <v>12</v>
      </c>
      <c r="F3214" s="4" t="s">
        <v>20</v>
      </c>
      <c r="G3214" s="4" t="s">
        <v>46</v>
      </c>
      <c r="H3214" s="4" t="s">
        <v>57</v>
      </c>
      <c r="I3214" s="5">
        <v>45580</v>
      </c>
      <c r="J3214" s="4">
        <f t="shared" si="50"/>
        <v>32</v>
      </c>
    </row>
    <row r="3215" spans="1:10" x14ac:dyDescent="0.25">
      <c r="A3215" s="4">
        <f>_xlfn.XLOOKUP(E3215,'Data Validation'!$M$3:$M$10,'Data Validation'!$N$3:$N$10)</f>
        <v>8</v>
      </c>
      <c r="B3215" s="4">
        <v>22</v>
      </c>
      <c r="C3215" s="4" t="s">
        <v>11</v>
      </c>
      <c r="D3215" s="7">
        <v>35.76</v>
      </c>
      <c r="E3215" s="4" t="s">
        <v>12</v>
      </c>
      <c r="F3215" s="4" t="s">
        <v>20</v>
      </c>
      <c r="G3215" s="4" t="s">
        <v>46</v>
      </c>
      <c r="H3215" s="4" t="s">
        <v>57</v>
      </c>
      <c r="I3215" s="5">
        <v>45580</v>
      </c>
      <c r="J3215" s="4">
        <f t="shared" si="50"/>
        <v>32</v>
      </c>
    </row>
    <row r="3216" spans="1:10" x14ac:dyDescent="0.25">
      <c r="A3216" s="4">
        <f>_xlfn.XLOOKUP(E3216,'Data Validation'!$M$3:$M$10,'Data Validation'!$N$3:$N$10)</f>
        <v>8</v>
      </c>
      <c r="B3216" s="4">
        <v>9</v>
      </c>
      <c r="C3216" s="4" t="s">
        <v>11</v>
      </c>
      <c r="D3216" s="7">
        <v>35.76</v>
      </c>
      <c r="E3216" s="4" t="s">
        <v>12</v>
      </c>
      <c r="F3216" s="4" t="s">
        <v>13</v>
      </c>
      <c r="G3216" s="4" t="s">
        <v>47</v>
      </c>
      <c r="H3216" s="4" t="s">
        <v>57</v>
      </c>
      <c r="I3216" s="5">
        <v>45581</v>
      </c>
      <c r="J3216" s="4">
        <f t="shared" si="50"/>
        <v>32</v>
      </c>
    </row>
    <row r="3217" spans="1:10" x14ac:dyDescent="0.25">
      <c r="A3217" s="4">
        <f>_xlfn.XLOOKUP(E3217,'Data Validation'!$M$3:$M$10,'Data Validation'!$N$3:$N$10)</f>
        <v>8</v>
      </c>
      <c r="B3217" s="4">
        <v>16</v>
      </c>
      <c r="C3217" s="4" t="s">
        <v>11</v>
      </c>
      <c r="D3217" s="7">
        <v>35.76</v>
      </c>
      <c r="E3217" s="4" t="s">
        <v>12</v>
      </c>
      <c r="F3217" s="4" t="s">
        <v>17</v>
      </c>
      <c r="G3217" s="4" t="s">
        <v>47</v>
      </c>
      <c r="H3217" s="4" t="s">
        <v>57</v>
      </c>
      <c r="I3217" s="5">
        <v>45581</v>
      </c>
      <c r="J3217" s="4">
        <f t="shared" si="50"/>
        <v>32</v>
      </c>
    </row>
    <row r="3218" spans="1:10" x14ac:dyDescent="0.25">
      <c r="A3218" s="4">
        <f>_xlfn.XLOOKUP(E3218,'Data Validation'!$M$3:$M$10,'Data Validation'!$N$3:$N$10)</f>
        <v>8</v>
      </c>
      <c r="B3218" s="4">
        <v>7</v>
      </c>
      <c r="C3218" s="4" t="s">
        <v>11</v>
      </c>
      <c r="D3218" s="7">
        <v>35.76</v>
      </c>
      <c r="E3218" s="4" t="s">
        <v>12</v>
      </c>
      <c r="F3218" s="4" t="s">
        <v>13</v>
      </c>
      <c r="G3218" s="4" t="s">
        <v>48</v>
      </c>
      <c r="H3218" s="4" t="s">
        <v>57</v>
      </c>
      <c r="I3218" s="5">
        <v>45582</v>
      </c>
      <c r="J3218" s="4">
        <f t="shared" si="50"/>
        <v>32</v>
      </c>
    </row>
    <row r="3219" spans="1:10" x14ac:dyDescent="0.25">
      <c r="A3219" s="4">
        <f>_xlfn.XLOOKUP(E3219,'Data Validation'!$M$3:$M$10,'Data Validation'!$N$3:$N$10)</f>
        <v>8</v>
      </c>
      <c r="B3219" s="4">
        <v>7</v>
      </c>
      <c r="C3219" s="4" t="s">
        <v>11</v>
      </c>
      <c r="D3219" s="7">
        <v>35.76</v>
      </c>
      <c r="E3219" s="4" t="s">
        <v>12</v>
      </c>
      <c r="F3219" s="4" t="s">
        <v>13</v>
      </c>
      <c r="G3219" s="4" t="s">
        <v>48</v>
      </c>
      <c r="H3219" s="4" t="s">
        <v>57</v>
      </c>
      <c r="I3219" s="5">
        <v>45582</v>
      </c>
      <c r="J3219" s="4">
        <f t="shared" si="50"/>
        <v>32</v>
      </c>
    </row>
    <row r="3220" spans="1:10" x14ac:dyDescent="0.25">
      <c r="A3220" s="4">
        <f>_xlfn.XLOOKUP(E3220,'Data Validation'!$M$3:$M$10,'Data Validation'!$N$3:$N$10)</f>
        <v>8</v>
      </c>
      <c r="B3220" s="4">
        <v>10</v>
      </c>
      <c r="C3220" s="4" t="s">
        <v>11</v>
      </c>
      <c r="D3220" s="7">
        <v>35.76</v>
      </c>
      <c r="E3220" s="4" t="s">
        <v>12</v>
      </c>
      <c r="F3220" s="4" t="s">
        <v>13</v>
      </c>
      <c r="G3220" s="4" t="s">
        <v>48</v>
      </c>
      <c r="H3220" s="4" t="s">
        <v>57</v>
      </c>
      <c r="I3220" s="5">
        <v>45582</v>
      </c>
      <c r="J3220" s="4">
        <f t="shared" si="50"/>
        <v>32</v>
      </c>
    </row>
    <row r="3221" spans="1:10" x14ac:dyDescent="0.25">
      <c r="A3221" s="4">
        <f>_xlfn.XLOOKUP(E3221,'Data Validation'!$M$3:$M$10,'Data Validation'!$N$3:$N$10)</f>
        <v>8</v>
      </c>
      <c r="B3221" s="4">
        <v>13</v>
      </c>
      <c r="C3221" s="4" t="s">
        <v>11</v>
      </c>
      <c r="D3221" s="7">
        <v>35.76</v>
      </c>
      <c r="E3221" s="4" t="s">
        <v>12</v>
      </c>
      <c r="F3221" s="4" t="s">
        <v>17</v>
      </c>
      <c r="G3221" s="4" t="s">
        <v>48</v>
      </c>
      <c r="H3221" s="4" t="s">
        <v>57</v>
      </c>
      <c r="I3221" s="5">
        <v>45582</v>
      </c>
      <c r="J3221" s="4">
        <f t="shared" si="50"/>
        <v>32</v>
      </c>
    </row>
    <row r="3222" spans="1:10" x14ac:dyDescent="0.25">
      <c r="A3222" s="4">
        <f>_xlfn.XLOOKUP(E3222,'Data Validation'!$M$3:$M$10,'Data Validation'!$N$3:$N$10)</f>
        <v>8</v>
      </c>
      <c r="B3222" s="4">
        <v>16</v>
      </c>
      <c r="C3222" s="4" t="s">
        <v>11</v>
      </c>
      <c r="D3222" s="7">
        <v>35.76</v>
      </c>
      <c r="E3222" s="4" t="s">
        <v>12</v>
      </c>
      <c r="F3222" s="4" t="s">
        <v>17</v>
      </c>
      <c r="G3222" s="4" t="s">
        <v>48</v>
      </c>
      <c r="H3222" s="4" t="s">
        <v>57</v>
      </c>
      <c r="I3222" s="5">
        <v>45582</v>
      </c>
      <c r="J3222" s="4">
        <f t="shared" si="50"/>
        <v>32</v>
      </c>
    </row>
    <row r="3223" spans="1:10" x14ac:dyDescent="0.25">
      <c r="A3223" s="4">
        <f>_xlfn.XLOOKUP(E3223,'Data Validation'!$M$3:$M$10,'Data Validation'!$N$3:$N$10)</f>
        <v>8</v>
      </c>
      <c r="B3223" s="4">
        <v>19</v>
      </c>
      <c r="C3223" s="4" t="s">
        <v>11</v>
      </c>
      <c r="D3223" s="7">
        <v>35.76</v>
      </c>
      <c r="E3223" s="4" t="s">
        <v>12</v>
      </c>
      <c r="F3223" s="4" t="s">
        <v>20</v>
      </c>
      <c r="G3223" s="4" t="s">
        <v>48</v>
      </c>
      <c r="H3223" s="4" t="s">
        <v>57</v>
      </c>
      <c r="I3223" s="5">
        <v>45582</v>
      </c>
      <c r="J3223" s="4">
        <f t="shared" si="50"/>
        <v>32</v>
      </c>
    </row>
    <row r="3224" spans="1:10" x14ac:dyDescent="0.25">
      <c r="A3224" s="4">
        <f>_xlfn.XLOOKUP(E3224,'Data Validation'!$M$3:$M$10,'Data Validation'!$N$3:$N$10)</f>
        <v>8</v>
      </c>
      <c r="B3224" s="4">
        <v>21</v>
      </c>
      <c r="C3224" s="4" t="s">
        <v>11</v>
      </c>
      <c r="D3224" s="7">
        <v>35.76</v>
      </c>
      <c r="E3224" s="4" t="s">
        <v>12</v>
      </c>
      <c r="F3224" s="4" t="s">
        <v>20</v>
      </c>
      <c r="G3224" s="4" t="s">
        <v>48</v>
      </c>
      <c r="H3224" s="4" t="s">
        <v>57</v>
      </c>
      <c r="I3224" s="5">
        <v>45582</v>
      </c>
      <c r="J3224" s="4">
        <f t="shared" si="50"/>
        <v>32</v>
      </c>
    </row>
    <row r="3225" spans="1:10" x14ac:dyDescent="0.25">
      <c r="A3225" s="4">
        <f>_xlfn.XLOOKUP(E3225,'Data Validation'!$M$3:$M$10,'Data Validation'!$N$3:$N$10)</f>
        <v>8</v>
      </c>
      <c r="B3225" s="4">
        <v>21</v>
      </c>
      <c r="C3225" s="4" t="s">
        <v>11</v>
      </c>
      <c r="D3225" s="7">
        <v>35.76</v>
      </c>
      <c r="E3225" s="4" t="s">
        <v>12</v>
      </c>
      <c r="F3225" s="4" t="s">
        <v>20</v>
      </c>
      <c r="G3225" s="4" t="s">
        <v>48</v>
      </c>
      <c r="H3225" s="4" t="s">
        <v>57</v>
      </c>
      <c r="I3225" s="5">
        <v>45582</v>
      </c>
      <c r="J3225" s="4">
        <f t="shared" si="50"/>
        <v>32</v>
      </c>
    </row>
    <row r="3226" spans="1:10" x14ac:dyDescent="0.25">
      <c r="A3226" s="4">
        <f>_xlfn.XLOOKUP(E3226,'Data Validation'!$M$3:$M$10,'Data Validation'!$N$3:$N$10)</f>
        <v>8</v>
      </c>
      <c r="B3226" s="4">
        <v>21</v>
      </c>
      <c r="C3226" s="4" t="s">
        <v>11</v>
      </c>
      <c r="D3226" s="7">
        <v>35.76</v>
      </c>
      <c r="E3226" s="4" t="s">
        <v>12</v>
      </c>
      <c r="F3226" s="4" t="s">
        <v>20</v>
      </c>
      <c r="G3226" s="4" t="s">
        <v>48</v>
      </c>
      <c r="H3226" s="4" t="s">
        <v>57</v>
      </c>
      <c r="I3226" s="5">
        <v>45582</v>
      </c>
      <c r="J3226" s="4">
        <f t="shared" si="50"/>
        <v>32</v>
      </c>
    </row>
    <row r="3227" spans="1:10" x14ac:dyDescent="0.25">
      <c r="A3227" s="4">
        <f>_xlfn.XLOOKUP(E3227,'Data Validation'!$M$3:$M$10,'Data Validation'!$N$3:$N$10)</f>
        <v>8</v>
      </c>
      <c r="B3227" s="4">
        <v>14</v>
      </c>
      <c r="C3227" s="4" t="s">
        <v>11</v>
      </c>
      <c r="D3227" s="7">
        <v>35.76</v>
      </c>
      <c r="E3227" s="4" t="s">
        <v>12</v>
      </c>
      <c r="F3227" s="4" t="s">
        <v>17</v>
      </c>
      <c r="G3227" s="4" t="s">
        <v>49</v>
      </c>
      <c r="H3227" s="4" t="s">
        <v>57</v>
      </c>
      <c r="I3227" s="5">
        <v>45583</v>
      </c>
      <c r="J3227" s="4">
        <f t="shared" si="50"/>
        <v>32</v>
      </c>
    </row>
    <row r="3228" spans="1:10" x14ac:dyDescent="0.25">
      <c r="A3228" s="4">
        <f>_xlfn.XLOOKUP(E3228,'Data Validation'!$M$3:$M$10,'Data Validation'!$N$3:$N$10)</f>
        <v>8</v>
      </c>
      <c r="B3228" s="4">
        <v>16</v>
      </c>
      <c r="C3228" s="4" t="s">
        <v>11</v>
      </c>
      <c r="D3228" s="7">
        <v>35.76</v>
      </c>
      <c r="E3228" s="4" t="s">
        <v>12</v>
      </c>
      <c r="F3228" s="4" t="s">
        <v>17</v>
      </c>
      <c r="G3228" s="4" t="s">
        <v>49</v>
      </c>
      <c r="H3228" s="4" t="s">
        <v>57</v>
      </c>
      <c r="I3228" s="5">
        <v>45583</v>
      </c>
      <c r="J3228" s="4">
        <f t="shared" si="50"/>
        <v>32</v>
      </c>
    </row>
    <row r="3229" spans="1:10" x14ac:dyDescent="0.25">
      <c r="A3229" s="4">
        <f>_xlfn.XLOOKUP(E3229,'Data Validation'!$M$3:$M$10,'Data Validation'!$N$3:$N$10)</f>
        <v>8</v>
      </c>
      <c r="B3229" s="4">
        <v>22</v>
      </c>
      <c r="C3229" s="4" t="s">
        <v>11</v>
      </c>
      <c r="D3229" s="7">
        <v>35.76</v>
      </c>
      <c r="E3229" s="4" t="s">
        <v>12</v>
      </c>
      <c r="F3229" s="4" t="s">
        <v>20</v>
      </c>
      <c r="G3229" s="4" t="s">
        <v>49</v>
      </c>
      <c r="H3229" s="4" t="s">
        <v>57</v>
      </c>
      <c r="I3229" s="5">
        <v>45583</v>
      </c>
      <c r="J3229" s="4">
        <f t="shared" si="50"/>
        <v>32</v>
      </c>
    </row>
    <row r="3230" spans="1:10" x14ac:dyDescent="0.25">
      <c r="A3230" s="4">
        <f>_xlfn.XLOOKUP(E3230,'Data Validation'!$M$3:$M$10,'Data Validation'!$N$3:$N$10)</f>
        <v>8</v>
      </c>
      <c r="B3230" s="4">
        <v>13</v>
      </c>
      <c r="C3230" s="4" t="s">
        <v>11</v>
      </c>
      <c r="D3230" s="7">
        <v>35.76</v>
      </c>
      <c r="E3230" s="4" t="s">
        <v>12</v>
      </c>
      <c r="F3230" s="4" t="s">
        <v>17</v>
      </c>
      <c r="G3230" s="4" t="s">
        <v>50</v>
      </c>
      <c r="H3230" s="4" t="s">
        <v>57</v>
      </c>
      <c r="I3230" s="5">
        <v>45584</v>
      </c>
      <c r="J3230" s="4">
        <f t="shared" si="50"/>
        <v>32</v>
      </c>
    </row>
    <row r="3231" spans="1:10" x14ac:dyDescent="0.25">
      <c r="A3231" s="4">
        <f>_xlfn.XLOOKUP(E3231,'Data Validation'!$M$3:$M$10,'Data Validation'!$N$3:$N$10)</f>
        <v>8</v>
      </c>
      <c r="B3231" s="4">
        <v>15</v>
      </c>
      <c r="C3231" s="4" t="s">
        <v>11</v>
      </c>
      <c r="D3231" s="7">
        <v>35.76</v>
      </c>
      <c r="E3231" s="4" t="s">
        <v>12</v>
      </c>
      <c r="F3231" s="4" t="s">
        <v>17</v>
      </c>
      <c r="G3231" s="4" t="s">
        <v>50</v>
      </c>
      <c r="H3231" s="4" t="s">
        <v>57</v>
      </c>
      <c r="I3231" s="5">
        <v>45584</v>
      </c>
      <c r="J3231" s="4">
        <f t="shared" si="50"/>
        <v>32</v>
      </c>
    </row>
    <row r="3232" spans="1:10" x14ac:dyDescent="0.25">
      <c r="A3232" s="4">
        <f>_xlfn.XLOOKUP(E3232,'Data Validation'!$M$3:$M$10,'Data Validation'!$N$3:$N$10)</f>
        <v>8</v>
      </c>
      <c r="B3232" s="4">
        <v>16</v>
      </c>
      <c r="C3232" s="4" t="s">
        <v>11</v>
      </c>
      <c r="D3232" s="7">
        <v>35.76</v>
      </c>
      <c r="E3232" s="4" t="s">
        <v>12</v>
      </c>
      <c r="F3232" s="4" t="s">
        <v>17</v>
      </c>
      <c r="G3232" s="4" t="s">
        <v>50</v>
      </c>
      <c r="H3232" s="4" t="s">
        <v>57</v>
      </c>
      <c r="I3232" s="5">
        <v>45584</v>
      </c>
      <c r="J3232" s="4">
        <f t="shared" si="50"/>
        <v>32</v>
      </c>
    </row>
    <row r="3233" spans="1:10" x14ac:dyDescent="0.25">
      <c r="A3233" s="4">
        <f>_xlfn.XLOOKUP(E3233,'Data Validation'!$M$3:$M$10,'Data Validation'!$N$3:$N$10)</f>
        <v>8</v>
      </c>
      <c r="B3233" s="4">
        <v>16</v>
      </c>
      <c r="C3233" s="4" t="s">
        <v>11</v>
      </c>
      <c r="D3233" s="7">
        <v>35.76</v>
      </c>
      <c r="E3233" s="4" t="s">
        <v>12</v>
      </c>
      <c r="F3233" s="4" t="s">
        <v>17</v>
      </c>
      <c r="G3233" s="4" t="s">
        <v>50</v>
      </c>
      <c r="H3233" s="4" t="s">
        <v>57</v>
      </c>
      <c r="I3233" s="5">
        <v>45584</v>
      </c>
      <c r="J3233" s="4">
        <f t="shared" si="50"/>
        <v>32</v>
      </c>
    </row>
    <row r="3234" spans="1:10" x14ac:dyDescent="0.25">
      <c r="A3234" s="4">
        <f>_xlfn.XLOOKUP(E3234,'Data Validation'!$M$3:$M$10,'Data Validation'!$N$3:$N$10)</f>
        <v>8</v>
      </c>
      <c r="B3234" s="4">
        <v>8</v>
      </c>
      <c r="C3234" s="4" t="s">
        <v>11</v>
      </c>
      <c r="D3234" s="7">
        <v>35.76</v>
      </c>
      <c r="E3234" s="4" t="s">
        <v>12</v>
      </c>
      <c r="F3234" s="4" t="s">
        <v>13</v>
      </c>
      <c r="G3234" s="4" t="s">
        <v>51</v>
      </c>
      <c r="H3234" s="4" t="s">
        <v>57</v>
      </c>
      <c r="I3234" s="5">
        <v>45585</v>
      </c>
      <c r="J3234" s="4">
        <f t="shared" si="50"/>
        <v>32</v>
      </c>
    </row>
    <row r="3235" spans="1:10" x14ac:dyDescent="0.25">
      <c r="A3235" s="4">
        <f>_xlfn.XLOOKUP(E3235,'Data Validation'!$M$3:$M$10,'Data Validation'!$N$3:$N$10)</f>
        <v>8</v>
      </c>
      <c r="B3235" s="4">
        <v>11</v>
      </c>
      <c r="C3235" s="4" t="s">
        <v>11</v>
      </c>
      <c r="D3235" s="7">
        <v>35.76</v>
      </c>
      <c r="E3235" s="4" t="s">
        <v>12</v>
      </c>
      <c r="F3235" s="4" t="s">
        <v>13</v>
      </c>
      <c r="G3235" s="4" t="s">
        <v>51</v>
      </c>
      <c r="H3235" s="4" t="s">
        <v>57</v>
      </c>
      <c r="I3235" s="5">
        <v>45585</v>
      </c>
      <c r="J3235" s="4">
        <f t="shared" si="50"/>
        <v>32</v>
      </c>
    </row>
    <row r="3236" spans="1:10" x14ac:dyDescent="0.25">
      <c r="A3236" s="4">
        <f>_xlfn.XLOOKUP(E3236,'Data Validation'!$M$3:$M$10,'Data Validation'!$N$3:$N$10)</f>
        <v>8</v>
      </c>
      <c r="B3236" s="4">
        <v>16</v>
      </c>
      <c r="C3236" s="4" t="s">
        <v>11</v>
      </c>
      <c r="D3236" s="7">
        <v>35.76</v>
      </c>
      <c r="E3236" s="4" t="s">
        <v>12</v>
      </c>
      <c r="F3236" s="4" t="s">
        <v>17</v>
      </c>
      <c r="G3236" s="4" t="s">
        <v>51</v>
      </c>
      <c r="H3236" s="4" t="s">
        <v>57</v>
      </c>
      <c r="I3236" s="5">
        <v>45585</v>
      </c>
      <c r="J3236" s="4">
        <f t="shared" si="50"/>
        <v>32</v>
      </c>
    </row>
    <row r="3237" spans="1:10" x14ac:dyDescent="0.25">
      <c r="A3237" s="4">
        <f>_xlfn.XLOOKUP(E3237,'Data Validation'!$M$3:$M$10,'Data Validation'!$N$3:$N$10)</f>
        <v>8</v>
      </c>
      <c r="B3237" s="4">
        <v>16</v>
      </c>
      <c r="C3237" s="4" t="s">
        <v>11</v>
      </c>
      <c r="D3237" s="7">
        <v>35.76</v>
      </c>
      <c r="E3237" s="4" t="s">
        <v>12</v>
      </c>
      <c r="F3237" s="4" t="s">
        <v>17</v>
      </c>
      <c r="G3237" s="4" t="s">
        <v>51</v>
      </c>
      <c r="H3237" s="4" t="s">
        <v>57</v>
      </c>
      <c r="I3237" s="5">
        <v>45585</v>
      </c>
      <c r="J3237" s="4">
        <f t="shared" si="50"/>
        <v>32</v>
      </c>
    </row>
    <row r="3238" spans="1:10" x14ac:dyDescent="0.25">
      <c r="A3238" s="4">
        <f>_xlfn.XLOOKUP(E3238,'Data Validation'!$M$3:$M$10,'Data Validation'!$N$3:$N$10)</f>
        <v>8</v>
      </c>
      <c r="B3238" s="4">
        <v>17</v>
      </c>
      <c r="C3238" s="4" t="s">
        <v>11</v>
      </c>
      <c r="D3238" s="7">
        <v>35.76</v>
      </c>
      <c r="E3238" s="4" t="s">
        <v>12</v>
      </c>
      <c r="F3238" s="4" t="s">
        <v>20</v>
      </c>
      <c r="G3238" s="4" t="s">
        <v>51</v>
      </c>
      <c r="H3238" s="4" t="s">
        <v>57</v>
      </c>
      <c r="I3238" s="5">
        <v>45585</v>
      </c>
      <c r="J3238" s="4">
        <f t="shared" si="50"/>
        <v>32</v>
      </c>
    </row>
    <row r="3239" spans="1:10" x14ac:dyDescent="0.25">
      <c r="A3239" s="4">
        <f>_xlfn.XLOOKUP(E3239,'Data Validation'!$M$3:$M$10,'Data Validation'!$N$3:$N$10)</f>
        <v>8</v>
      </c>
      <c r="B3239" s="4">
        <v>21</v>
      </c>
      <c r="C3239" s="4" t="s">
        <v>11</v>
      </c>
      <c r="D3239" s="7">
        <v>35.76</v>
      </c>
      <c r="E3239" s="4" t="s">
        <v>12</v>
      </c>
      <c r="F3239" s="4" t="s">
        <v>20</v>
      </c>
      <c r="G3239" s="4" t="s">
        <v>51</v>
      </c>
      <c r="H3239" s="4" t="s">
        <v>57</v>
      </c>
      <c r="I3239" s="5">
        <v>45585</v>
      </c>
      <c r="J3239" s="4">
        <f t="shared" si="50"/>
        <v>32</v>
      </c>
    </row>
    <row r="3240" spans="1:10" x14ac:dyDescent="0.25">
      <c r="A3240" s="4">
        <f>_xlfn.XLOOKUP(E3240,'Data Validation'!$M$3:$M$10,'Data Validation'!$N$3:$N$10)</f>
        <v>8</v>
      </c>
      <c r="B3240" s="4">
        <v>7</v>
      </c>
      <c r="C3240" s="4" t="s">
        <v>11</v>
      </c>
      <c r="D3240" s="7">
        <v>35.76</v>
      </c>
      <c r="E3240" s="4" t="s">
        <v>12</v>
      </c>
      <c r="F3240" s="4" t="s">
        <v>13</v>
      </c>
      <c r="G3240" s="4" t="s">
        <v>45</v>
      </c>
      <c r="H3240" s="4" t="s">
        <v>57</v>
      </c>
      <c r="I3240" s="5">
        <v>45586</v>
      </c>
      <c r="J3240" s="4">
        <f t="shared" si="50"/>
        <v>32</v>
      </c>
    </row>
    <row r="3241" spans="1:10" x14ac:dyDescent="0.25">
      <c r="A3241" s="4">
        <f>_xlfn.XLOOKUP(E3241,'Data Validation'!$M$3:$M$10,'Data Validation'!$N$3:$N$10)</f>
        <v>8</v>
      </c>
      <c r="B3241" s="4">
        <v>8</v>
      </c>
      <c r="C3241" s="4" t="s">
        <v>11</v>
      </c>
      <c r="D3241" s="7">
        <v>35.76</v>
      </c>
      <c r="E3241" s="4" t="s">
        <v>12</v>
      </c>
      <c r="F3241" s="4" t="s">
        <v>13</v>
      </c>
      <c r="G3241" s="4" t="s">
        <v>45</v>
      </c>
      <c r="H3241" s="4" t="s">
        <v>57</v>
      </c>
      <c r="I3241" s="5">
        <v>45586</v>
      </c>
      <c r="J3241" s="4">
        <f t="shared" si="50"/>
        <v>32</v>
      </c>
    </row>
    <row r="3242" spans="1:10" x14ac:dyDescent="0.25">
      <c r="A3242" s="4">
        <f>_xlfn.XLOOKUP(E3242,'Data Validation'!$M$3:$M$10,'Data Validation'!$N$3:$N$10)</f>
        <v>8</v>
      </c>
      <c r="B3242" s="4">
        <v>9</v>
      </c>
      <c r="C3242" s="4" t="s">
        <v>11</v>
      </c>
      <c r="D3242" s="7">
        <v>35.76</v>
      </c>
      <c r="E3242" s="4" t="s">
        <v>12</v>
      </c>
      <c r="F3242" s="4" t="s">
        <v>13</v>
      </c>
      <c r="G3242" s="4" t="s">
        <v>45</v>
      </c>
      <c r="H3242" s="4" t="s">
        <v>57</v>
      </c>
      <c r="I3242" s="5">
        <v>45586</v>
      </c>
      <c r="J3242" s="4">
        <f t="shared" si="50"/>
        <v>32</v>
      </c>
    </row>
    <row r="3243" spans="1:10" x14ac:dyDescent="0.25">
      <c r="A3243" s="4">
        <f>_xlfn.XLOOKUP(E3243,'Data Validation'!$M$3:$M$10,'Data Validation'!$N$3:$N$10)</f>
        <v>8</v>
      </c>
      <c r="B3243" s="4">
        <v>14</v>
      </c>
      <c r="C3243" s="4" t="s">
        <v>11</v>
      </c>
      <c r="D3243" s="7">
        <v>35.76</v>
      </c>
      <c r="E3243" s="4" t="s">
        <v>12</v>
      </c>
      <c r="F3243" s="4" t="s">
        <v>17</v>
      </c>
      <c r="G3243" s="4" t="s">
        <v>45</v>
      </c>
      <c r="H3243" s="4" t="s">
        <v>57</v>
      </c>
      <c r="I3243" s="5">
        <v>45586</v>
      </c>
      <c r="J3243" s="4">
        <f t="shared" si="50"/>
        <v>32</v>
      </c>
    </row>
    <row r="3244" spans="1:10" x14ac:dyDescent="0.25">
      <c r="A3244" s="4">
        <f>_xlfn.XLOOKUP(E3244,'Data Validation'!$M$3:$M$10,'Data Validation'!$N$3:$N$10)</f>
        <v>8</v>
      </c>
      <c r="B3244" s="4">
        <v>14</v>
      </c>
      <c r="C3244" s="4" t="s">
        <v>11</v>
      </c>
      <c r="D3244" s="7">
        <v>35.76</v>
      </c>
      <c r="E3244" s="4" t="s">
        <v>12</v>
      </c>
      <c r="F3244" s="4" t="s">
        <v>17</v>
      </c>
      <c r="G3244" s="4" t="s">
        <v>45</v>
      </c>
      <c r="H3244" s="4" t="s">
        <v>57</v>
      </c>
      <c r="I3244" s="5">
        <v>45586</v>
      </c>
      <c r="J3244" s="4">
        <f t="shared" si="50"/>
        <v>32</v>
      </c>
    </row>
    <row r="3245" spans="1:10" x14ac:dyDescent="0.25">
      <c r="A3245" s="4">
        <f>_xlfn.XLOOKUP(E3245,'Data Validation'!$M$3:$M$10,'Data Validation'!$N$3:$N$10)</f>
        <v>8</v>
      </c>
      <c r="B3245" s="4">
        <v>16</v>
      </c>
      <c r="C3245" s="4" t="s">
        <v>11</v>
      </c>
      <c r="D3245" s="7">
        <v>35.76</v>
      </c>
      <c r="E3245" s="4" t="s">
        <v>12</v>
      </c>
      <c r="F3245" s="4" t="s">
        <v>17</v>
      </c>
      <c r="G3245" s="4" t="s">
        <v>45</v>
      </c>
      <c r="H3245" s="4" t="s">
        <v>57</v>
      </c>
      <c r="I3245" s="5">
        <v>45586</v>
      </c>
      <c r="J3245" s="4">
        <f t="shared" si="50"/>
        <v>32</v>
      </c>
    </row>
    <row r="3246" spans="1:10" x14ac:dyDescent="0.25">
      <c r="A3246" s="4">
        <f>_xlfn.XLOOKUP(E3246,'Data Validation'!$M$3:$M$10,'Data Validation'!$N$3:$N$10)</f>
        <v>8</v>
      </c>
      <c r="B3246" s="4">
        <v>21</v>
      </c>
      <c r="C3246" s="4" t="s">
        <v>11</v>
      </c>
      <c r="D3246" s="7">
        <v>35.76</v>
      </c>
      <c r="E3246" s="4" t="s">
        <v>12</v>
      </c>
      <c r="F3246" s="4" t="s">
        <v>20</v>
      </c>
      <c r="G3246" s="4" t="s">
        <v>45</v>
      </c>
      <c r="H3246" s="4" t="s">
        <v>57</v>
      </c>
      <c r="I3246" s="5">
        <v>45586</v>
      </c>
      <c r="J3246" s="4">
        <f t="shared" si="50"/>
        <v>32</v>
      </c>
    </row>
    <row r="3247" spans="1:10" x14ac:dyDescent="0.25">
      <c r="A3247" s="4">
        <f>_xlfn.XLOOKUP(E3247,'Data Validation'!$M$3:$M$10,'Data Validation'!$N$3:$N$10)</f>
        <v>8</v>
      </c>
      <c r="B3247" s="4">
        <v>7</v>
      </c>
      <c r="C3247" s="4" t="s">
        <v>11</v>
      </c>
      <c r="D3247" s="7">
        <v>35.76</v>
      </c>
      <c r="E3247" s="4" t="s">
        <v>12</v>
      </c>
      <c r="F3247" s="4" t="s">
        <v>13</v>
      </c>
      <c r="G3247" s="4" t="s">
        <v>46</v>
      </c>
      <c r="H3247" s="4" t="s">
        <v>57</v>
      </c>
      <c r="I3247" s="5">
        <v>45587</v>
      </c>
      <c r="J3247" s="4">
        <f t="shared" si="50"/>
        <v>32</v>
      </c>
    </row>
    <row r="3248" spans="1:10" x14ac:dyDescent="0.25">
      <c r="A3248" s="4">
        <f>_xlfn.XLOOKUP(E3248,'Data Validation'!$M$3:$M$10,'Data Validation'!$N$3:$N$10)</f>
        <v>8</v>
      </c>
      <c r="B3248" s="4">
        <v>19</v>
      </c>
      <c r="C3248" s="4" t="s">
        <v>11</v>
      </c>
      <c r="D3248" s="7">
        <v>35.76</v>
      </c>
      <c r="E3248" s="4" t="s">
        <v>12</v>
      </c>
      <c r="F3248" s="4" t="s">
        <v>20</v>
      </c>
      <c r="G3248" s="4" t="s">
        <v>46</v>
      </c>
      <c r="H3248" s="4" t="s">
        <v>57</v>
      </c>
      <c r="I3248" s="5">
        <v>45587</v>
      </c>
      <c r="J3248" s="4">
        <f t="shared" si="50"/>
        <v>32</v>
      </c>
    </row>
    <row r="3249" spans="1:10" x14ac:dyDescent="0.25">
      <c r="A3249" s="4">
        <f>_xlfn.XLOOKUP(E3249,'Data Validation'!$M$3:$M$10,'Data Validation'!$N$3:$N$10)</f>
        <v>8</v>
      </c>
      <c r="B3249" s="4">
        <v>7</v>
      </c>
      <c r="C3249" s="4" t="s">
        <v>11</v>
      </c>
      <c r="D3249" s="7">
        <v>35.76</v>
      </c>
      <c r="E3249" s="4" t="s">
        <v>12</v>
      </c>
      <c r="F3249" s="4" t="s">
        <v>13</v>
      </c>
      <c r="G3249" s="4" t="s">
        <v>47</v>
      </c>
      <c r="H3249" s="4" t="s">
        <v>57</v>
      </c>
      <c r="I3249" s="5">
        <v>45588</v>
      </c>
      <c r="J3249" s="4">
        <f t="shared" si="50"/>
        <v>32</v>
      </c>
    </row>
    <row r="3250" spans="1:10" x14ac:dyDescent="0.25">
      <c r="A3250" s="4">
        <f>_xlfn.XLOOKUP(E3250,'Data Validation'!$M$3:$M$10,'Data Validation'!$N$3:$N$10)</f>
        <v>8</v>
      </c>
      <c r="B3250" s="4">
        <v>22</v>
      </c>
      <c r="C3250" s="4" t="s">
        <v>11</v>
      </c>
      <c r="D3250" s="7">
        <v>35.76</v>
      </c>
      <c r="E3250" s="4" t="s">
        <v>12</v>
      </c>
      <c r="F3250" s="4" t="s">
        <v>20</v>
      </c>
      <c r="G3250" s="4" t="s">
        <v>47</v>
      </c>
      <c r="H3250" s="4" t="s">
        <v>57</v>
      </c>
      <c r="I3250" s="5">
        <v>45588</v>
      </c>
      <c r="J3250" s="4">
        <f t="shared" si="50"/>
        <v>32</v>
      </c>
    </row>
    <row r="3251" spans="1:10" x14ac:dyDescent="0.25">
      <c r="A3251" s="4">
        <f>_xlfn.XLOOKUP(E3251,'Data Validation'!$M$3:$M$10,'Data Validation'!$N$3:$N$10)</f>
        <v>8</v>
      </c>
      <c r="B3251" s="4">
        <v>14</v>
      </c>
      <c r="C3251" s="4" t="s">
        <v>11</v>
      </c>
      <c r="D3251" s="7">
        <v>35.76</v>
      </c>
      <c r="E3251" s="4" t="s">
        <v>12</v>
      </c>
      <c r="F3251" s="4" t="s">
        <v>17</v>
      </c>
      <c r="G3251" s="4" t="s">
        <v>48</v>
      </c>
      <c r="H3251" s="4" t="s">
        <v>57</v>
      </c>
      <c r="I3251" s="5">
        <v>45589</v>
      </c>
      <c r="J3251" s="4">
        <f t="shared" si="50"/>
        <v>32</v>
      </c>
    </row>
    <row r="3252" spans="1:10" x14ac:dyDescent="0.25">
      <c r="A3252" s="4">
        <f>_xlfn.XLOOKUP(E3252,'Data Validation'!$M$3:$M$10,'Data Validation'!$N$3:$N$10)</f>
        <v>8</v>
      </c>
      <c r="B3252" s="4">
        <v>15</v>
      </c>
      <c r="C3252" s="4" t="s">
        <v>11</v>
      </c>
      <c r="D3252" s="7">
        <v>35.76</v>
      </c>
      <c r="E3252" s="4" t="s">
        <v>12</v>
      </c>
      <c r="F3252" s="4" t="s">
        <v>17</v>
      </c>
      <c r="G3252" s="4" t="s">
        <v>48</v>
      </c>
      <c r="H3252" s="4" t="s">
        <v>57</v>
      </c>
      <c r="I3252" s="5">
        <v>45589</v>
      </c>
      <c r="J3252" s="4">
        <f t="shared" si="50"/>
        <v>32</v>
      </c>
    </row>
    <row r="3253" spans="1:10" x14ac:dyDescent="0.25">
      <c r="A3253" s="4">
        <f>_xlfn.XLOOKUP(E3253,'Data Validation'!$M$3:$M$10,'Data Validation'!$N$3:$N$10)</f>
        <v>8</v>
      </c>
      <c r="B3253" s="4">
        <v>15</v>
      </c>
      <c r="C3253" s="4" t="s">
        <v>11</v>
      </c>
      <c r="D3253" s="7">
        <v>35.76</v>
      </c>
      <c r="E3253" s="4" t="s">
        <v>12</v>
      </c>
      <c r="F3253" s="4" t="s">
        <v>17</v>
      </c>
      <c r="G3253" s="4" t="s">
        <v>48</v>
      </c>
      <c r="H3253" s="4" t="s">
        <v>57</v>
      </c>
      <c r="I3253" s="5">
        <v>45589</v>
      </c>
      <c r="J3253" s="4">
        <f t="shared" si="50"/>
        <v>32</v>
      </c>
    </row>
    <row r="3254" spans="1:10" x14ac:dyDescent="0.25">
      <c r="A3254" s="4">
        <f>_xlfn.XLOOKUP(E3254,'Data Validation'!$M$3:$M$10,'Data Validation'!$N$3:$N$10)</f>
        <v>8</v>
      </c>
      <c r="B3254" s="4">
        <v>19</v>
      </c>
      <c r="C3254" s="4" t="s">
        <v>11</v>
      </c>
      <c r="D3254" s="7">
        <v>35.76</v>
      </c>
      <c r="E3254" s="4" t="s">
        <v>12</v>
      </c>
      <c r="F3254" s="4" t="s">
        <v>20</v>
      </c>
      <c r="G3254" s="4" t="s">
        <v>48</v>
      </c>
      <c r="H3254" s="4" t="s">
        <v>57</v>
      </c>
      <c r="I3254" s="5">
        <v>45589</v>
      </c>
      <c r="J3254" s="4">
        <f t="shared" si="50"/>
        <v>32</v>
      </c>
    </row>
    <row r="3255" spans="1:10" x14ac:dyDescent="0.25">
      <c r="A3255" s="4">
        <f>_xlfn.XLOOKUP(E3255,'Data Validation'!$M$3:$M$10,'Data Validation'!$N$3:$N$10)</f>
        <v>8</v>
      </c>
      <c r="B3255" s="4">
        <v>8</v>
      </c>
      <c r="C3255" s="4" t="s">
        <v>11</v>
      </c>
      <c r="D3255" s="7">
        <v>35.76</v>
      </c>
      <c r="E3255" s="4" t="s">
        <v>12</v>
      </c>
      <c r="F3255" s="4" t="s">
        <v>13</v>
      </c>
      <c r="G3255" s="4" t="s">
        <v>49</v>
      </c>
      <c r="H3255" s="4" t="s">
        <v>57</v>
      </c>
      <c r="I3255" s="5">
        <v>45590</v>
      </c>
      <c r="J3255" s="4">
        <f t="shared" si="50"/>
        <v>32</v>
      </c>
    </row>
    <row r="3256" spans="1:10" x14ac:dyDescent="0.25">
      <c r="A3256" s="4">
        <f>_xlfn.XLOOKUP(E3256,'Data Validation'!$M$3:$M$10,'Data Validation'!$N$3:$N$10)</f>
        <v>8</v>
      </c>
      <c r="B3256" s="4">
        <v>12</v>
      </c>
      <c r="C3256" s="4" t="s">
        <v>11</v>
      </c>
      <c r="D3256" s="7">
        <v>35.76</v>
      </c>
      <c r="E3256" s="4" t="s">
        <v>12</v>
      </c>
      <c r="F3256" s="4" t="s">
        <v>17</v>
      </c>
      <c r="G3256" s="4" t="s">
        <v>49</v>
      </c>
      <c r="H3256" s="4" t="s">
        <v>57</v>
      </c>
      <c r="I3256" s="5">
        <v>45590</v>
      </c>
      <c r="J3256" s="4">
        <f t="shared" si="50"/>
        <v>32</v>
      </c>
    </row>
    <row r="3257" spans="1:10" x14ac:dyDescent="0.25">
      <c r="A3257" s="4">
        <f>_xlfn.XLOOKUP(E3257,'Data Validation'!$M$3:$M$10,'Data Validation'!$N$3:$N$10)</f>
        <v>8</v>
      </c>
      <c r="B3257" s="4">
        <v>13</v>
      </c>
      <c r="C3257" s="4" t="s">
        <v>11</v>
      </c>
      <c r="D3257" s="7">
        <v>35.76</v>
      </c>
      <c r="E3257" s="4" t="s">
        <v>12</v>
      </c>
      <c r="F3257" s="4" t="s">
        <v>17</v>
      </c>
      <c r="G3257" s="4" t="s">
        <v>50</v>
      </c>
      <c r="H3257" s="4" t="s">
        <v>57</v>
      </c>
      <c r="I3257" s="5">
        <v>45591</v>
      </c>
      <c r="J3257" s="4">
        <f t="shared" si="50"/>
        <v>32</v>
      </c>
    </row>
    <row r="3258" spans="1:10" x14ac:dyDescent="0.25">
      <c r="A3258" s="4">
        <f>_xlfn.XLOOKUP(E3258,'Data Validation'!$M$3:$M$10,'Data Validation'!$N$3:$N$10)</f>
        <v>8</v>
      </c>
      <c r="B3258" s="4">
        <v>14</v>
      </c>
      <c r="C3258" s="4" t="s">
        <v>11</v>
      </c>
      <c r="D3258" s="7">
        <v>35.76</v>
      </c>
      <c r="E3258" s="4" t="s">
        <v>12</v>
      </c>
      <c r="F3258" s="4" t="s">
        <v>17</v>
      </c>
      <c r="G3258" s="4" t="s">
        <v>50</v>
      </c>
      <c r="H3258" s="4" t="s">
        <v>57</v>
      </c>
      <c r="I3258" s="5">
        <v>45591</v>
      </c>
      <c r="J3258" s="4">
        <f t="shared" si="50"/>
        <v>32</v>
      </c>
    </row>
    <row r="3259" spans="1:10" x14ac:dyDescent="0.25">
      <c r="A3259" s="4">
        <f>_xlfn.XLOOKUP(E3259,'Data Validation'!$M$3:$M$10,'Data Validation'!$N$3:$N$10)</f>
        <v>8</v>
      </c>
      <c r="B3259" s="4">
        <v>15</v>
      </c>
      <c r="C3259" s="4" t="s">
        <v>11</v>
      </c>
      <c r="D3259" s="7">
        <v>35.76</v>
      </c>
      <c r="E3259" s="4" t="s">
        <v>12</v>
      </c>
      <c r="F3259" s="4" t="s">
        <v>17</v>
      </c>
      <c r="G3259" s="4" t="s">
        <v>50</v>
      </c>
      <c r="H3259" s="4" t="s">
        <v>57</v>
      </c>
      <c r="I3259" s="5">
        <v>45591</v>
      </c>
      <c r="J3259" s="4">
        <f t="shared" si="50"/>
        <v>32</v>
      </c>
    </row>
    <row r="3260" spans="1:10" x14ac:dyDescent="0.25">
      <c r="A3260" s="4">
        <f>_xlfn.XLOOKUP(E3260,'Data Validation'!$M$3:$M$10,'Data Validation'!$N$3:$N$10)</f>
        <v>8</v>
      </c>
      <c r="B3260" s="4">
        <v>15</v>
      </c>
      <c r="C3260" s="4" t="s">
        <v>11</v>
      </c>
      <c r="D3260" s="7">
        <v>35.76</v>
      </c>
      <c r="E3260" s="4" t="s">
        <v>12</v>
      </c>
      <c r="F3260" s="4" t="s">
        <v>17</v>
      </c>
      <c r="G3260" s="4" t="s">
        <v>50</v>
      </c>
      <c r="H3260" s="4" t="s">
        <v>57</v>
      </c>
      <c r="I3260" s="5">
        <v>45591</v>
      </c>
      <c r="J3260" s="4">
        <f t="shared" si="50"/>
        <v>32</v>
      </c>
    </row>
    <row r="3261" spans="1:10" x14ac:dyDescent="0.25">
      <c r="A3261" s="4">
        <f>_xlfn.XLOOKUP(E3261,'Data Validation'!$M$3:$M$10,'Data Validation'!$N$3:$N$10)</f>
        <v>8</v>
      </c>
      <c r="B3261" s="4">
        <v>12</v>
      </c>
      <c r="C3261" s="4" t="s">
        <v>11</v>
      </c>
      <c r="D3261" s="7">
        <v>35.76</v>
      </c>
      <c r="E3261" s="4" t="s">
        <v>12</v>
      </c>
      <c r="F3261" s="4" t="s">
        <v>17</v>
      </c>
      <c r="G3261" s="4" t="s">
        <v>51</v>
      </c>
      <c r="H3261" s="4" t="s">
        <v>57</v>
      </c>
      <c r="I3261" s="5">
        <v>45592</v>
      </c>
      <c r="J3261" s="4">
        <f t="shared" si="50"/>
        <v>32</v>
      </c>
    </row>
    <row r="3262" spans="1:10" x14ac:dyDescent="0.25">
      <c r="A3262" s="4">
        <f>_xlfn.XLOOKUP(E3262,'Data Validation'!$M$3:$M$10,'Data Validation'!$N$3:$N$10)</f>
        <v>8</v>
      </c>
      <c r="B3262" s="4">
        <v>16</v>
      </c>
      <c r="C3262" s="4" t="s">
        <v>11</v>
      </c>
      <c r="D3262" s="7">
        <v>35.76</v>
      </c>
      <c r="E3262" s="4" t="s">
        <v>12</v>
      </c>
      <c r="F3262" s="4" t="s">
        <v>17</v>
      </c>
      <c r="G3262" s="4" t="s">
        <v>51</v>
      </c>
      <c r="H3262" s="4" t="s">
        <v>57</v>
      </c>
      <c r="I3262" s="5">
        <v>45592</v>
      </c>
      <c r="J3262" s="4">
        <f t="shared" si="50"/>
        <v>32</v>
      </c>
    </row>
    <row r="3263" spans="1:10" x14ac:dyDescent="0.25">
      <c r="A3263" s="4">
        <f>_xlfn.XLOOKUP(E3263,'Data Validation'!$M$3:$M$10,'Data Validation'!$N$3:$N$10)</f>
        <v>8</v>
      </c>
      <c r="B3263" s="4">
        <v>8</v>
      </c>
      <c r="C3263" s="4" t="s">
        <v>11</v>
      </c>
      <c r="D3263" s="7">
        <v>35.76</v>
      </c>
      <c r="E3263" s="4" t="s">
        <v>12</v>
      </c>
      <c r="F3263" s="4" t="s">
        <v>13</v>
      </c>
      <c r="G3263" s="4" t="s">
        <v>45</v>
      </c>
      <c r="H3263" s="4" t="s">
        <v>57</v>
      </c>
      <c r="I3263" s="5">
        <v>45593</v>
      </c>
      <c r="J3263" s="4">
        <f t="shared" si="50"/>
        <v>32</v>
      </c>
    </row>
    <row r="3264" spans="1:10" x14ac:dyDescent="0.25">
      <c r="A3264" s="4">
        <f>_xlfn.XLOOKUP(E3264,'Data Validation'!$M$3:$M$10,'Data Validation'!$N$3:$N$10)</f>
        <v>8</v>
      </c>
      <c r="B3264" s="4">
        <v>11</v>
      </c>
      <c r="C3264" s="4" t="s">
        <v>11</v>
      </c>
      <c r="D3264" s="7">
        <v>35.76</v>
      </c>
      <c r="E3264" s="4" t="s">
        <v>12</v>
      </c>
      <c r="F3264" s="4" t="s">
        <v>13</v>
      </c>
      <c r="G3264" s="4" t="s">
        <v>45</v>
      </c>
      <c r="H3264" s="4" t="s">
        <v>57</v>
      </c>
      <c r="I3264" s="5">
        <v>45593</v>
      </c>
      <c r="J3264" s="4">
        <f t="shared" si="50"/>
        <v>32</v>
      </c>
    </row>
    <row r="3265" spans="1:10" x14ac:dyDescent="0.25">
      <c r="A3265" s="4">
        <f>_xlfn.XLOOKUP(E3265,'Data Validation'!$M$3:$M$10,'Data Validation'!$N$3:$N$10)</f>
        <v>8</v>
      </c>
      <c r="B3265" s="4">
        <v>11</v>
      </c>
      <c r="C3265" s="4" t="s">
        <v>11</v>
      </c>
      <c r="D3265" s="7">
        <v>35.76</v>
      </c>
      <c r="E3265" s="4" t="s">
        <v>12</v>
      </c>
      <c r="F3265" s="4" t="s">
        <v>13</v>
      </c>
      <c r="G3265" s="4" t="s">
        <v>45</v>
      </c>
      <c r="H3265" s="4" t="s">
        <v>57</v>
      </c>
      <c r="I3265" s="5">
        <v>45593</v>
      </c>
      <c r="J3265" s="4">
        <f t="shared" si="50"/>
        <v>32</v>
      </c>
    </row>
    <row r="3266" spans="1:10" x14ac:dyDescent="0.25">
      <c r="A3266" s="4">
        <f>_xlfn.XLOOKUP(E3266,'Data Validation'!$M$3:$M$10,'Data Validation'!$N$3:$N$10)</f>
        <v>8</v>
      </c>
      <c r="B3266" s="4">
        <v>16</v>
      </c>
      <c r="C3266" s="4" t="s">
        <v>11</v>
      </c>
      <c r="D3266" s="7">
        <v>35.76</v>
      </c>
      <c r="E3266" s="4" t="s">
        <v>12</v>
      </c>
      <c r="F3266" s="4" t="s">
        <v>17</v>
      </c>
      <c r="G3266" s="4" t="s">
        <v>45</v>
      </c>
      <c r="H3266" s="4" t="s">
        <v>57</v>
      </c>
      <c r="I3266" s="5">
        <v>45593</v>
      </c>
      <c r="J3266" s="4">
        <f t="shared" si="50"/>
        <v>32</v>
      </c>
    </row>
    <row r="3267" spans="1:10" x14ac:dyDescent="0.25">
      <c r="A3267" s="4">
        <f>_xlfn.XLOOKUP(E3267,'Data Validation'!$M$3:$M$10,'Data Validation'!$N$3:$N$10)</f>
        <v>8</v>
      </c>
      <c r="B3267" s="4">
        <v>8</v>
      </c>
      <c r="C3267" s="4" t="s">
        <v>11</v>
      </c>
      <c r="D3267" s="7">
        <v>35.76</v>
      </c>
      <c r="E3267" s="4" t="s">
        <v>12</v>
      </c>
      <c r="F3267" s="4" t="s">
        <v>13</v>
      </c>
      <c r="G3267" s="4" t="s">
        <v>46</v>
      </c>
      <c r="H3267" s="4" t="s">
        <v>57</v>
      </c>
      <c r="I3267" s="5">
        <v>45594</v>
      </c>
      <c r="J3267" s="4">
        <f t="shared" ref="J3267:J3330" si="51">IF(OR(E3267&lt;&gt;E3266,D3267&lt;&gt;D3266),J3266+1,J3266)</f>
        <v>32</v>
      </c>
    </row>
    <row r="3268" spans="1:10" x14ac:dyDescent="0.25">
      <c r="A3268" s="4">
        <f>_xlfn.XLOOKUP(E3268,'Data Validation'!$M$3:$M$10,'Data Validation'!$N$3:$N$10)</f>
        <v>8</v>
      </c>
      <c r="B3268" s="4">
        <v>8</v>
      </c>
      <c r="C3268" s="4" t="s">
        <v>11</v>
      </c>
      <c r="D3268" s="7">
        <v>35.76</v>
      </c>
      <c r="E3268" s="4" t="s">
        <v>12</v>
      </c>
      <c r="F3268" s="4" t="s">
        <v>13</v>
      </c>
      <c r="G3268" s="4" t="s">
        <v>46</v>
      </c>
      <c r="H3268" s="4" t="s">
        <v>57</v>
      </c>
      <c r="I3268" s="5">
        <v>45594</v>
      </c>
      <c r="J3268" s="4">
        <f t="shared" si="51"/>
        <v>32</v>
      </c>
    </row>
    <row r="3269" spans="1:10" x14ac:dyDescent="0.25">
      <c r="A3269" s="4">
        <f>_xlfn.XLOOKUP(E3269,'Data Validation'!$M$3:$M$10,'Data Validation'!$N$3:$N$10)</f>
        <v>8</v>
      </c>
      <c r="B3269" s="4">
        <v>9</v>
      </c>
      <c r="C3269" s="4" t="s">
        <v>11</v>
      </c>
      <c r="D3269" s="7">
        <v>35.76</v>
      </c>
      <c r="E3269" s="4" t="s">
        <v>12</v>
      </c>
      <c r="F3269" s="4" t="s">
        <v>13</v>
      </c>
      <c r="G3269" s="4" t="s">
        <v>46</v>
      </c>
      <c r="H3269" s="4" t="s">
        <v>57</v>
      </c>
      <c r="I3269" s="5">
        <v>45594</v>
      </c>
      <c r="J3269" s="4">
        <f t="shared" si="51"/>
        <v>32</v>
      </c>
    </row>
    <row r="3270" spans="1:10" x14ac:dyDescent="0.25">
      <c r="A3270" s="4">
        <f>_xlfn.XLOOKUP(E3270,'Data Validation'!$M$3:$M$10,'Data Validation'!$N$3:$N$10)</f>
        <v>8</v>
      </c>
      <c r="B3270" s="4">
        <v>19</v>
      </c>
      <c r="C3270" s="4" t="s">
        <v>11</v>
      </c>
      <c r="D3270" s="7">
        <v>35.76</v>
      </c>
      <c r="E3270" s="4" t="s">
        <v>12</v>
      </c>
      <c r="F3270" s="4" t="s">
        <v>20</v>
      </c>
      <c r="G3270" s="4" t="s">
        <v>46</v>
      </c>
      <c r="H3270" s="4" t="s">
        <v>57</v>
      </c>
      <c r="I3270" s="5">
        <v>45594</v>
      </c>
      <c r="J3270" s="4">
        <f t="shared" si="51"/>
        <v>32</v>
      </c>
    </row>
    <row r="3271" spans="1:10" x14ac:dyDescent="0.25">
      <c r="A3271" s="4">
        <f>_xlfn.XLOOKUP(E3271,'Data Validation'!$M$3:$M$10,'Data Validation'!$N$3:$N$10)</f>
        <v>8</v>
      </c>
      <c r="B3271" s="4">
        <v>20</v>
      </c>
      <c r="C3271" s="4" t="s">
        <v>11</v>
      </c>
      <c r="D3271" s="7">
        <v>35.76</v>
      </c>
      <c r="E3271" s="4" t="s">
        <v>12</v>
      </c>
      <c r="F3271" s="4" t="s">
        <v>20</v>
      </c>
      <c r="G3271" s="4" t="s">
        <v>46</v>
      </c>
      <c r="H3271" s="4" t="s">
        <v>57</v>
      </c>
      <c r="I3271" s="5">
        <v>45594</v>
      </c>
      <c r="J3271" s="4">
        <f t="shared" si="51"/>
        <v>32</v>
      </c>
    </row>
    <row r="3272" spans="1:10" x14ac:dyDescent="0.25">
      <c r="A3272" s="4">
        <f>_xlfn.XLOOKUP(E3272,'Data Validation'!$M$3:$M$10,'Data Validation'!$N$3:$N$10)</f>
        <v>8</v>
      </c>
      <c r="B3272" s="4">
        <v>7</v>
      </c>
      <c r="C3272" s="4" t="s">
        <v>11</v>
      </c>
      <c r="D3272" s="7">
        <v>35.76</v>
      </c>
      <c r="E3272" s="4" t="s">
        <v>12</v>
      </c>
      <c r="F3272" s="4" t="s">
        <v>13</v>
      </c>
      <c r="G3272" s="4" t="s">
        <v>47</v>
      </c>
      <c r="H3272" s="4" t="s">
        <v>57</v>
      </c>
      <c r="I3272" s="5">
        <v>45595</v>
      </c>
      <c r="J3272" s="4">
        <f t="shared" si="51"/>
        <v>32</v>
      </c>
    </row>
    <row r="3273" spans="1:10" x14ac:dyDescent="0.25">
      <c r="A3273" s="4">
        <f>_xlfn.XLOOKUP(E3273,'Data Validation'!$M$3:$M$10,'Data Validation'!$N$3:$N$10)</f>
        <v>8</v>
      </c>
      <c r="B3273" s="4">
        <v>9</v>
      </c>
      <c r="C3273" s="4" t="s">
        <v>11</v>
      </c>
      <c r="D3273" s="7">
        <v>35.76</v>
      </c>
      <c r="E3273" s="4" t="s">
        <v>12</v>
      </c>
      <c r="F3273" s="4" t="s">
        <v>13</v>
      </c>
      <c r="G3273" s="4" t="s">
        <v>47</v>
      </c>
      <c r="H3273" s="4" t="s">
        <v>57</v>
      </c>
      <c r="I3273" s="5">
        <v>45595</v>
      </c>
      <c r="J3273" s="4">
        <f t="shared" si="51"/>
        <v>32</v>
      </c>
    </row>
    <row r="3274" spans="1:10" x14ac:dyDescent="0.25">
      <c r="A3274" s="4">
        <f>_xlfn.XLOOKUP(E3274,'Data Validation'!$M$3:$M$10,'Data Validation'!$N$3:$N$10)</f>
        <v>8</v>
      </c>
      <c r="B3274" s="4">
        <v>10</v>
      </c>
      <c r="C3274" s="4" t="s">
        <v>11</v>
      </c>
      <c r="D3274" s="7">
        <v>35.76</v>
      </c>
      <c r="E3274" s="4" t="s">
        <v>12</v>
      </c>
      <c r="F3274" s="4" t="s">
        <v>13</v>
      </c>
      <c r="G3274" s="4" t="s">
        <v>47</v>
      </c>
      <c r="H3274" s="4" t="s">
        <v>57</v>
      </c>
      <c r="I3274" s="5">
        <v>45595</v>
      </c>
      <c r="J3274" s="4">
        <f t="shared" si="51"/>
        <v>32</v>
      </c>
    </row>
    <row r="3275" spans="1:10" x14ac:dyDescent="0.25">
      <c r="A3275" s="4">
        <f>_xlfn.XLOOKUP(E3275,'Data Validation'!$M$3:$M$10,'Data Validation'!$N$3:$N$10)</f>
        <v>8</v>
      </c>
      <c r="B3275" s="4">
        <v>10</v>
      </c>
      <c r="C3275" s="4" t="s">
        <v>11</v>
      </c>
      <c r="D3275" s="7">
        <v>35.76</v>
      </c>
      <c r="E3275" s="4" t="s">
        <v>12</v>
      </c>
      <c r="F3275" s="4" t="s">
        <v>13</v>
      </c>
      <c r="G3275" s="4" t="s">
        <v>47</v>
      </c>
      <c r="H3275" s="4" t="s">
        <v>57</v>
      </c>
      <c r="I3275" s="5">
        <v>45595</v>
      </c>
      <c r="J3275" s="4">
        <f t="shared" si="51"/>
        <v>32</v>
      </c>
    </row>
    <row r="3276" spans="1:10" x14ac:dyDescent="0.25">
      <c r="A3276" s="4">
        <f>_xlfn.XLOOKUP(E3276,'Data Validation'!$M$3:$M$10,'Data Validation'!$N$3:$N$10)</f>
        <v>8</v>
      </c>
      <c r="B3276" s="4">
        <v>12</v>
      </c>
      <c r="C3276" s="4" t="s">
        <v>11</v>
      </c>
      <c r="D3276" s="7">
        <v>35.76</v>
      </c>
      <c r="E3276" s="4" t="s">
        <v>12</v>
      </c>
      <c r="F3276" s="4" t="s">
        <v>17</v>
      </c>
      <c r="G3276" s="4" t="s">
        <v>47</v>
      </c>
      <c r="H3276" s="4" t="s">
        <v>57</v>
      </c>
      <c r="I3276" s="5">
        <v>45595</v>
      </c>
      <c r="J3276" s="4">
        <f t="shared" si="51"/>
        <v>32</v>
      </c>
    </row>
    <row r="3277" spans="1:10" x14ac:dyDescent="0.25">
      <c r="A3277" s="4">
        <f>_xlfn.XLOOKUP(E3277,'Data Validation'!$M$3:$M$10,'Data Validation'!$N$3:$N$10)</f>
        <v>8</v>
      </c>
      <c r="B3277" s="4">
        <v>15</v>
      </c>
      <c r="C3277" s="4" t="s">
        <v>11</v>
      </c>
      <c r="D3277" s="7">
        <v>35.76</v>
      </c>
      <c r="E3277" s="4" t="s">
        <v>12</v>
      </c>
      <c r="F3277" s="4" t="s">
        <v>17</v>
      </c>
      <c r="G3277" s="4" t="s">
        <v>47</v>
      </c>
      <c r="H3277" s="4" t="s">
        <v>57</v>
      </c>
      <c r="I3277" s="5">
        <v>45595</v>
      </c>
      <c r="J3277" s="4">
        <f t="shared" si="51"/>
        <v>32</v>
      </c>
    </row>
    <row r="3278" spans="1:10" x14ac:dyDescent="0.25">
      <c r="A3278" s="4">
        <f>_xlfn.XLOOKUP(E3278,'Data Validation'!$M$3:$M$10,'Data Validation'!$N$3:$N$10)</f>
        <v>8</v>
      </c>
      <c r="B3278" s="4">
        <v>15</v>
      </c>
      <c r="C3278" s="4" t="s">
        <v>11</v>
      </c>
      <c r="D3278" s="7">
        <v>35.76</v>
      </c>
      <c r="E3278" s="4" t="s">
        <v>12</v>
      </c>
      <c r="F3278" s="4" t="s">
        <v>17</v>
      </c>
      <c r="G3278" s="4" t="s">
        <v>47</v>
      </c>
      <c r="H3278" s="4" t="s">
        <v>57</v>
      </c>
      <c r="I3278" s="5">
        <v>45595</v>
      </c>
      <c r="J3278" s="4">
        <f t="shared" si="51"/>
        <v>32</v>
      </c>
    </row>
    <row r="3279" spans="1:10" x14ac:dyDescent="0.25">
      <c r="A3279" s="4">
        <f>_xlfn.XLOOKUP(E3279,'Data Validation'!$M$3:$M$10,'Data Validation'!$N$3:$N$10)</f>
        <v>8</v>
      </c>
      <c r="B3279" s="4">
        <v>7</v>
      </c>
      <c r="C3279" s="4" t="s">
        <v>11</v>
      </c>
      <c r="D3279" s="7">
        <v>35.76</v>
      </c>
      <c r="E3279" s="4" t="s">
        <v>12</v>
      </c>
      <c r="F3279" s="4" t="s">
        <v>13</v>
      </c>
      <c r="G3279" s="4" t="s">
        <v>48</v>
      </c>
      <c r="H3279" s="4" t="s">
        <v>57</v>
      </c>
      <c r="I3279" s="5">
        <v>45596</v>
      </c>
      <c r="J3279" s="4">
        <f t="shared" si="51"/>
        <v>32</v>
      </c>
    </row>
    <row r="3280" spans="1:10" x14ac:dyDescent="0.25">
      <c r="A3280" s="4">
        <f>_xlfn.XLOOKUP(E3280,'Data Validation'!$M$3:$M$10,'Data Validation'!$N$3:$N$10)</f>
        <v>8</v>
      </c>
      <c r="B3280" s="4">
        <v>8</v>
      </c>
      <c r="C3280" s="4" t="s">
        <v>11</v>
      </c>
      <c r="D3280" s="7">
        <v>35.76</v>
      </c>
      <c r="E3280" s="4" t="s">
        <v>12</v>
      </c>
      <c r="F3280" s="4" t="s">
        <v>13</v>
      </c>
      <c r="G3280" s="4" t="s">
        <v>48</v>
      </c>
      <c r="H3280" s="4" t="s">
        <v>57</v>
      </c>
      <c r="I3280" s="5">
        <v>45596</v>
      </c>
      <c r="J3280" s="4">
        <f t="shared" si="51"/>
        <v>32</v>
      </c>
    </row>
    <row r="3281" spans="1:10" x14ac:dyDescent="0.25">
      <c r="A3281" s="4">
        <f>_xlfn.XLOOKUP(E3281,'Data Validation'!$M$3:$M$10,'Data Validation'!$N$3:$N$10)</f>
        <v>8</v>
      </c>
      <c r="B3281" s="4">
        <v>15</v>
      </c>
      <c r="C3281" s="4" t="s">
        <v>11</v>
      </c>
      <c r="D3281" s="7">
        <v>35.76</v>
      </c>
      <c r="E3281" s="4" t="s">
        <v>12</v>
      </c>
      <c r="F3281" s="4" t="s">
        <v>17</v>
      </c>
      <c r="G3281" s="4" t="s">
        <v>48</v>
      </c>
      <c r="H3281" s="4" t="s">
        <v>57</v>
      </c>
      <c r="I3281" s="5">
        <v>45596</v>
      </c>
      <c r="J3281" s="4">
        <f t="shared" si="51"/>
        <v>32</v>
      </c>
    </row>
    <row r="3282" spans="1:10" x14ac:dyDescent="0.25">
      <c r="A3282" s="4">
        <f>_xlfn.XLOOKUP(E3282,'Data Validation'!$M$3:$M$10,'Data Validation'!$N$3:$N$10)</f>
        <v>8</v>
      </c>
      <c r="B3282" s="4">
        <v>10</v>
      </c>
      <c r="C3282" s="4" t="s">
        <v>11</v>
      </c>
      <c r="D3282" s="7">
        <v>35.76</v>
      </c>
      <c r="E3282" s="4" t="s">
        <v>12</v>
      </c>
      <c r="F3282" s="4" t="s">
        <v>13</v>
      </c>
      <c r="G3282" s="4" t="s">
        <v>49</v>
      </c>
      <c r="H3282" s="4" t="s">
        <v>58</v>
      </c>
      <c r="I3282" s="5">
        <v>45597</v>
      </c>
      <c r="J3282" s="4">
        <f t="shared" si="51"/>
        <v>32</v>
      </c>
    </row>
    <row r="3283" spans="1:10" x14ac:dyDescent="0.25">
      <c r="A3283" s="4">
        <f>_xlfn.XLOOKUP(E3283,'Data Validation'!$M$3:$M$10,'Data Validation'!$N$3:$N$10)</f>
        <v>8</v>
      </c>
      <c r="B3283" s="4">
        <v>16</v>
      </c>
      <c r="C3283" s="4" t="s">
        <v>11</v>
      </c>
      <c r="D3283" s="7">
        <v>35.76</v>
      </c>
      <c r="E3283" s="4" t="s">
        <v>12</v>
      </c>
      <c r="F3283" s="4" t="s">
        <v>17</v>
      </c>
      <c r="G3283" s="4" t="s">
        <v>50</v>
      </c>
      <c r="H3283" s="4" t="s">
        <v>58</v>
      </c>
      <c r="I3283" s="5">
        <v>45598</v>
      </c>
      <c r="J3283" s="4">
        <f t="shared" si="51"/>
        <v>32</v>
      </c>
    </row>
    <row r="3284" spans="1:10" x14ac:dyDescent="0.25">
      <c r="A3284" s="4">
        <f>_xlfn.XLOOKUP(E3284,'Data Validation'!$M$3:$M$10,'Data Validation'!$N$3:$N$10)</f>
        <v>8</v>
      </c>
      <c r="B3284" s="4">
        <v>16</v>
      </c>
      <c r="C3284" s="4" t="s">
        <v>11</v>
      </c>
      <c r="D3284" s="7">
        <v>35.76</v>
      </c>
      <c r="E3284" s="4" t="s">
        <v>12</v>
      </c>
      <c r="F3284" s="4" t="s">
        <v>17</v>
      </c>
      <c r="G3284" s="4" t="s">
        <v>50</v>
      </c>
      <c r="H3284" s="4" t="s">
        <v>58</v>
      </c>
      <c r="I3284" s="5">
        <v>45598</v>
      </c>
      <c r="J3284" s="4">
        <f t="shared" si="51"/>
        <v>32</v>
      </c>
    </row>
    <row r="3285" spans="1:10" x14ac:dyDescent="0.25">
      <c r="A3285" s="4">
        <f>_xlfn.XLOOKUP(E3285,'Data Validation'!$M$3:$M$10,'Data Validation'!$N$3:$N$10)</f>
        <v>8</v>
      </c>
      <c r="B3285" s="4">
        <v>13</v>
      </c>
      <c r="C3285" s="4" t="s">
        <v>11</v>
      </c>
      <c r="D3285" s="7">
        <v>35.76</v>
      </c>
      <c r="E3285" s="4" t="s">
        <v>12</v>
      </c>
      <c r="F3285" s="4" t="s">
        <v>17</v>
      </c>
      <c r="G3285" s="4" t="s">
        <v>51</v>
      </c>
      <c r="H3285" s="4" t="s">
        <v>58</v>
      </c>
      <c r="I3285" s="5">
        <v>45599</v>
      </c>
      <c r="J3285" s="4">
        <f t="shared" si="51"/>
        <v>32</v>
      </c>
    </row>
    <row r="3286" spans="1:10" x14ac:dyDescent="0.25">
      <c r="A3286" s="4">
        <f>_xlfn.XLOOKUP(E3286,'Data Validation'!$M$3:$M$10,'Data Validation'!$N$3:$N$10)</f>
        <v>8</v>
      </c>
      <c r="B3286" s="4">
        <v>7</v>
      </c>
      <c r="C3286" s="4" t="s">
        <v>11</v>
      </c>
      <c r="D3286" s="7">
        <v>35.76</v>
      </c>
      <c r="E3286" s="4" t="s">
        <v>12</v>
      </c>
      <c r="F3286" s="4" t="s">
        <v>13</v>
      </c>
      <c r="G3286" s="4" t="s">
        <v>45</v>
      </c>
      <c r="H3286" s="4" t="s">
        <v>58</v>
      </c>
      <c r="I3286" s="5">
        <v>45600</v>
      </c>
      <c r="J3286" s="4">
        <f t="shared" si="51"/>
        <v>32</v>
      </c>
    </row>
    <row r="3287" spans="1:10" x14ac:dyDescent="0.25">
      <c r="A3287" s="4">
        <f>_xlfn.XLOOKUP(E3287,'Data Validation'!$M$3:$M$10,'Data Validation'!$N$3:$N$10)</f>
        <v>8</v>
      </c>
      <c r="B3287" s="4">
        <v>8</v>
      </c>
      <c r="C3287" s="4" t="s">
        <v>11</v>
      </c>
      <c r="D3287" s="7">
        <v>35.76</v>
      </c>
      <c r="E3287" s="4" t="s">
        <v>12</v>
      </c>
      <c r="F3287" s="4" t="s">
        <v>13</v>
      </c>
      <c r="G3287" s="4" t="s">
        <v>45</v>
      </c>
      <c r="H3287" s="4" t="s">
        <v>58</v>
      </c>
      <c r="I3287" s="5">
        <v>45600</v>
      </c>
      <c r="J3287" s="4">
        <f t="shared" si="51"/>
        <v>32</v>
      </c>
    </row>
    <row r="3288" spans="1:10" x14ac:dyDescent="0.25">
      <c r="A3288" s="4">
        <f>_xlfn.XLOOKUP(E3288,'Data Validation'!$M$3:$M$10,'Data Validation'!$N$3:$N$10)</f>
        <v>8</v>
      </c>
      <c r="B3288" s="4">
        <v>11</v>
      </c>
      <c r="C3288" s="4" t="s">
        <v>11</v>
      </c>
      <c r="D3288" s="7">
        <v>35.76</v>
      </c>
      <c r="E3288" s="4" t="s">
        <v>12</v>
      </c>
      <c r="F3288" s="4" t="s">
        <v>13</v>
      </c>
      <c r="G3288" s="4" t="s">
        <v>46</v>
      </c>
      <c r="H3288" s="4" t="s">
        <v>58</v>
      </c>
      <c r="I3288" s="5">
        <v>45601</v>
      </c>
      <c r="J3288" s="4">
        <f t="shared" si="51"/>
        <v>32</v>
      </c>
    </row>
    <row r="3289" spans="1:10" x14ac:dyDescent="0.25">
      <c r="A3289" s="4">
        <f>_xlfn.XLOOKUP(E3289,'Data Validation'!$M$3:$M$10,'Data Validation'!$N$3:$N$10)</f>
        <v>8</v>
      </c>
      <c r="B3289" s="4">
        <v>14</v>
      </c>
      <c r="C3289" s="4" t="s">
        <v>11</v>
      </c>
      <c r="D3289" s="7">
        <v>35.76</v>
      </c>
      <c r="E3289" s="4" t="s">
        <v>12</v>
      </c>
      <c r="F3289" s="4" t="s">
        <v>17</v>
      </c>
      <c r="G3289" s="4" t="s">
        <v>46</v>
      </c>
      <c r="H3289" s="4" t="s">
        <v>58</v>
      </c>
      <c r="I3289" s="5">
        <v>45601</v>
      </c>
      <c r="J3289" s="4">
        <f t="shared" si="51"/>
        <v>32</v>
      </c>
    </row>
    <row r="3290" spans="1:10" x14ac:dyDescent="0.25">
      <c r="A3290" s="4">
        <f>_xlfn.XLOOKUP(E3290,'Data Validation'!$M$3:$M$10,'Data Validation'!$N$3:$N$10)</f>
        <v>8</v>
      </c>
      <c r="B3290" s="4">
        <v>14</v>
      </c>
      <c r="C3290" s="4" t="s">
        <v>11</v>
      </c>
      <c r="D3290" s="7">
        <v>35.76</v>
      </c>
      <c r="E3290" s="4" t="s">
        <v>12</v>
      </c>
      <c r="F3290" s="4" t="s">
        <v>17</v>
      </c>
      <c r="G3290" s="4" t="s">
        <v>46</v>
      </c>
      <c r="H3290" s="4" t="s">
        <v>58</v>
      </c>
      <c r="I3290" s="5">
        <v>45601</v>
      </c>
      <c r="J3290" s="4">
        <f t="shared" si="51"/>
        <v>32</v>
      </c>
    </row>
    <row r="3291" spans="1:10" x14ac:dyDescent="0.25">
      <c r="A3291" s="4">
        <f>_xlfn.XLOOKUP(E3291,'Data Validation'!$M$3:$M$10,'Data Validation'!$N$3:$N$10)</f>
        <v>8</v>
      </c>
      <c r="B3291" s="4">
        <v>8</v>
      </c>
      <c r="C3291" s="4" t="s">
        <v>11</v>
      </c>
      <c r="D3291" s="7">
        <v>35.76</v>
      </c>
      <c r="E3291" s="4" t="s">
        <v>12</v>
      </c>
      <c r="F3291" s="4" t="s">
        <v>13</v>
      </c>
      <c r="G3291" s="4" t="s">
        <v>47</v>
      </c>
      <c r="H3291" s="4" t="s">
        <v>58</v>
      </c>
      <c r="I3291" s="5">
        <v>45602</v>
      </c>
      <c r="J3291" s="4">
        <f t="shared" si="51"/>
        <v>32</v>
      </c>
    </row>
    <row r="3292" spans="1:10" x14ac:dyDescent="0.25">
      <c r="A3292" s="4">
        <f>_xlfn.XLOOKUP(E3292,'Data Validation'!$M$3:$M$10,'Data Validation'!$N$3:$N$10)</f>
        <v>8</v>
      </c>
      <c r="B3292" s="4">
        <v>16</v>
      </c>
      <c r="C3292" s="4" t="s">
        <v>11</v>
      </c>
      <c r="D3292" s="7">
        <v>35.76</v>
      </c>
      <c r="E3292" s="4" t="s">
        <v>12</v>
      </c>
      <c r="F3292" s="4" t="s">
        <v>17</v>
      </c>
      <c r="G3292" s="4" t="s">
        <v>47</v>
      </c>
      <c r="H3292" s="4" t="s">
        <v>58</v>
      </c>
      <c r="I3292" s="5">
        <v>45602</v>
      </c>
      <c r="J3292" s="4">
        <f t="shared" si="51"/>
        <v>32</v>
      </c>
    </row>
    <row r="3293" spans="1:10" x14ac:dyDescent="0.25">
      <c r="A3293" s="4">
        <f>_xlfn.XLOOKUP(E3293,'Data Validation'!$M$3:$M$10,'Data Validation'!$N$3:$N$10)</f>
        <v>8</v>
      </c>
      <c r="B3293" s="4">
        <v>12</v>
      </c>
      <c r="C3293" s="4" t="s">
        <v>11</v>
      </c>
      <c r="D3293" s="7">
        <v>35.76</v>
      </c>
      <c r="E3293" s="4" t="s">
        <v>12</v>
      </c>
      <c r="F3293" s="4" t="s">
        <v>17</v>
      </c>
      <c r="G3293" s="4" t="s">
        <v>48</v>
      </c>
      <c r="H3293" s="4" t="s">
        <v>58</v>
      </c>
      <c r="I3293" s="5">
        <v>45603</v>
      </c>
      <c r="J3293" s="4">
        <f t="shared" si="51"/>
        <v>32</v>
      </c>
    </row>
    <row r="3294" spans="1:10" x14ac:dyDescent="0.25">
      <c r="A3294" s="4">
        <f>_xlfn.XLOOKUP(E3294,'Data Validation'!$M$3:$M$10,'Data Validation'!$N$3:$N$10)</f>
        <v>8</v>
      </c>
      <c r="B3294" s="4">
        <v>19</v>
      </c>
      <c r="C3294" s="4" t="s">
        <v>11</v>
      </c>
      <c r="D3294" s="7">
        <v>35.76</v>
      </c>
      <c r="E3294" s="4" t="s">
        <v>12</v>
      </c>
      <c r="F3294" s="4" t="s">
        <v>20</v>
      </c>
      <c r="G3294" s="4" t="s">
        <v>48</v>
      </c>
      <c r="H3294" s="4" t="s">
        <v>58</v>
      </c>
      <c r="I3294" s="5">
        <v>45603</v>
      </c>
      <c r="J3294" s="4">
        <f t="shared" si="51"/>
        <v>32</v>
      </c>
    </row>
    <row r="3295" spans="1:10" x14ac:dyDescent="0.25">
      <c r="A3295" s="4">
        <f>_xlfn.XLOOKUP(E3295,'Data Validation'!$M$3:$M$10,'Data Validation'!$N$3:$N$10)</f>
        <v>8</v>
      </c>
      <c r="B3295" s="4">
        <v>20</v>
      </c>
      <c r="C3295" s="4" t="s">
        <v>11</v>
      </c>
      <c r="D3295" s="7">
        <v>35.76</v>
      </c>
      <c r="E3295" s="4" t="s">
        <v>12</v>
      </c>
      <c r="F3295" s="4" t="s">
        <v>20</v>
      </c>
      <c r="G3295" s="4" t="s">
        <v>48</v>
      </c>
      <c r="H3295" s="4" t="s">
        <v>58</v>
      </c>
      <c r="I3295" s="5">
        <v>45603</v>
      </c>
      <c r="J3295" s="4">
        <f t="shared" si="51"/>
        <v>32</v>
      </c>
    </row>
    <row r="3296" spans="1:10" x14ac:dyDescent="0.25">
      <c r="A3296" s="4">
        <f>_xlfn.XLOOKUP(E3296,'Data Validation'!$M$3:$M$10,'Data Validation'!$N$3:$N$10)</f>
        <v>8</v>
      </c>
      <c r="B3296" s="4">
        <v>13</v>
      </c>
      <c r="C3296" s="4" t="s">
        <v>11</v>
      </c>
      <c r="D3296" s="7">
        <v>35.76</v>
      </c>
      <c r="E3296" s="4" t="s">
        <v>12</v>
      </c>
      <c r="F3296" s="4" t="s">
        <v>17</v>
      </c>
      <c r="G3296" s="4" t="s">
        <v>49</v>
      </c>
      <c r="H3296" s="4" t="s">
        <v>58</v>
      </c>
      <c r="I3296" s="5">
        <v>45604</v>
      </c>
      <c r="J3296" s="4">
        <f t="shared" si="51"/>
        <v>32</v>
      </c>
    </row>
    <row r="3297" spans="1:10" x14ac:dyDescent="0.25">
      <c r="A3297" s="4">
        <f>_xlfn.XLOOKUP(E3297,'Data Validation'!$M$3:$M$10,'Data Validation'!$N$3:$N$10)</f>
        <v>8</v>
      </c>
      <c r="B3297" s="4">
        <v>13</v>
      </c>
      <c r="C3297" s="4" t="s">
        <v>11</v>
      </c>
      <c r="D3297" s="7">
        <v>35.76</v>
      </c>
      <c r="E3297" s="4" t="s">
        <v>12</v>
      </c>
      <c r="F3297" s="4" t="s">
        <v>17</v>
      </c>
      <c r="G3297" s="4" t="s">
        <v>49</v>
      </c>
      <c r="H3297" s="4" t="s">
        <v>58</v>
      </c>
      <c r="I3297" s="5">
        <v>45604</v>
      </c>
      <c r="J3297" s="4">
        <f t="shared" si="51"/>
        <v>32</v>
      </c>
    </row>
    <row r="3298" spans="1:10" x14ac:dyDescent="0.25">
      <c r="A3298" s="4">
        <f>_xlfn.XLOOKUP(E3298,'Data Validation'!$M$3:$M$10,'Data Validation'!$N$3:$N$10)</f>
        <v>8</v>
      </c>
      <c r="B3298" s="4">
        <v>22</v>
      </c>
      <c r="C3298" s="4" t="s">
        <v>11</v>
      </c>
      <c r="D3298" s="7">
        <v>35.76</v>
      </c>
      <c r="E3298" s="4" t="s">
        <v>12</v>
      </c>
      <c r="F3298" s="4" t="s">
        <v>20</v>
      </c>
      <c r="G3298" s="4" t="s">
        <v>49</v>
      </c>
      <c r="H3298" s="4" t="s">
        <v>58</v>
      </c>
      <c r="I3298" s="5">
        <v>45604</v>
      </c>
      <c r="J3298" s="4">
        <f t="shared" si="51"/>
        <v>32</v>
      </c>
    </row>
    <row r="3299" spans="1:10" x14ac:dyDescent="0.25">
      <c r="A3299" s="4">
        <f>_xlfn.XLOOKUP(E3299,'Data Validation'!$M$3:$M$10,'Data Validation'!$N$3:$N$10)</f>
        <v>8</v>
      </c>
      <c r="B3299" s="4">
        <v>11</v>
      </c>
      <c r="C3299" s="4" t="s">
        <v>11</v>
      </c>
      <c r="D3299" s="7">
        <v>35.76</v>
      </c>
      <c r="E3299" s="4" t="s">
        <v>12</v>
      </c>
      <c r="F3299" s="4" t="s">
        <v>13</v>
      </c>
      <c r="G3299" s="4" t="s">
        <v>50</v>
      </c>
      <c r="H3299" s="4" t="s">
        <v>58</v>
      </c>
      <c r="I3299" s="5">
        <v>45605</v>
      </c>
      <c r="J3299" s="4">
        <f t="shared" si="51"/>
        <v>32</v>
      </c>
    </row>
    <row r="3300" spans="1:10" x14ac:dyDescent="0.25">
      <c r="A3300" s="4">
        <f>_xlfn.XLOOKUP(E3300,'Data Validation'!$M$3:$M$10,'Data Validation'!$N$3:$N$10)</f>
        <v>8</v>
      </c>
      <c r="B3300" s="4">
        <v>16</v>
      </c>
      <c r="C3300" s="4" t="s">
        <v>11</v>
      </c>
      <c r="D3300" s="7">
        <v>35.76</v>
      </c>
      <c r="E3300" s="4" t="s">
        <v>12</v>
      </c>
      <c r="F3300" s="4" t="s">
        <v>17</v>
      </c>
      <c r="G3300" s="4" t="s">
        <v>50</v>
      </c>
      <c r="H3300" s="4" t="s">
        <v>58</v>
      </c>
      <c r="I3300" s="5">
        <v>45605</v>
      </c>
      <c r="J3300" s="4">
        <f t="shared" si="51"/>
        <v>32</v>
      </c>
    </row>
    <row r="3301" spans="1:10" x14ac:dyDescent="0.25">
      <c r="A3301" s="4">
        <f>_xlfn.XLOOKUP(E3301,'Data Validation'!$M$3:$M$10,'Data Validation'!$N$3:$N$10)</f>
        <v>8</v>
      </c>
      <c r="B3301" s="4">
        <v>20</v>
      </c>
      <c r="C3301" s="4" t="s">
        <v>11</v>
      </c>
      <c r="D3301" s="7">
        <v>35.76</v>
      </c>
      <c r="E3301" s="4" t="s">
        <v>12</v>
      </c>
      <c r="F3301" s="4" t="s">
        <v>20</v>
      </c>
      <c r="G3301" s="4" t="s">
        <v>50</v>
      </c>
      <c r="H3301" s="4" t="s">
        <v>58</v>
      </c>
      <c r="I3301" s="5">
        <v>45605</v>
      </c>
      <c r="J3301" s="4">
        <f t="shared" si="51"/>
        <v>32</v>
      </c>
    </row>
    <row r="3302" spans="1:10" x14ac:dyDescent="0.25">
      <c r="A3302" s="4">
        <f>_xlfn.XLOOKUP(E3302,'Data Validation'!$M$3:$M$10,'Data Validation'!$N$3:$N$10)</f>
        <v>8</v>
      </c>
      <c r="B3302" s="4">
        <v>19</v>
      </c>
      <c r="C3302" s="4" t="s">
        <v>11</v>
      </c>
      <c r="D3302" s="7">
        <v>35.76</v>
      </c>
      <c r="E3302" s="4" t="s">
        <v>12</v>
      </c>
      <c r="F3302" s="4" t="s">
        <v>20</v>
      </c>
      <c r="G3302" s="4" t="s">
        <v>45</v>
      </c>
      <c r="H3302" s="4" t="s">
        <v>58</v>
      </c>
      <c r="I3302" s="5">
        <v>45607</v>
      </c>
      <c r="J3302" s="4">
        <f t="shared" si="51"/>
        <v>32</v>
      </c>
    </row>
    <row r="3303" spans="1:10" x14ac:dyDescent="0.25">
      <c r="A3303" s="4">
        <f>_xlfn.XLOOKUP(E3303,'Data Validation'!$M$3:$M$10,'Data Validation'!$N$3:$N$10)</f>
        <v>8</v>
      </c>
      <c r="B3303" s="4">
        <v>21</v>
      </c>
      <c r="C3303" s="4" t="s">
        <v>11</v>
      </c>
      <c r="D3303" s="7">
        <v>35.76</v>
      </c>
      <c r="E3303" s="4" t="s">
        <v>12</v>
      </c>
      <c r="F3303" s="4" t="s">
        <v>20</v>
      </c>
      <c r="G3303" s="4" t="s">
        <v>45</v>
      </c>
      <c r="H3303" s="4" t="s">
        <v>58</v>
      </c>
      <c r="I3303" s="5">
        <v>45607</v>
      </c>
      <c r="J3303" s="4">
        <f t="shared" si="51"/>
        <v>32</v>
      </c>
    </row>
    <row r="3304" spans="1:10" x14ac:dyDescent="0.25">
      <c r="A3304" s="4">
        <f>_xlfn.XLOOKUP(E3304,'Data Validation'!$M$3:$M$10,'Data Validation'!$N$3:$N$10)</f>
        <v>8</v>
      </c>
      <c r="B3304" s="4">
        <v>21</v>
      </c>
      <c r="C3304" s="4" t="s">
        <v>11</v>
      </c>
      <c r="D3304" s="7">
        <v>35.76</v>
      </c>
      <c r="E3304" s="4" t="s">
        <v>12</v>
      </c>
      <c r="F3304" s="4" t="s">
        <v>20</v>
      </c>
      <c r="G3304" s="4" t="s">
        <v>45</v>
      </c>
      <c r="H3304" s="4" t="s">
        <v>58</v>
      </c>
      <c r="I3304" s="5">
        <v>45607</v>
      </c>
      <c r="J3304" s="4">
        <f t="shared" si="51"/>
        <v>32</v>
      </c>
    </row>
    <row r="3305" spans="1:10" x14ac:dyDescent="0.25">
      <c r="A3305" s="4">
        <f>_xlfn.XLOOKUP(E3305,'Data Validation'!$M$3:$M$10,'Data Validation'!$N$3:$N$10)</f>
        <v>8</v>
      </c>
      <c r="B3305" s="4">
        <v>10</v>
      </c>
      <c r="C3305" s="4" t="s">
        <v>11</v>
      </c>
      <c r="D3305" s="7">
        <v>35.76</v>
      </c>
      <c r="E3305" s="4" t="s">
        <v>12</v>
      </c>
      <c r="F3305" s="4" t="s">
        <v>13</v>
      </c>
      <c r="G3305" s="4" t="s">
        <v>46</v>
      </c>
      <c r="H3305" s="4" t="s">
        <v>58</v>
      </c>
      <c r="I3305" s="5">
        <v>45608</v>
      </c>
      <c r="J3305" s="4">
        <f t="shared" si="51"/>
        <v>32</v>
      </c>
    </row>
    <row r="3306" spans="1:10" x14ac:dyDescent="0.25">
      <c r="A3306" s="4">
        <f>_xlfn.XLOOKUP(E3306,'Data Validation'!$M$3:$M$10,'Data Validation'!$N$3:$N$10)</f>
        <v>8</v>
      </c>
      <c r="B3306" s="4">
        <v>13</v>
      </c>
      <c r="C3306" s="4" t="s">
        <v>11</v>
      </c>
      <c r="D3306" s="7">
        <v>35.76</v>
      </c>
      <c r="E3306" s="4" t="s">
        <v>12</v>
      </c>
      <c r="F3306" s="4" t="s">
        <v>17</v>
      </c>
      <c r="G3306" s="4" t="s">
        <v>46</v>
      </c>
      <c r="H3306" s="4" t="s">
        <v>58</v>
      </c>
      <c r="I3306" s="5">
        <v>45608</v>
      </c>
      <c r="J3306" s="4">
        <f t="shared" si="51"/>
        <v>32</v>
      </c>
    </row>
    <row r="3307" spans="1:10" x14ac:dyDescent="0.25">
      <c r="A3307" s="4">
        <f>_xlfn.XLOOKUP(E3307,'Data Validation'!$M$3:$M$10,'Data Validation'!$N$3:$N$10)</f>
        <v>8</v>
      </c>
      <c r="B3307" s="4">
        <v>14</v>
      </c>
      <c r="C3307" s="4" t="s">
        <v>11</v>
      </c>
      <c r="D3307" s="7">
        <v>35.76</v>
      </c>
      <c r="E3307" s="4" t="s">
        <v>12</v>
      </c>
      <c r="F3307" s="4" t="s">
        <v>17</v>
      </c>
      <c r="G3307" s="4" t="s">
        <v>46</v>
      </c>
      <c r="H3307" s="4" t="s">
        <v>58</v>
      </c>
      <c r="I3307" s="5">
        <v>45608</v>
      </c>
      <c r="J3307" s="4">
        <f t="shared" si="51"/>
        <v>32</v>
      </c>
    </row>
    <row r="3308" spans="1:10" x14ac:dyDescent="0.25">
      <c r="A3308" s="4">
        <f>_xlfn.XLOOKUP(E3308,'Data Validation'!$M$3:$M$10,'Data Validation'!$N$3:$N$10)</f>
        <v>8</v>
      </c>
      <c r="B3308" s="4">
        <v>20</v>
      </c>
      <c r="C3308" s="4" t="s">
        <v>11</v>
      </c>
      <c r="D3308" s="7">
        <v>35.76</v>
      </c>
      <c r="E3308" s="4" t="s">
        <v>12</v>
      </c>
      <c r="F3308" s="4" t="s">
        <v>20</v>
      </c>
      <c r="G3308" s="4" t="s">
        <v>46</v>
      </c>
      <c r="H3308" s="4" t="s">
        <v>58</v>
      </c>
      <c r="I3308" s="5">
        <v>45608</v>
      </c>
      <c r="J3308" s="4">
        <f t="shared" si="51"/>
        <v>32</v>
      </c>
    </row>
    <row r="3309" spans="1:10" x14ac:dyDescent="0.25">
      <c r="A3309" s="4">
        <f>_xlfn.XLOOKUP(E3309,'Data Validation'!$M$3:$M$10,'Data Validation'!$N$3:$N$10)</f>
        <v>8</v>
      </c>
      <c r="B3309" s="4">
        <v>10</v>
      </c>
      <c r="C3309" s="4" t="s">
        <v>11</v>
      </c>
      <c r="D3309" s="7">
        <v>35.76</v>
      </c>
      <c r="E3309" s="4" t="s">
        <v>12</v>
      </c>
      <c r="F3309" s="4" t="s">
        <v>13</v>
      </c>
      <c r="G3309" s="4" t="s">
        <v>47</v>
      </c>
      <c r="H3309" s="4" t="s">
        <v>58</v>
      </c>
      <c r="I3309" s="5">
        <v>45609</v>
      </c>
      <c r="J3309" s="4">
        <f t="shared" si="51"/>
        <v>32</v>
      </c>
    </row>
    <row r="3310" spans="1:10" x14ac:dyDescent="0.25">
      <c r="A3310" s="4">
        <f>_xlfn.XLOOKUP(E3310,'Data Validation'!$M$3:$M$10,'Data Validation'!$N$3:$N$10)</f>
        <v>8</v>
      </c>
      <c r="B3310" s="4">
        <v>14</v>
      </c>
      <c r="C3310" s="4" t="s">
        <v>11</v>
      </c>
      <c r="D3310" s="7">
        <v>35.76</v>
      </c>
      <c r="E3310" s="4" t="s">
        <v>12</v>
      </c>
      <c r="F3310" s="4" t="s">
        <v>17</v>
      </c>
      <c r="G3310" s="4" t="s">
        <v>47</v>
      </c>
      <c r="H3310" s="4" t="s">
        <v>58</v>
      </c>
      <c r="I3310" s="5">
        <v>45609</v>
      </c>
      <c r="J3310" s="4">
        <f t="shared" si="51"/>
        <v>32</v>
      </c>
    </row>
    <row r="3311" spans="1:10" x14ac:dyDescent="0.25">
      <c r="A3311" s="4">
        <f>_xlfn.XLOOKUP(E3311,'Data Validation'!$M$3:$M$10,'Data Validation'!$N$3:$N$10)</f>
        <v>8</v>
      </c>
      <c r="B3311" s="4">
        <v>9</v>
      </c>
      <c r="C3311" s="4" t="s">
        <v>11</v>
      </c>
      <c r="D3311" s="7">
        <v>35.76</v>
      </c>
      <c r="E3311" s="4" t="s">
        <v>12</v>
      </c>
      <c r="F3311" s="4" t="s">
        <v>13</v>
      </c>
      <c r="G3311" s="4" t="s">
        <v>48</v>
      </c>
      <c r="H3311" s="4" t="s">
        <v>58</v>
      </c>
      <c r="I3311" s="5">
        <v>45610</v>
      </c>
      <c r="J3311" s="4">
        <f t="shared" si="51"/>
        <v>32</v>
      </c>
    </row>
    <row r="3312" spans="1:10" x14ac:dyDescent="0.25">
      <c r="A3312" s="4">
        <f>_xlfn.XLOOKUP(E3312,'Data Validation'!$M$3:$M$10,'Data Validation'!$N$3:$N$10)</f>
        <v>8</v>
      </c>
      <c r="B3312" s="4">
        <v>15</v>
      </c>
      <c r="C3312" s="4" t="s">
        <v>11</v>
      </c>
      <c r="D3312" s="7">
        <v>35.76</v>
      </c>
      <c r="E3312" s="4" t="s">
        <v>12</v>
      </c>
      <c r="F3312" s="4" t="s">
        <v>17</v>
      </c>
      <c r="G3312" s="4" t="s">
        <v>48</v>
      </c>
      <c r="H3312" s="4" t="s">
        <v>58</v>
      </c>
      <c r="I3312" s="5">
        <v>45610</v>
      </c>
      <c r="J3312" s="4">
        <f t="shared" si="51"/>
        <v>32</v>
      </c>
    </row>
    <row r="3313" spans="1:10" x14ac:dyDescent="0.25">
      <c r="A3313" s="4">
        <f>_xlfn.XLOOKUP(E3313,'Data Validation'!$M$3:$M$10,'Data Validation'!$N$3:$N$10)</f>
        <v>8</v>
      </c>
      <c r="B3313" s="4">
        <v>21</v>
      </c>
      <c r="C3313" s="4" t="s">
        <v>11</v>
      </c>
      <c r="D3313" s="7">
        <v>35.76</v>
      </c>
      <c r="E3313" s="4" t="s">
        <v>12</v>
      </c>
      <c r="F3313" s="4" t="s">
        <v>20</v>
      </c>
      <c r="G3313" s="4" t="s">
        <v>48</v>
      </c>
      <c r="H3313" s="4" t="s">
        <v>58</v>
      </c>
      <c r="I3313" s="5">
        <v>45610</v>
      </c>
      <c r="J3313" s="4">
        <f t="shared" si="51"/>
        <v>32</v>
      </c>
    </row>
    <row r="3314" spans="1:10" x14ac:dyDescent="0.25">
      <c r="A3314" s="4">
        <f>_xlfn.XLOOKUP(E3314,'Data Validation'!$M$3:$M$10,'Data Validation'!$N$3:$N$10)</f>
        <v>8</v>
      </c>
      <c r="B3314" s="4">
        <v>22</v>
      </c>
      <c r="C3314" s="4" t="s">
        <v>11</v>
      </c>
      <c r="D3314" s="7">
        <v>35.76</v>
      </c>
      <c r="E3314" s="4" t="s">
        <v>12</v>
      </c>
      <c r="F3314" s="4" t="s">
        <v>20</v>
      </c>
      <c r="G3314" s="4" t="s">
        <v>48</v>
      </c>
      <c r="H3314" s="4" t="s">
        <v>58</v>
      </c>
      <c r="I3314" s="5">
        <v>45610</v>
      </c>
      <c r="J3314" s="4">
        <f t="shared" si="51"/>
        <v>32</v>
      </c>
    </row>
    <row r="3315" spans="1:10" x14ac:dyDescent="0.25">
      <c r="A3315" s="4">
        <f>_xlfn.XLOOKUP(E3315,'Data Validation'!$M$3:$M$10,'Data Validation'!$N$3:$N$10)</f>
        <v>8</v>
      </c>
      <c r="B3315" s="4">
        <v>13</v>
      </c>
      <c r="C3315" s="4" t="s">
        <v>11</v>
      </c>
      <c r="D3315" s="7">
        <v>35.76</v>
      </c>
      <c r="E3315" s="4" t="s">
        <v>12</v>
      </c>
      <c r="F3315" s="4" t="s">
        <v>17</v>
      </c>
      <c r="G3315" s="4" t="s">
        <v>49</v>
      </c>
      <c r="H3315" s="4" t="s">
        <v>58</v>
      </c>
      <c r="I3315" s="5">
        <v>45611</v>
      </c>
      <c r="J3315" s="4">
        <f t="shared" si="51"/>
        <v>32</v>
      </c>
    </row>
    <row r="3316" spans="1:10" x14ac:dyDescent="0.25">
      <c r="A3316" s="4">
        <f>_xlfn.XLOOKUP(E3316,'Data Validation'!$M$3:$M$10,'Data Validation'!$N$3:$N$10)</f>
        <v>8</v>
      </c>
      <c r="B3316" s="4">
        <v>17</v>
      </c>
      <c r="C3316" s="4" t="s">
        <v>11</v>
      </c>
      <c r="D3316" s="7">
        <v>35.76</v>
      </c>
      <c r="E3316" s="4" t="s">
        <v>12</v>
      </c>
      <c r="F3316" s="4" t="s">
        <v>20</v>
      </c>
      <c r="G3316" s="4" t="s">
        <v>49</v>
      </c>
      <c r="H3316" s="4" t="s">
        <v>58</v>
      </c>
      <c r="I3316" s="5">
        <v>45611</v>
      </c>
      <c r="J3316" s="4">
        <f t="shared" si="51"/>
        <v>32</v>
      </c>
    </row>
    <row r="3317" spans="1:10" x14ac:dyDescent="0.25">
      <c r="A3317" s="4">
        <f>_xlfn.XLOOKUP(E3317,'Data Validation'!$M$3:$M$10,'Data Validation'!$N$3:$N$10)</f>
        <v>8</v>
      </c>
      <c r="B3317" s="4">
        <v>11</v>
      </c>
      <c r="C3317" s="4" t="s">
        <v>11</v>
      </c>
      <c r="D3317" s="7">
        <v>35.76</v>
      </c>
      <c r="E3317" s="4" t="s">
        <v>12</v>
      </c>
      <c r="F3317" s="4" t="s">
        <v>13</v>
      </c>
      <c r="G3317" s="4" t="s">
        <v>50</v>
      </c>
      <c r="H3317" s="4" t="s">
        <v>58</v>
      </c>
      <c r="I3317" s="5">
        <v>45612</v>
      </c>
      <c r="J3317" s="4">
        <f t="shared" si="51"/>
        <v>32</v>
      </c>
    </row>
    <row r="3318" spans="1:10" x14ac:dyDescent="0.25">
      <c r="A3318" s="4">
        <f>_xlfn.XLOOKUP(E3318,'Data Validation'!$M$3:$M$10,'Data Validation'!$N$3:$N$10)</f>
        <v>8</v>
      </c>
      <c r="B3318" s="4">
        <v>12</v>
      </c>
      <c r="C3318" s="4" t="s">
        <v>11</v>
      </c>
      <c r="D3318" s="7">
        <v>35.76</v>
      </c>
      <c r="E3318" s="4" t="s">
        <v>12</v>
      </c>
      <c r="F3318" s="4" t="s">
        <v>17</v>
      </c>
      <c r="G3318" s="4" t="s">
        <v>50</v>
      </c>
      <c r="H3318" s="4" t="s">
        <v>58</v>
      </c>
      <c r="I3318" s="5">
        <v>45612</v>
      </c>
      <c r="J3318" s="4">
        <f t="shared" si="51"/>
        <v>32</v>
      </c>
    </row>
    <row r="3319" spans="1:10" x14ac:dyDescent="0.25">
      <c r="A3319" s="4">
        <f>_xlfn.XLOOKUP(E3319,'Data Validation'!$M$3:$M$10,'Data Validation'!$N$3:$N$10)</f>
        <v>8</v>
      </c>
      <c r="B3319" s="4">
        <v>12</v>
      </c>
      <c r="C3319" s="4" t="s">
        <v>11</v>
      </c>
      <c r="D3319" s="7">
        <v>35.76</v>
      </c>
      <c r="E3319" s="4" t="s">
        <v>12</v>
      </c>
      <c r="F3319" s="4" t="s">
        <v>17</v>
      </c>
      <c r="G3319" s="4" t="s">
        <v>50</v>
      </c>
      <c r="H3319" s="4" t="s">
        <v>58</v>
      </c>
      <c r="I3319" s="5">
        <v>45612</v>
      </c>
      <c r="J3319" s="4">
        <f t="shared" si="51"/>
        <v>32</v>
      </c>
    </row>
    <row r="3320" spans="1:10" x14ac:dyDescent="0.25">
      <c r="A3320" s="4">
        <f>_xlfn.XLOOKUP(E3320,'Data Validation'!$M$3:$M$10,'Data Validation'!$N$3:$N$10)</f>
        <v>8</v>
      </c>
      <c r="B3320" s="4">
        <v>13</v>
      </c>
      <c r="C3320" s="4" t="s">
        <v>11</v>
      </c>
      <c r="D3320" s="7">
        <v>35.76</v>
      </c>
      <c r="E3320" s="4" t="s">
        <v>12</v>
      </c>
      <c r="F3320" s="4" t="s">
        <v>17</v>
      </c>
      <c r="G3320" s="4" t="s">
        <v>50</v>
      </c>
      <c r="H3320" s="4" t="s">
        <v>58</v>
      </c>
      <c r="I3320" s="5">
        <v>45612</v>
      </c>
      <c r="J3320" s="4">
        <f t="shared" si="51"/>
        <v>32</v>
      </c>
    </row>
    <row r="3321" spans="1:10" x14ac:dyDescent="0.25">
      <c r="A3321" s="4">
        <f>_xlfn.XLOOKUP(E3321,'Data Validation'!$M$3:$M$10,'Data Validation'!$N$3:$N$10)</f>
        <v>8</v>
      </c>
      <c r="B3321" s="4">
        <v>13</v>
      </c>
      <c r="C3321" s="4" t="s">
        <v>11</v>
      </c>
      <c r="D3321" s="7">
        <v>35.76</v>
      </c>
      <c r="E3321" s="4" t="s">
        <v>12</v>
      </c>
      <c r="F3321" s="4" t="s">
        <v>17</v>
      </c>
      <c r="G3321" s="4" t="s">
        <v>50</v>
      </c>
      <c r="H3321" s="4" t="s">
        <v>58</v>
      </c>
      <c r="I3321" s="5">
        <v>45612</v>
      </c>
      <c r="J3321" s="4">
        <f t="shared" si="51"/>
        <v>32</v>
      </c>
    </row>
    <row r="3322" spans="1:10" x14ac:dyDescent="0.25">
      <c r="A3322" s="4">
        <f>_xlfn.XLOOKUP(E3322,'Data Validation'!$M$3:$M$10,'Data Validation'!$N$3:$N$10)</f>
        <v>8</v>
      </c>
      <c r="B3322" s="4">
        <v>16</v>
      </c>
      <c r="C3322" s="4" t="s">
        <v>11</v>
      </c>
      <c r="D3322" s="7">
        <v>35.76</v>
      </c>
      <c r="E3322" s="4" t="s">
        <v>12</v>
      </c>
      <c r="F3322" s="4" t="s">
        <v>17</v>
      </c>
      <c r="G3322" s="4" t="s">
        <v>51</v>
      </c>
      <c r="H3322" s="4" t="s">
        <v>58</v>
      </c>
      <c r="I3322" s="5">
        <v>45613</v>
      </c>
      <c r="J3322" s="4">
        <f t="shared" si="51"/>
        <v>32</v>
      </c>
    </row>
    <row r="3323" spans="1:10" x14ac:dyDescent="0.25">
      <c r="A3323" s="4">
        <f>_xlfn.XLOOKUP(E3323,'Data Validation'!$M$3:$M$10,'Data Validation'!$N$3:$N$10)</f>
        <v>8</v>
      </c>
      <c r="B3323" s="4">
        <v>16</v>
      </c>
      <c r="C3323" s="4" t="s">
        <v>11</v>
      </c>
      <c r="D3323" s="7">
        <v>35.76</v>
      </c>
      <c r="E3323" s="4" t="s">
        <v>12</v>
      </c>
      <c r="F3323" s="4" t="s">
        <v>17</v>
      </c>
      <c r="G3323" s="4" t="s">
        <v>51</v>
      </c>
      <c r="H3323" s="4" t="s">
        <v>58</v>
      </c>
      <c r="I3323" s="5">
        <v>45613</v>
      </c>
      <c r="J3323" s="4">
        <f t="shared" si="51"/>
        <v>32</v>
      </c>
    </row>
    <row r="3324" spans="1:10" x14ac:dyDescent="0.25">
      <c r="A3324" s="4">
        <f>_xlfn.XLOOKUP(E3324,'Data Validation'!$M$3:$M$10,'Data Validation'!$N$3:$N$10)</f>
        <v>8</v>
      </c>
      <c r="B3324" s="4">
        <v>7</v>
      </c>
      <c r="C3324" s="4" t="s">
        <v>11</v>
      </c>
      <c r="D3324" s="7">
        <v>35.76</v>
      </c>
      <c r="E3324" s="4" t="s">
        <v>12</v>
      </c>
      <c r="F3324" s="4" t="s">
        <v>13</v>
      </c>
      <c r="G3324" s="4" t="s">
        <v>45</v>
      </c>
      <c r="H3324" s="4" t="s">
        <v>58</v>
      </c>
      <c r="I3324" s="5">
        <v>45614</v>
      </c>
      <c r="J3324" s="4">
        <f t="shared" si="51"/>
        <v>32</v>
      </c>
    </row>
    <row r="3325" spans="1:10" x14ac:dyDescent="0.25">
      <c r="A3325" s="4">
        <f>_xlfn.XLOOKUP(E3325,'Data Validation'!$M$3:$M$10,'Data Validation'!$N$3:$N$10)</f>
        <v>8</v>
      </c>
      <c r="B3325" s="4">
        <v>16</v>
      </c>
      <c r="C3325" s="4" t="s">
        <v>11</v>
      </c>
      <c r="D3325" s="7">
        <v>35.76</v>
      </c>
      <c r="E3325" s="4" t="s">
        <v>12</v>
      </c>
      <c r="F3325" s="4" t="s">
        <v>17</v>
      </c>
      <c r="G3325" s="4" t="s">
        <v>45</v>
      </c>
      <c r="H3325" s="4" t="s">
        <v>58</v>
      </c>
      <c r="I3325" s="5">
        <v>45614</v>
      </c>
      <c r="J3325" s="4">
        <f t="shared" si="51"/>
        <v>32</v>
      </c>
    </row>
    <row r="3326" spans="1:10" x14ac:dyDescent="0.25">
      <c r="A3326" s="4">
        <f>_xlfn.XLOOKUP(E3326,'Data Validation'!$M$3:$M$10,'Data Validation'!$N$3:$N$10)</f>
        <v>8</v>
      </c>
      <c r="B3326" s="4">
        <v>16</v>
      </c>
      <c r="C3326" s="4" t="s">
        <v>11</v>
      </c>
      <c r="D3326" s="7">
        <v>35.76</v>
      </c>
      <c r="E3326" s="4" t="s">
        <v>12</v>
      </c>
      <c r="F3326" s="4" t="s">
        <v>17</v>
      </c>
      <c r="G3326" s="4" t="s">
        <v>45</v>
      </c>
      <c r="H3326" s="4" t="s">
        <v>58</v>
      </c>
      <c r="I3326" s="5">
        <v>45614</v>
      </c>
      <c r="J3326" s="4">
        <f t="shared" si="51"/>
        <v>32</v>
      </c>
    </row>
    <row r="3327" spans="1:10" x14ac:dyDescent="0.25">
      <c r="A3327" s="4">
        <f>_xlfn.XLOOKUP(E3327,'Data Validation'!$M$3:$M$10,'Data Validation'!$N$3:$N$10)</f>
        <v>8</v>
      </c>
      <c r="B3327" s="4">
        <v>18</v>
      </c>
      <c r="C3327" s="4" t="s">
        <v>11</v>
      </c>
      <c r="D3327" s="7">
        <v>35.76</v>
      </c>
      <c r="E3327" s="4" t="s">
        <v>12</v>
      </c>
      <c r="F3327" s="4" t="s">
        <v>20</v>
      </c>
      <c r="G3327" s="4" t="s">
        <v>45</v>
      </c>
      <c r="H3327" s="4" t="s">
        <v>58</v>
      </c>
      <c r="I3327" s="5">
        <v>45614</v>
      </c>
      <c r="J3327" s="4">
        <f t="shared" si="51"/>
        <v>32</v>
      </c>
    </row>
    <row r="3328" spans="1:10" x14ac:dyDescent="0.25">
      <c r="A3328" s="4">
        <f>_xlfn.XLOOKUP(E3328,'Data Validation'!$M$3:$M$10,'Data Validation'!$N$3:$N$10)</f>
        <v>8</v>
      </c>
      <c r="B3328" s="4">
        <v>7</v>
      </c>
      <c r="C3328" s="4" t="s">
        <v>11</v>
      </c>
      <c r="D3328" s="7">
        <v>35.76</v>
      </c>
      <c r="E3328" s="4" t="s">
        <v>12</v>
      </c>
      <c r="F3328" s="4" t="s">
        <v>13</v>
      </c>
      <c r="G3328" s="4" t="s">
        <v>46</v>
      </c>
      <c r="H3328" s="4" t="s">
        <v>58</v>
      </c>
      <c r="I3328" s="5">
        <v>45615</v>
      </c>
      <c r="J3328" s="4">
        <f t="shared" si="51"/>
        <v>32</v>
      </c>
    </row>
    <row r="3329" spans="1:10" x14ac:dyDescent="0.25">
      <c r="A3329" s="4">
        <f>_xlfn.XLOOKUP(E3329,'Data Validation'!$M$3:$M$10,'Data Validation'!$N$3:$N$10)</f>
        <v>8</v>
      </c>
      <c r="B3329" s="4">
        <v>7</v>
      </c>
      <c r="C3329" s="4" t="s">
        <v>11</v>
      </c>
      <c r="D3329" s="7">
        <v>35.76</v>
      </c>
      <c r="E3329" s="4" t="s">
        <v>12</v>
      </c>
      <c r="F3329" s="4" t="s">
        <v>13</v>
      </c>
      <c r="G3329" s="4" t="s">
        <v>46</v>
      </c>
      <c r="H3329" s="4" t="s">
        <v>58</v>
      </c>
      <c r="I3329" s="5">
        <v>45615</v>
      </c>
      <c r="J3329" s="4">
        <f t="shared" si="51"/>
        <v>32</v>
      </c>
    </row>
    <row r="3330" spans="1:10" x14ac:dyDescent="0.25">
      <c r="A3330" s="4">
        <f>_xlfn.XLOOKUP(E3330,'Data Validation'!$M$3:$M$10,'Data Validation'!$N$3:$N$10)</f>
        <v>8</v>
      </c>
      <c r="B3330" s="4">
        <v>11</v>
      </c>
      <c r="C3330" s="4" t="s">
        <v>11</v>
      </c>
      <c r="D3330" s="7">
        <v>35.76</v>
      </c>
      <c r="E3330" s="4" t="s">
        <v>12</v>
      </c>
      <c r="F3330" s="4" t="s">
        <v>13</v>
      </c>
      <c r="G3330" s="4" t="s">
        <v>46</v>
      </c>
      <c r="H3330" s="4" t="s">
        <v>58</v>
      </c>
      <c r="I3330" s="5">
        <v>45615</v>
      </c>
      <c r="J3330" s="4">
        <f t="shared" si="51"/>
        <v>32</v>
      </c>
    </row>
    <row r="3331" spans="1:10" x14ac:dyDescent="0.25">
      <c r="A3331" s="4">
        <f>_xlfn.XLOOKUP(E3331,'Data Validation'!$M$3:$M$10,'Data Validation'!$N$3:$N$10)</f>
        <v>8</v>
      </c>
      <c r="B3331" s="4">
        <v>16</v>
      </c>
      <c r="C3331" s="4" t="s">
        <v>11</v>
      </c>
      <c r="D3331" s="7">
        <v>35.76</v>
      </c>
      <c r="E3331" s="4" t="s">
        <v>12</v>
      </c>
      <c r="F3331" s="4" t="s">
        <v>17</v>
      </c>
      <c r="G3331" s="4" t="s">
        <v>47</v>
      </c>
      <c r="H3331" s="4" t="s">
        <v>58</v>
      </c>
      <c r="I3331" s="5">
        <v>45616</v>
      </c>
      <c r="J3331" s="4">
        <f t="shared" ref="J3331:J3394" si="52">IF(OR(E3331&lt;&gt;E3330,D3331&lt;&gt;D3330),J3330+1,J3330)</f>
        <v>32</v>
      </c>
    </row>
    <row r="3332" spans="1:10" x14ac:dyDescent="0.25">
      <c r="A3332" s="4">
        <f>_xlfn.XLOOKUP(E3332,'Data Validation'!$M$3:$M$10,'Data Validation'!$N$3:$N$10)</f>
        <v>8</v>
      </c>
      <c r="B3332" s="4">
        <v>12</v>
      </c>
      <c r="C3332" s="4" t="s">
        <v>11</v>
      </c>
      <c r="D3332" s="7">
        <v>35.76</v>
      </c>
      <c r="E3332" s="4" t="s">
        <v>12</v>
      </c>
      <c r="F3332" s="4" t="s">
        <v>17</v>
      </c>
      <c r="G3332" s="4" t="s">
        <v>48</v>
      </c>
      <c r="H3332" s="4" t="s">
        <v>58</v>
      </c>
      <c r="I3332" s="5">
        <v>45617</v>
      </c>
      <c r="J3332" s="4">
        <f t="shared" si="52"/>
        <v>32</v>
      </c>
    </row>
    <row r="3333" spans="1:10" x14ac:dyDescent="0.25">
      <c r="A3333" s="4">
        <f>_xlfn.XLOOKUP(E3333,'Data Validation'!$M$3:$M$10,'Data Validation'!$N$3:$N$10)</f>
        <v>8</v>
      </c>
      <c r="B3333" s="4">
        <v>16</v>
      </c>
      <c r="C3333" s="4" t="s">
        <v>11</v>
      </c>
      <c r="D3333" s="7">
        <v>35.76</v>
      </c>
      <c r="E3333" s="4" t="s">
        <v>12</v>
      </c>
      <c r="F3333" s="4" t="s">
        <v>17</v>
      </c>
      <c r="G3333" s="4" t="s">
        <v>48</v>
      </c>
      <c r="H3333" s="4" t="s">
        <v>58</v>
      </c>
      <c r="I3333" s="5">
        <v>45617</v>
      </c>
      <c r="J3333" s="4">
        <f t="shared" si="52"/>
        <v>32</v>
      </c>
    </row>
    <row r="3334" spans="1:10" x14ac:dyDescent="0.25">
      <c r="A3334" s="4">
        <f>_xlfn.XLOOKUP(E3334,'Data Validation'!$M$3:$M$10,'Data Validation'!$N$3:$N$10)</f>
        <v>8</v>
      </c>
      <c r="B3334" s="4">
        <v>7</v>
      </c>
      <c r="C3334" s="4" t="s">
        <v>11</v>
      </c>
      <c r="D3334" s="7">
        <v>35.76</v>
      </c>
      <c r="E3334" s="4" t="s">
        <v>12</v>
      </c>
      <c r="F3334" s="4" t="s">
        <v>13</v>
      </c>
      <c r="G3334" s="4" t="s">
        <v>49</v>
      </c>
      <c r="H3334" s="4" t="s">
        <v>58</v>
      </c>
      <c r="I3334" s="5">
        <v>45618</v>
      </c>
      <c r="J3334" s="4">
        <f t="shared" si="52"/>
        <v>32</v>
      </c>
    </row>
    <row r="3335" spans="1:10" x14ac:dyDescent="0.25">
      <c r="A3335" s="4">
        <f>_xlfn.XLOOKUP(E3335,'Data Validation'!$M$3:$M$10,'Data Validation'!$N$3:$N$10)</f>
        <v>8</v>
      </c>
      <c r="B3335" s="4">
        <v>11</v>
      </c>
      <c r="C3335" s="4" t="s">
        <v>11</v>
      </c>
      <c r="D3335" s="7">
        <v>35.76</v>
      </c>
      <c r="E3335" s="4" t="s">
        <v>12</v>
      </c>
      <c r="F3335" s="4" t="s">
        <v>13</v>
      </c>
      <c r="G3335" s="4" t="s">
        <v>49</v>
      </c>
      <c r="H3335" s="4" t="s">
        <v>58</v>
      </c>
      <c r="I3335" s="5">
        <v>45618</v>
      </c>
      <c r="J3335" s="4">
        <f t="shared" si="52"/>
        <v>32</v>
      </c>
    </row>
    <row r="3336" spans="1:10" x14ac:dyDescent="0.25">
      <c r="A3336" s="4">
        <f>_xlfn.XLOOKUP(E3336,'Data Validation'!$M$3:$M$10,'Data Validation'!$N$3:$N$10)</f>
        <v>8</v>
      </c>
      <c r="B3336" s="4">
        <v>16</v>
      </c>
      <c r="C3336" s="4" t="s">
        <v>11</v>
      </c>
      <c r="D3336" s="7">
        <v>35.76</v>
      </c>
      <c r="E3336" s="4" t="s">
        <v>12</v>
      </c>
      <c r="F3336" s="4" t="s">
        <v>17</v>
      </c>
      <c r="G3336" s="4" t="s">
        <v>49</v>
      </c>
      <c r="H3336" s="4" t="s">
        <v>58</v>
      </c>
      <c r="I3336" s="5">
        <v>45618</v>
      </c>
      <c r="J3336" s="4">
        <f t="shared" si="52"/>
        <v>32</v>
      </c>
    </row>
    <row r="3337" spans="1:10" x14ac:dyDescent="0.25">
      <c r="A3337" s="4">
        <f>_xlfn.XLOOKUP(E3337,'Data Validation'!$M$3:$M$10,'Data Validation'!$N$3:$N$10)</f>
        <v>8</v>
      </c>
      <c r="B3337" s="4">
        <v>10</v>
      </c>
      <c r="C3337" s="4" t="s">
        <v>11</v>
      </c>
      <c r="D3337" s="7">
        <v>35.76</v>
      </c>
      <c r="E3337" s="4" t="s">
        <v>12</v>
      </c>
      <c r="F3337" s="4" t="s">
        <v>13</v>
      </c>
      <c r="G3337" s="4" t="s">
        <v>50</v>
      </c>
      <c r="H3337" s="4" t="s">
        <v>58</v>
      </c>
      <c r="I3337" s="5">
        <v>45619</v>
      </c>
      <c r="J3337" s="4">
        <f t="shared" si="52"/>
        <v>32</v>
      </c>
    </row>
    <row r="3338" spans="1:10" x14ac:dyDescent="0.25">
      <c r="A3338" s="4">
        <f>_xlfn.XLOOKUP(E3338,'Data Validation'!$M$3:$M$10,'Data Validation'!$N$3:$N$10)</f>
        <v>8</v>
      </c>
      <c r="B3338" s="4">
        <v>22</v>
      </c>
      <c r="C3338" s="4" t="s">
        <v>11</v>
      </c>
      <c r="D3338" s="7">
        <v>35.76</v>
      </c>
      <c r="E3338" s="4" t="s">
        <v>12</v>
      </c>
      <c r="F3338" s="4" t="s">
        <v>20</v>
      </c>
      <c r="G3338" s="4" t="s">
        <v>50</v>
      </c>
      <c r="H3338" s="4" t="s">
        <v>58</v>
      </c>
      <c r="I3338" s="5">
        <v>45619</v>
      </c>
      <c r="J3338" s="4">
        <f t="shared" si="52"/>
        <v>32</v>
      </c>
    </row>
    <row r="3339" spans="1:10" x14ac:dyDescent="0.25">
      <c r="A3339" s="4">
        <f>_xlfn.XLOOKUP(E3339,'Data Validation'!$M$3:$M$10,'Data Validation'!$N$3:$N$10)</f>
        <v>8</v>
      </c>
      <c r="B3339" s="4">
        <v>8</v>
      </c>
      <c r="C3339" s="4" t="s">
        <v>11</v>
      </c>
      <c r="D3339" s="7">
        <v>35.76</v>
      </c>
      <c r="E3339" s="4" t="s">
        <v>12</v>
      </c>
      <c r="F3339" s="4" t="s">
        <v>13</v>
      </c>
      <c r="G3339" s="4" t="s">
        <v>51</v>
      </c>
      <c r="H3339" s="4" t="s">
        <v>58</v>
      </c>
      <c r="I3339" s="5">
        <v>45620</v>
      </c>
      <c r="J3339" s="4">
        <f t="shared" si="52"/>
        <v>32</v>
      </c>
    </row>
    <row r="3340" spans="1:10" x14ac:dyDescent="0.25">
      <c r="A3340" s="4">
        <f>_xlfn.XLOOKUP(E3340,'Data Validation'!$M$3:$M$10,'Data Validation'!$N$3:$N$10)</f>
        <v>8</v>
      </c>
      <c r="B3340" s="4">
        <v>7</v>
      </c>
      <c r="C3340" s="4" t="s">
        <v>11</v>
      </c>
      <c r="D3340" s="7">
        <v>35.76</v>
      </c>
      <c r="E3340" s="4" t="s">
        <v>12</v>
      </c>
      <c r="F3340" s="4" t="s">
        <v>13</v>
      </c>
      <c r="G3340" s="4" t="s">
        <v>45</v>
      </c>
      <c r="H3340" s="4" t="s">
        <v>58</v>
      </c>
      <c r="I3340" s="5">
        <v>45621</v>
      </c>
      <c r="J3340" s="4">
        <f t="shared" si="52"/>
        <v>32</v>
      </c>
    </row>
    <row r="3341" spans="1:10" x14ac:dyDescent="0.25">
      <c r="A3341" s="4">
        <f>_xlfn.XLOOKUP(E3341,'Data Validation'!$M$3:$M$10,'Data Validation'!$N$3:$N$10)</f>
        <v>8</v>
      </c>
      <c r="B3341" s="4">
        <v>12</v>
      </c>
      <c r="C3341" s="4" t="s">
        <v>11</v>
      </c>
      <c r="D3341" s="7">
        <v>35.76</v>
      </c>
      <c r="E3341" s="4" t="s">
        <v>12</v>
      </c>
      <c r="F3341" s="4" t="s">
        <v>17</v>
      </c>
      <c r="G3341" s="4" t="s">
        <v>45</v>
      </c>
      <c r="H3341" s="4" t="s">
        <v>58</v>
      </c>
      <c r="I3341" s="5">
        <v>45621</v>
      </c>
      <c r="J3341" s="4">
        <f t="shared" si="52"/>
        <v>32</v>
      </c>
    </row>
    <row r="3342" spans="1:10" x14ac:dyDescent="0.25">
      <c r="A3342" s="4">
        <f>_xlfn.XLOOKUP(E3342,'Data Validation'!$M$3:$M$10,'Data Validation'!$N$3:$N$10)</f>
        <v>8</v>
      </c>
      <c r="B3342" s="4">
        <v>12</v>
      </c>
      <c r="C3342" s="4" t="s">
        <v>11</v>
      </c>
      <c r="D3342" s="7">
        <v>35.76</v>
      </c>
      <c r="E3342" s="4" t="s">
        <v>12</v>
      </c>
      <c r="F3342" s="4" t="s">
        <v>17</v>
      </c>
      <c r="G3342" s="4" t="s">
        <v>45</v>
      </c>
      <c r="H3342" s="4" t="s">
        <v>58</v>
      </c>
      <c r="I3342" s="5">
        <v>45621</v>
      </c>
      <c r="J3342" s="4">
        <f t="shared" si="52"/>
        <v>32</v>
      </c>
    </row>
    <row r="3343" spans="1:10" x14ac:dyDescent="0.25">
      <c r="A3343" s="4">
        <f>_xlfn.XLOOKUP(E3343,'Data Validation'!$M$3:$M$10,'Data Validation'!$N$3:$N$10)</f>
        <v>8</v>
      </c>
      <c r="B3343" s="4">
        <v>7</v>
      </c>
      <c r="C3343" s="4" t="s">
        <v>11</v>
      </c>
      <c r="D3343" s="7">
        <v>35.76</v>
      </c>
      <c r="E3343" s="4" t="s">
        <v>12</v>
      </c>
      <c r="F3343" s="4" t="s">
        <v>13</v>
      </c>
      <c r="G3343" s="4" t="s">
        <v>46</v>
      </c>
      <c r="H3343" s="4" t="s">
        <v>58</v>
      </c>
      <c r="I3343" s="5">
        <v>45622</v>
      </c>
      <c r="J3343" s="4">
        <f t="shared" si="52"/>
        <v>32</v>
      </c>
    </row>
    <row r="3344" spans="1:10" x14ac:dyDescent="0.25">
      <c r="A3344" s="4">
        <f>_xlfn.XLOOKUP(E3344,'Data Validation'!$M$3:$M$10,'Data Validation'!$N$3:$N$10)</f>
        <v>8</v>
      </c>
      <c r="B3344" s="4">
        <v>16</v>
      </c>
      <c r="C3344" s="4" t="s">
        <v>11</v>
      </c>
      <c r="D3344" s="7">
        <v>35.76</v>
      </c>
      <c r="E3344" s="4" t="s">
        <v>12</v>
      </c>
      <c r="F3344" s="4" t="s">
        <v>17</v>
      </c>
      <c r="G3344" s="4" t="s">
        <v>46</v>
      </c>
      <c r="H3344" s="4" t="s">
        <v>58</v>
      </c>
      <c r="I3344" s="5">
        <v>45622</v>
      </c>
      <c r="J3344" s="4">
        <f t="shared" si="52"/>
        <v>32</v>
      </c>
    </row>
    <row r="3345" spans="1:10" x14ac:dyDescent="0.25">
      <c r="A3345" s="4">
        <f>_xlfn.XLOOKUP(E3345,'Data Validation'!$M$3:$M$10,'Data Validation'!$N$3:$N$10)</f>
        <v>8</v>
      </c>
      <c r="B3345" s="4">
        <v>16</v>
      </c>
      <c r="C3345" s="4" t="s">
        <v>11</v>
      </c>
      <c r="D3345" s="7">
        <v>35.76</v>
      </c>
      <c r="E3345" s="4" t="s">
        <v>12</v>
      </c>
      <c r="F3345" s="4" t="s">
        <v>17</v>
      </c>
      <c r="G3345" s="4" t="s">
        <v>46</v>
      </c>
      <c r="H3345" s="4" t="s">
        <v>58</v>
      </c>
      <c r="I3345" s="5">
        <v>45622</v>
      </c>
      <c r="J3345" s="4">
        <f t="shared" si="52"/>
        <v>32</v>
      </c>
    </row>
    <row r="3346" spans="1:10" x14ac:dyDescent="0.25">
      <c r="A3346" s="4">
        <f>_xlfn.XLOOKUP(E3346,'Data Validation'!$M$3:$M$10,'Data Validation'!$N$3:$N$10)</f>
        <v>8</v>
      </c>
      <c r="B3346" s="4">
        <v>20</v>
      </c>
      <c r="C3346" s="4" t="s">
        <v>11</v>
      </c>
      <c r="D3346" s="7">
        <v>35.76</v>
      </c>
      <c r="E3346" s="4" t="s">
        <v>12</v>
      </c>
      <c r="F3346" s="4" t="s">
        <v>20</v>
      </c>
      <c r="G3346" s="4" t="s">
        <v>48</v>
      </c>
      <c r="H3346" s="4" t="s">
        <v>58</v>
      </c>
      <c r="I3346" s="5">
        <v>45624</v>
      </c>
      <c r="J3346" s="4">
        <f t="shared" si="52"/>
        <v>32</v>
      </c>
    </row>
    <row r="3347" spans="1:10" x14ac:dyDescent="0.25">
      <c r="A3347" s="4">
        <f>_xlfn.XLOOKUP(E3347,'Data Validation'!$M$3:$M$10,'Data Validation'!$N$3:$N$10)</f>
        <v>8</v>
      </c>
      <c r="B3347" s="4">
        <v>20</v>
      </c>
      <c r="C3347" s="4" t="s">
        <v>11</v>
      </c>
      <c r="D3347" s="7">
        <v>35.76</v>
      </c>
      <c r="E3347" s="4" t="s">
        <v>12</v>
      </c>
      <c r="F3347" s="4" t="s">
        <v>20</v>
      </c>
      <c r="G3347" s="4" t="s">
        <v>48</v>
      </c>
      <c r="H3347" s="4" t="s">
        <v>58</v>
      </c>
      <c r="I3347" s="5">
        <v>45624</v>
      </c>
      <c r="J3347" s="4">
        <f t="shared" si="52"/>
        <v>32</v>
      </c>
    </row>
    <row r="3348" spans="1:10" x14ac:dyDescent="0.25">
      <c r="A3348" s="4">
        <f>_xlfn.XLOOKUP(E3348,'Data Validation'!$M$3:$M$10,'Data Validation'!$N$3:$N$10)</f>
        <v>8</v>
      </c>
      <c r="B3348" s="4">
        <v>7</v>
      </c>
      <c r="C3348" s="4" t="s">
        <v>11</v>
      </c>
      <c r="D3348" s="7">
        <v>35.76</v>
      </c>
      <c r="E3348" s="4" t="s">
        <v>12</v>
      </c>
      <c r="F3348" s="4" t="s">
        <v>13</v>
      </c>
      <c r="G3348" s="4" t="s">
        <v>49</v>
      </c>
      <c r="H3348" s="4" t="s">
        <v>58</v>
      </c>
      <c r="I3348" s="5">
        <v>45625</v>
      </c>
      <c r="J3348" s="4">
        <f t="shared" si="52"/>
        <v>32</v>
      </c>
    </row>
    <row r="3349" spans="1:10" x14ac:dyDescent="0.25">
      <c r="A3349" s="4">
        <f>_xlfn.XLOOKUP(E3349,'Data Validation'!$M$3:$M$10,'Data Validation'!$N$3:$N$10)</f>
        <v>8</v>
      </c>
      <c r="B3349" s="4">
        <v>15</v>
      </c>
      <c r="C3349" s="4" t="s">
        <v>11</v>
      </c>
      <c r="D3349" s="7">
        <v>35.76</v>
      </c>
      <c r="E3349" s="4" t="s">
        <v>12</v>
      </c>
      <c r="F3349" s="4" t="s">
        <v>17</v>
      </c>
      <c r="G3349" s="4" t="s">
        <v>49</v>
      </c>
      <c r="H3349" s="4" t="s">
        <v>58</v>
      </c>
      <c r="I3349" s="5">
        <v>45625</v>
      </c>
      <c r="J3349" s="4">
        <f t="shared" si="52"/>
        <v>32</v>
      </c>
    </row>
    <row r="3350" spans="1:10" x14ac:dyDescent="0.25">
      <c r="A3350" s="4">
        <f>_xlfn.XLOOKUP(E3350,'Data Validation'!$M$3:$M$10,'Data Validation'!$N$3:$N$10)</f>
        <v>8</v>
      </c>
      <c r="B3350" s="4">
        <v>15</v>
      </c>
      <c r="C3350" s="4" t="s">
        <v>11</v>
      </c>
      <c r="D3350" s="7">
        <v>35.76</v>
      </c>
      <c r="E3350" s="4" t="s">
        <v>12</v>
      </c>
      <c r="F3350" s="4" t="s">
        <v>17</v>
      </c>
      <c r="G3350" s="4" t="s">
        <v>51</v>
      </c>
      <c r="H3350" s="4" t="s">
        <v>59</v>
      </c>
      <c r="I3350" s="5">
        <v>45627</v>
      </c>
      <c r="J3350" s="4">
        <f t="shared" si="52"/>
        <v>32</v>
      </c>
    </row>
    <row r="3351" spans="1:10" x14ac:dyDescent="0.25">
      <c r="A3351" s="4">
        <f>_xlfn.XLOOKUP(E3351,'Data Validation'!$M$3:$M$10,'Data Validation'!$N$3:$N$10)</f>
        <v>8</v>
      </c>
      <c r="B3351" s="4">
        <v>15</v>
      </c>
      <c r="C3351" s="4" t="s">
        <v>11</v>
      </c>
      <c r="D3351" s="7">
        <v>35.76</v>
      </c>
      <c r="E3351" s="4" t="s">
        <v>12</v>
      </c>
      <c r="F3351" s="4" t="s">
        <v>17</v>
      </c>
      <c r="G3351" s="4" t="s">
        <v>51</v>
      </c>
      <c r="H3351" s="4" t="s">
        <v>59</v>
      </c>
      <c r="I3351" s="5">
        <v>45627</v>
      </c>
      <c r="J3351" s="4">
        <f t="shared" si="52"/>
        <v>32</v>
      </c>
    </row>
    <row r="3352" spans="1:10" x14ac:dyDescent="0.25">
      <c r="A3352" s="4">
        <f>_xlfn.XLOOKUP(E3352,'Data Validation'!$M$3:$M$10,'Data Validation'!$N$3:$N$10)</f>
        <v>8</v>
      </c>
      <c r="B3352" s="4">
        <v>16</v>
      </c>
      <c r="C3352" s="4" t="s">
        <v>11</v>
      </c>
      <c r="D3352" s="7">
        <v>35.76</v>
      </c>
      <c r="E3352" s="4" t="s">
        <v>12</v>
      </c>
      <c r="F3352" s="4" t="s">
        <v>17</v>
      </c>
      <c r="G3352" s="4" t="s">
        <v>51</v>
      </c>
      <c r="H3352" s="4" t="s">
        <v>59</v>
      </c>
      <c r="I3352" s="5">
        <v>45627</v>
      </c>
      <c r="J3352" s="4">
        <f t="shared" si="52"/>
        <v>32</v>
      </c>
    </row>
    <row r="3353" spans="1:10" x14ac:dyDescent="0.25">
      <c r="A3353" s="4">
        <f>_xlfn.XLOOKUP(E3353,'Data Validation'!$M$3:$M$10,'Data Validation'!$N$3:$N$10)</f>
        <v>8</v>
      </c>
      <c r="B3353" s="4">
        <v>16</v>
      </c>
      <c r="C3353" s="4" t="s">
        <v>11</v>
      </c>
      <c r="D3353" s="7">
        <v>35.76</v>
      </c>
      <c r="E3353" s="4" t="s">
        <v>12</v>
      </c>
      <c r="F3353" s="4" t="s">
        <v>17</v>
      </c>
      <c r="G3353" s="4" t="s">
        <v>51</v>
      </c>
      <c r="H3353" s="4" t="s">
        <v>59</v>
      </c>
      <c r="I3353" s="5">
        <v>45627</v>
      </c>
      <c r="J3353" s="4">
        <f t="shared" si="52"/>
        <v>32</v>
      </c>
    </row>
    <row r="3354" spans="1:10" x14ac:dyDescent="0.25">
      <c r="A3354" s="4">
        <f>_xlfn.XLOOKUP(E3354,'Data Validation'!$M$3:$M$10,'Data Validation'!$N$3:$N$10)</f>
        <v>8</v>
      </c>
      <c r="B3354" s="4">
        <v>7</v>
      </c>
      <c r="C3354" s="4" t="s">
        <v>11</v>
      </c>
      <c r="D3354" s="7">
        <v>35.76</v>
      </c>
      <c r="E3354" s="4" t="s">
        <v>12</v>
      </c>
      <c r="F3354" s="4" t="s">
        <v>13</v>
      </c>
      <c r="G3354" s="4" t="s">
        <v>45</v>
      </c>
      <c r="H3354" s="4" t="s">
        <v>59</v>
      </c>
      <c r="I3354" s="5">
        <v>45628</v>
      </c>
      <c r="J3354" s="4">
        <f t="shared" si="52"/>
        <v>32</v>
      </c>
    </row>
    <row r="3355" spans="1:10" x14ac:dyDescent="0.25">
      <c r="A3355" s="4">
        <f>_xlfn.XLOOKUP(E3355,'Data Validation'!$M$3:$M$10,'Data Validation'!$N$3:$N$10)</f>
        <v>8</v>
      </c>
      <c r="B3355" s="4">
        <v>8</v>
      </c>
      <c r="C3355" s="4" t="s">
        <v>11</v>
      </c>
      <c r="D3355" s="7">
        <v>35.76</v>
      </c>
      <c r="E3355" s="4" t="s">
        <v>12</v>
      </c>
      <c r="F3355" s="4" t="s">
        <v>13</v>
      </c>
      <c r="G3355" s="4" t="s">
        <v>46</v>
      </c>
      <c r="H3355" s="4" t="s">
        <v>59</v>
      </c>
      <c r="I3355" s="5">
        <v>45629</v>
      </c>
      <c r="J3355" s="4">
        <f t="shared" si="52"/>
        <v>32</v>
      </c>
    </row>
    <row r="3356" spans="1:10" x14ac:dyDescent="0.25">
      <c r="A3356" s="4">
        <f>_xlfn.XLOOKUP(E3356,'Data Validation'!$M$3:$M$10,'Data Validation'!$N$3:$N$10)</f>
        <v>8</v>
      </c>
      <c r="B3356" s="4">
        <v>21</v>
      </c>
      <c r="C3356" s="4" t="s">
        <v>11</v>
      </c>
      <c r="D3356" s="7">
        <v>35.76</v>
      </c>
      <c r="E3356" s="4" t="s">
        <v>12</v>
      </c>
      <c r="F3356" s="4" t="s">
        <v>20</v>
      </c>
      <c r="G3356" s="4" t="s">
        <v>46</v>
      </c>
      <c r="H3356" s="4" t="s">
        <v>59</v>
      </c>
      <c r="I3356" s="5">
        <v>45629</v>
      </c>
      <c r="J3356" s="4">
        <f t="shared" si="52"/>
        <v>32</v>
      </c>
    </row>
    <row r="3357" spans="1:10" x14ac:dyDescent="0.25">
      <c r="A3357" s="4">
        <f>_xlfn.XLOOKUP(E3357,'Data Validation'!$M$3:$M$10,'Data Validation'!$N$3:$N$10)</f>
        <v>8</v>
      </c>
      <c r="B3357" s="4">
        <v>8</v>
      </c>
      <c r="C3357" s="4" t="s">
        <v>11</v>
      </c>
      <c r="D3357" s="7">
        <v>35.76</v>
      </c>
      <c r="E3357" s="4" t="s">
        <v>12</v>
      </c>
      <c r="F3357" s="4" t="s">
        <v>13</v>
      </c>
      <c r="G3357" s="4" t="s">
        <v>47</v>
      </c>
      <c r="H3357" s="4" t="s">
        <v>59</v>
      </c>
      <c r="I3357" s="5">
        <v>45630</v>
      </c>
      <c r="J3357" s="4">
        <f t="shared" si="52"/>
        <v>32</v>
      </c>
    </row>
    <row r="3358" spans="1:10" x14ac:dyDescent="0.25">
      <c r="A3358" s="4">
        <f>_xlfn.XLOOKUP(E3358,'Data Validation'!$M$3:$M$10,'Data Validation'!$N$3:$N$10)</f>
        <v>8</v>
      </c>
      <c r="B3358" s="4">
        <v>8</v>
      </c>
      <c r="C3358" s="4" t="s">
        <v>11</v>
      </c>
      <c r="D3358" s="7">
        <v>35.76</v>
      </c>
      <c r="E3358" s="4" t="s">
        <v>12</v>
      </c>
      <c r="F3358" s="4" t="s">
        <v>13</v>
      </c>
      <c r="G3358" s="4" t="s">
        <v>47</v>
      </c>
      <c r="H3358" s="4" t="s">
        <v>59</v>
      </c>
      <c r="I3358" s="5">
        <v>45630</v>
      </c>
      <c r="J3358" s="4">
        <f t="shared" si="52"/>
        <v>32</v>
      </c>
    </row>
    <row r="3359" spans="1:10" x14ac:dyDescent="0.25">
      <c r="A3359" s="4">
        <f>_xlfn.XLOOKUP(E3359,'Data Validation'!$M$3:$M$10,'Data Validation'!$N$3:$N$10)</f>
        <v>8</v>
      </c>
      <c r="B3359" s="4">
        <v>11</v>
      </c>
      <c r="C3359" s="4" t="s">
        <v>11</v>
      </c>
      <c r="D3359" s="7">
        <v>35.76</v>
      </c>
      <c r="E3359" s="4" t="s">
        <v>12</v>
      </c>
      <c r="F3359" s="4" t="s">
        <v>13</v>
      </c>
      <c r="G3359" s="4" t="s">
        <v>48</v>
      </c>
      <c r="H3359" s="4" t="s">
        <v>59</v>
      </c>
      <c r="I3359" s="5">
        <v>45631</v>
      </c>
      <c r="J3359" s="4">
        <f t="shared" si="52"/>
        <v>32</v>
      </c>
    </row>
    <row r="3360" spans="1:10" x14ac:dyDescent="0.25">
      <c r="A3360" s="4">
        <f>_xlfn.XLOOKUP(E3360,'Data Validation'!$M$3:$M$10,'Data Validation'!$N$3:$N$10)</f>
        <v>8</v>
      </c>
      <c r="B3360" s="4">
        <v>15</v>
      </c>
      <c r="C3360" s="4" t="s">
        <v>11</v>
      </c>
      <c r="D3360" s="7">
        <v>35.76</v>
      </c>
      <c r="E3360" s="4" t="s">
        <v>12</v>
      </c>
      <c r="F3360" s="4" t="s">
        <v>17</v>
      </c>
      <c r="G3360" s="4" t="s">
        <v>48</v>
      </c>
      <c r="H3360" s="4" t="s">
        <v>59</v>
      </c>
      <c r="I3360" s="5">
        <v>45631</v>
      </c>
      <c r="J3360" s="4">
        <f t="shared" si="52"/>
        <v>32</v>
      </c>
    </row>
    <row r="3361" spans="1:10" x14ac:dyDescent="0.25">
      <c r="A3361" s="4">
        <f>_xlfn.XLOOKUP(E3361,'Data Validation'!$M$3:$M$10,'Data Validation'!$N$3:$N$10)</f>
        <v>8</v>
      </c>
      <c r="B3361" s="4">
        <v>16</v>
      </c>
      <c r="C3361" s="4" t="s">
        <v>11</v>
      </c>
      <c r="D3361" s="7">
        <v>35.76</v>
      </c>
      <c r="E3361" s="4" t="s">
        <v>12</v>
      </c>
      <c r="F3361" s="4" t="s">
        <v>17</v>
      </c>
      <c r="G3361" s="4" t="s">
        <v>48</v>
      </c>
      <c r="H3361" s="4" t="s">
        <v>59</v>
      </c>
      <c r="I3361" s="5">
        <v>45631</v>
      </c>
      <c r="J3361" s="4">
        <f t="shared" si="52"/>
        <v>32</v>
      </c>
    </row>
    <row r="3362" spans="1:10" x14ac:dyDescent="0.25">
      <c r="A3362" s="4">
        <f>_xlfn.XLOOKUP(E3362,'Data Validation'!$M$3:$M$10,'Data Validation'!$N$3:$N$10)</f>
        <v>8</v>
      </c>
      <c r="B3362" s="4">
        <v>11</v>
      </c>
      <c r="C3362" s="4" t="s">
        <v>11</v>
      </c>
      <c r="D3362" s="7">
        <v>35.76</v>
      </c>
      <c r="E3362" s="4" t="s">
        <v>12</v>
      </c>
      <c r="F3362" s="4" t="s">
        <v>13</v>
      </c>
      <c r="G3362" s="4" t="s">
        <v>49</v>
      </c>
      <c r="H3362" s="4" t="s">
        <v>59</v>
      </c>
      <c r="I3362" s="5">
        <v>45632</v>
      </c>
      <c r="J3362" s="4">
        <f t="shared" si="52"/>
        <v>32</v>
      </c>
    </row>
    <row r="3363" spans="1:10" x14ac:dyDescent="0.25">
      <c r="A3363" s="4">
        <f>_xlfn.XLOOKUP(E3363,'Data Validation'!$M$3:$M$10,'Data Validation'!$N$3:$N$10)</f>
        <v>8</v>
      </c>
      <c r="B3363" s="4">
        <v>22</v>
      </c>
      <c r="C3363" s="4" t="s">
        <v>11</v>
      </c>
      <c r="D3363" s="7">
        <v>35.76</v>
      </c>
      <c r="E3363" s="4" t="s">
        <v>12</v>
      </c>
      <c r="F3363" s="4" t="s">
        <v>20</v>
      </c>
      <c r="G3363" s="4" t="s">
        <v>49</v>
      </c>
      <c r="H3363" s="4" t="s">
        <v>59</v>
      </c>
      <c r="I3363" s="5">
        <v>45632</v>
      </c>
      <c r="J3363" s="4">
        <f t="shared" si="52"/>
        <v>32</v>
      </c>
    </row>
    <row r="3364" spans="1:10" x14ac:dyDescent="0.25">
      <c r="A3364" s="4">
        <f>_xlfn.XLOOKUP(E3364,'Data Validation'!$M$3:$M$10,'Data Validation'!$N$3:$N$10)</f>
        <v>8</v>
      </c>
      <c r="B3364" s="4">
        <v>15</v>
      </c>
      <c r="C3364" s="4" t="s">
        <v>11</v>
      </c>
      <c r="D3364" s="7">
        <v>35.76</v>
      </c>
      <c r="E3364" s="4" t="s">
        <v>12</v>
      </c>
      <c r="F3364" s="4" t="s">
        <v>17</v>
      </c>
      <c r="G3364" s="4" t="s">
        <v>50</v>
      </c>
      <c r="H3364" s="4" t="s">
        <v>59</v>
      </c>
      <c r="I3364" s="5">
        <v>45633</v>
      </c>
      <c r="J3364" s="4">
        <f t="shared" si="52"/>
        <v>32</v>
      </c>
    </row>
    <row r="3365" spans="1:10" x14ac:dyDescent="0.25">
      <c r="A3365" s="4">
        <f>_xlfn.XLOOKUP(E3365,'Data Validation'!$M$3:$M$10,'Data Validation'!$N$3:$N$10)</f>
        <v>8</v>
      </c>
      <c r="B3365" s="4">
        <v>10</v>
      </c>
      <c r="C3365" s="4" t="s">
        <v>11</v>
      </c>
      <c r="D3365" s="7">
        <v>35.76</v>
      </c>
      <c r="E3365" s="4" t="s">
        <v>12</v>
      </c>
      <c r="F3365" s="4" t="s">
        <v>13</v>
      </c>
      <c r="G3365" s="4" t="s">
        <v>51</v>
      </c>
      <c r="H3365" s="4" t="s">
        <v>59</v>
      </c>
      <c r="I3365" s="5">
        <v>45634</v>
      </c>
      <c r="J3365" s="4">
        <f t="shared" si="52"/>
        <v>32</v>
      </c>
    </row>
    <row r="3366" spans="1:10" x14ac:dyDescent="0.25">
      <c r="A3366" s="4">
        <f>_xlfn.XLOOKUP(E3366,'Data Validation'!$M$3:$M$10,'Data Validation'!$N$3:$N$10)</f>
        <v>8</v>
      </c>
      <c r="B3366" s="4">
        <v>7</v>
      </c>
      <c r="C3366" s="4" t="s">
        <v>11</v>
      </c>
      <c r="D3366" s="7">
        <v>35.76</v>
      </c>
      <c r="E3366" s="4" t="s">
        <v>12</v>
      </c>
      <c r="F3366" s="4" t="s">
        <v>13</v>
      </c>
      <c r="G3366" s="4" t="s">
        <v>47</v>
      </c>
      <c r="H3366" s="4" t="s">
        <v>59</v>
      </c>
      <c r="I3366" s="5">
        <v>45637</v>
      </c>
      <c r="J3366" s="4">
        <f t="shared" si="52"/>
        <v>32</v>
      </c>
    </row>
    <row r="3367" spans="1:10" x14ac:dyDescent="0.25">
      <c r="A3367" s="4">
        <f>_xlfn.XLOOKUP(E3367,'Data Validation'!$M$3:$M$10,'Data Validation'!$N$3:$N$10)</f>
        <v>8</v>
      </c>
      <c r="B3367" s="4">
        <v>21</v>
      </c>
      <c r="C3367" s="4" t="s">
        <v>11</v>
      </c>
      <c r="D3367" s="7">
        <v>35.76</v>
      </c>
      <c r="E3367" s="4" t="s">
        <v>12</v>
      </c>
      <c r="F3367" s="4" t="s">
        <v>20</v>
      </c>
      <c r="G3367" s="4" t="s">
        <v>47</v>
      </c>
      <c r="H3367" s="4" t="s">
        <v>59</v>
      </c>
      <c r="I3367" s="5">
        <v>45637</v>
      </c>
      <c r="J3367" s="4">
        <f t="shared" si="52"/>
        <v>32</v>
      </c>
    </row>
    <row r="3368" spans="1:10" x14ac:dyDescent="0.25">
      <c r="A3368" s="4">
        <f>_xlfn.XLOOKUP(E3368,'Data Validation'!$M$3:$M$10,'Data Validation'!$N$3:$N$10)</f>
        <v>8</v>
      </c>
      <c r="B3368" s="4">
        <v>21</v>
      </c>
      <c r="C3368" s="4" t="s">
        <v>11</v>
      </c>
      <c r="D3368" s="7">
        <v>35.76</v>
      </c>
      <c r="E3368" s="4" t="s">
        <v>12</v>
      </c>
      <c r="F3368" s="4" t="s">
        <v>20</v>
      </c>
      <c r="G3368" s="4" t="s">
        <v>47</v>
      </c>
      <c r="H3368" s="4" t="s">
        <v>59</v>
      </c>
      <c r="I3368" s="5">
        <v>45637</v>
      </c>
      <c r="J3368" s="4">
        <f t="shared" si="52"/>
        <v>32</v>
      </c>
    </row>
    <row r="3369" spans="1:10" x14ac:dyDescent="0.25">
      <c r="A3369" s="4">
        <f>_xlfn.XLOOKUP(E3369,'Data Validation'!$M$3:$M$10,'Data Validation'!$N$3:$N$10)</f>
        <v>8</v>
      </c>
      <c r="B3369" s="4">
        <v>21</v>
      </c>
      <c r="C3369" s="4" t="s">
        <v>11</v>
      </c>
      <c r="D3369" s="7">
        <v>35.76</v>
      </c>
      <c r="E3369" s="4" t="s">
        <v>12</v>
      </c>
      <c r="F3369" s="4" t="s">
        <v>20</v>
      </c>
      <c r="G3369" s="4" t="s">
        <v>49</v>
      </c>
      <c r="H3369" s="4" t="s">
        <v>59</v>
      </c>
      <c r="I3369" s="5">
        <v>45639</v>
      </c>
      <c r="J3369" s="4">
        <f t="shared" si="52"/>
        <v>32</v>
      </c>
    </row>
    <row r="3370" spans="1:10" x14ac:dyDescent="0.25">
      <c r="A3370" s="4">
        <f>_xlfn.XLOOKUP(E3370,'Data Validation'!$M$3:$M$10,'Data Validation'!$N$3:$N$10)</f>
        <v>8</v>
      </c>
      <c r="B3370" s="4">
        <v>13</v>
      </c>
      <c r="C3370" s="4" t="s">
        <v>11</v>
      </c>
      <c r="D3370" s="7">
        <v>35.76</v>
      </c>
      <c r="E3370" s="4" t="s">
        <v>12</v>
      </c>
      <c r="F3370" s="4" t="s">
        <v>17</v>
      </c>
      <c r="G3370" s="4" t="s">
        <v>50</v>
      </c>
      <c r="H3370" s="4" t="s">
        <v>59</v>
      </c>
      <c r="I3370" s="5">
        <v>45640</v>
      </c>
      <c r="J3370" s="4">
        <f t="shared" si="52"/>
        <v>32</v>
      </c>
    </row>
    <row r="3371" spans="1:10" x14ac:dyDescent="0.25">
      <c r="A3371" s="4">
        <f>_xlfn.XLOOKUP(E3371,'Data Validation'!$M$3:$M$10,'Data Validation'!$N$3:$N$10)</f>
        <v>8</v>
      </c>
      <c r="B3371" s="4">
        <v>11</v>
      </c>
      <c r="C3371" s="4" t="s">
        <v>11</v>
      </c>
      <c r="D3371" s="7">
        <v>35.76</v>
      </c>
      <c r="E3371" s="4" t="s">
        <v>12</v>
      </c>
      <c r="F3371" s="4" t="s">
        <v>13</v>
      </c>
      <c r="G3371" s="4" t="s">
        <v>51</v>
      </c>
      <c r="H3371" s="4" t="s">
        <v>59</v>
      </c>
      <c r="I3371" s="5">
        <v>45641</v>
      </c>
      <c r="J3371" s="4">
        <f t="shared" si="52"/>
        <v>32</v>
      </c>
    </row>
    <row r="3372" spans="1:10" x14ac:dyDescent="0.25">
      <c r="A3372" s="4">
        <f>_xlfn.XLOOKUP(E3372,'Data Validation'!$M$3:$M$10,'Data Validation'!$N$3:$N$10)</f>
        <v>8</v>
      </c>
      <c r="B3372" s="4">
        <v>7</v>
      </c>
      <c r="C3372" s="4" t="s">
        <v>11</v>
      </c>
      <c r="D3372" s="7">
        <v>35.76</v>
      </c>
      <c r="E3372" s="4" t="s">
        <v>12</v>
      </c>
      <c r="F3372" s="4" t="s">
        <v>13</v>
      </c>
      <c r="G3372" s="4" t="s">
        <v>45</v>
      </c>
      <c r="H3372" s="4" t="s">
        <v>59</v>
      </c>
      <c r="I3372" s="5">
        <v>45642</v>
      </c>
      <c r="J3372" s="4">
        <f t="shared" si="52"/>
        <v>32</v>
      </c>
    </row>
    <row r="3373" spans="1:10" x14ac:dyDescent="0.25">
      <c r="A3373" s="4">
        <f>_xlfn.XLOOKUP(E3373,'Data Validation'!$M$3:$M$10,'Data Validation'!$N$3:$N$10)</f>
        <v>8</v>
      </c>
      <c r="B3373" s="4">
        <v>13</v>
      </c>
      <c r="C3373" s="4" t="s">
        <v>11</v>
      </c>
      <c r="D3373" s="7">
        <v>35.76</v>
      </c>
      <c r="E3373" s="4" t="s">
        <v>12</v>
      </c>
      <c r="F3373" s="4" t="s">
        <v>17</v>
      </c>
      <c r="G3373" s="4" t="s">
        <v>45</v>
      </c>
      <c r="H3373" s="4" t="s">
        <v>59</v>
      </c>
      <c r="I3373" s="5">
        <v>45642</v>
      </c>
      <c r="J3373" s="4">
        <f t="shared" si="52"/>
        <v>32</v>
      </c>
    </row>
    <row r="3374" spans="1:10" x14ac:dyDescent="0.25">
      <c r="A3374" s="4">
        <f>_xlfn.XLOOKUP(E3374,'Data Validation'!$M$3:$M$10,'Data Validation'!$N$3:$N$10)</f>
        <v>8</v>
      </c>
      <c r="B3374" s="4">
        <v>18</v>
      </c>
      <c r="C3374" s="4" t="s">
        <v>11</v>
      </c>
      <c r="D3374" s="7">
        <v>35.76</v>
      </c>
      <c r="E3374" s="4" t="s">
        <v>12</v>
      </c>
      <c r="F3374" s="4" t="s">
        <v>20</v>
      </c>
      <c r="G3374" s="4" t="s">
        <v>45</v>
      </c>
      <c r="H3374" s="4" t="s">
        <v>59</v>
      </c>
      <c r="I3374" s="5">
        <v>45642</v>
      </c>
      <c r="J3374" s="4">
        <f t="shared" si="52"/>
        <v>32</v>
      </c>
    </row>
    <row r="3375" spans="1:10" x14ac:dyDescent="0.25">
      <c r="A3375" s="4">
        <f>_xlfn.XLOOKUP(E3375,'Data Validation'!$M$3:$M$10,'Data Validation'!$N$3:$N$10)</f>
        <v>8</v>
      </c>
      <c r="B3375" s="4">
        <v>9</v>
      </c>
      <c r="C3375" s="4" t="s">
        <v>11</v>
      </c>
      <c r="D3375" s="7">
        <v>35.76</v>
      </c>
      <c r="E3375" s="4" t="s">
        <v>12</v>
      </c>
      <c r="F3375" s="4" t="s">
        <v>13</v>
      </c>
      <c r="G3375" s="4" t="s">
        <v>47</v>
      </c>
      <c r="H3375" s="4" t="s">
        <v>59</v>
      </c>
      <c r="I3375" s="5">
        <v>45644</v>
      </c>
      <c r="J3375" s="4">
        <f t="shared" si="52"/>
        <v>32</v>
      </c>
    </row>
    <row r="3376" spans="1:10" x14ac:dyDescent="0.25">
      <c r="A3376" s="4">
        <f>_xlfn.XLOOKUP(E3376,'Data Validation'!$M$3:$M$10,'Data Validation'!$N$3:$N$10)</f>
        <v>8</v>
      </c>
      <c r="B3376" s="4">
        <v>10</v>
      </c>
      <c r="C3376" s="4" t="s">
        <v>11</v>
      </c>
      <c r="D3376" s="7">
        <v>35.76</v>
      </c>
      <c r="E3376" s="4" t="s">
        <v>12</v>
      </c>
      <c r="F3376" s="4" t="s">
        <v>13</v>
      </c>
      <c r="G3376" s="4" t="s">
        <v>47</v>
      </c>
      <c r="H3376" s="4" t="s">
        <v>59</v>
      </c>
      <c r="I3376" s="5">
        <v>45644</v>
      </c>
      <c r="J3376" s="4">
        <f t="shared" si="52"/>
        <v>32</v>
      </c>
    </row>
    <row r="3377" spans="1:10" x14ac:dyDescent="0.25">
      <c r="A3377" s="4">
        <f>_xlfn.XLOOKUP(E3377,'Data Validation'!$M$3:$M$10,'Data Validation'!$N$3:$N$10)</f>
        <v>8</v>
      </c>
      <c r="B3377" s="4">
        <v>21</v>
      </c>
      <c r="C3377" s="4" t="s">
        <v>11</v>
      </c>
      <c r="D3377" s="7">
        <v>35.76</v>
      </c>
      <c r="E3377" s="4" t="s">
        <v>12</v>
      </c>
      <c r="F3377" s="4" t="s">
        <v>20</v>
      </c>
      <c r="G3377" s="4" t="s">
        <v>48</v>
      </c>
      <c r="H3377" s="4" t="s">
        <v>59</v>
      </c>
      <c r="I3377" s="5">
        <v>45645</v>
      </c>
      <c r="J3377" s="4">
        <f t="shared" si="52"/>
        <v>32</v>
      </c>
    </row>
    <row r="3378" spans="1:10" x14ac:dyDescent="0.25">
      <c r="A3378" s="4">
        <f>_xlfn.XLOOKUP(E3378,'Data Validation'!$M$3:$M$10,'Data Validation'!$N$3:$N$10)</f>
        <v>8</v>
      </c>
      <c r="B3378" s="4">
        <v>10</v>
      </c>
      <c r="C3378" s="4" t="s">
        <v>11</v>
      </c>
      <c r="D3378" s="7">
        <v>35.76</v>
      </c>
      <c r="E3378" s="4" t="s">
        <v>12</v>
      </c>
      <c r="F3378" s="4" t="s">
        <v>13</v>
      </c>
      <c r="G3378" s="4" t="s">
        <v>50</v>
      </c>
      <c r="H3378" s="4" t="s">
        <v>59</v>
      </c>
      <c r="I3378" s="5">
        <v>45647</v>
      </c>
      <c r="J3378" s="4">
        <f t="shared" si="52"/>
        <v>32</v>
      </c>
    </row>
    <row r="3379" spans="1:10" x14ac:dyDescent="0.25">
      <c r="A3379" s="4">
        <f>_xlfn.XLOOKUP(E3379,'Data Validation'!$M$3:$M$10,'Data Validation'!$N$3:$N$10)</f>
        <v>8</v>
      </c>
      <c r="B3379" s="4">
        <v>15</v>
      </c>
      <c r="C3379" s="4" t="s">
        <v>11</v>
      </c>
      <c r="D3379" s="7">
        <v>35.76</v>
      </c>
      <c r="E3379" s="4" t="s">
        <v>12</v>
      </c>
      <c r="F3379" s="4" t="s">
        <v>17</v>
      </c>
      <c r="G3379" s="4" t="s">
        <v>50</v>
      </c>
      <c r="H3379" s="4" t="s">
        <v>59</v>
      </c>
      <c r="I3379" s="5">
        <v>45647</v>
      </c>
      <c r="J3379" s="4">
        <f t="shared" si="52"/>
        <v>32</v>
      </c>
    </row>
    <row r="3380" spans="1:10" x14ac:dyDescent="0.25">
      <c r="A3380" s="4">
        <f>_xlfn.XLOOKUP(E3380,'Data Validation'!$M$3:$M$10,'Data Validation'!$N$3:$N$10)</f>
        <v>8</v>
      </c>
      <c r="B3380" s="4">
        <v>15</v>
      </c>
      <c r="C3380" s="4" t="s">
        <v>11</v>
      </c>
      <c r="D3380" s="7">
        <v>35.76</v>
      </c>
      <c r="E3380" s="4" t="s">
        <v>12</v>
      </c>
      <c r="F3380" s="4" t="s">
        <v>17</v>
      </c>
      <c r="G3380" s="4" t="s">
        <v>50</v>
      </c>
      <c r="H3380" s="4" t="s">
        <v>59</v>
      </c>
      <c r="I3380" s="5">
        <v>45647</v>
      </c>
      <c r="J3380" s="4">
        <f t="shared" si="52"/>
        <v>32</v>
      </c>
    </row>
    <row r="3381" spans="1:10" x14ac:dyDescent="0.25">
      <c r="A3381" s="4">
        <f>_xlfn.XLOOKUP(E3381,'Data Validation'!$M$3:$M$10,'Data Validation'!$N$3:$N$10)</f>
        <v>8</v>
      </c>
      <c r="B3381" s="4">
        <v>21</v>
      </c>
      <c r="C3381" s="4" t="s">
        <v>11</v>
      </c>
      <c r="D3381" s="7">
        <v>35.76</v>
      </c>
      <c r="E3381" s="4" t="s">
        <v>12</v>
      </c>
      <c r="F3381" s="4" t="s">
        <v>20</v>
      </c>
      <c r="G3381" s="4" t="s">
        <v>50</v>
      </c>
      <c r="H3381" s="4" t="s">
        <v>59</v>
      </c>
      <c r="I3381" s="5">
        <v>45647</v>
      </c>
      <c r="J3381" s="4">
        <f t="shared" si="52"/>
        <v>32</v>
      </c>
    </row>
    <row r="3382" spans="1:10" x14ac:dyDescent="0.25">
      <c r="A3382" s="4">
        <f>_xlfn.XLOOKUP(E3382,'Data Validation'!$M$3:$M$10,'Data Validation'!$N$3:$N$10)</f>
        <v>8</v>
      </c>
      <c r="B3382" s="4">
        <v>14</v>
      </c>
      <c r="C3382" s="4" t="s">
        <v>11</v>
      </c>
      <c r="D3382" s="7">
        <v>35.76</v>
      </c>
      <c r="E3382" s="4" t="s">
        <v>12</v>
      </c>
      <c r="F3382" s="4" t="s">
        <v>17</v>
      </c>
      <c r="G3382" s="4" t="s">
        <v>45</v>
      </c>
      <c r="H3382" s="4" t="s">
        <v>59</v>
      </c>
      <c r="I3382" s="5">
        <v>45649</v>
      </c>
      <c r="J3382" s="4">
        <f t="shared" si="52"/>
        <v>32</v>
      </c>
    </row>
    <row r="3383" spans="1:10" x14ac:dyDescent="0.25">
      <c r="A3383" s="4">
        <f>_xlfn.XLOOKUP(E3383,'Data Validation'!$M$3:$M$10,'Data Validation'!$N$3:$N$10)</f>
        <v>8</v>
      </c>
      <c r="B3383" s="4">
        <v>16</v>
      </c>
      <c r="C3383" s="4" t="s">
        <v>11</v>
      </c>
      <c r="D3383" s="7">
        <v>35.76</v>
      </c>
      <c r="E3383" s="4" t="s">
        <v>12</v>
      </c>
      <c r="F3383" s="4" t="s">
        <v>17</v>
      </c>
      <c r="G3383" s="4" t="s">
        <v>45</v>
      </c>
      <c r="H3383" s="4" t="s">
        <v>59</v>
      </c>
      <c r="I3383" s="5">
        <v>45649</v>
      </c>
      <c r="J3383" s="4">
        <f t="shared" si="52"/>
        <v>32</v>
      </c>
    </row>
    <row r="3384" spans="1:10" x14ac:dyDescent="0.25">
      <c r="A3384" s="4">
        <f>_xlfn.XLOOKUP(E3384,'Data Validation'!$M$3:$M$10,'Data Validation'!$N$3:$N$10)</f>
        <v>8</v>
      </c>
      <c r="B3384" s="4">
        <v>17</v>
      </c>
      <c r="C3384" s="4" t="s">
        <v>11</v>
      </c>
      <c r="D3384" s="7">
        <v>35.76</v>
      </c>
      <c r="E3384" s="4" t="s">
        <v>12</v>
      </c>
      <c r="F3384" s="4" t="s">
        <v>20</v>
      </c>
      <c r="G3384" s="4" t="s">
        <v>45</v>
      </c>
      <c r="H3384" s="4" t="s">
        <v>59</v>
      </c>
      <c r="I3384" s="5">
        <v>45649</v>
      </c>
      <c r="J3384" s="4">
        <f t="shared" si="52"/>
        <v>32</v>
      </c>
    </row>
    <row r="3385" spans="1:10" x14ac:dyDescent="0.25">
      <c r="A3385" s="4">
        <f>_xlfn.XLOOKUP(E3385,'Data Validation'!$M$3:$M$10,'Data Validation'!$N$3:$N$10)</f>
        <v>8</v>
      </c>
      <c r="B3385" s="4">
        <v>19</v>
      </c>
      <c r="C3385" s="4" t="s">
        <v>11</v>
      </c>
      <c r="D3385" s="7">
        <v>35.76</v>
      </c>
      <c r="E3385" s="4" t="s">
        <v>12</v>
      </c>
      <c r="F3385" s="4" t="s">
        <v>20</v>
      </c>
      <c r="G3385" s="4" t="s">
        <v>46</v>
      </c>
      <c r="H3385" s="4" t="s">
        <v>59</v>
      </c>
      <c r="I3385" s="5">
        <v>45650</v>
      </c>
      <c r="J3385" s="4">
        <f t="shared" si="52"/>
        <v>32</v>
      </c>
    </row>
    <row r="3386" spans="1:10" x14ac:dyDescent="0.25">
      <c r="A3386" s="4">
        <f>_xlfn.XLOOKUP(E3386,'Data Validation'!$M$3:$M$10,'Data Validation'!$N$3:$N$10)</f>
        <v>8</v>
      </c>
      <c r="B3386" s="4">
        <v>10</v>
      </c>
      <c r="C3386" s="4" t="s">
        <v>11</v>
      </c>
      <c r="D3386" s="7">
        <v>35.76</v>
      </c>
      <c r="E3386" s="4" t="s">
        <v>12</v>
      </c>
      <c r="F3386" s="4" t="s">
        <v>13</v>
      </c>
      <c r="G3386" s="4" t="s">
        <v>47</v>
      </c>
      <c r="H3386" s="4" t="s">
        <v>59</v>
      </c>
      <c r="I3386" s="5">
        <v>45651</v>
      </c>
      <c r="J3386" s="4">
        <f t="shared" si="52"/>
        <v>32</v>
      </c>
    </row>
    <row r="3387" spans="1:10" x14ac:dyDescent="0.25">
      <c r="A3387" s="4">
        <f>_xlfn.XLOOKUP(E3387,'Data Validation'!$M$3:$M$10,'Data Validation'!$N$3:$N$10)</f>
        <v>8</v>
      </c>
      <c r="B3387" s="4">
        <v>10</v>
      </c>
      <c r="C3387" s="4" t="s">
        <v>11</v>
      </c>
      <c r="D3387" s="7">
        <v>35.76</v>
      </c>
      <c r="E3387" s="4" t="s">
        <v>12</v>
      </c>
      <c r="F3387" s="4" t="s">
        <v>13</v>
      </c>
      <c r="G3387" s="4" t="s">
        <v>47</v>
      </c>
      <c r="H3387" s="4" t="s">
        <v>59</v>
      </c>
      <c r="I3387" s="5">
        <v>45651</v>
      </c>
      <c r="J3387" s="4">
        <f t="shared" si="52"/>
        <v>32</v>
      </c>
    </row>
    <row r="3388" spans="1:10" x14ac:dyDescent="0.25">
      <c r="A3388" s="4">
        <f>_xlfn.XLOOKUP(E3388,'Data Validation'!$M$3:$M$10,'Data Validation'!$N$3:$N$10)</f>
        <v>8</v>
      </c>
      <c r="B3388" s="4">
        <v>21</v>
      </c>
      <c r="C3388" s="4" t="s">
        <v>11</v>
      </c>
      <c r="D3388" s="7">
        <v>35.76</v>
      </c>
      <c r="E3388" s="4" t="s">
        <v>12</v>
      </c>
      <c r="F3388" s="4" t="s">
        <v>20</v>
      </c>
      <c r="G3388" s="4" t="s">
        <v>47</v>
      </c>
      <c r="H3388" s="4" t="s">
        <v>59</v>
      </c>
      <c r="I3388" s="5">
        <v>45651</v>
      </c>
      <c r="J3388" s="4">
        <f t="shared" si="52"/>
        <v>32</v>
      </c>
    </row>
    <row r="3389" spans="1:10" x14ac:dyDescent="0.25">
      <c r="A3389" s="4">
        <f>_xlfn.XLOOKUP(E3389,'Data Validation'!$M$3:$M$10,'Data Validation'!$N$3:$N$10)</f>
        <v>8</v>
      </c>
      <c r="B3389" s="4">
        <v>17</v>
      </c>
      <c r="C3389" s="4" t="s">
        <v>11</v>
      </c>
      <c r="D3389" s="7">
        <v>35.76</v>
      </c>
      <c r="E3389" s="4" t="s">
        <v>12</v>
      </c>
      <c r="F3389" s="4" t="s">
        <v>20</v>
      </c>
      <c r="G3389" s="4" t="s">
        <v>49</v>
      </c>
      <c r="H3389" s="4" t="s">
        <v>59</v>
      </c>
      <c r="I3389" s="5">
        <v>45653</v>
      </c>
      <c r="J3389" s="4">
        <f t="shared" si="52"/>
        <v>32</v>
      </c>
    </row>
    <row r="3390" spans="1:10" x14ac:dyDescent="0.25">
      <c r="A3390" s="4">
        <f>_xlfn.XLOOKUP(E3390,'Data Validation'!$M$3:$M$10,'Data Validation'!$N$3:$N$10)</f>
        <v>8</v>
      </c>
      <c r="B3390" s="4">
        <v>10</v>
      </c>
      <c r="C3390" s="4" t="s">
        <v>11</v>
      </c>
      <c r="D3390" s="7">
        <v>35.76</v>
      </c>
      <c r="E3390" s="4" t="s">
        <v>12</v>
      </c>
      <c r="F3390" s="4" t="s">
        <v>13</v>
      </c>
      <c r="G3390" s="4" t="s">
        <v>50</v>
      </c>
      <c r="H3390" s="4" t="s">
        <v>59</v>
      </c>
      <c r="I3390" s="5">
        <v>45654</v>
      </c>
      <c r="J3390" s="4">
        <f t="shared" si="52"/>
        <v>32</v>
      </c>
    </row>
    <row r="3391" spans="1:10" x14ac:dyDescent="0.25">
      <c r="A3391" s="4">
        <f>_xlfn.XLOOKUP(E3391,'Data Validation'!$M$3:$M$10,'Data Validation'!$N$3:$N$10)</f>
        <v>8</v>
      </c>
      <c r="B3391" s="4">
        <v>17</v>
      </c>
      <c r="C3391" s="4" t="s">
        <v>11</v>
      </c>
      <c r="D3391" s="7">
        <v>35.76</v>
      </c>
      <c r="E3391" s="4" t="s">
        <v>12</v>
      </c>
      <c r="F3391" s="4" t="s">
        <v>20</v>
      </c>
      <c r="G3391" s="4" t="s">
        <v>50</v>
      </c>
      <c r="H3391" s="4" t="s">
        <v>59</v>
      </c>
      <c r="I3391" s="5">
        <v>45654</v>
      </c>
      <c r="J3391" s="4">
        <f t="shared" si="52"/>
        <v>32</v>
      </c>
    </row>
    <row r="3392" spans="1:10" x14ac:dyDescent="0.25">
      <c r="A3392" s="4">
        <f>_xlfn.XLOOKUP(E3392,'Data Validation'!$M$3:$M$10,'Data Validation'!$N$3:$N$10)</f>
        <v>8</v>
      </c>
      <c r="B3392" s="4">
        <v>21</v>
      </c>
      <c r="C3392" s="4" t="s">
        <v>11</v>
      </c>
      <c r="D3392" s="7">
        <v>35.76</v>
      </c>
      <c r="E3392" s="4" t="s">
        <v>12</v>
      </c>
      <c r="F3392" s="4" t="s">
        <v>20</v>
      </c>
      <c r="G3392" s="4" t="s">
        <v>51</v>
      </c>
      <c r="H3392" s="4" t="s">
        <v>59</v>
      </c>
      <c r="I3392" s="5">
        <v>45655</v>
      </c>
      <c r="J3392" s="4">
        <f t="shared" si="52"/>
        <v>32</v>
      </c>
    </row>
    <row r="3393" spans="1:10" x14ac:dyDescent="0.25">
      <c r="A3393" s="4">
        <f>_xlfn.XLOOKUP(E3393,'Data Validation'!$M$3:$M$10,'Data Validation'!$N$3:$N$10)</f>
        <v>8</v>
      </c>
      <c r="B3393" s="4">
        <v>13</v>
      </c>
      <c r="C3393" s="4" t="s">
        <v>11</v>
      </c>
      <c r="D3393" s="7">
        <v>35.76</v>
      </c>
      <c r="E3393" s="4" t="s">
        <v>12</v>
      </c>
      <c r="F3393" s="4" t="s">
        <v>17</v>
      </c>
      <c r="G3393" s="4" t="s">
        <v>45</v>
      </c>
      <c r="H3393" s="4" t="s">
        <v>59</v>
      </c>
      <c r="I3393" s="5">
        <v>45656</v>
      </c>
      <c r="J3393" s="4">
        <f t="shared" si="52"/>
        <v>32</v>
      </c>
    </row>
    <row r="3394" spans="1:10" x14ac:dyDescent="0.25">
      <c r="A3394" s="4">
        <f>_xlfn.XLOOKUP(E3394,'Data Validation'!$M$3:$M$10,'Data Validation'!$N$3:$N$10)</f>
        <v>8</v>
      </c>
      <c r="B3394" s="4">
        <v>15</v>
      </c>
      <c r="C3394" s="4" t="s">
        <v>11</v>
      </c>
      <c r="D3394" s="7">
        <v>35.76</v>
      </c>
      <c r="E3394" s="4" t="s">
        <v>12</v>
      </c>
      <c r="F3394" s="4" t="s">
        <v>17</v>
      </c>
      <c r="G3394" s="4" t="s">
        <v>45</v>
      </c>
      <c r="H3394" s="4" t="s">
        <v>59</v>
      </c>
      <c r="I3394" s="5">
        <v>45656</v>
      </c>
      <c r="J3394" s="4">
        <f t="shared" si="52"/>
        <v>32</v>
      </c>
    </row>
    <row r="3395" spans="1:10" x14ac:dyDescent="0.25">
      <c r="A3395" s="4">
        <f>_xlfn.XLOOKUP(E3395,'Data Validation'!$M$3:$M$10,'Data Validation'!$N$3:$N$10)</f>
        <v>8</v>
      </c>
      <c r="B3395" s="4">
        <v>17</v>
      </c>
      <c r="C3395" s="4" t="s">
        <v>11</v>
      </c>
      <c r="D3395" s="7">
        <v>35.76</v>
      </c>
      <c r="E3395" s="4" t="s">
        <v>12</v>
      </c>
      <c r="F3395" s="4" t="s">
        <v>20</v>
      </c>
      <c r="G3395" s="4" t="s">
        <v>46</v>
      </c>
      <c r="H3395" s="4" t="s">
        <v>59</v>
      </c>
      <c r="I3395" s="5">
        <v>45657</v>
      </c>
      <c r="J3395" s="4">
        <f t="shared" ref="J3395:J3458" si="53">IF(OR(E3395&lt;&gt;E3394,D3395&lt;&gt;D3394),J3394+1,J3394)</f>
        <v>32</v>
      </c>
    </row>
    <row r="3396" spans="1:10" x14ac:dyDescent="0.25">
      <c r="A3396" s="4">
        <f>_xlfn.XLOOKUP(E3396,'Data Validation'!$M$3:$M$10,'Data Validation'!$N$3:$N$10)</f>
        <v>8</v>
      </c>
      <c r="B3396" s="4">
        <v>19</v>
      </c>
      <c r="C3396" s="4" t="s">
        <v>11</v>
      </c>
      <c r="D3396" s="7">
        <v>35.76</v>
      </c>
      <c r="E3396" s="4" t="s">
        <v>12</v>
      </c>
      <c r="F3396" s="4" t="s">
        <v>20</v>
      </c>
      <c r="G3396" s="4" t="s">
        <v>46</v>
      </c>
      <c r="H3396" s="4" t="s">
        <v>59</v>
      </c>
      <c r="I3396" s="5">
        <v>45657</v>
      </c>
      <c r="J3396" s="4">
        <f t="shared" si="53"/>
        <v>32</v>
      </c>
    </row>
    <row r="3397" spans="1:10" x14ac:dyDescent="0.25">
      <c r="A3397" s="4">
        <f>_xlfn.XLOOKUP(E3397,'Data Validation'!$M$3:$M$10,'Data Validation'!$N$3:$N$10)</f>
        <v>8</v>
      </c>
      <c r="B3397" s="4">
        <v>22</v>
      </c>
      <c r="C3397" s="4" t="s">
        <v>11</v>
      </c>
      <c r="D3397" s="7">
        <v>35.76</v>
      </c>
      <c r="E3397" s="4" t="s">
        <v>12</v>
      </c>
      <c r="F3397" s="4" t="s">
        <v>20</v>
      </c>
      <c r="G3397" s="4" t="s">
        <v>49</v>
      </c>
      <c r="H3397" s="4" t="s">
        <v>42</v>
      </c>
      <c r="I3397" s="5">
        <v>45660</v>
      </c>
      <c r="J3397" s="4">
        <f t="shared" si="53"/>
        <v>32</v>
      </c>
    </row>
    <row r="3398" spans="1:10" x14ac:dyDescent="0.25">
      <c r="A3398" s="4">
        <f>_xlfn.XLOOKUP(E3398,'Data Validation'!$M$3:$M$10,'Data Validation'!$N$3:$N$10)</f>
        <v>8</v>
      </c>
      <c r="B3398" s="4">
        <v>22</v>
      </c>
      <c r="C3398" s="4" t="s">
        <v>11</v>
      </c>
      <c r="D3398" s="7">
        <v>35.76</v>
      </c>
      <c r="E3398" s="4" t="s">
        <v>12</v>
      </c>
      <c r="F3398" s="4" t="s">
        <v>20</v>
      </c>
      <c r="G3398" s="4" t="s">
        <v>50</v>
      </c>
      <c r="H3398" s="4" t="s">
        <v>42</v>
      </c>
      <c r="I3398" s="5">
        <v>45661</v>
      </c>
      <c r="J3398" s="4">
        <f t="shared" si="53"/>
        <v>32</v>
      </c>
    </row>
    <row r="3399" spans="1:10" x14ac:dyDescent="0.25">
      <c r="A3399" s="4">
        <f>_xlfn.XLOOKUP(E3399,'Data Validation'!$M$3:$M$10,'Data Validation'!$N$3:$N$10)</f>
        <v>8</v>
      </c>
      <c r="B3399" s="4">
        <v>10</v>
      </c>
      <c r="C3399" s="4" t="s">
        <v>11</v>
      </c>
      <c r="D3399" s="7">
        <v>35.76</v>
      </c>
      <c r="E3399" s="4" t="s">
        <v>12</v>
      </c>
      <c r="F3399" s="4" t="s">
        <v>13</v>
      </c>
      <c r="G3399" s="4" t="s">
        <v>51</v>
      </c>
      <c r="H3399" s="4" t="s">
        <v>42</v>
      </c>
      <c r="I3399" s="5">
        <v>45662</v>
      </c>
      <c r="J3399" s="4">
        <f t="shared" si="53"/>
        <v>32</v>
      </c>
    </row>
    <row r="3400" spans="1:10" x14ac:dyDescent="0.25">
      <c r="A3400" s="4">
        <f>_xlfn.XLOOKUP(E3400,'Data Validation'!$M$3:$M$10,'Data Validation'!$N$3:$N$10)</f>
        <v>8</v>
      </c>
      <c r="B3400" s="4">
        <v>9</v>
      </c>
      <c r="C3400" s="4" t="s">
        <v>11</v>
      </c>
      <c r="D3400" s="7">
        <v>35.76</v>
      </c>
      <c r="E3400" s="4" t="s">
        <v>12</v>
      </c>
      <c r="F3400" s="4" t="s">
        <v>13</v>
      </c>
      <c r="G3400" s="4" t="s">
        <v>47</v>
      </c>
      <c r="H3400" s="4" t="s">
        <v>42</v>
      </c>
      <c r="I3400" s="5">
        <v>45665</v>
      </c>
      <c r="J3400" s="4">
        <f t="shared" si="53"/>
        <v>32</v>
      </c>
    </row>
    <row r="3401" spans="1:10" x14ac:dyDescent="0.25">
      <c r="A3401" s="4">
        <f>_xlfn.XLOOKUP(E3401,'Data Validation'!$M$3:$M$10,'Data Validation'!$N$3:$N$10)</f>
        <v>8</v>
      </c>
      <c r="B3401" s="4">
        <v>8</v>
      </c>
      <c r="C3401" s="4" t="s">
        <v>11</v>
      </c>
      <c r="D3401" s="7">
        <v>35.76</v>
      </c>
      <c r="E3401" s="4" t="s">
        <v>12</v>
      </c>
      <c r="F3401" s="4" t="s">
        <v>13</v>
      </c>
      <c r="G3401" s="4" t="s">
        <v>48</v>
      </c>
      <c r="H3401" s="4" t="s">
        <v>42</v>
      </c>
      <c r="I3401" s="5">
        <v>45666</v>
      </c>
      <c r="J3401" s="4">
        <f t="shared" si="53"/>
        <v>32</v>
      </c>
    </row>
    <row r="3402" spans="1:10" x14ac:dyDescent="0.25">
      <c r="A3402" s="4">
        <f>_xlfn.XLOOKUP(E3402,'Data Validation'!$M$3:$M$10,'Data Validation'!$N$3:$N$10)</f>
        <v>8</v>
      </c>
      <c r="B3402" s="4">
        <v>15</v>
      </c>
      <c r="C3402" s="4" t="s">
        <v>11</v>
      </c>
      <c r="D3402" s="7">
        <v>35.76</v>
      </c>
      <c r="E3402" s="4" t="s">
        <v>12</v>
      </c>
      <c r="F3402" s="4" t="s">
        <v>17</v>
      </c>
      <c r="G3402" s="4" t="s">
        <v>48</v>
      </c>
      <c r="H3402" s="4" t="s">
        <v>42</v>
      </c>
      <c r="I3402" s="5">
        <v>45666</v>
      </c>
      <c r="J3402" s="4">
        <f t="shared" si="53"/>
        <v>32</v>
      </c>
    </row>
    <row r="3403" spans="1:10" x14ac:dyDescent="0.25">
      <c r="A3403" s="4">
        <f>_xlfn.XLOOKUP(E3403,'Data Validation'!$M$3:$M$10,'Data Validation'!$N$3:$N$10)</f>
        <v>8</v>
      </c>
      <c r="B3403" s="4">
        <v>22</v>
      </c>
      <c r="C3403" s="4" t="s">
        <v>11</v>
      </c>
      <c r="D3403" s="7">
        <v>35.76</v>
      </c>
      <c r="E3403" s="4" t="s">
        <v>12</v>
      </c>
      <c r="F3403" s="4" t="s">
        <v>20</v>
      </c>
      <c r="G3403" s="4" t="s">
        <v>48</v>
      </c>
      <c r="H3403" s="4" t="s">
        <v>42</v>
      </c>
      <c r="I3403" s="5">
        <v>45666</v>
      </c>
      <c r="J3403" s="4">
        <f t="shared" si="53"/>
        <v>32</v>
      </c>
    </row>
    <row r="3404" spans="1:10" x14ac:dyDescent="0.25">
      <c r="A3404" s="4">
        <f>_xlfn.XLOOKUP(E3404,'Data Validation'!$M$3:$M$10,'Data Validation'!$N$3:$N$10)</f>
        <v>8</v>
      </c>
      <c r="B3404" s="4">
        <v>11</v>
      </c>
      <c r="C3404" s="4" t="s">
        <v>11</v>
      </c>
      <c r="D3404" s="7">
        <v>35.76</v>
      </c>
      <c r="E3404" s="4" t="s">
        <v>12</v>
      </c>
      <c r="F3404" s="4" t="s">
        <v>13</v>
      </c>
      <c r="G3404" s="4" t="s">
        <v>50</v>
      </c>
      <c r="H3404" s="4" t="s">
        <v>42</v>
      </c>
      <c r="I3404" s="5">
        <v>45668</v>
      </c>
      <c r="J3404" s="4">
        <f t="shared" si="53"/>
        <v>32</v>
      </c>
    </row>
    <row r="3405" spans="1:10" x14ac:dyDescent="0.25">
      <c r="A3405" s="4">
        <f>_xlfn.XLOOKUP(E3405,'Data Validation'!$M$3:$M$10,'Data Validation'!$N$3:$N$10)</f>
        <v>8</v>
      </c>
      <c r="B3405" s="4">
        <v>11</v>
      </c>
      <c r="C3405" s="4" t="s">
        <v>11</v>
      </c>
      <c r="D3405" s="7">
        <v>35.76</v>
      </c>
      <c r="E3405" s="4" t="s">
        <v>12</v>
      </c>
      <c r="F3405" s="4" t="s">
        <v>13</v>
      </c>
      <c r="G3405" s="4" t="s">
        <v>50</v>
      </c>
      <c r="H3405" s="4" t="s">
        <v>42</v>
      </c>
      <c r="I3405" s="5">
        <v>45668</v>
      </c>
      <c r="J3405" s="4">
        <f t="shared" si="53"/>
        <v>32</v>
      </c>
    </row>
    <row r="3406" spans="1:10" x14ac:dyDescent="0.25">
      <c r="A3406" s="4">
        <f>_xlfn.XLOOKUP(E3406,'Data Validation'!$M$3:$M$10,'Data Validation'!$N$3:$N$10)</f>
        <v>8</v>
      </c>
      <c r="B3406" s="4">
        <v>12</v>
      </c>
      <c r="C3406" s="4" t="s">
        <v>11</v>
      </c>
      <c r="D3406" s="7">
        <v>35.76</v>
      </c>
      <c r="E3406" s="4" t="s">
        <v>12</v>
      </c>
      <c r="F3406" s="4" t="s">
        <v>17</v>
      </c>
      <c r="G3406" s="4" t="s">
        <v>50</v>
      </c>
      <c r="H3406" s="4" t="s">
        <v>42</v>
      </c>
      <c r="I3406" s="5">
        <v>45668</v>
      </c>
      <c r="J3406" s="4">
        <f t="shared" si="53"/>
        <v>32</v>
      </c>
    </row>
    <row r="3407" spans="1:10" x14ac:dyDescent="0.25">
      <c r="A3407" s="4">
        <f>_xlfn.XLOOKUP(E3407,'Data Validation'!$M$3:$M$10,'Data Validation'!$N$3:$N$10)</f>
        <v>8</v>
      </c>
      <c r="B3407" s="4">
        <v>12</v>
      </c>
      <c r="C3407" s="4" t="s">
        <v>11</v>
      </c>
      <c r="D3407" s="7">
        <v>35.76</v>
      </c>
      <c r="E3407" s="4" t="s">
        <v>12</v>
      </c>
      <c r="F3407" s="4" t="s">
        <v>17</v>
      </c>
      <c r="G3407" s="4" t="s">
        <v>50</v>
      </c>
      <c r="H3407" s="4" t="s">
        <v>42</v>
      </c>
      <c r="I3407" s="5">
        <v>45668</v>
      </c>
      <c r="J3407" s="4">
        <f t="shared" si="53"/>
        <v>32</v>
      </c>
    </row>
    <row r="3408" spans="1:10" x14ac:dyDescent="0.25">
      <c r="A3408" s="4">
        <f>_xlfn.XLOOKUP(E3408,'Data Validation'!$M$3:$M$10,'Data Validation'!$N$3:$N$10)</f>
        <v>8</v>
      </c>
      <c r="B3408" s="4">
        <v>14</v>
      </c>
      <c r="C3408" s="4" t="s">
        <v>11</v>
      </c>
      <c r="D3408" s="7">
        <v>35.76</v>
      </c>
      <c r="E3408" s="4" t="s">
        <v>12</v>
      </c>
      <c r="F3408" s="4" t="s">
        <v>17</v>
      </c>
      <c r="G3408" s="4" t="s">
        <v>50</v>
      </c>
      <c r="H3408" s="4" t="s">
        <v>42</v>
      </c>
      <c r="I3408" s="5">
        <v>45668</v>
      </c>
      <c r="J3408" s="4">
        <f t="shared" si="53"/>
        <v>32</v>
      </c>
    </row>
    <row r="3409" spans="1:10" x14ac:dyDescent="0.25">
      <c r="A3409" s="4">
        <f>_xlfn.XLOOKUP(E3409,'Data Validation'!$M$3:$M$10,'Data Validation'!$N$3:$N$10)</f>
        <v>8</v>
      </c>
      <c r="B3409" s="4">
        <v>17</v>
      </c>
      <c r="C3409" s="4" t="s">
        <v>11</v>
      </c>
      <c r="D3409" s="7">
        <v>35.76</v>
      </c>
      <c r="E3409" s="4" t="s">
        <v>12</v>
      </c>
      <c r="F3409" s="4" t="s">
        <v>20</v>
      </c>
      <c r="G3409" s="4" t="s">
        <v>50</v>
      </c>
      <c r="H3409" s="4" t="s">
        <v>42</v>
      </c>
      <c r="I3409" s="5">
        <v>45668</v>
      </c>
      <c r="J3409" s="4">
        <f t="shared" si="53"/>
        <v>32</v>
      </c>
    </row>
    <row r="3410" spans="1:10" x14ac:dyDescent="0.25">
      <c r="A3410" s="4">
        <f>_xlfn.XLOOKUP(E3410,'Data Validation'!$M$3:$M$10,'Data Validation'!$N$3:$N$10)</f>
        <v>8</v>
      </c>
      <c r="B3410" s="4">
        <v>13</v>
      </c>
      <c r="C3410" s="4" t="s">
        <v>11</v>
      </c>
      <c r="D3410" s="7">
        <v>35.76</v>
      </c>
      <c r="E3410" s="4" t="s">
        <v>12</v>
      </c>
      <c r="F3410" s="4" t="s">
        <v>17</v>
      </c>
      <c r="G3410" s="4" t="s">
        <v>45</v>
      </c>
      <c r="H3410" s="4" t="s">
        <v>42</v>
      </c>
      <c r="I3410" s="5">
        <v>45670</v>
      </c>
      <c r="J3410" s="4">
        <f t="shared" si="53"/>
        <v>32</v>
      </c>
    </row>
    <row r="3411" spans="1:10" x14ac:dyDescent="0.25">
      <c r="A3411" s="4">
        <f>_xlfn.XLOOKUP(E3411,'Data Validation'!$M$3:$M$10,'Data Validation'!$N$3:$N$10)</f>
        <v>8</v>
      </c>
      <c r="B3411" s="4">
        <v>14</v>
      </c>
      <c r="C3411" s="4" t="s">
        <v>11</v>
      </c>
      <c r="D3411" s="7">
        <v>35.76</v>
      </c>
      <c r="E3411" s="4" t="s">
        <v>12</v>
      </c>
      <c r="F3411" s="4" t="s">
        <v>17</v>
      </c>
      <c r="G3411" s="4" t="s">
        <v>45</v>
      </c>
      <c r="H3411" s="4" t="s">
        <v>42</v>
      </c>
      <c r="I3411" s="5">
        <v>45670</v>
      </c>
      <c r="J3411" s="4">
        <f t="shared" si="53"/>
        <v>32</v>
      </c>
    </row>
    <row r="3412" spans="1:10" x14ac:dyDescent="0.25">
      <c r="A3412" s="4">
        <f>_xlfn.XLOOKUP(E3412,'Data Validation'!$M$3:$M$10,'Data Validation'!$N$3:$N$10)</f>
        <v>8</v>
      </c>
      <c r="B3412" s="4">
        <v>16</v>
      </c>
      <c r="C3412" s="4" t="s">
        <v>11</v>
      </c>
      <c r="D3412" s="7">
        <v>35.76</v>
      </c>
      <c r="E3412" s="4" t="s">
        <v>12</v>
      </c>
      <c r="F3412" s="4" t="s">
        <v>17</v>
      </c>
      <c r="G3412" s="4" t="s">
        <v>45</v>
      </c>
      <c r="H3412" s="4" t="s">
        <v>42</v>
      </c>
      <c r="I3412" s="5">
        <v>45670</v>
      </c>
      <c r="J3412" s="4">
        <f t="shared" si="53"/>
        <v>32</v>
      </c>
    </row>
    <row r="3413" spans="1:10" x14ac:dyDescent="0.25">
      <c r="A3413" s="4">
        <f>_xlfn.XLOOKUP(E3413,'Data Validation'!$M$3:$M$10,'Data Validation'!$N$3:$N$10)</f>
        <v>8</v>
      </c>
      <c r="B3413" s="4">
        <v>7</v>
      </c>
      <c r="C3413" s="4" t="s">
        <v>11</v>
      </c>
      <c r="D3413" s="7">
        <v>35.76</v>
      </c>
      <c r="E3413" s="4" t="s">
        <v>12</v>
      </c>
      <c r="F3413" s="4" t="s">
        <v>13</v>
      </c>
      <c r="G3413" s="4" t="s">
        <v>46</v>
      </c>
      <c r="H3413" s="4" t="s">
        <v>42</v>
      </c>
      <c r="I3413" s="5">
        <v>45671</v>
      </c>
      <c r="J3413" s="4">
        <f t="shared" si="53"/>
        <v>32</v>
      </c>
    </row>
    <row r="3414" spans="1:10" x14ac:dyDescent="0.25">
      <c r="A3414" s="4">
        <f>_xlfn.XLOOKUP(E3414,'Data Validation'!$M$3:$M$10,'Data Validation'!$N$3:$N$10)</f>
        <v>8</v>
      </c>
      <c r="B3414" s="4">
        <v>12</v>
      </c>
      <c r="C3414" s="4" t="s">
        <v>11</v>
      </c>
      <c r="D3414" s="7">
        <v>35.76</v>
      </c>
      <c r="E3414" s="4" t="s">
        <v>12</v>
      </c>
      <c r="F3414" s="4" t="s">
        <v>17</v>
      </c>
      <c r="G3414" s="4" t="s">
        <v>46</v>
      </c>
      <c r="H3414" s="4" t="s">
        <v>42</v>
      </c>
      <c r="I3414" s="5">
        <v>45671</v>
      </c>
      <c r="J3414" s="4">
        <f t="shared" si="53"/>
        <v>32</v>
      </c>
    </row>
    <row r="3415" spans="1:10" x14ac:dyDescent="0.25">
      <c r="A3415" s="4">
        <f>_xlfn.XLOOKUP(E3415,'Data Validation'!$M$3:$M$10,'Data Validation'!$N$3:$N$10)</f>
        <v>8</v>
      </c>
      <c r="B3415" s="4">
        <v>21</v>
      </c>
      <c r="C3415" s="4" t="s">
        <v>11</v>
      </c>
      <c r="D3415" s="7">
        <v>35.76</v>
      </c>
      <c r="E3415" s="4" t="s">
        <v>12</v>
      </c>
      <c r="F3415" s="4" t="s">
        <v>20</v>
      </c>
      <c r="G3415" s="4" t="s">
        <v>46</v>
      </c>
      <c r="H3415" s="4" t="s">
        <v>42</v>
      </c>
      <c r="I3415" s="5">
        <v>45671</v>
      </c>
      <c r="J3415" s="4">
        <f t="shared" si="53"/>
        <v>32</v>
      </c>
    </row>
    <row r="3416" spans="1:10" x14ac:dyDescent="0.25">
      <c r="A3416" s="4">
        <f>_xlfn.XLOOKUP(E3416,'Data Validation'!$M$3:$M$10,'Data Validation'!$N$3:$N$10)</f>
        <v>8</v>
      </c>
      <c r="B3416" s="4">
        <v>15</v>
      </c>
      <c r="C3416" s="4" t="s">
        <v>11</v>
      </c>
      <c r="D3416" s="7">
        <v>35.76</v>
      </c>
      <c r="E3416" s="4" t="s">
        <v>12</v>
      </c>
      <c r="F3416" s="4" t="s">
        <v>17</v>
      </c>
      <c r="G3416" s="4" t="s">
        <v>47</v>
      </c>
      <c r="H3416" s="4" t="s">
        <v>42</v>
      </c>
      <c r="I3416" s="5">
        <v>45672</v>
      </c>
      <c r="J3416" s="4">
        <f t="shared" si="53"/>
        <v>32</v>
      </c>
    </row>
    <row r="3417" spans="1:10" x14ac:dyDescent="0.25">
      <c r="A3417" s="4">
        <f>_xlfn.XLOOKUP(E3417,'Data Validation'!$M$3:$M$10,'Data Validation'!$N$3:$N$10)</f>
        <v>8</v>
      </c>
      <c r="B3417" s="4">
        <v>15</v>
      </c>
      <c r="C3417" s="4" t="s">
        <v>11</v>
      </c>
      <c r="D3417" s="7">
        <v>35.76</v>
      </c>
      <c r="E3417" s="4" t="s">
        <v>12</v>
      </c>
      <c r="F3417" s="4" t="s">
        <v>17</v>
      </c>
      <c r="G3417" s="4" t="s">
        <v>47</v>
      </c>
      <c r="H3417" s="4" t="s">
        <v>42</v>
      </c>
      <c r="I3417" s="5">
        <v>45672</v>
      </c>
      <c r="J3417" s="4">
        <f t="shared" si="53"/>
        <v>32</v>
      </c>
    </row>
    <row r="3418" spans="1:10" x14ac:dyDescent="0.25">
      <c r="A3418" s="4">
        <f>_xlfn.XLOOKUP(E3418,'Data Validation'!$M$3:$M$10,'Data Validation'!$N$3:$N$10)</f>
        <v>8</v>
      </c>
      <c r="B3418" s="4">
        <v>16</v>
      </c>
      <c r="C3418" s="4" t="s">
        <v>11</v>
      </c>
      <c r="D3418" s="7">
        <v>35.76</v>
      </c>
      <c r="E3418" s="4" t="s">
        <v>12</v>
      </c>
      <c r="F3418" s="4" t="s">
        <v>17</v>
      </c>
      <c r="G3418" s="4" t="s">
        <v>47</v>
      </c>
      <c r="H3418" s="4" t="s">
        <v>42</v>
      </c>
      <c r="I3418" s="5">
        <v>45672</v>
      </c>
      <c r="J3418" s="4">
        <f t="shared" si="53"/>
        <v>32</v>
      </c>
    </row>
    <row r="3419" spans="1:10" x14ac:dyDescent="0.25">
      <c r="A3419" s="4">
        <f>_xlfn.XLOOKUP(E3419,'Data Validation'!$M$3:$M$10,'Data Validation'!$N$3:$N$10)</f>
        <v>8</v>
      </c>
      <c r="B3419" s="4">
        <v>18</v>
      </c>
      <c r="C3419" s="4" t="s">
        <v>11</v>
      </c>
      <c r="D3419" s="7">
        <v>35.76</v>
      </c>
      <c r="E3419" s="4" t="s">
        <v>12</v>
      </c>
      <c r="F3419" s="4" t="s">
        <v>20</v>
      </c>
      <c r="G3419" s="4" t="s">
        <v>47</v>
      </c>
      <c r="H3419" s="4" t="s">
        <v>42</v>
      </c>
      <c r="I3419" s="5">
        <v>45672</v>
      </c>
      <c r="J3419" s="4">
        <f t="shared" si="53"/>
        <v>32</v>
      </c>
    </row>
    <row r="3420" spans="1:10" x14ac:dyDescent="0.25">
      <c r="A3420" s="4">
        <f>_xlfn.XLOOKUP(E3420,'Data Validation'!$M$3:$M$10,'Data Validation'!$N$3:$N$10)</f>
        <v>8</v>
      </c>
      <c r="B3420" s="4">
        <v>19</v>
      </c>
      <c r="C3420" s="4" t="s">
        <v>11</v>
      </c>
      <c r="D3420" s="7">
        <v>35.76</v>
      </c>
      <c r="E3420" s="4" t="s">
        <v>12</v>
      </c>
      <c r="F3420" s="4" t="s">
        <v>20</v>
      </c>
      <c r="G3420" s="4" t="s">
        <v>47</v>
      </c>
      <c r="H3420" s="4" t="s">
        <v>42</v>
      </c>
      <c r="I3420" s="5">
        <v>45672</v>
      </c>
      <c r="J3420" s="4">
        <f t="shared" si="53"/>
        <v>32</v>
      </c>
    </row>
    <row r="3421" spans="1:10" x14ac:dyDescent="0.25">
      <c r="A3421" s="4">
        <f>_xlfn.XLOOKUP(E3421,'Data Validation'!$M$3:$M$10,'Data Validation'!$N$3:$N$10)</f>
        <v>8</v>
      </c>
      <c r="B3421" s="4">
        <v>9</v>
      </c>
      <c r="C3421" s="4" t="s">
        <v>11</v>
      </c>
      <c r="D3421" s="7">
        <v>35.76</v>
      </c>
      <c r="E3421" s="4" t="s">
        <v>12</v>
      </c>
      <c r="F3421" s="4" t="s">
        <v>13</v>
      </c>
      <c r="G3421" s="4" t="s">
        <v>48</v>
      </c>
      <c r="H3421" s="4" t="s">
        <v>42</v>
      </c>
      <c r="I3421" s="5">
        <v>45673</v>
      </c>
      <c r="J3421" s="4">
        <f t="shared" si="53"/>
        <v>32</v>
      </c>
    </row>
    <row r="3422" spans="1:10" x14ac:dyDescent="0.25">
      <c r="A3422" s="4">
        <f>_xlfn.XLOOKUP(E3422,'Data Validation'!$M$3:$M$10,'Data Validation'!$N$3:$N$10)</f>
        <v>8</v>
      </c>
      <c r="B3422" s="4">
        <v>15</v>
      </c>
      <c r="C3422" s="4" t="s">
        <v>11</v>
      </c>
      <c r="D3422" s="7">
        <v>35.76</v>
      </c>
      <c r="E3422" s="4" t="s">
        <v>12</v>
      </c>
      <c r="F3422" s="4" t="s">
        <v>17</v>
      </c>
      <c r="G3422" s="4" t="s">
        <v>48</v>
      </c>
      <c r="H3422" s="4" t="s">
        <v>42</v>
      </c>
      <c r="I3422" s="5">
        <v>45673</v>
      </c>
      <c r="J3422" s="4">
        <f t="shared" si="53"/>
        <v>32</v>
      </c>
    </row>
    <row r="3423" spans="1:10" x14ac:dyDescent="0.25">
      <c r="A3423" s="4">
        <f>_xlfn.XLOOKUP(E3423,'Data Validation'!$M$3:$M$10,'Data Validation'!$N$3:$N$10)</f>
        <v>8</v>
      </c>
      <c r="B3423" s="4">
        <v>16</v>
      </c>
      <c r="C3423" s="4" t="s">
        <v>11</v>
      </c>
      <c r="D3423" s="7">
        <v>35.76</v>
      </c>
      <c r="E3423" s="4" t="s">
        <v>12</v>
      </c>
      <c r="F3423" s="4" t="s">
        <v>17</v>
      </c>
      <c r="G3423" s="4" t="s">
        <v>48</v>
      </c>
      <c r="H3423" s="4" t="s">
        <v>42</v>
      </c>
      <c r="I3423" s="5">
        <v>45673</v>
      </c>
      <c r="J3423" s="4">
        <f t="shared" si="53"/>
        <v>32</v>
      </c>
    </row>
    <row r="3424" spans="1:10" x14ac:dyDescent="0.25">
      <c r="A3424" s="4">
        <f>_xlfn.XLOOKUP(E3424,'Data Validation'!$M$3:$M$10,'Data Validation'!$N$3:$N$10)</f>
        <v>8</v>
      </c>
      <c r="B3424" s="4">
        <v>8</v>
      </c>
      <c r="C3424" s="4" t="s">
        <v>11</v>
      </c>
      <c r="D3424" s="7">
        <v>35.76</v>
      </c>
      <c r="E3424" s="4" t="s">
        <v>12</v>
      </c>
      <c r="F3424" s="4" t="s">
        <v>13</v>
      </c>
      <c r="G3424" s="4" t="s">
        <v>49</v>
      </c>
      <c r="H3424" s="4" t="s">
        <v>42</v>
      </c>
      <c r="I3424" s="5">
        <v>45674</v>
      </c>
      <c r="J3424" s="4">
        <f t="shared" si="53"/>
        <v>32</v>
      </c>
    </row>
    <row r="3425" spans="1:10" x14ac:dyDescent="0.25">
      <c r="A3425" s="4">
        <f>_xlfn.XLOOKUP(E3425,'Data Validation'!$M$3:$M$10,'Data Validation'!$N$3:$N$10)</f>
        <v>8</v>
      </c>
      <c r="B3425" s="4">
        <v>16</v>
      </c>
      <c r="C3425" s="4" t="s">
        <v>11</v>
      </c>
      <c r="D3425" s="7">
        <v>35.76</v>
      </c>
      <c r="E3425" s="4" t="s">
        <v>12</v>
      </c>
      <c r="F3425" s="4" t="s">
        <v>17</v>
      </c>
      <c r="G3425" s="4" t="s">
        <v>50</v>
      </c>
      <c r="H3425" s="4" t="s">
        <v>42</v>
      </c>
      <c r="I3425" s="5">
        <v>45675</v>
      </c>
      <c r="J3425" s="4">
        <f t="shared" si="53"/>
        <v>32</v>
      </c>
    </row>
    <row r="3426" spans="1:10" x14ac:dyDescent="0.25">
      <c r="A3426" s="4">
        <f>_xlfn.XLOOKUP(E3426,'Data Validation'!$M$3:$M$10,'Data Validation'!$N$3:$N$10)</f>
        <v>8</v>
      </c>
      <c r="B3426" s="4">
        <v>21</v>
      </c>
      <c r="C3426" s="4" t="s">
        <v>11</v>
      </c>
      <c r="D3426" s="7">
        <v>35.76</v>
      </c>
      <c r="E3426" s="4" t="s">
        <v>12</v>
      </c>
      <c r="F3426" s="4" t="s">
        <v>20</v>
      </c>
      <c r="G3426" s="4" t="s">
        <v>45</v>
      </c>
      <c r="H3426" s="4" t="s">
        <v>42</v>
      </c>
      <c r="I3426" s="5">
        <v>45677</v>
      </c>
      <c r="J3426" s="4">
        <f t="shared" si="53"/>
        <v>32</v>
      </c>
    </row>
    <row r="3427" spans="1:10" x14ac:dyDescent="0.25">
      <c r="A3427" s="4">
        <f>_xlfn.XLOOKUP(E3427,'Data Validation'!$M$3:$M$10,'Data Validation'!$N$3:$N$10)</f>
        <v>8</v>
      </c>
      <c r="B3427" s="4">
        <v>18</v>
      </c>
      <c r="C3427" s="4" t="s">
        <v>11</v>
      </c>
      <c r="D3427" s="7">
        <v>35.76</v>
      </c>
      <c r="E3427" s="4" t="s">
        <v>12</v>
      </c>
      <c r="F3427" s="4" t="s">
        <v>20</v>
      </c>
      <c r="G3427" s="4" t="s">
        <v>46</v>
      </c>
      <c r="H3427" s="4" t="s">
        <v>42</v>
      </c>
      <c r="I3427" s="5">
        <v>45678</v>
      </c>
      <c r="J3427" s="4">
        <f t="shared" si="53"/>
        <v>32</v>
      </c>
    </row>
    <row r="3428" spans="1:10" x14ac:dyDescent="0.25">
      <c r="A3428" s="4">
        <f>_xlfn.XLOOKUP(E3428,'Data Validation'!$M$3:$M$10,'Data Validation'!$N$3:$N$10)</f>
        <v>8</v>
      </c>
      <c r="B3428" s="4">
        <v>18</v>
      </c>
      <c r="C3428" s="4" t="s">
        <v>11</v>
      </c>
      <c r="D3428" s="7">
        <v>35.76</v>
      </c>
      <c r="E3428" s="4" t="s">
        <v>12</v>
      </c>
      <c r="F3428" s="4" t="s">
        <v>20</v>
      </c>
      <c r="G3428" s="4" t="s">
        <v>46</v>
      </c>
      <c r="H3428" s="4" t="s">
        <v>42</v>
      </c>
      <c r="I3428" s="5">
        <v>45678</v>
      </c>
      <c r="J3428" s="4">
        <f t="shared" si="53"/>
        <v>32</v>
      </c>
    </row>
    <row r="3429" spans="1:10" x14ac:dyDescent="0.25">
      <c r="A3429" s="4">
        <f>_xlfn.XLOOKUP(E3429,'Data Validation'!$M$3:$M$10,'Data Validation'!$N$3:$N$10)</f>
        <v>8</v>
      </c>
      <c r="B3429" s="4">
        <v>19</v>
      </c>
      <c r="C3429" s="4" t="s">
        <v>11</v>
      </c>
      <c r="D3429" s="7">
        <v>35.76</v>
      </c>
      <c r="E3429" s="4" t="s">
        <v>12</v>
      </c>
      <c r="F3429" s="4" t="s">
        <v>20</v>
      </c>
      <c r="G3429" s="4" t="s">
        <v>47</v>
      </c>
      <c r="H3429" s="4" t="s">
        <v>42</v>
      </c>
      <c r="I3429" s="5">
        <v>45679</v>
      </c>
      <c r="J3429" s="4">
        <f t="shared" si="53"/>
        <v>32</v>
      </c>
    </row>
    <row r="3430" spans="1:10" x14ac:dyDescent="0.25">
      <c r="A3430" s="4">
        <f>_xlfn.XLOOKUP(E3430,'Data Validation'!$M$3:$M$10,'Data Validation'!$N$3:$N$10)</f>
        <v>8</v>
      </c>
      <c r="B3430" s="4">
        <v>22</v>
      </c>
      <c r="C3430" s="4" t="s">
        <v>11</v>
      </c>
      <c r="D3430" s="7">
        <v>35.76</v>
      </c>
      <c r="E3430" s="4" t="s">
        <v>12</v>
      </c>
      <c r="F3430" s="4" t="s">
        <v>20</v>
      </c>
      <c r="G3430" s="4" t="s">
        <v>49</v>
      </c>
      <c r="H3430" s="4" t="s">
        <v>42</v>
      </c>
      <c r="I3430" s="5">
        <v>45681</v>
      </c>
      <c r="J3430" s="4">
        <f t="shared" si="53"/>
        <v>32</v>
      </c>
    </row>
    <row r="3431" spans="1:10" x14ac:dyDescent="0.25">
      <c r="A3431" s="4">
        <f>_xlfn.XLOOKUP(E3431,'Data Validation'!$M$3:$M$10,'Data Validation'!$N$3:$N$10)</f>
        <v>8</v>
      </c>
      <c r="B3431" s="4">
        <v>18</v>
      </c>
      <c r="C3431" s="4" t="s">
        <v>11</v>
      </c>
      <c r="D3431" s="7">
        <v>35.76</v>
      </c>
      <c r="E3431" s="4" t="s">
        <v>12</v>
      </c>
      <c r="F3431" s="4" t="s">
        <v>20</v>
      </c>
      <c r="G3431" s="4" t="s">
        <v>45</v>
      </c>
      <c r="H3431" s="4" t="s">
        <v>42</v>
      </c>
      <c r="I3431" s="5">
        <v>45684</v>
      </c>
      <c r="J3431" s="4">
        <f t="shared" si="53"/>
        <v>32</v>
      </c>
    </row>
    <row r="3432" spans="1:10" x14ac:dyDescent="0.25">
      <c r="A3432" s="4">
        <f>_xlfn.XLOOKUP(E3432,'Data Validation'!$M$3:$M$10,'Data Validation'!$N$3:$N$10)</f>
        <v>8</v>
      </c>
      <c r="B3432" s="4">
        <v>19</v>
      </c>
      <c r="C3432" s="4" t="s">
        <v>11</v>
      </c>
      <c r="D3432" s="7">
        <v>35.76</v>
      </c>
      <c r="E3432" s="4" t="s">
        <v>12</v>
      </c>
      <c r="F3432" s="4" t="s">
        <v>20</v>
      </c>
      <c r="G3432" s="4" t="s">
        <v>45</v>
      </c>
      <c r="H3432" s="4" t="s">
        <v>42</v>
      </c>
      <c r="I3432" s="5">
        <v>45684</v>
      </c>
      <c r="J3432" s="4">
        <f t="shared" si="53"/>
        <v>32</v>
      </c>
    </row>
    <row r="3433" spans="1:10" x14ac:dyDescent="0.25">
      <c r="A3433" s="4">
        <f>_xlfn.XLOOKUP(E3433,'Data Validation'!$M$3:$M$10,'Data Validation'!$N$3:$N$10)</f>
        <v>8</v>
      </c>
      <c r="B3433" s="4">
        <v>19</v>
      </c>
      <c r="C3433" s="4" t="s">
        <v>11</v>
      </c>
      <c r="D3433" s="7">
        <v>35.76</v>
      </c>
      <c r="E3433" s="4" t="s">
        <v>12</v>
      </c>
      <c r="F3433" s="4" t="s">
        <v>20</v>
      </c>
      <c r="G3433" s="4" t="s">
        <v>45</v>
      </c>
      <c r="H3433" s="4" t="s">
        <v>42</v>
      </c>
      <c r="I3433" s="5">
        <v>45684</v>
      </c>
      <c r="J3433" s="4">
        <f t="shared" si="53"/>
        <v>32</v>
      </c>
    </row>
    <row r="3434" spans="1:10" x14ac:dyDescent="0.25">
      <c r="A3434" s="4">
        <f>_xlfn.XLOOKUP(E3434,'Data Validation'!$M$3:$M$10,'Data Validation'!$N$3:$N$10)</f>
        <v>8</v>
      </c>
      <c r="B3434" s="4">
        <v>8</v>
      </c>
      <c r="C3434" s="4" t="s">
        <v>11</v>
      </c>
      <c r="D3434" s="7">
        <v>35.76</v>
      </c>
      <c r="E3434" s="4" t="s">
        <v>12</v>
      </c>
      <c r="F3434" s="4" t="s">
        <v>13</v>
      </c>
      <c r="G3434" s="4" t="s">
        <v>46</v>
      </c>
      <c r="H3434" s="4" t="s">
        <v>42</v>
      </c>
      <c r="I3434" s="5">
        <v>45685</v>
      </c>
      <c r="J3434" s="4">
        <f t="shared" si="53"/>
        <v>32</v>
      </c>
    </row>
    <row r="3435" spans="1:10" x14ac:dyDescent="0.25">
      <c r="A3435" s="4">
        <f>_xlfn.XLOOKUP(E3435,'Data Validation'!$M$3:$M$10,'Data Validation'!$N$3:$N$10)</f>
        <v>8</v>
      </c>
      <c r="B3435" s="4">
        <v>20</v>
      </c>
      <c r="C3435" s="4" t="s">
        <v>11</v>
      </c>
      <c r="D3435" s="7">
        <v>35.76</v>
      </c>
      <c r="E3435" s="4" t="s">
        <v>12</v>
      </c>
      <c r="F3435" s="4" t="s">
        <v>20</v>
      </c>
      <c r="G3435" s="4" t="s">
        <v>46</v>
      </c>
      <c r="H3435" s="4" t="s">
        <v>42</v>
      </c>
      <c r="I3435" s="5">
        <v>45685</v>
      </c>
      <c r="J3435" s="4">
        <f t="shared" si="53"/>
        <v>32</v>
      </c>
    </row>
    <row r="3436" spans="1:10" x14ac:dyDescent="0.25">
      <c r="A3436" s="4">
        <f>_xlfn.XLOOKUP(E3436,'Data Validation'!$M$3:$M$10,'Data Validation'!$N$3:$N$10)</f>
        <v>8</v>
      </c>
      <c r="B3436" s="4">
        <v>12</v>
      </c>
      <c r="C3436" s="4" t="s">
        <v>11</v>
      </c>
      <c r="D3436" s="7">
        <v>35.76</v>
      </c>
      <c r="E3436" s="4" t="s">
        <v>12</v>
      </c>
      <c r="F3436" s="4" t="s">
        <v>17</v>
      </c>
      <c r="G3436" s="4" t="s">
        <v>49</v>
      </c>
      <c r="H3436" s="4" t="s">
        <v>42</v>
      </c>
      <c r="I3436" s="5">
        <v>45688</v>
      </c>
      <c r="J3436" s="4">
        <f t="shared" si="53"/>
        <v>32</v>
      </c>
    </row>
    <row r="3437" spans="1:10" x14ac:dyDescent="0.25">
      <c r="A3437" s="4">
        <f>_xlfn.XLOOKUP(E3437,'Data Validation'!$M$3:$M$10,'Data Validation'!$N$3:$N$10)</f>
        <v>8</v>
      </c>
      <c r="B3437" s="4">
        <v>12</v>
      </c>
      <c r="C3437" s="4" t="s">
        <v>11</v>
      </c>
      <c r="D3437" s="7">
        <v>35.76</v>
      </c>
      <c r="E3437" s="4" t="s">
        <v>12</v>
      </c>
      <c r="F3437" s="4" t="s">
        <v>17</v>
      </c>
      <c r="G3437" s="4" t="s">
        <v>49</v>
      </c>
      <c r="H3437" s="4" t="s">
        <v>42</v>
      </c>
      <c r="I3437" s="5">
        <v>45688</v>
      </c>
      <c r="J3437" s="4">
        <f t="shared" si="53"/>
        <v>32</v>
      </c>
    </row>
    <row r="3438" spans="1:10" x14ac:dyDescent="0.25">
      <c r="A3438" s="4">
        <f>_xlfn.XLOOKUP(E3438,'Data Validation'!$M$3:$M$10,'Data Validation'!$N$3:$N$10)</f>
        <v>8</v>
      </c>
      <c r="B3438" s="4">
        <v>15</v>
      </c>
      <c r="C3438" s="4" t="s">
        <v>11</v>
      </c>
      <c r="D3438" s="7">
        <v>35.76</v>
      </c>
      <c r="E3438" s="4" t="s">
        <v>12</v>
      </c>
      <c r="F3438" s="4" t="s">
        <v>17</v>
      </c>
      <c r="G3438" s="4" t="s">
        <v>50</v>
      </c>
      <c r="H3438" s="4" t="s">
        <v>43</v>
      </c>
      <c r="I3438" s="5">
        <v>45689</v>
      </c>
      <c r="J3438" s="4">
        <f t="shared" si="53"/>
        <v>32</v>
      </c>
    </row>
    <row r="3439" spans="1:10" x14ac:dyDescent="0.25">
      <c r="A3439" s="4">
        <f>_xlfn.XLOOKUP(E3439,'Data Validation'!$M$3:$M$10,'Data Validation'!$N$3:$N$10)</f>
        <v>8</v>
      </c>
      <c r="B3439" s="4">
        <v>12</v>
      </c>
      <c r="C3439" s="4" t="s">
        <v>11</v>
      </c>
      <c r="D3439" s="7">
        <v>35.76</v>
      </c>
      <c r="E3439" s="4" t="s">
        <v>12</v>
      </c>
      <c r="F3439" s="4" t="s">
        <v>17</v>
      </c>
      <c r="G3439" s="4" t="s">
        <v>51</v>
      </c>
      <c r="H3439" s="4" t="s">
        <v>43</v>
      </c>
      <c r="I3439" s="5">
        <v>45690</v>
      </c>
      <c r="J3439" s="4">
        <f t="shared" si="53"/>
        <v>32</v>
      </c>
    </row>
    <row r="3440" spans="1:10" x14ac:dyDescent="0.25">
      <c r="A3440" s="4">
        <f>_xlfn.XLOOKUP(E3440,'Data Validation'!$M$3:$M$10,'Data Validation'!$N$3:$N$10)</f>
        <v>8</v>
      </c>
      <c r="B3440" s="4">
        <v>12</v>
      </c>
      <c r="C3440" s="4" t="s">
        <v>11</v>
      </c>
      <c r="D3440" s="7">
        <v>35.76</v>
      </c>
      <c r="E3440" s="4" t="s">
        <v>12</v>
      </c>
      <c r="F3440" s="4" t="s">
        <v>17</v>
      </c>
      <c r="G3440" s="4" t="s">
        <v>51</v>
      </c>
      <c r="H3440" s="4" t="s">
        <v>43</v>
      </c>
      <c r="I3440" s="5">
        <v>45690</v>
      </c>
      <c r="J3440" s="4">
        <f t="shared" si="53"/>
        <v>32</v>
      </c>
    </row>
    <row r="3441" spans="1:10" x14ac:dyDescent="0.25">
      <c r="A3441" s="4">
        <f>_xlfn.XLOOKUP(E3441,'Data Validation'!$M$3:$M$10,'Data Validation'!$N$3:$N$10)</f>
        <v>8</v>
      </c>
      <c r="B3441" s="4">
        <v>16</v>
      </c>
      <c r="C3441" s="4" t="s">
        <v>11</v>
      </c>
      <c r="D3441" s="7">
        <v>35.76</v>
      </c>
      <c r="E3441" s="4" t="s">
        <v>12</v>
      </c>
      <c r="F3441" s="4" t="s">
        <v>17</v>
      </c>
      <c r="G3441" s="4" t="s">
        <v>51</v>
      </c>
      <c r="H3441" s="4" t="s">
        <v>43</v>
      </c>
      <c r="I3441" s="5">
        <v>45690</v>
      </c>
      <c r="J3441" s="4">
        <f t="shared" si="53"/>
        <v>32</v>
      </c>
    </row>
    <row r="3442" spans="1:10" x14ac:dyDescent="0.25">
      <c r="A3442" s="4">
        <f>_xlfn.XLOOKUP(E3442,'Data Validation'!$M$3:$M$10,'Data Validation'!$N$3:$N$10)</f>
        <v>8</v>
      </c>
      <c r="B3442" s="4">
        <v>16</v>
      </c>
      <c r="C3442" s="4" t="s">
        <v>11</v>
      </c>
      <c r="D3442" s="7">
        <v>35.76</v>
      </c>
      <c r="E3442" s="4" t="s">
        <v>12</v>
      </c>
      <c r="F3442" s="4" t="s">
        <v>17</v>
      </c>
      <c r="G3442" s="4" t="s">
        <v>51</v>
      </c>
      <c r="H3442" s="4" t="s">
        <v>43</v>
      </c>
      <c r="I3442" s="5">
        <v>45690</v>
      </c>
      <c r="J3442" s="4">
        <f t="shared" si="53"/>
        <v>32</v>
      </c>
    </row>
    <row r="3443" spans="1:10" x14ac:dyDescent="0.25">
      <c r="A3443" s="4">
        <f>_xlfn.XLOOKUP(E3443,'Data Validation'!$M$3:$M$10,'Data Validation'!$N$3:$N$10)</f>
        <v>8</v>
      </c>
      <c r="B3443" s="4">
        <v>14</v>
      </c>
      <c r="C3443" s="4" t="s">
        <v>11</v>
      </c>
      <c r="D3443" s="7">
        <v>35.76</v>
      </c>
      <c r="E3443" s="4" t="s">
        <v>12</v>
      </c>
      <c r="F3443" s="4" t="s">
        <v>17</v>
      </c>
      <c r="G3443" s="4" t="s">
        <v>45</v>
      </c>
      <c r="H3443" s="4" t="s">
        <v>43</v>
      </c>
      <c r="I3443" s="5">
        <v>45691</v>
      </c>
      <c r="J3443" s="4">
        <f t="shared" si="53"/>
        <v>32</v>
      </c>
    </row>
    <row r="3444" spans="1:10" x14ac:dyDescent="0.25">
      <c r="A3444" s="4">
        <f>_xlfn.XLOOKUP(E3444,'Data Validation'!$M$3:$M$10,'Data Validation'!$N$3:$N$10)</f>
        <v>8</v>
      </c>
      <c r="B3444" s="4">
        <v>14</v>
      </c>
      <c r="C3444" s="4" t="s">
        <v>11</v>
      </c>
      <c r="D3444" s="7">
        <v>35.76</v>
      </c>
      <c r="E3444" s="4" t="s">
        <v>12</v>
      </c>
      <c r="F3444" s="4" t="s">
        <v>17</v>
      </c>
      <c r="G3444" s="4" t="s">
        <v>45</v>
      </c>
      <c r="H3444" s="4" t="s">
        <v>43</v>
      </c>
      <c r="I3444" s="5">
        <v>45691</v>
      </c>
      <c r="J3444" s="4">
        <f t="shared" si="53"/>
        <v>32</v>
      </c>
    </row>
    <row r="3445" spans="1:10" x14ac:dyDescent="0.25">
      <c r="A3445" s="4">
        <f>_xlfn.XLOOKUP(E3445,'Data Validation'!$M$3:$M$10,'Data Validation'!$N$3:$N$10)</f>
        <v>8</v>
      </c>
      <c r="B3445" s="4">
        <v>15</v>
      </c>
      <c r="C3445" s="4" t="s">
        <v>11</v>
      </c>
      <c r="D3445" s="7">
        <v>35.76</v>
      </c>
      <c r="E3445" s="4" t="s">
        <v>12</v>
      </c>
      <c r="F3445" s="4" t="s">
        <v>17</v>
      </c>
      <c r="G3445" s="4" t="s">
        <v>45</v>
      </c>
      <c r="H3445" s="4" t="s">
        <v>43</v>
      </c>
      <c r="I3445" s="5">
        <v>45691</v>
      </c>
      <c r="J3445" s="4">
        <f t="shared" si="53"/>
        <v>32</v>
      </c>
    </row>
    <row r="3446" spans="1:10" x14ac:dyDescent="0.25">
      <c r="A3446" s="4">
        <f>_xlfn.XLOOKUP(E3446,'Data Validation'!$M$3:$M$10,'Data Validation'!$N$3:$N$10)</f>
        <v>8</v>
      </c>
      <c r="B3446" s="4">
        <v>17</v>
      </c>
      <c r="C3446" s="4" t="s">
        <v>11</v>
      </c>
      <c r="D3446" s="7">
        <v>35.76</v>
      </c>
      <c r="E3446" s="4" t="s">
        <v>12</v>
      </c>
      <c r="F3446" s="4" t="s">
        <v>20</v>
      </c>
      <c r="G3446" s="4" t="s">
        <v>45</v>
      </c>
      <c r="H3446" s="4" t="s">
        <v>43</v>
      </c>
      <c r="I3446" s="5">
        <v>45691</v>
      </c>
      <c r="J3446" s="4">
        <f t="shared" si="53"/>
        <v>32</v>
      </c>
    </row>
    <row r="3447" spans="1:10" x14ac:dyDescent="0.25">
      <c r="A3447" s="4">
        <f>_xlfn.XLOOKUP(E3447,'Data Validation'!$M$3:$M$10,'Data Validation'!$N$3:$N$10)</f>
        <v>8</v>
      </c>
      <c r="B3447" s="4">
        <v>16</v>
      </c>
      <c r="C3447" s="4" t="s">
        <v>11</v>
      </c>
      <c r="D3447" s="7">
        <v>35.76</v>
      </c>
      <c r="E3447" s="4" t="s">
        <v>12</v>
      </c>
      <c r="F3447" s="4" t="s">
        <v>17</v>
      </c>
      <c r="G3447" s="4" t="s">
        <v>47</v>
      </c>
      <c r="H3447" s="4" t="s">
        <v>43</v>
      </c>
      <c r="I3447" s="5">
        <v>45693</v>
      </c>
      <c r="J3447" s="4">
        <f t="shared" si="53"/>
        <v>32</v>
      </c>
    </row>
    <row r="3448" spans="1:10" x14ac:dyDescent="0.25">
      <c r="A3448" s="4">
        <f>_xlfn.XLOOKUP(E3448,'Data Validation'!$M$3:$M$10,'Data Validation'!$N$3:$N$10)</f>
        <v>8</v>
      </c>
      <c r="B3448" s="4">
        <v>16</v>
      </c>
      <c r="C3448" s="4" t="s">
        <v>11</v>
      </c>
      <c r="D3448" s="7">
        <v>35.76</v>
      </c>
      <c r="E3448" s="4" t="s">
        <v>12</v>
      </c>
      <c r="F3448" s="4" t="s">
        <v>17</v>
      </c>
      <c r="G3448" s="4" t="s">
        <v>47</v>
      </c>
      <c r="H3448" s="4" t="s">
        <v>43</v>
      </c>
      <c r="I3448" s="5">
        <v>45693</v>
      </c>
      <c r="J3448" s="4">
        <f t="shared" si="53"/>
        <v>32</v>
      </c>
    </row>
    <row r="3449" spans="1:10" x14ac:dyDescent="0.25">
      <c r="A3449" s="4">
        <f>_xlfn.XLOOKUP(E3449,'Data Validation'!$M$3:$M$10,'Data Validation'!$N$3:$N$10)</f>
        <v>8</v>
      </c>
      <c r="B3449" s="4">
        <v>20</v>
      </c>
      <c r="C3449" s="4" t="s">
        <v>11</v>
      </c>
      <c r="D3449" s="7">
        <v>35.76</v>
      </c>
      <c r="E3449" s="4" t="s">
        <v>12</v>
      </c>
      <c r="F3449" s="4" t="s">
        <v>20</v>
      </c>
      <c r="G3449" s="4" t="s">
        <v>48</v>
      </c>
      <c r="H3449" s="4" t="s">
        <v>43</v>
      </c>
      <c r="I3449" s="5">
        <v>45694</v>
      </c>
      <c r="J3449" s="4">
        <f t="shared" si="53"/>
        <v>32</v>
      </c>
    </row>
    <row r="3450" spans="1:10" x14ac:dyDescent="0.25">
      <c r="A3450" s="4">
        <f>_xlfn.XLOOKUP(E3450,'Data Validation'!$M$3:$M$10,'Data Validation'!$N$3:$N$10)</f>
        <v>8</v>
      </c>
      <c r="B3450" s="4">
        <v>16</v>
      </c>
      <c r="C3450" s="4" t="s">
        <v>11</v>
      </c>
      <c r="D3450" s="7">
        <v>35.76</v>
      </c>
      <c r="E3450" s="4" t="s">
        <v>12</v>
      </c>
      <c r="F3450" s="4" t="s">
        <v>17</v>
      </c>
      <c r="G3450" s="4" t="s">
        <v>49</v>
      </c>
      <c r="H3450" s="4" t="s">
        <v>43</v>
      </c>
      <c r="I3450" s="5">
        <v>45695</v>
      </c>
      <c r="J3450" s="4">
        <f t="shared" si="53"/>
        <v>32</v>
      </c>
    </row>
    <row r="3451" spans="1:10" x14ac:dyDescent="0.25">
      <c r="A3451" s="4">
        <f>_xlfn.XLOOKUP(E3451,'Data Validation'!$M$3:$M$10,'Data Validation'!$N$3:$N$10)</f>
        <v>8</v>
      </c>
      <c r="B3451" s="4">
        <v>16</v>
      </c>
      <c r="C3451" s="4" t="s">
        <v>11</v>
      </c>
      <c r="D3451" s="7">
        <v>35.76</v>
      </c>
      <c r="E3451" s="4" t="s">
        <v>12</v>
      </c>
      <c r="F3451" s="4" t="s">
        <v>17</v>
      </c>
      <c r="G3451" s="4" t="s">
        <v>49</v>
      </c>
      <c r="H3451" s="4" t="s">
        <v>43</v>
      </c>
      <c r="I3451" s="5">
        <v>45695</v>
      </c>
      <c r="J3451" s="4">
        <f t="shared" si="53"/>
        <v>32</v>
      </c>
    </row>
    <row r="3452" spans="1:10" x14ac:dyDescent="0.25">
      <c r="A3452" s="4">
        <f>_xlfn.XLOOKUP(E3452,'Data Validation'!$M$3:$M$10,'Data Validation'!$N$3:$N$10)</f>
        <v>8</v>
      </c>
      <c r="B3452" s="4">
        <v>12</v>
      </c>
      <c r="C3452" s="4" t="s">
        <v>11</v>
      </c>
      <c r="D3452" s="7">
        <v>35.76</v>
      </c>
      <c r="E3452" s="4" t="s">
        <v>12</v>
      </c>
      <c r="F3452" s="4" t="s">
        <v>17</v>
      </c>
      <c r="G3452" s="4" t="s">
        <v>51</v>
      </c>
      <c r="H3452" s="4" t="s">
        <v>43</v>
      </c>
      <c r="I3452" s="5">
        <v>45697</v>
      </c>
      <c r="J3452" s="4">
        <f t="shared" si="53"/>
        <v>32</v>
      </c>
    </row>
    <row r="3453" spans="1:10" x14ac:dyDescent="0.25">
      <c r="A3453" s="4">
        <f>_xlfn.XLOOKUP(E3453,'Data Validation'!$M$3:$M$10,'Data Validation'!$N$3:$N$10)</f>
        <v>8</v>
      </c>
      <c r="B3453" s="4">
        <v>15</v>
      </c>
      <c r="C3453" s="4" t="s">
        <v>11</v>
      </c>
      <c r="D3453" s="7">
        <v>35.76</v>
      </c>
      <c r="E3453" s="4" t="s">
        <v>12</v>
      </c>
      <c r="F3453" s="4" t="s">
        <v>17</v>
      </c>
      <c r="G3453" s="4" t="s">
        <v>51</v>
      </c>
      <c r="H3453" s="4" t="s">
        <v>43</v>
      </c>
      <c r="I3453" s="5">
        <v>45697</v>
      </c>
      <c r="J3453" s="4">
        <f t="shared" si="53"/>
        <v>32</v>
      </c>
    </row>
    <row r="3454" spans="1:10" x14ac:dyDescent="0.25">
      <c r="A3454" s="4">
        <f>_xlfn.XLOOKUP(E3454,'Data Validation'!$M$3:$M$10,'Data Validation'!$N$3:$N$10)</f>
        <v>8</v>
      </c>
      <c r="B3454" s="4">
        <v>14</v>
      </c>
      <c r="C3454" s="4" t="s">
        <v>11</v>
      </c>
      <c r="D3454" s="7">
        <v>35.76</v>
      </c>
      <c r="E3454" s="4" t="s">
        <v>12</v>
      </c>
      <c r="F3454" s="4" t="s">
        <v>17</v>
      </c>
      <c r="G3454" s="4" t="s">
        <v>45</v>
      </c>
      <c r="H3454" s="4" t="s">
        <v>43</v>
      </c>
      <c r="I3454" s="5">
        <v>45698</v>
      </c>
      <c r="J3454" s="4">
        <f t="shared" si="53"/>
        <v>32</v>
      </c>
    </row>
    <row r="3455" spans="1:10" x14ac:dyDescent="0.25">
      <c r="A3455" s="4">
        <f>_xlfn.XLOOKUP(E3455,'Data Validation'!$M$3:$M$10,'Data Validation'!$N$3:$N$10)</f>
        <v>8</v>
      </c>
      <c r="B3455" s="4">
        <v>15</v>
      </c>
      <c r="C3455" s="4" t="s">
        <v>11</v>
      </c>
      <c r="D3455" s="7">
        <v>35.76</v>
      </c>
      <c r="E3455" s="4" t="s">
        <v>12</v>
      </c>
      <c r="F3455" s="4" t="s">
        <v>17</v>
      </c>
      <c r="G3455" s="4" t="s">
        <v>45</v>
      </c>
      <c r="H3455" s="4" t="s">
        <v>43</v>
      </c>
      <c r="I3455" s="5">
        <v>45698</v>
      </c>
      <c r="J3455" s="4">
        <f t="shared" si="53"/>
        <v>32</v>
      </c>
    </row>
    <row r="3456" spans="1:10" x14ac:dyDescent="0.25">
      <c r="A3456" s="4">
        <f>_xlfn.XLOOKUP(E3456,'Data Validation'!$M$3:$M$10,'Data Validation'!$N$3:$N$10)</f>
        <v>8</v>
      </c>
      <c r="B3456" s="4">
        <v>19</v>
      </c>
      <c r="C3456" s="4" t="s">
        <v>11</v>
      </c>
      <c r="D3456" s="7">
        <v>35.76</v>
      </c>
      <c r="E3456" s="4" t="s">
        <v>12</v>
      </c>
      <c r="F3456" s="4" t="s">
        <v>20</v>
      </c>
      <c r="G3456" s="4" t="s">
        <v>45</v>
      </c>
      <c r="H3456" s="4" t="s">
        <v>43</v>
      </c>
      <c r="I3456" s="5">
        <v>45698</v>
      </c>
      <c r="J3456" s="4">
        <f t="shared" si="53"/>
        <v>32</v>
      </c>
    </row>
    <row r="3457" spans="1:10" x14ac:dyDescent="0.25">
      <c r="A3457" s="4">
        <f>_xlfn.XLOOKUP(E3457,'Data Validation'!$M$3:$M$10,'Data Validation'!$N$3:$N$10)</f>
        <v>8</v>
      </c>
      <c r="B3457" s="4">
        <v>19</v>
      </c>
      <c r="C3457" s="4" t="s">
        <v>11</v>
      </c>
      <c r="D3457" s="7">
        <v>35.76</v>
      </c>
      <c r="E3457" s="4" t="s">
        <v>12</v>
      </c>
      <c r="F3457" s="4" t="s">
        <v>20</v>
      </c>
      <c r="G3457" s="4" t="s">
        <v>45</v>
      </c>
      <c r="H3457" s="4" t="s">
        <v>43</v>
      </c>
      <c r="I3457" s="5">
        <v>45698</v>
      </c>
      <c r="J3457" s="4">
        <f t="shared" si="53"/>
        <v>32</v>
      </c>
    </row>
    <row r="3458" spans="1:10" x14ac:dyDescent="0.25">
      <c r="A3458" s="4">
        <f>_xlfn.XLOOKUP(E3458,'Data Validation'!$M$3:$M$10,'Data Validation'!$N$3:$N$10)</f>
        <v>8</v>
      </c>
      <c r="B3458" s="4">
        <v>17</v>
      </c>
      <c r="C3458" s="4" t="s">
        <v>11</v>
      </c>
      <c r="D3458" s="7">
        <v>35.76</v>
      </c>
      <c r="E3458" s="4" t="s">
        <v>12</v>
      </c>
      <c r="F3458" s="4" t="s">
        <v>20</v>
      </c>
      <c r="G3458" s="4" t="s">
        <v>46</v>
      </c>
      <c r="H3458" s="4" t="s">
        <v>43</v>
      </c>
      <c r="I3458" s="5">
        <v>45699</v>
      </c>
      <c r="J3458" s="4">
        <f t="shared" si="53"/>
        <v>32</v>
      </c>
    </row>
    <row r="3459" spans="1:10" x14ac:dyDescent="0.25">
      <c r="A3459" s="4">
        <f>_xlfn.XLOOKUP(E3459,'Data Validation'!$M$3:$M$10,'Data Validation'!$N$3:$N$10)</f>
        <v>8</v>
      </c>
      <c r="B3459" s="4">
        <v>19</v>
      </c>
      <c r="C3459" s="4" t="s">
        <v>11</v>
      </c>
      <c r="D3459" s="7">
        <v>35.76</v>
      </c>
      <c r="E3459" s="4" t="s">
        <v>12</v>
      </c>
      <c r="F3459" s="4" t="s">
        <v>20</v>
      </c>
      <c r="G3459" s="4" t="s">
        <v>46</v>
      </c>
      <c r="H3459" s="4" t="s">
        <v>43</v>
      </c>
      <c r="I3459" s="5">
        <v>45699</v>
      </c>
      <c r="J3459" s="4">
        <f t="shared" ref="J3459:J3522" si="54">IF(OR(E3459&lt;&gt;E3458,D3459&lt;&gt;D3458),J3458+1,J3458)</f>
        <v>32</v>
      </c>
    </row>
    <row r="3460" spans="1:10" x14ac:dyDescent="0.25">
      <c r="A3460" s="4">
        <f>_xlfn.XLOOKUP(E3460,'Data Validation'!$M$3:$M$10,'Data Validation'!$N$3:$N$10)</f>
        <v>8</v>
      </c>
      <c r="B3460" s="4">
        <v>15</v>
      </c>
      <c r="C3460" s="4" t="s">
        <v>11</v>
      </c>
      <c r="D3460" s="7">
        <v>35.76</v>
      </c>
      <c r="E3460" s="4" t="s">
        <v>12</v>
      </c>
      <c r="F3460" s="4" t="s">
        <v>17</v>
      </c>
      <c r="G3460" s="4" t="s">
        <v>47</v>
      </c>
      <c r="H3460" s="4" t="s">
        <v>43</v>
      </c>
      <c r="I3460" s="5">
        <v>45700</v>
      </c>
      <c r="J3460" s="4">
        <f t="shared" si="54"/>
        <v>32</v>
      </c>
    </row>
    <row r="3461" spans="1:10" x14ac:dyDescent="0.25">
      <c r="A3461" s="4">
        <f>_xlfn.XLOOKUP(E3461,'Data Validation'!$M$3:$M$10,'Data Validation'!$N$3:$N$10)</f>
        <v>8</v>
      </c>
      <c r="B3461" s="4">
        <v>20</v>
      </c>
      <c r="C3461" s="4" t="s">
        <v>11</v>
      </c>
      <c r="D3461" s="7">
        <v>35.76</v>
      </c>
      <c r="E3461" s="4" t="s">
        <v>12</v>
      </c>
      <c r="F3461" s="4" t="s">
        <v>20</v>
      </c>
      <c r="G3461" s="4" t="s">
        <v>47</v>
      </c>
      <c r="H3461" s="4" t="s">
        <v>43</v>
      </c>
      <c r="I3461" s="5">
        <v>45700</v>
      </c>
      <c r="J3461" s="4">
        <f t="shared" si="54"/>
        <v>32</v>
      </c>
    </row>
    <row r="3462" spans="1:10" x14ac:dyDescent="0.25">
      <c r="A3462" s="4">
        <f>_xlfn.XLOOKUP(E3462,'Data Validation'!$M$3:$M$10,'Data Validation'!$N$3:$N$10)</f>
        <v>8</v>
      </c>
      <c r="B3462" s="4">
        <v>18</v>
      </c>
      <c r="C3462" s="4" t="s">
        <v>11</v>
      </c>
      <c r="D3462" s="7">
        <v>35.76</v>
      </c>
      <c r="E3462" s="4" t="s">
        <v>12</v>
      </c>
      <c r="F3462" s="4" t="s">
        <v>20</v>
      </c>
      <c r="G3462" s="4" t="s">
        <v>48</v>
      </c>
      <c r="H3462" s="4" t="s">
        <v>43</v>
      </c>
      <c r="I3462" s="5">
        <v>45701</v>
      </c>
      <c r="J3462" s="4">
        <f t="shared" si="54"/>
        <v>32</v>
      </c>
    </row>
    <row r="3463" spans="1:10" x14ac:dyDescent="0.25">
      <c r="A3463" s="4">
        <f>_xlfn.XLOOKUP(E3463,'Data Validation'!$M$3:$M$10,'Data Validation'!$N$3:$N$10)</f>
        <v>8</v>
      </c>
      <c r="B3463" s="4">
        <v>19</v>
      </c>
      <c r="C3463" s="4" t="s">
        <v>11</v>
      </c>
      <c r="D3463" s="7">
        <v>35.76</v>
      </c>
      <c r="E3463" s="4" t="s">
        <v>12</v>
      </c>
      <c r="F3463" s="4" t="s">
        <v>20</v>
      </c>
      <c r="G3463" s="4" t="s">
        <v>48</v>
      </c>
      <c r="H3463" s="4" t="s">
        <v>43</v>
      </c>
      <c r="I3463" s="5">
        <v>45701</v>
      </c>
      <c r="J3463" s="4">
        <f t="shared" si="54"/>
        <v>32</v>
      </c>
    </row>
    <row r="3464" spans="1:10" x14ac:dyDescent="0.25">
      <c r="A3464" s="4">
        <f>_xlfn.XLOOKUP(E3464,'Data Validation'!$M$3:$M$10,'Data Validation'!$N$3:$N$10)</f>
        <v>8</v>
      </c>
      <c r="B3464" s="4">
        <v>15</v>
      </c>
      <c r="C3464" s="4" t="s">
        <v>11</v>
      </c>
      <c r="D3464" s="7">
        <v>35.76</v>
      </c>
      <c r="E3464" s="4" t="s">
        <v>12</v>
      </c>
      <c r="F3464" s="4" t="s">
        <v>17</v>
      </c>
      <c r="G3464" s="4" t="s">
        <v>49</v>
      </c>
      <c r="H3464" s="4" t="s">
        <v>43</v>
      </c>
      <c r="I3464" s="5">
        <v>45702</v>
      </c>
      <c r="J3464" s="4">
        <f t="shared" si="54"/>
        <v>32</v>
      </c>
    </row>
    <row r="3465" spans="1:10" x14ac:dyDescent="0.25">
      <c r="A3465" s="4">
        <f>_xlfn.XLOOKUP(E3465,'Data Validation'!$M$3:$M$10,'Data Validation'!$N$3:$N$10)</f>
        <v>8</v>
      </c>
      <c r="B3465" s="4">
        <v>14</v>
      </c>
      <c r="C3465" s="4" t="s">
        <v>11</v>
      </c>
      <c r="D3465" s="7">
        <v>35.76</v>
      </c>
      <c r="E3465" s="4" t="s">
        <v>12</v>
      </c>
      <c r="F3465" s="4" t="s">
        <v>17</v>
      </c>
      <c r="G3465" s="4" t="s">
        <v>51</v>
      </c>
      <c r="H3465" s="4" t="s">
        <v>43</v>
      </c>
      <c r="I3465" s="5">
        <v>45704</v>
      </c>
      <c r="J3465" s="4">
        <f t="shared" si="54"/>
        <v>32</v>
      </c>
    </row>
    <row r="3466" spans="1:10" x14ac:dyDescent="0.25">
      <c r="A3466" s="4">
        <f>_xlfn.XLOOKUP(E3466,'Data Validation'!$M$3:$M$10,'Data Validation'!$N$3:$N$10)</f>
        <v>8</v>
      </c>
      <c r="B3466" s="4">
        <v>14</v>
      </c>
      <c r="C3466" s="4" t="s">
        <v>11</v>
      </c>
      <c r="D3466" s="7">
        <v>35.76</v>
      </c>
      <c r="E3466" s="4" t="s">
        <v>12</v>
      </c>
      <c r="F3466" s="4" t="s">
        <v>17</v>
      </c>
      <c r="G3466" s="4" t="s">
        <v>45</v>
      </c>
      <c r="H3466" s="4" t="s">
        <v>43</v>
      </c>
      <c r="I3466" s="5">
        <v>45705</v>
      </c>
      <c r="J3466" s="4">
        <f t="shared" si="54"/>
        <v>32</v>
      </c>
    </row>
    <row r="3467" spans="1:10" x14ac:dyDescent="0.25">
      <c r="A3467" s="4">
        <f>_xlfn.XLOOKUP(E3467,'Data Validation'!$M$3:$M$10,'Data Validation'!$N$3:$N$10)</f>
        <v>8</v>
      </c>
      <c r="B3467" s="4">
        <v>15</v>
      </c>
      <c r="C3467" s="4" t="s">
        <v>11</v>
      </c>
      <c r="D3467" s="7">
        <v>35.76</v>
      </c>
      <c r="E3467" s="4" t="s">
        <v>12</v>
      </c>
      <c r="F3467" s="4" t="s">
        <v>17</v>
      </c>
      <c r="G3467" s="4" t="s">
        <v>45</v>
      </c>
      <c r="H3467" s="4" t="s">
        <v>43</v>
      </c>
      <c r="I3467" s="5">
        <v>45705</v>
      </c>
      <c r="J3467" s="4">
        <f t="shared" si="54"/>
        <v>32</v>
      </c>
    </row>
    <row r="3468" spans="1:10" x14ac:dyDescent="0.25">
      <c r="A3468" s="4">
        <f>_xlfn.XLOOKUP(E3468,'Data Validation'!$M$3:$M$10,'Data Validation'!$N$3:$N$10)</f>
        <v>8</v>
      </c>
      <c r="B3468" s="4">
        <v>20</v>
      </c>
      <c r="C3468" s="4" t="s">
        <v>11</v>
      </c>
      <c r="D3468" s="7">
        <v>35.76</v>
      </c>
      <c r="E3468" s="4" t="s">
        <v>12</v>
      </c>
      <c r="F3468" s="4" t="s">
        <v>20</v>
      </c>
      <c r="G3468" s="4" t="s">
        <v>45</v>
      </c>
      <c r="H3468" s="4" t="s">
        <v>43</v>
      </c>
      <c r="I3468" s="5">
        <v>45705</v>
      </c>
      <c r="J3468" s="4">
        <f t="shared" si="54"/>
        <v>32</v>
      </c>
    </row>
    <row r="3469" spans="1:10" x14ac:dyDescent="0.25">
      <c r="A3469" s="4">
        <f>_xlfn.XLOOKUP(E3469,'Data Validation'!$M$3:$M$10,'Data Validation'!$N$3:$N$10)</f>
        <v>8</v>
      </c>
      <c r="B3469" s="4">
        <v>19</v>
      </c>
      <c r="C3469" s="4" t="s">
        <v>11</v>
      </c>
      <c r="D3469" s="7">
        <v>35.76</v>
      </c>
      <c r="E3469" s="4" t="s">
        <v>12</v>
      </c>
      <c r="F3469" s="4" t="s">
        <v>20</v>
      </c>
      <c r="G3469" s="4" t="s">
        <v>47</v>
      </c>
      <c r="H3469" s="4" t="s">
        <v>43</v>
      </c>
      <c r="I3469" s="5">
        <v>45707</v>
      </c>
      <c r="J3469" s="4">
        <f t="shared" si="54"/>
        <v>32</v>
      </c>
    </row>
    <row r="3470" spans="1:10" x14ac:dyDescent="0.25">
      <c r="A3470" s="4">
        <f>_xlfn.XLOOKUP(E3470,'Data Validation'!$M$3:$M$10,'Data Validation'!$N$3:$N$10)</f>
        <v>8</v>
      </c>
      <c r="B3470" s="4">
        <v>19</v>
      </c>
      <c r="C3470" s="4" t="s">
        <v>11</v>
      </c>
      <c r="D3470" s="7">
        <v>35.76</v>
      </c>
      <c r="E3470" s="4" t="s">
        <v>12</v>
      </c>
      <c r="F3470" s="4" t="s">
        <v>20</v>
      </c>
      <c r="G3470" s="4" t="s">
        <v>47</v>
      </c>
      <c r="H3470" s="4" t="s">
        <v>43</v>
      </c>
      <c r="I3470" s="5">
        <v>45707</v>
      </c>
      <c r="J3470" s="4">
        <f t="shared" si="54"/>
        <v>32</v>
      </c>
    </row>
    <row r="3471" spans="1:10" x14ac:dyDescent="0.25">
      <c r="A3471" s="4">
        <f>_xlfn.XLOOKUP(E3471,'Data Validation'!$M$3:$M$10,'Data Validation'!$N$3:$N$10)</f>
        <v>8</v>
      </c>
      <c r="B3471" s="4">
        <v>14</v>
      </c>
      <c r="C3471" s="4" t="s">
        <v>11</v>
      </c>
      <c r="D3471" s="7">
        <v>35.76</v>
      </c>
      <c r="E3471" s="4" t="s">
        <v>12</v>
      </c>
      <c r="F3471" s="4" t="s">
        <v>17</v>
      </c>
      <c r="G3471" s="4" t="s">
        <v>48</v>
      </c>
      <c r="H3471" s="4" t="s">
        <v>43</v>
      </c>
      <c r="I3471" s="5">
        <v>45708</v>
      </c>
      <c r="J3471" s="4">
        <f t="shared" si="54"/>
        <v>32</v>
      </c>
    </row>
    <row r="3472" spans="1:10" x14ac:dyDescent="0.25">
      <c r="A3472" s="4">
        <f>_xlfn.XLOOKUP(E3472,'Data Validation'!$M$3:$M$10,'Data Validation'!$N$3:$N$10)</f>
        <v>8</v>
      </c>
      <c r="B3472" s="4">
        <v>20</v>
      </c>
      <c r="C3472" s="4" t="s">
        <v>11</v>
      </c>
      <c r="D3472" s="7">
        <v>35.76</v>
      </c>
      <c r="E3472" s="4" t="s">
        <v>12</v>
      </c>
      <c r="F3472" s="4" t="s">
        <v>20</v>
      </c>
      <c r="G3472" s="4" t="s">
        <v>48</v>
      </c>
      <c r="H3472" s="4" t="s">
        <v>43</v>
      </c>
      <c r="I3472" s="5">
        <v>45708</v>
      </c>
      <c r="J3472" s="4">
        <f t="shared" si="54"/>
        <v>32</v>
      </c>
    </row>
    <row r="3473" spans="1:10" x14ac:dyDescent="0.25">
      <c r="A3473" s="4">
        <f>_xlfn.XLOOKUP(E3473,'Data Validation'!$M$3:$M$10,'Data Validation'!$N$3:$N$10)</f>
        <v>8</v>
      </c>
      <c r="B3473" s="4">
        <v>9</v>
      </c>
      <c r="C3473" s="4" t="s">
        <v>11</v>
      </c>
      <c r="D3473" s="7">
        <v>35.76</v>
      </c>
      <c r="E3473" s="4" t="s">
        <v>12</v>
      </c>
      <c r="F3473" s="4" t="s">
        <v>13</v>
      </c>
      <c r="G3473" s="4" t="s">
        <v>49</v>
      </c>
      <c r="H3473" s="4" t="s">
        <v>43</v>
      </c>
      <c r="I3473" s="5">
        <v>45709</v>
      </c>
      <c r="J3473" s="4">
        <f t="shared" si="54"/>
        <v>32</v>
      </c>
    </row>
    <row r="3474" spans="1:10" x14ac:dyDescent="0.25">
      <c r="A3474" s="4">
        <f>_xlfn.XLOOKUP(E3474,'Data Validation'!$M$3:$M$10,'Data Validation'!$N$3:$N$10)</f>
        <v>8</v>
      </c>
      <c r="B3474" s="4">
        <v>16</v>
      </c>
      <c r="C3474" s="4" t="s">
        <v>11</v>
      </c>
      <c r="D3474" s="7">
        <v>35.76</v>
      </c>
      <c r="E3474" s="4" t="s">
        <v>12</v>
      </c>
      <c r="F3474" s="4" t="s">
        <v>17</v>
      </c>
      <c r="G3474" s="4" t="s">
        <v>49</v>
      </c>
      <c r="H3474" s="4" t="s">
        <v>43</v>
      </c>
      <c r="I3474" s="5">
        <v>45709</v>
      </c>
      <c r="J3474" s="4">
        <f t="shared" si="54"/>
        <v>32</v>
      </c>
    </row>
    <row r="3475" spans="1:10" x14ac:dyDescent="0.25">
      <c r="A3475" s="4">
        <f>_xlfn.XLOOKUP(E3475,'Data Validation'!$M$3:$M$10,'Data Validation'!$N$3:$N$10)</f>
        <v>8</v>
      </c>
      <c r="B3475" s="4">
        <v>16</v>
      </c>
      <c r="C3475" s="4" t="s">
        <v>11</v>
      </c>
      <c r="D3475" s="7">
        <v>35.76</v>
      </c>
      <c r="E3475" s="4" t="s">
        <v>12</v>
      </c>
      <c r="F3475" s="4" t="s">
        <v>17</v>
      </c>
      <c r="G3475" s="4" t="s">
        <v>49</v>
      </c>
      <c r="H3475" s="4" t="s">
        <v>43</v>
      </c>
      <c r="I3475" s="5">
        <v>45709</v>
      </c>
      <c r="J3475" s="4">
        <f t="shared" si="54"/>
        <v>32</v>
      </c>
    </row>
    <row r="3476" spans="1:10" x14ac:dyDescent="0.25">
      <c r="A3476" s="4">
        <f>_xlfn.XLOOKUP(E3476,'Data Validation'!$M$3:$M$10,'Data Validation'!$N$3:$N$10)</f>
        <v>8</v>
      </c>
      <c r="B3476" s="4">
        <v>9</v>
      </c>
      <c r="C3476" s="4" t="s">
        <v>11</v>
      </c>
      <c r="D3476" s="7">
        <v>35.76</v>
      </c>
      <c r="E3476" s="4" t="s">
        <v>12</v>
      </c>
      <c r="F3476" s="4" t="s">
        <v>13</v>
      </c>
      <c r="G3476" s="4" t="s">
        <v>45</v>
      </c>
      <c r="H3476" s="4" t="s">
        <v>43</v>
      </c>
      <c r="I3476" s="5">
        <v>45712</v>
      </c>
      <c r="J3476" s="4">
        <f t="shared" si="54"/>
        <v>32</v>
      </c>
    </row>
    <row r="3477" spans="1:10" x14ac:dyDescent="0.25">
      <c r="A3477" s="4">
        <f>_xlfn.XLOOKUP(E3477,'Data Validation'!$M$3:$M$10,'Data Validation'!$N$3:$N$10)</f>
        <v>8</v>
      </c>
      <c r="B3477" s="4">
        <v>12</v>
      </c>
      <c r="C3477" s="4" t="s">
        <v>11</v>
      </c>
      <c r="D3477" s="7">
        <v>35.76</v>
      </c>
      <c r="E3477" s="4" t="s">
        <v>12</v>
      </c>
      <c r="F3477" s="4" t="s">
        <v>17</v>
      </c>
      <c r="G3477" s="4" t="s">
        <v>45</v>
      </c>
      <c r="H3477" s="4" t="s">
        <v>43</v>
      </c>
      <c r="I3477" s="5">
        <v>45712</v>
      </c>
      <c r="J3477" s="4">
        <f t="shared" si="54"/>
        <v>32</v>
      </c>
    </row>
    <row r="3478" spans="1:10" x14ac:dyDescent="0.25">
      <c r="A3478" s="4">
        <f>_xlfn.XLOOKUP(E3478,'Data Validation'!$M$3:$M$10,'Data Validation'!$N$3:$N$10)</f>
        <v>8</v>
      </c>
      <c r="B3478" s="4">
        <v>16</v>
      </c>
      <c r="C3478" s="4" t="s">
        <v>11</v>
      </c>
      <c r="D3478" s="7">
        <v>35.76</v>
      </c>
      <c r="E3478" s="4" t="s">
        <v>12</v>
      </c>
      <c r="F3478" s="4" t="s">
        <v>17</v>
      </c>
      <c r="G3478" s="4" t="s">
        <v>45</v>
      </c>
      <c r="H3478" s="4" t="s">
        <v>43</v>
      </c>
      <c r="I3478" s="5">
        <v>45712</v>
      </c>
      <c r="J3478" s="4">
        <f t="shared" si="54"/>
        <v>32</v>
      </c>
    </row>
    <row r="3479" spans="1:10" x14ac:dyDescent="0.25">
      <c r="A3479" s="4">
        <f>_xlfn.XLOOKUP(E3479,'Data Validation'!$M$3:$M$10,'Data Validation'!$N$3:$N$10)</f>
        <v>8</v>
      </c>
      <c r="B3479" s="4">
        <v>18</v>
      </c>
      <c r="C3479" s="4" t="s">
        <v>11</v>
      </c>
      <c r="D3479" s="7">
        <v>35.76</v>
      </c>
      <c r="E3479" s="4" t="s">
        <v>12</v>
      </c>
      <c r="F3479" s="4" t="s">
        <v>20</v>
      </c>
      <c r="G3479" s="4" t="s">
        <v>45</v>
      </c>
      <c r="H3479" s="4" t="s">
        <v>43</v>
      </c>
      <c r="I3479" s="5">
        <v>45712</v>
      </c>
      <c r="J3479" s="4">
        <f t="shared" si="54"/>
        <v>32</v>
      </c>
    </row>
    <row r="3480" spans="1:10" x14ac:dyDescent="0.25">
      <c r="A3480" s="4">
        <f>_xlfn.XLOOKUP(E3480,'Data Validation'!$M$3:$M$10,'Data Validation'!$N$3:$N$10)</f>
        <v>8</v>
      </c>
      <c r="B3480" s="4">
        <v>19</v>
      </c>
      <c r="C3480" s="4" t="s">
        <v>11</v>
      </c>
      <c r="D3480" s="7">
        <v>35.76</v>
      </c>
      <c r="E3480" s="4" t="s">
        <v>12</v>
      </c>
      <c r="F3480" s="4" t="s">
        <v>20</v>
      </c>
      <c r="G3480" s="4" t="s">
        <v>45</v>
      </c>
      <c r="H3480" s="4" t="s">
        <v>43</v>
      </c>
      <c r="I3480" s="5">
        <v>45712</v>
      </c>
      <c r="J3480" s="4">
        <f t="shared" si="54"/>
        <v>32</v>
      </c>
    </row>
    <row r="3481" spans="1:10" x14ac:dyDescent="0.25">
      <c r="A3481" s="4">
        <f>_xlfn.XLOOKUP(E3481,'Data Validation'!$M$3:$M$10,'Data Validation'!$N$3:$N$10)</f>
        <v>8</v>
      </c>
      <c r="B3481" s="4">
        <v>13</v>
      </c>
      <c r="C3481" s="4" t="s">
        <v>11</v>
      </c>
      <c r="D3481" s="7">
        <v>35.76</v>
      </c>
      <c r="E3481" s="4" t="s">
        <v>12</v>
      </c>
      <c r="F3481" s="4" t="s">
        <v>17</v>
      </c>
      <c r="G3481" s="4" t="s">
        <v>47</v>
      </c>
      <c r="H3481" s="4" t="s">
        <v>43</v>
      </c>
      <c r="I3481" s="5">
        <v>45714</v>
      </c>
      <c r="J3481" s="4">
        <f t="shared" si="54"/>
        <v>32</v>
      </c>
    </row>
    <row r="3482" spans="1:10" x14ac:dyDescent="0.25">
      <c r="A3482" s="4">
        <f>_xlfn.XLOOKUP(E3482,'Data Validation'!$M$3:$M$10,'Data Validation'!$N$3:$N$10)</f>
        <v>8</v>
      </c>
      <c r="B3482" s="4">
        <v>16</v>
      </c>
      <c r="C3482" s="4" t="s">
        <v>11</v>
      </c>
      <c r="D3482" s="7">
        <v>35.76</v>
      </c>
      <c r="E3482" s="4" t="s">
        <v>12</v>
      </c>
      <c r="F3482" s="4" t="s">
        <v>17</v>
      </c>
      <c r="G3482" s="4" t="s">
        <v>47</v>
      </c>
      <c r="H3482" s="4" t="s">
        <v>43</v>
      </c>
      <c r="I3482" s="5">
        <v>45714</v>
      </c>
      <c r="J3482" s="4">
        <f t="shared" si="54"/>
        <v>32</v>
      </c>
    </row>
    <row r="3483" spans="1:10" x14ac:dyDescent="0.25">
      <c r="A3483" s="4">
        <f>_xlfn.XLOOKUP(E3483,'Data Validation'!$M$3:$M$10,'Data Validation'!$N$3:$N$10)</f>
        <v>8</v>
      </c>
      <c r="B3483" s="4">
        <v>16</v>
      </c>
      <c r="C3483" s="4" t="s">
        <v>11</v>
      </c>
      <c r="D3483" s="7">
        <v>35.76</v>
      </c>
      <c r="E3483" s="4" t="s">
        <v>12</v>
      </c>
      <c r="F3483" s="4" t="s">
        <v>17</v>
      </c>
      <c r="G3483" s="4" t="s">
        <v>47</v>
      </c>
      <c r="H3483" s="4" t="s">
        <v>43</v>
      </c>
      <c r="I3483" s="5">
        <v>45714</v>
      </c>
      <c r="J3483" s="4">
        <f t="shared" si="54"/>
        <v>32</v>
      </c>
    </row>
    <row r="3484" spans="1:10" x14ac:dyDescent="0.25">
      <c r="A3484" s="4">
        <f>_xlfn.XLOOKUP(E3484,'Data Validation'!$M$3:$M$10,'Data Validation'!$N$3:$N$10)</f>
        <v>8</v>
      </c>
      <c r="B3484" s="4">
        <v>18</v>
      </c>
      <c r="C3484" s="4" t="s">
        <v>11</v>
      </c>
      <c r="D3484" s="7">
        <v>35.76</v>
      </c>
      <c r="E3484" s="4" t="s">
        <v>12</v>
      </c>
      <c r="F3484" s="4" t="s">
        <v>20</v>
      </c>
      <c r="G3484" s="4" t="s">
        <v>47</v>
      </c>
      <c r="H3484" s="4" t="s">
        <v>43</v>
      </c>
      <c r="I3484" s="5">
        <v>45714</v>
      </c>
      <c r="J3484" s="4">
        <f t="shared" si="54"/>
        <v>32</v>
      </c>
    </row>
    <row r="3485" spans="1:10" x14ac:dyDescent="0.25">
      <c r="A3485" s="4">
        <f>_xlfn.XLOOKUP(E3485,'Data Validation'!$M$3:$M$10,'Data Validation'!$N$3:$N$10)</f>
        <v>8</v>
      </c>
      <c r="B3485" s="4">
        <v>14</v>
      </c>
      <c r="C3485" s="4" t="s">
        <v>11</v>
      </c>
      <c r="D3485" s="7">
        <v>35.76</v>
      </c>
      <c r="E3485" s="4" t="s">
        <v>12</v>
      </c>
      <c r="F3485" s="4" t="s">
        <v>17</v>
      </c>
      <c r="G3485" s="4" t="s">
        <v>48</v>
      </c>
      <c r="H3485" s="4" t="s">
        <v>43</v>
      </c>
      <c r="I3485" s="5">
        <v>45715</v>
      </c>
      <c r="J3485" s="4">
        <f t="shared" si="54"/>
        <v>32</v>
      </c>
    </row>
    <row r="3486" spans="1:10" x14ac:dyDescent="0.25">
      <c r="A3486" s="4">
        <f>_xlfn.XLOOKUP(E3486,'Data Validation'!$M$3:$M$10,'Data Validation'!$N$3:$N$10)</f>
        <v>8</v>
      </c>
      <c r="B3486" s="4">
        <v>17</v>
      </c>
      <c r="C3486" s="4" t="s">
        <v>11</v>
      </c>
      <c r="D3486" s="7">
        <v>35.76</v>
      </c>
      <c r="E3486" s="4" t="s">
        <v>12</v>
      </c>
      <c r="F3486" s="4" t="s">
        <v>20</v>
      </c>
      <c r="G3486" s="4" t="s">
        <v>48</v>
      </c>
      <c r="H3486" s="4" t="s">
        <v>43</v>
      </c>
      <c r="I3486" s="5">
        <v>45715</v>
      </c>
      <c r="J3486" s="4">
        <f t="shared" si="54"/>
        <v>32</v>
      </c>
    </row>
    <row r="3487" spans="1:10" x14ac:dyDescent="0.25">
      <c r="A3487" s="4">
        <f>_xlfn.XLOOKUP(E3487,'Data Validation'!$M$3:$M$10,'Data Validation'!$N$3:$N$10)</f>
        <v>8</v>
      </c>
      <c r="B3487" s="4">
        <v>18</v>
      </c>
      <c r="C3487" s="4" t="s">
        <v>11</v>
      </c>
      <c r="D3487" s="7">
        <v>35.76</v>
      </c>
      <c r="E3487" s="4" t="s">
        <v>12</v>
      </c>
      <c r="F3487" s="4" t="s">
        <v>20</v>
      </c>
      <c r="G3487" s="4" t="s">
        <v>48</v>
      </c>
      <c r="H3487" s="4" t="s">
        <v>43</v>
      </c>
      <c r="I3487" s="5">
        <v>45715</v>
      </c>
      <c r="J3487" s="4">
        <f t="shared" si="54"/>
        <v>32</v>
      </c>
    </row>
    <row r="3488" spans="1:10" x14ac:dyDescent="0.25">
      <c r="A3488" s="4">
        <f>_xlfn.XLOOKUP(E3488,'Data Validation'!$M$3:$M$10,'Data Validation'!$N$3:$N$10)</f>
        <v>8</v>
      </c>
      <c r="B3488" s="4">
        <v>19</v>
      </c>
      <c r="C3488" s="4" t="s">
        <v>11</v>
      </c>
      <c r="D3488" s="7">
        <v>35.76</v>
      </c>
      <c r="E3488" s="4" t="s">
        <v>12</v>
      </c>
      <c r="F3488" s="4" t="s">
        <v>20</v>
      </c>
      <c r="G3488" s="4" t="s">
        <v>48</v>
      </c>
      <c r="H3488" s="4" t="s">
        <v>43</v>
      </c>
      <c r="I3488" s="5">
        <v>45715</v>
      </c>
      <c r="J3488" s="4">
        <f t="shared" si="54"/>
        <v>32</v>
      </c>
    </row>
    <row r="3489" spans="1:10" x14ac:dyDescent="0.25">
      <c r="A3489" s="4">
        <f>_xlfn.XLOOKUP(E3489,'Data Validation'!$M$3:$M$10,'Data Validation'!$N$3:$N$10)</f>
        <v>8</v>
      </c>
      <c r="B3489" s="4">
        <v>14</v>
      </c>
      <c r="C3489" s="4" t="s">
        <v>11</v>
      </c>
      <c r="D3489" s="7">
        <v>35.76</v>
      </c>
      <c r="E3489" s="4" t="s">
        <v>12</v>
      </c>
      <c r="F3489" s="4" t="s">
        <v>17</v>
      </c>
      <c r="G3489" s="4" t="s">
        <v>49</v>
      </c>
      <c r="H3489" s="4" t="s">
        <v>43</v>
      </c>
      <c r="I3489" s="5">
        <v>45716</v>
      </c>
      <c r="J3489" s="4">
        <f t="shared" si="54"/>
        <v>32</v>
      </c>
    </row>
    <row r="3490" spans="1:10" x14ac:dyDescent="0.25">
      <c r="A3490" s="4">
        <f>_xlfn.XLOOKUP(E3490,'Data Validation'!$M$3:$M$10,'Data Validation'!$N$3:$N$10)</f>
        <v>8</v>
      </c>
      <c r="B3490" s="4">
        <v>17</v>
      </c>
      <c r="C3490" s="4" t="s">
        <v>11</v>
      </c>
      <c r="D3490" s="7">
        <v>35.76</v>
      </c>
      <c r="E3490" s="4" t="s">
        <v>12</v>
      </c>
      <c r="F3490" s="4" t="s">
        <v>20</v>
      </c>
      <c r="G3490" s="4" t="s">
        <v>49</v>
      </c>
      <c r="H3490" s="4" t="s">
        <v>43</v>
      </c>
      <c r="I3490" s="5">
        <v>45716</v>
      </c>
      <c r="J3490" s="4">
        <f t="shared" si="54"/>
        <v>32</v>
      </c>
    </row>
    <row r="3491" spans="1:10" x14ac:dyDescent="0.25">
      <c r="A3491" s="4">
        <f>_xlfn.XLOOKUP(E3491,'Data Validation'!$M$3:$M$10,'Data Validation'!$N$3:$N$10)</f>
        <v>8</v>
      </c>
      <c r="B3491" s="4">
        <v>18</v>
      </c>
      <c r="C3491" s="4" t="s">
        <v>11</v>
      </c>
      <c r="D3491" s="7">
        <v>35.76</v>
      </c>
      <c r="E3491" s="4" t="s">
        <v>12</v>
      </c>
      <c r="F3491" s="4" t="s">
        <v>20</v>
      </c>
      <c r="G3491" s="4" t="s">
        <v>49</v>
      </c>
      <c r="H3491" s="4" t="s">
        <v>43</v>
      </c>
      <c r="I3491" s="5">
        <v>45716</v>
      </c>
      <c r="J3491" s="4">
        <f t="shared" si="54"/>
        <v>32</v>
      </c>
    </row>
    <row r="3492" spans="1:10" x14ac:dyDescent="0.25">
      <c r="A3492" s="4">
        <f>_xlfn.XLOOKUP(E3492,'Data Validation'!$M$3:$M$10,'Data Validation'!$N$3:$N$10)</f>
        <v>8</v>
      </c>
      <c r="B3492" s="4">
        <v>14</v>
      </c>
      <c r="C3492" s="4" t="s">
        <v>11</v>
      </c>
      <c r="D3492" s="7">
        <v>35.76</v>
      </c>
      <c r="E3492" s="4" t="s">
        <v>12</v>
      </c>
      <c r="F3492" s="4" t="s">
        <v>17</v>
      </c>
      <c r="G3492" s="4" t="s">
        <v>50</v>
      </c>
      <c r="H3492" s="4" t="s">
        <v>44</v>
      </c>
      <c r="I3492" s="5">
        <v>45717</v>
      </c>
      <c r="J3492" s="4">
        <f t="shared" si="54"/>
        <v>32</v>
      </c>
    </row>
    <row r="3493" spans="1:10" x14ac:dyDescent="0.25">
      <c r="A3493" s="4">
        <f>_xlfn.XLOOKUP(E3493,'Data Validation'!$M$3:$M$10,'Data Validation'!$N$3:$N$10)</f>
        <v>8</v>
      </c>
      <c r="B3493" s="4">
        <v>12</v>
      </c>
      <c r="C3493" s="4" t="s">
        <v>11</v>
      </c>
      <c r="D3493" s="7">
        <v>35.76</v>
      </c>
      <c r="E3493" s="4" t="s">
        <v>12</v>
      </c>
      <c r="F3493" s="4" t="s">
        <v>17</v>
      </c>
      <c r="G3493" s="4" t="s">
        <v>51</v>
      </c>
      <c r="H3493" s="4" t="s">
        <v>44</v>
      </c>
      <c r="I3493" s="5">
        <v>45718</v>
      </c>
      <c r="J3493" s="4">
        <f t="shared" si="54"/>
        <v>32</v>
      </c>
    </row>
    <row r="3494" spans="1:10" x14ac:dyDescent="0.25">
      <c r="A3494" s="4">
        <f>_xlfn.XLOOKUP(E3494,'Data Validation'!$M$3:$M$10,'Data Validation'!$N$3:$N$10)</f>
        <v>8</v>
      </c>
      <c r="B3494" s="4">
        <v>9</v>
      </c>
      <c r="C3494" s="4" t="s">
        <v>11</v>
      </c>
      <c r="D3494" s="7">
        <v>35.76</v>
      </c>
      <c r="E3494" s="4" t="s">
        <v>12</v>
      </c>
      <c r="F3494" s="4" t="s">
        <v>13</v>
      </c>
      <c r="G3494" s="4" t="s">
        <v>45</v>
      </c>
      <c r="H3494" s="4" t="s">
        <v>44</v>
      </c>
      <c r="I3494" s="5">
        <v>45719</v>
      </c>
      <c r="J3494" s="4">
        <f t="shared" si="54"/>
        <v>32</v>
      </c>
    </row>
    <row r="3495" spans="1:10" x14ac:dyDescent="0.25">
      <c r="A3495" s="4">
        <f>_xlfn.XLOOKUP(E3495,'Data Validation'!$M$3:$M$10,'Data Validation'!$N$3:$N$10)</f>
        <v>8</v>
      </c>
      <c r="B3495" s="4">
        <v>15</v>
      </c>
      <c r="C3495" s="4" t="s">
        <v>11</v>
      </c>
      <c r="D3495" s="7">
        <v>35.76</v>
      </c>
      <c r="E3495" s="4" t="s">
        <v>12</v>
      </c>
      <c r="F3495" s="4" t="s">
        <v>17</v>
      </c>
      <c r="G3495" s="4" t="s">
        <v>45</v>
      </c>
      <c r="H3495" s="4" t="s">
        <v>44</v>
      </c>
      <c r="I3495" s="5">
        <v>45719</v>
      </c>
      <c r="J3495" s="4">
        <f t="shared" si="54"/>
        <v>32</v>
      </c>
    </row>
    <row r="3496" spans="1:10" x14ac:dyDescent="0.25">
      <c r="A3496" s="4">
        <f>_xlfn.XLOOKUP(E3496,'Data Validation'!$M$3:$M$10,'Data Validation'!$N$3:$N$10)</f>
        <v>8</v>
      </c>
      <c r="B3496" s="4">
        <v>16</v>
      </c>
      <c r="C3496" s="4" t="s">
        <v>11</v>
      </c>
      <c r="D3496" s="7">
        <v>35.76</v>
      </c>
      <c r="E3496" s="4" t="s">
        <v>12</v>
      </c>
      <c r="F3496" s="4" t="s">
        <v>17</v>
      </c>
      <c r="G3496" s="4" t="s">
        <v>45</v>
      </c>
      <c r="H3496" s="4" t="s">
        <v>44</v>
      </c>
      <c r="I3496" s="5">
        <v>45719</v>
      </c>
      <c r="J3496" s="4">
        <f t="shared" si="54"/>
        <v>32</v>
      </c>
    </row>
    <row r="3497" spans="1:10" x14ac:dyDescent="0.25">
      <c r="A3497" s="4">
        <f>_xlfn.XLOOKUP(E3497,'Data Validation'!$M$3:$M$10,'Data Validation'!$N$3:$N$10)</f>
        <v>8</v>
      </c>
      <c r="B3497" s="4">
        <v>16</v>
      </c>
      <c r="C3497" s="4" t="s">
        <v>11</v>
      </c>
      <c r="D3497" s="7">
        <v>35.76</v>
      </c>
      <c r="E3497" s="4" t="s">
        <v>12</v>
      </c>
      <c r="F3497" s="4" t="s">
        <v>17</v>
      </c>
      <c r="G3497" s="4" t="s">
        <v>45</v>
      </c>
      <c r="H3497" s="4" t="s">
        <v>44</v>
      </c>
      <c r="I3497" s="5">
        <v>45719</v>
      </c>
      <c r="J3497" s="4">
        <f t="shared" si="54"/>
        <v>32</v>
      </c>
    </row>
    <row r="3498" spans="1:10" x14ac:dyDescent="0.25">
      <c r="A3498" s="4">
        <f>_xlfn.XLOOKUP(E3498,'Data Validation'!$M$3:$M$10,'Data Validation'!$N$3:$N$10)</f>
        <v>8</v>
      </c>
      <c r="B3498" s="4">
        <v>18</v>
      </c>
      <c r="C3498" s="4" t="s">
        <v>11</v>
      </c>
      <c r="D3498" s="7">
        <v>35.76</v>
      </c>
      <c r="E3498" s="4" t="s">
        <v>12</v>
      </c>
      <c r="F3498" s="4" t="s">
        <v>20</v>
      </c>
      <c r="G3498" s="4" t="s">
        <v>45</v>
      </c>
      <c r="H3498" s="4" t="s">
        <v>44</v>
      </c>
      <c r="I3498" s="5">
        <v>45719</v>
      </c>
      <c r="J3498" s="4">
        <f t="shared" si="54"/>
        <v>32</v>
      </c>
    </row>
    <row r="3499" spans="1:10" x14ac:dyDescent="0.25">
      <c r="A3499" s="4">
        <f>_xlfn.XLOOKUP(E3499,'Data Validation'!$M$3:$M$10,'Data Validation'!$N$3:$N$10)</f>
        <v>8</v>
      </c>
      <c r="B3499" s="4">
        <v>19</v>
      </c>
      <c r="C3499" s="4" t="s">
        <v>11</v>
      </c>
      <c r="D3499" s="7">
        <v>35.76</v>
      </c>
      <c r="E3499" s="4" t="s">
        <v>12</v>
      </c>
      <c r="F3499" s="4" t="s">
        <v>20</v>
      </c>
      <c r="G3499" s="4" t="s">
        <v>46</v>
      </c>
      <c r="H3499" s="4" t="s">
        <v>44</v>
      </c>
      <c r="I3499" s="5">
        <v>45720</v>
      </c>
      <c r="J3499" s="4">
        <f t="shared" si="54"/>
        <v>32</v>
      </c>
    </row>
    <row r="3500" spans="1:10" x14ac:dyDescent="0.25">
      <c r="A3500" s="4">
        <f>_xlfn.XLOOKUP(E3500,'Data Validation'!$M$3:$M$10,'Data Validation'!$N$3:$N$10)</f>
        <v>8</v>
      </c>
      <c r="B3500" s="4">
        <v>20</v>
      </c>
      <c r="C3500" s="4" t="s">
        <v>11</v>
      </c>
      <c r="D3500" s="7">
        <v>35.76</v>
      </c>
      <c r="E3500" s="4" t="s">
        <v>12</v>
      </c>
      <c r="F3500" s="4" t="s">
        <v>20</v>
      </c>
      <c r="G3500" s="4" t="s">
        <v>46</v>
      </c>
      <c r="H3500" s="4" t="s">
        <v>44</v>
      </c>
      <c r="I3500" s="5">
        <v>45720</v>
      </c>
      <c r="J3500" s="4">
        <f t="shared" si="54"/>
        <v>32</v>
      </c>
    </row>
    <row r="3501" spans="1:10" x14ac:dyDescent="0.25">
      <c r="A3501" s="4">
        <f>_xlfn.XLOOKUP(E3501,'Data Validation'!$M$3:$M$10,'Data Validation'!$N$3:$N$10)</f>
        <v>8</v>
      </c>
      <c r="B3501" s="4">
        <v>15</v>
      </c>
      <c r="C3501" s="4" t="s">
        <v>11</v>
      </c>
      <c r="D3501" s="7">
        <v>35.76</v>
      </c>
      <c r="E3501" s="4" t="s">
        <v>12</v>
      </c>
      <c r="F3501" s="4" t="s">
        <v>17</v>
      </c>
      <c r="G3501" s="4" t="s">
        <v>47</v>
      </c>
      <c r="H3501" s="4" t="s">
        <v>44</v>
      </c>
      <c r="I3501" s="5">
        <v>45721</v>
      </c>
      <c r="J3501" s="4">
        <f t="shared" si="54"/>
        <v>32</v>
      </c>
    </row>
    <row r="3502" spans="1:10" x14ac:dyDescent="0.25">
      <c r="A3502" s="4">
        <f>_xlfn.XLOOKUP(E3502,'Data Validation'!$M$3:$M$10,'Data Validation'!$N$3:$N$10)</f>
        <v>8</v>
      </c>
      <c r="B3502" s="4">
        <v>15</v>
      </c>
      <c r="C3502" s="4" t="s">
        <v>11</v>
      </c>
      <c r="D3502" s="7">
        <v>35.76</v>
      </c>
      <c r="E3502" s="4" t="s">
        <v>12</v>
      </c>
      <c r="F3502" s="4" t="s">
        <v>17</v>
      </c>
      <c r="G3502" s="4" t="s">
        <v>47</v>
      </c>
      <c r="H3502" s="4" t="s">
        <v>44</v>
      </c>
      <c r="I3502" s="5">
        <v>45721</v>
      </c>
      <c r="J3502" s="4">
        <f t="shared" si="54"/>
        <v>32</v>
      </c>
    </row>
    <row r="3503" spans="1:10" x14ac:dyDescent="0.25">
      <c r="A3503" s="4">
        <f>_xlfn.XLOOKUP(E3503,'Data Validation'!$M$3:$M$10,'Data Validation'!$N$3:$N$10)</f>
        <v>8</v>
      </c>
      <c r="B3503" s="4">
        <v>17</v>
      </c>
      <c r="C3503" s="4" t="s">
        <v>11</v>
      </c>
      <c r="D3503" s="7">
        <v>35.76</v>
      </c>
      <c r="E3503" s="4" t="s">
        <v>12</v>
      </c>
      <c r="F3503" s="4" t="s">
        <v>20</v>
      </c>
      <c r="G3503" s="4" t="s">
        <v>47</v>
      </c>
      <c r="H3503" s="4" t="s">
        <v>44</v>
      </c>
      <c r="I3503" s="5">
        <v>45721</v>
      </c>
      <c r="J3503" s="4">
        <f t="shared" si="54"/>
        <v>32</v>
      </c>
    </row>
    <row r="3504" spans="1:10" x14ac:dyDescent="0.25">
      <c r="A3504" s="4">
        <f>_xlfn.XLOOKUP(E3504,'Data Validation'!$M$3:$M$10,'Data Validation'!$N$3:$N$10)</f>
        <v>8</v>
      </c>
      <c r="B3504" s="4">
        <v>13</v>
      </c>
      <c r="C3504" s="4" t="s">
        <v>11</v>
      </c>
      <c r="D3504" s="7">
        <v>35.76</v>
      </c>
      <c r="E3504" s="4" t="s">
        <v>12</v>
      </c>
      <c r="F3504" s="4" t="s">
        <v>17</v>
      </c>
      <c r="G3504" s="4" t="s">
        <v>48</v>
      </c>
      <c r="H3504" s="4" t="s">
        <v>44</v>
      </c>
      <c r="I3504" s="5">
        <v>45722</v>
      </c>
      <c r="J3504" s="4">
        <f t="shared" si="54"/>
        <v>32</v>
      </c>
    </row>
    <row r="3505" spans="1:10" x14ac:dyDescent="0.25">
      <c r="A3505" s="4">
        <f>_xlfn.XLOOKUP(E3505,'Data Validation'!$M$3:$M$10,'Data Validation'!$N$3:$N$10)</f>
        <v>8</v>
      </c>
      <c r="B3505" s="4">
        <v>15</v>
      </c>
      <c r="C3505" s="4" t="s">
        <v>11</v>
      </c>
      <c r="D3505" s="7">
        <v>35.76</v>
      </c>
      <c r="E3505" s="4" t="s">
        <v>12</v>
      </c>
      <c r="F3505" s="4" t="s">
        <v>17</v>
      </c>
      <c r="G3505" s="4" t="s">
        <v>49</v>
      </c>
      <c r="H3505" s="4" t="s">
        <v>44</v>
      </c>
      <c r="I3505" s="5">
        <v>45723</v>
      </c>
      <c r="J3505" s="4">
        <f t="shared" si="54"/>
        <v>32</v>
      </c>
    </row>
    <row r="3506" spans="1:10" x14ac:dyDescent="0.25">
      <c r="A3506" s="4">
        <f>_xlfn.XLOOKUP(E3506,'Data Validation'!$M$3:$M$10,'Data Validation'!$N$3:$N$10)</f>
        <v>8</v>
      </c>
      <c r="B3506" s="4">
        <v>15</v>
      </c>
      <c r="C3506" s="4" t="s">
        <v>11</v>
      </c>
      <c r="D3506" s="7">
        <v>35.76</v>
      </c>
      <c r="E3506" s="4" t="s">
        <v>12</v>
      </c>
      <c r="F3506" s="4" t="s">
        <v>17</v>
      </c>
      <c r="G3506" s="4" t="s">
        <v>49</v>
      </c>
      <c r="H3506" s="4" t="s">
        <v>44</v>
      </c>
      <c r="I3506" s="5">
        <v>45723</v>
      </c>
      <c r="J3506" s="4">
        <f t="shared" si="54"/>
        <v>32</v>
      </c>
    </row>
    <row r="3507" spans="1:10" x14ac:dyDescent="0.25">
      <c r="A3507" s="4">
        <f>_xlfn.XLOOKUP(E3507,'Data Validation'!$M$3:$M$10,'Data Validation'!$N$3:$N$10)</f>
        <v>8</v>
      </c>
      <c r="B3507" s="4">
        <v>17</v>
      </c>
      <c r="C3507" s="4" t="s">
        <v>11</v>
      </c>
      <c r="D3507" s="7">
        <v>35.76</v>
      </c>
      <c r="E3507" s="4" t="s">
        <v>12</v>
      </c>
      <c r="F3507" s="4" t="s">
        <v>20</v>
      </c>
      <c r="G3507" s="4" t="s">
        <v>49</v>
      </c>
      <c r="H3507" s="4" t="s">
        <v>44</v>
      </c>
      <c r="I3507" s="5">
        <v>45723</v>
      </c>
      <c r="J3507" s="4">
        <f t="shared" si="54"/>
        <v>32</v>
      </c>
    </row>
    <row r="3508" spans="1:10" x14ac:dyDescent="0.25">
      <c r="A3508" s="4">
        <f>_xlfn.XLOOKUP(E3508,'Data Validation'!$M$3:$M$10,'Data Validation'!$N$3:$N$10)</f>
        <v>8</v>
      </c>
      <c r="B3508" s="4">
        <v>8</v>
      </c>
      <c r="C3508" s="4" t="s">
        <v>11</v>
      </c>
      <c r="D3508" s="7">
        <v>35.76</v>
      </c>
      <c r="E3508" s="4" t="s">
        <v>12</v>
      </c>
      <c r="F3508" s="4" t="s">
        <v>13</v>
      </c>
      <c r="G3508" s="4" t="s">
        <v>45</v>
      </c>
      <c r="H3508" s="4" t="s">
        <v>44</v>
      </c>
      <c r="I3508" s="5">
        <v>45726</v>
      </c>
      <c r="J3508" s="4">
        <f t="shared" si="54"/>
        <v>32</v>
      </c>
    </row>
    <row r="3509" spans="1:10" x14ac:dyDescent="0.25">
      <c r="A3509" s="4">
        <f>_xlfn.XLOOKUP(E3509,'Data Validation'!$M$3:$M$10,'Data Validation'!$N$3:$N$10)</f>
        <v>8</v>
      </c>
      <c r="B3509" s="4">
        <v>16</v>
      </c>
      <c r="C3509" s="4" t="s">
        <v>11</v>
      </c>
      <c r="D3509" s="7">
        <v>35.76</v>
      </c>
      <c r="E3509" s="4" t="s">
        <v>12</v>
      </c>
      <c r="F3509" s="4" t="s">
        <v>17</v>
      </c>
      <c r="G3509" s="4" t="s">
        <v>45</v>
      </c>
      <c r="H3509" s="4" t="s">
        <v>44</v>
      </c>
      <c r="I3509" s="5">
        <v>45726</v>
      </c>
      <c r="J3509" s="4">
        <f t="shared" si="54"/>
        <v>32</v>
      </c>
    </row>
    <row r="3510" spans="1:10" x14ac:dyDescent="0.25">
      <c r="A3510" s="4">
        <f>_xlfn.XLOOKUP(E3510,'Data Validation'!$M$3:$M$10,'Data Validation'!$N$3:$N$10)</f>
        <v>8</v>
      </c>
      <c r="B3510" s="4">
        <v>16</v>
      </c>
      <c r="C3510" s="4" t="s">
        <v>11</v>
      </c>
      <c r="D3510" s="7">
        <v>35.76</v>
      </c>
      <c r="E3510" s="4" t="s">
        <v>12</v>
      </c>
      <c r="F3510" s="4" t="s">
        <v>17</v>
      </c>
      <c r="G3510" s="4" t="s">
        <v>45</v>
      </c>
      <c r="H3510" s="4" t="s">
        <v>44</v>
      </c>
      <c r="I3510" s="5">
        <v>45726</v>
      </c>
      <c r="J3510" s="4">
        <f t="shared" si="54"/>
        <v>32</v>
      </c>
    </row>
    <row r="3511" spans="1:10" x14ac:dyDescent="0.25">
      <c r="A3511" s="4">
        <f>_xlfn.XLOOKUP(E3511,'Data Validation'!$M$3:$M$10,'Data Validation'!$N$3:$N$10)</f>
        <v>8</v>
      </c>
      <c r="B3511" s="4">
        <v>18</v>
      </c>
      <c r="C3511" s="4" t="s">
        <v>11</v>
      </c>
      <c r="D3511" s="7">
        <v>35.76</v>
      </c>
      <c r="E3511" s="4" t="s">
        <v>12</v>
      </c>
      <c r="F3511" s="4" t="s">
        <v>20</v>
      </c>
      <c r="G3511" s="4" t="s">
        <v>45</v>
      </c>
      <c r="H3511" s="4" t="s">
        <v>44</v>
      </c>
      <c r="I3511" s="5">
        <v>45726</v>
      </c>
      <c r="J3511" s="4">
        <f t="shared" si="54"/>
        <v>32</v>
      </c>
    </row>
    <row r="3512" spans="1:10" x14ac:dyDescent="0.25">
      <c r="A3512" s="4">
        <f>_xlfn.XLOOKUP(E3512,'Data Validation'!$M$3:$M$10,'Data Validation'!$N$3:$N$10)</f>
        <v>8</v>
      </c>
      <c r="B3512" s="4">
        <v>18</v>
      </c>
      <c r="C3512" s="4" t="s">
        <v>11</v>
      </c>
      <c r="D3512" s="7">
        <v>35.76</v>
      </c>
      <c r="E3512" s="4" t="s">
        <v>12</v>
      </c>
      <c r="F3512" s="4" t="s">
        <v>20</v>
      </c>
      <c r="G3512" s="4" t="s">
        <v>45</v>
      </c>
      <c r="H3512" s="4" t="s">
        <v>44</v>
      </c>
      <c r="I3512" s="5">
        <v>45726</v>
      </c>
      <c r="J3512" s="4">
        <f t="shared" si="54"/>
        <v>32</v>
      </c>
    </row>
    <row r="3513" spans="1:10" x14ac:dyDescent="0.25">
      <c r="A3513" s="4">
        <f>_xlfn.XLOOKUP(E3513,'Data Validation'!$M$3:$M$10,'Data Validation'!$N$3:$N$10)</f>
        <v>8</v>
      </c>
      <c r="B3513" s="4">
        <v>9</v>
      </c>
      <c r="C3513" s="4" t="s">
        <v>11</v>
      </c>
      <c r="D3513" s="7">
        <v>35.76</v>
      </c>
      <c r="E3513" s="4" t="s">
        <v>12</v>
      </c>
      <c r="F3513" s="4" t="s">
        <v>13</v>
      </c>
      <c r="G3513" s="4" t="s">
        <v>46</v>
      </c>
      <c r="H3513" s="4" t="s">
        <v>44</v>
      </c>
      <c r="I3513" s="5">
        <v>45727</v>
      </c>
      <c r="J3513" s="4">
        <f t="shared" si="54"/>
        <v>32</v>
      </c>
    </row>
    <row r="3514" spans="1:10" x14ac:dyDescent="0.25">
      <c r="A3514" s="4">
        <f>_xlfn.XLOOKUP(E3514,'Data Validation'!$M$3:$M$10,'Data Validation'!$N$3:$N$10)</f>
        <v>8</v>
      </c>
      <c r="B3514" s="4">
        <v>19</v>
      </c>
      <c r="C3514" s="4" t="s">
        <v>11</v>
      </c>
      <c r="D3514" s="7">
        <v>35.76</v>
      </c>
      <c r="E3514" s="4" t="s">
        <v>12</v>
      </c>
      <c r="F3514" s="4" t="s">
        <v>20</v>
      </c>
      <c r="G3514" s="4" t="s">
        <v>46</v>
      </c>
      <c r="H3514" s="4" t="s">
        <v>44</v>
      </c>
      <c r="I3514" s="5">
        <v>45727</v>
      </c>
      <c r="J3514" s="4">
        <f t="shared" si="54"/>
        <v>32</v>
      </c>
    </row>
    <row r="3515" spans="1:10" x14ac:dyDescent="0.25">
      <c r="A3515" s="4">
        <f>_xlfn.XLOOKUP(E3515,'Data Validation'!$M$3:$M$10,'Data Validation'!$N$3:$N$10)</f>
        <v>8</v>
      </c>
      <c r="B3515" s="4">
        <v>13</v>
      </c>
      <c r="C3515" s="4" t="s">
        <v>11</v>
      </c>
      <c r="D3515" s="7">
        <v>35.76</v>
      </c>
      <c r="E3515" s="4" t="s">
        <v>12</v>
      </c>
      <c r="F3515" s="4" t="s">
        <v>17</v>
      </c>
      <c r="G3515" s="4" t="s">
        <v>47</v>
      </c>
      <c r="H3515" s="4" t="s">
        <v>44</v>
      </c>
      <c r="I3515" s="5">
        <v>45728</v>
      </c>
      <c r="J3515" s="4">
        <f t="shared" si="54"/>
        <v>32</v>
      </c>
    </row>
    <row r="3516" spans="1:10" x14ac:dyDescent="0.25">
      <c r="A3516" s="4">
        <f>_xlfn.XLOOKUP(E3516,'Data Validation'!$M$3:$M$10,'Data Validation'!$N$3:$N$10)</f>
        <v>8</v>
      </c>
      <c r="B3516" s="4">
        <v>13</v>
      </c>
      <c r="C3516" s="4" t="s">
        <v>11</v>
      </c>
      <c r="D3516" s="7">
        <v>35.76</v>
      </c>
      <c r="E3516" s="4" t="s">
        <v>12</v>
      </c>
      <c r="F3516" s="4" t="s">
        <v>17</v>
      </c>
      <c r="G3516" s="4" t="s">
        <v>47</v>
      </c>
      <c r="H3516" s="4" t="s">
        <v>44</v>
      </c>
      <c r="I3516" s="5">
        <v>45728</v>
      </c>
      <c r="J3516" s="4">
        <f t="shared" si="54"/>
        <v>32</v>
      </c>
    </row>
    <row r="3517" spans="1:10" x14ac:dyDescent="0.25">
      <c r="A3517" s="4">
        <f>_xlfn.XLOOKUP(E3517,'Data Validation'!$M$3:$M$10,'Data Validation'!$N$3:$N$10)</f>
        <v>8</v>
      </c>
      <c r="B3517" s="4">
        <v>16</v>
      </c>
      <c r="C3517" s="4" t="s">
        <v>11</v>
      </c>
      <c r="D3517" s="7">
        <v>35.76</v>
      </c>
      <c r="E3517" s="4" t="s">
        <v>12</v>
      </c>
      <c r="F3517" s="4" t="s">
        <v>17</v>
      </c>
      <c r="G3517" s="4" t="s">
        <v>47</v>
      </c>
      <c r="H3517" s="4" t="s">
        <v>44</v>
      </c>
      <c r="I3517" s="5">
        <v>45728</v>
      </c>
      <c r="J3517" s="4">
        <f t="shared" si="54"/>
        <v>32</v>
      </c>
    </row>
    <row r="3518" spans="1:10" x14ac:dyDescent="0.25">
      <c r="A3518" s="4">
        <f>_xlfn.XLOOKUP(E3518,'Data Validation'!$M$3:$M$10,'Data Validation'!$N$3:$N$10)</f>
        <v>8</v>
      </c>
      <c r="B3518" s="4">
        <v>16</v>
      </c>
      <c r="C3518" s="4" t="s">
        <v>11</v>
      </c>
      <c r="D3518" s="7">
        <v>35.76</v>
      </c>
      <c r="E3518" s="4" t="s">
        <v>12</v>
      </c>
      <c r="F3518" s="4" t="s">
        <v>17</v>
      </c>
      <c r="G3518" s="4" t="s">
        <v>47</v>
      </c>
      <c r="H3518" s="4" t="s">
        <v>44</v>
      </c>
      <c r="I3518" s="5">
        <v>45728</v>
      </c>
      <c r="J3518" s="4">
        <f t="shared" si="54"/>
        <v>32</v>
      </c>
    </row>
    <row r="3519" spans="1:10" x14ac:dyDescent="0.25">
      <c r="A3519" s="4">
        <f>_xlfn.XLOOKUP(E3519,'Data Validation'!$M$3:$M$10,'Data Validation'!$N$3:$N$10)</f>
        <v>8</v>
      </c>
      <c r="B3519" s="4">
        <v>9</v>
      </c>
      <c r="C3519" s="4" t="s">
        <v>11</v>
      </c>
      <c r="D3519" s="7">
        <v>35.76</v>
      </c>
      <c r="E3519" s="4" t="s">
        <v>12</v>
      </c>
      <c r="F3519" s="4" t="s">
        <v>13</v>
      </c>
      <c r="G3519" s="4" t="s">
        <v>48</v>
      </c>
      <c r="H3519" s="4" t="s">
        <v>44</v>
      </c>
      <c r="I3519" s="5">
        <v>45729</v>
      </c>
      <c r="J3519" s="4">
        <f t="shared" si="54"/>
        <v>32</v>
      </c>
    </row>
    <row r="3520" spans="1:10" x14ac:dyDescent="0.25">
      <c r="A3520" s="4">
        <f>_xlfn.XLOOKUP(E3520,'Data Validation'!$M$3:$M$10,'Data Validation'!$N$3:$N$10)</f>
        <v>8</v>
      </c>
      <c r="B3520" s="4">
        <v>12</v>
      </c>
      <c r="C3520" s="4" t="s">
        <v>11</v>
      </c>
      <c r="D3520" s="7">
        <v>35.76</v>
      </c>
      <c r="E3520" s="4" t="s">
        <v>12</v>
      </c>
      <c r="F3520" s="4" t="s">
        <v>17</v>
      </c>
      <c r="G3520" s="4" t="s">
        <v>48</v>
      </c>
      <c r="H3520" s="4" t="s">
        <v>44</v>
      </c>
      <c r="I3520" s="5">
        <v>45729</v>
      </c>
      <c r="J3520" s="4">
        <f t="shared" si="54"/>
        <v>32</v>
      </c>
    </row>
    <row r="3521" spans="1:10" x14ac:dyDescent="0.25">
      <c r="A3521" s="4">
        <f>_xlfn.XLOOKUP(E3521,'Data Validation'!$M$3:$M$10,'Data Validation'!$N$3:$N$10)</f>
        <v>8</v>
      </c>
      <c r="B3521" s="4">
        <v>9</v>
      </c>
      <c r="C3521" s="4" t="s">
        <v>11</v>
      </c>
      <c r="D3521" s="7">
        <v>35.76</v>
      </c>
      <c r="E3521" s="4" t="s">
        <v>12</v>
      </c>
      <c r="F3521" s="4" t="s">
        <v>13</v>
      </c>
      <c r="G3521" s="4" t="s">
        <v>49</v>
      </c>
      <c r="H3521" s="4" t="s">
        <v>44</v>
      </c>
      <c r="I3521" s="5">
        <v>45730</v>
      </c>
      <c r="J3521" s="4">
        <f t="shared" si="54"/>
        <v>32</v>
      </c>
    </row>
    <row r="3522" spans="1:10" x14ac:dyDescent="0.25">
      <c r="A3522" s="4">
        <f>_xlfn.XLOOKUP(E3522,'Data Validation'!$M$3:$M$10,'Data Validation'!$N$3:$N$10)</f>
        <v>8</v>
      </c>
      <c r="B3522" s="4">
        <v>10</v>
      </c>
      <c r="C3522" s="4" t="s">
        <v>11</v>
      </c>
      <c r="D3522" s="7">
        <v>35.76</v>
      </c>
      <c r="E3522" s="4" t="s">
        <v>12</v>
      </c>
      <c r="F3522" s="4" t="s">
        <v>13</v>
      </c>
      <c r="G3522" s="4" t="s">
        <v>49</v>
      </c>
      <c r="H3522" s="4" t="s">
        <v>44</v>
      </c>
      <c r="I3522" s="5">
        <v>45730</v>
      </c>
      <c r="J3522" s="4">
        <f t="shared" si="54"/>
        <v>32</v>
      </c>
    </row>
    <row r="3523" spans="1:10" x14ac:dyDescent="0.25">
      <c r="A3523" s="4">
        <f>_xlfn.XLOOKUP(E3523,'Data Validation'!$M$3:$M$10,'Data Validation'!$N$3:$N$10)</f>
        <v>8</v>
      </c>
      <c r="B3523" s="4">
        <v>14</v>
      </c>
      <c r="C3523" s="4" t="s">
        <v>11</v>
      </c>
      <c r="D3523" s="7">
        <v>35.76</v>
      </c>
      <c r="E3523" s="4" t="s">
        <v>12</v>
      </c>
      <c r="F3523" s="4" t="s">
        <v>17</v>
      </c>
      <c r="G3523" s="4" t="s">
        <v>49</v>
      </c>
      <c r="H3523" s="4" t="s">
        <v>44</v>
      </c>
      <c r="I3523" s="5">
        <v>45730</v>
      </c>
      <c r="J3523" s="4">
        <f t="shared" ref="J3523:J3548" si="55">IF(OR(E3523&lt;&gt;E3522,D3523&lt;&gt;D3522),J3522+1,J3522)</f>
        <v>32</v>
      </c>
    </row>
    <row r="3524" spans="1:10" x14ac:dyDescent="0.25">
      <c r="A3524" s="4">
        <f>_xlfn.XLOOKUP(E3524,'Data Validation'!$M$3:$M$10,'Data Validation'!$N$3:$N$10)</f>
        <v>8</v>
      </c>
      <c r="B3524" s="4">
        <v>15</v>
      </c>
      <c r="C3524" s="4" t="s">
        <v>11</v>
      </c>
      <c r="D3524" s="7">
        <v>35.76</v>
      </c>
      <c r="E3524" s="4" t="s">
        <v>12</v>
      </c>
      <c r="F3524" s="4" t="s">
        <v>17</v>
      </c>
      <c r="G3524" s="4" t="s">
        <v>49</v>
      </c>
      <c r="H3524" s="4" t="s">
        <v>44</v>
      </c>
      <c r="I3524" s="5">
        <v>45730</v>
      </c>
      <c r="J3524" s="4">
        <f t="shared" si="55"/>
        <v>32</v>
      </c>
    </row>
    <row r="3525" spans="1:10" x14ac:dyDescent="0.25">
      <c r="A3525" s="4">
        <f>_xlfn.XLOOKUP(E3525,'Data Validation'!$M$3:$M$10,'Data Validation'!$N$3:$N$10)</f>
        <v>8</v>
      </c>
      <c r="B3525" s="4">
        <v>15</v>
      </c>
      <c r="C3525" s="4" t="s">
        <v>11</v>
      </c>
      <c r="D3525" s="7">
        <v>35.76</v>
      </c>
      <c r="E3525" s="4" t="s">
        <v>12</v>
      </c>
      <c r="F3525" s="4" t="s">
        <v>17</v>
      </c>
      <c r="G3525" s="4" t="s">
        <v>49</v>
      </c>
      <c r="H3525" s="4" t="s">
        <v>44</v>
      </c>
      <c r="I3525" s="5">
        <v>45730</v>
      </c>
      <c r="J3525" s="4">
        <f t="shared" si="55"/>
        <v>32</v>
      </c>
    </row>
    <row r="3526" spans="1:10" x14ac:dyDescent="0.25">
      <c r="A3526" s="4">
        <f>_xlfn.XLOOKUP(E3526,'Data Validation'!$M$3:$M$10,'Data Validation'!$N$3:$N$10)</f>
        <v>8</v>
      </c>
      <c r="B3526" s="4">
        <v>17</v>
      </c>
      <c r="C3526" s="4" t="s">
        <v>11</v>
      </c>
      <c r="D3526" s="7">
        <v>35.76</v>
      </c>
      <c r="E3526" s="4" t="s">
        <v>12</v>
      </c>
      <c r="F3526" s="4" t="s">
        <v>20</v>
      </c>
      <c r="G3526" s="4" t="s">
        <v>49</v>
      </c>
      <c r="H3526" s="4" t="s">
        <v>44</v>
      </c>
      <c r="I3526" s="5">
        <v>45730</v>
      </c>
      <c r="J3526" s="4">
        <f t="shared" si="55"/>
        <v>32</v>
      </c>
    </row>
    <row r="3527" spans="1:10" x14ac:dyDescent="0.25">
      <c r="A3527" s="4">
        <f>_xlfn.XLOOKUP(E3527,'Data Validation'!$M$3:$M$10,'Data Validation'!$N$3:$N$10)</f>
        <v>8</v>
      </c>
      <c r="B3527" s="4">
        <v>17</v>
      </c>
      <c r="C3527" s="4" t="s">
        <v>11</v>
      </c>
      <c r="D3527" s="7">
        <v>35.76</v>
      </c>
      <c r="E3527" s="4" t="s">
        <v>12</v>
      </c>
      <c r="F3527" s="4" t="s">
        <v>20</v>
      </c>
      <c r="G3527" s="4" t="s">
        <v>49</v>
      </c>
      <c r="H3527" s="4" t="s">
        <v>44</v>
      </c>
      <c r="I3527" s="5">
        <v>45730</v>
      </c>
      <c r="J3527" s="4">
        <f t="shared" si="55"/>
        <v>32</v>
      </c>
    </row>
    <row r="3528" spans="1:10" x14ac:dyDescent="0.25">
      <c r="A3528" s="4">
        <f>_xlfn.XLOOKUP(E3528,'Data Validation'!$M$3:$M$10,'Data Validation'!$N$3:$N$10)</f>
        <v>8</v>
      </c>
      <c r="B3528" s="4">
        <v>10</v>
      </c>
      <c r="C3528" s="4" t="s">
        <v>11</v>
      </c>
      <c r="D3528" s="7">
        <v>35.76</v>
      </c>
      <c r="E3528" s="4" t="s">
        <v>12</v>
      </c>
      <c r="F3528" s="4" t="s">
        <v>13</v>
      </c>
      <c r="G3528" s="4" t="s">
        <v>51</v>
      </c>
      <c r="H3528" s="4" t="s">
        <v>44</v>
      </c>
      <c r="I3528" s="5">
        <v>45732</v>
      </c>
      <c r="J3528" s="4">
        <f t="shared" si="55"/>
        <v>32</v>
      </c>
    </row>
    <row r="3529" spans="1:10" x14ac:dyDescent="0.25">
      <c r="A3529" s="4">
        <f>_xlfn.XLOOKUP(E3529,'Data Validation'!$M$3:$M$10,'Data Validation'!$N$3:$N$10)</f>
        <v>8</v>
      </c>
      <c r="B3529" s="4">
        <v>14</v>
      </c>
      <c r="C3529" s="4" t="s">
        <v>11</v>
      </c>
      <c r="D3529" s="7">
        <v>35.76</v>
      </c>
      <c r="E3529" s="4" t="s">
        <v>12</v>
      </c>
      <c r="F3529" s="4" t="s">
        <v>17</v>
      </c>
      <c r="G3529" s="4" t="s">
        <v>45</v>
      </c>
      <c r="H3529" s="4" t="s">
        <v>44</v>
      </c>
      <c r="I3529" s="5">
        <v>45733</v>
      </c>
      <c r="J3529" s="4">
        <f t="shared" si="55"/>
        <v>32</v>
      </c>
    </row>
    <row r="3530" spans="1:10" x14ac:dyDescent="0.25">
      <c r="A3530" s="4">
        <f>_xlfn.XLOOKUP(E3530,'Data Validation'!$M$3:$M$10,'Data Validation'!$N$3:$N$10)</f>
        <v>8</v>
      </c>
      <c r="B3530" s="4">
        <v>15</v>
      </c>
      <c r="C3530" s="4" t="s">
        <v>11</v>
      </c>
      <c r="D3530" s="7">
        <v>35.76</v>
      </c>
      <c r="E3530" s="4" t="s">
        <v>12</v>
      </c>
      <c r="F3530" s="4" t="s">
        <v>17</v>
      </c>
      <c r="G3530" s="4" t="s">
        <v>45</v>
      </c>
      <c r="H3530" s="4" t="s">
        <v>44</v>
      </c>
      <c r="I3530" s="5">
        <v>45733</v>
      </c>
      <c r="J3530" s="4">
        <f t="shared" si="55"/>
        <v>32</v>
      </c>
    </row>
    <row r="3531" spans="1:10" x14ac:dyDescent="0.25">
      <c r="A3531" s="4">
        <f>_xlfn.XLOOKUP(E3531,'Data Validation'!$M$3:$M$10,'Data Validation'!$N$3:$N$10)</f>
        <v>8</v>
      </c>
      <c r="B3531" s="4">
        <v>15</v>
      </c>
      <c r="C3531" s="4" t="s">
        <v>11</v>
      </c>
      <c r="D3531" s="7">
        <v>35.76</v>
      </c>
      <c r="E3531" s="4" t="s">
        <v>12</v>
      </c>
      <c r="F3531" s="4" t="s">
        <v>17</v>
      </c>
      <c r="G3531" s="4" t="s">
        <v>45</v>
      </c>
      <c r="H3531" s="4" t="s">
        <v>44</v>
      </c>
      <c r="I3531" s="5">
        <v>45733</v>
      </c>
      <c r="J3531" s="4">
        <f t="shared" si="55"/>
        <v>32</v>
      </c>
    </row>
    <row r="3532" spans="1:10" x14ac:dyDescent="0.25">
      <c r="A3532" s="4">
        <f>_xlfn.XLOOKUP(E3532,'Data Validation'!$M$3:$M$10,'Data Validation'!$N$3:$N$10)</f>
        <v>8</v>
      </c>
      <c r="B3532" s="4">
        <v>8</v>
      </c>
      <c r="C3532" s="4" t="s">
        <v>11</v>
      </c>
      <c r="D3532" s="7">
        <v>35.76</v>
      </c>
      <c r="E3532" s="4" t="s">
        <v>12</v>
      </c>
      <c r="F3532" s="4" t="s">
        <v>13</v>
      </c>
      <c r="G3532" s="4" t="s">
        <v>46</v>
      </c>
      <c r="H3532" s="4" t="s">
        <v>44</v>
      </c>
      <c r="I3532" s="5">
        <v>45734</v>
      </c>
      <c r="J3532" s="4">
        <f t="shared" si="55"/>
        <v>32</v>
      </c>
    </row>
    <row r="3533" spans="1:10" x14ac:dyDescent="0.25">
      <c r="A3533" s="4">
        <f>_xlfn.XLOOKUP(E3533,'Data Validation'!$M$3:$M$10,'Data Validation'!$N$3:$N$10)</f>
        <v>8</v>
      </c>
      <c r="B3533" s="4">
        <v>10</v>
      </c>
      <c r="C3533" s="4" t="s">
        <v>11</v>
      </c>
      <c r="D3533" s="7">
        <v>35.76</v>
      </c>
      <c r="E3533" s="4" t="s">
        <v>12</v>
      </c>
      <c r="F3533" s="4" t="s">
        <v>13</v>
      </c>
      <c r="G3533" s="4" t="s">
        <v>46</v>
      </c>
      <c r="H3533" s="4" t="s">
        <v>44</v>
      </c>
      <c r="I3533" s="5">
        <v>45734</v>
      </c>
      <c r="J3533" s="4">
        <f t="shared" si="55"/>
        <v>32</v>
      </c>
    </row>
    <row r="3534" spans="1:10" x14ac:dyDescent="0.25">
      <c r="A3534" s="4">
        <f>_xlfn.XLOOKUP(E3534,'Data Validation'!$M$3:$M$10,'Data Validation'!$N$3:$N$10)</f>
        <v>8</v>
      </c>
      <c r="B3534" s="4">
        <v>16</v>
      </c>
      <c r="C3534" s="4" t="s">
        <v>11</v>
      </c>
      <c r="D3534" s="7">
        <v>35.76</v>
      </c>
      <c r="E3534" s="4" t="s">
        <v>12</v>
      </c>
      <c r="F3534" s="4" t="s">
        <v>17</v>
      </c>
      <c r="G3534" s="4" t="s">
        <v>46</v>
      </c>
      <c r="H3534" s="4" t="s">
        <v>44</v>
      </c>
      <c r="I3534" s="5">
        <v>45734</v>
      </c>
      <c r="J3534" s="4">
        <f t="shared" si="55"/>
        <v>32</v>
      </c>
    </row>
    <row r="3535" spans="1:10" x14ac:dyDescent="0.25">
      <c r="A3535" s="4">
        <f>_xlfn.XLOOKUP(E3535,'Data Validation'!$M$3:$M$10,'Data Validation'!$N$3:$N$10)</f>
        <v>8</v>
      </c>
      <c r="B3535" s="4">
        <v>21</v>
      </c>
      <c r="C3535" s="4" t="s">
        <v>11</v>
      </c>
      <c r="D3535" s="7">
        <v>35.76</v>
      </c>
      <c r="E3535" s="4" t="s">
        <v>12</v>
      </c>
      <c r="F3535" s="4" t="s">
        <v>20</v>
      </c>
      <c r="G3535" s="4" t="s">
        <v>46</v>
      </c>
      <c r="H3535" s="4" t="s">
        <v>44</v>
      </c>
      <c r="I3535" s="5">
        <v>45734</v>
      </c>
      <c r="J3535" s="4">
        <f t="shared" si="55"/>
        <v>32</v>
      </c>
    </row>
    <row r="3536" spans="1:10" x14ac:dyDescent="0.25">
      <c r="A3536" s="4">
        <f>_xlfn.XLOOKUP(E3536,'Data Validation'!$M$3:$M$10,'Data Validation'!$N$3:$N$10)</f>
        <v>8</v>
      </c>
      <c r="B3536" s="4">
        <v>15</v>
      </c>
      <c r="C3536" s="4" t="s">
        <v>11</v>
      </c>
      <c r="D3536" s="7">
        <v>35.76</v>
      </c>
      <c r="E3536" s="4" t="s">
        <v>12</v>
      </c>
      <c r="F3536" s="4" t="s">
        <v>17</v>
      </c>
      <c r="G3536" s="4" t="s">
        <v>47</v>
      </c>
      <c r="H3536" s="4" t="s">
        <v>44</v>
      </c>
      <c r="I3536" s="5">
        <v>45735</v>
      </c>
      <c r="J3536" s="4">
        <f t="shared" si="55"/>
        <v>32</v>
      </c>
    </row>
    <row r="3537" spans="1:10" x14ac:dyDescent="0.25">
      <c r="A3537" s="4">
        <f>_xlfn.XLOOKUP(E3537,'Data Validation'!$M$3:$M$10,'Data Validation'!$N$3:$N$10)</f>
        <v>8</v>
      </c>
      <c r="B3537" s="4">
        <v>15</v>
      </c>
      <c r="C3537" s="4" t="s">
        <v>11</v>
      </c>
      <c r="D3537" s="7">
        <v>35.76</v>
      </c>
      <c r="E3537" s="4" t="s">
        <v>12</v>
      </c>
      <c r="F3537" s="4" t="s">
        <v>17</v>
      </c>
      <c r="G3537" s="4" t="s">
        <v>47</v>
      </c>
      <c r="H3537" s="4" t="s">
        <v>44</v>
      </c>
      <c r="I3537" s="5">
        <v>45735</v>
      </c>
      <c r="J3537" s="4">
        <f t="shared" si="55"/>
        <v>32</v>
      </c>
    </row>
    <row r="3538" spans="1:10" x14ac:dyDescent="0.25">
      <c r="A3538" s="4">
        <f>_xlfn.XLOOKUP(E3538,'Data Validation'!$M$3:$M$10,'Data Validation'!$N$3:$N$10)</f>
        <v>8</v>
      </c>
      <c r="B3538" s="4">
        <v>16</v>
      </c>
      <c r="C3538" s="4" t="s">
        <v>11</v>
      </c>
      <c r="D3538" s="7">
        <v>35.76</v>
      </c>
      <c r="E3538" s="4" t="s">
        <v>12</v>
      </c>
      <c r="F3538" s="4" t="s">
        <v>17</v>
      </c>
      <c r="G3538" s="4" t="s">
        <v>47</v>
      </c>
      <c r="H3538" s="4" t="s">
        <v>44</v>
      </c>
      <c r="I3538" s="5">
        <v>45735</v>
      </c>
      <c r="J3538" s="4">
        <f t="shared" si="55"/>
        <v>32</v>
      </c>
    </row>
    <row r="3539" spans="1:10" x14ac:dyDescent="0.25">
      <c r="A3539" s="4">
        <f>_xlfn.XLOOKUP(E3539,'Data Validation'!$M$3:$M$10,'Data Validation'!$N$3:$N$10)</f>
        <v>8</v>
      </c>
      <c r="B3539" s="4">
        <v>21</v>
      </c>
      <c r="C3539" s="4" t="s">
        <v>11</v>
      </c>
      <c r="D3539" s="7">
        <v>35.76</v>
      </c>
      <c r="E3539" s="4" t="s">
        <v>12</v>
      </c>
      <c r="F3539" s="4" t="s">
        <v>20</v>
      </c>
      <c r="G3539" s="4" t="s">
        <v>48</v>
      </c>
      <c r="H3539" s="4" t="s">
        <v>44</v>
      </c>
      <c r="I3539" s="5">
        <v>45736</v>
      </c>
      <c r="J3539" s="4">
        <f t="shared" si="55"/>
        <v>32</v>
      </c>
    </row>
    <row r="3540" spans="1:10" x14ac:dyDescent="0.25">
      <c r="A3540" s="4">
        <f>_xlfn.XLOOKUP(E3540,'Data Validation'!$M$3:$M$10,'Data Validation'!$N$3:$N$10)</f>
        <v>8</v>
      </c>
      <c r="B3540" s="4">
        <v>11</v>
      </c>
      <c r="C3540" s="4" t="s">
        <v>11</v>
      </c>
      <c r="D3540" s="7">
        <v>35.76</v>
      </c>
      <c r="E3540" s="4" t="s">
        <v>12</v>
      </c>
      <c r="F3540" s="4" t="s">
        <v>13</v>
      </c>
      <c r="G3540" s="4" t="s">
        <v>49</v>
      </c>
      <c r="H3540" s="4" t="s">
        <v>44</v>
      </c>
      <c r="I3540" s="5">
        <v>45737</v>
      </c>
      <c r="J3540" s="4">
        <f t="shared" si="55"/>
        <v>32</v>
      </c>
    </row>
    <row r="3541" spans="1:10" x14ac:dyDescent="0.25">
      <c r="A3541" s="4">
        <f>_xlfn.XLOOKUP(E3541,'Data Validation'!$M$3:$M$10,'Data Validation'!$N$3:$N$10)</f>
        <v>8</v>
      </c>
      <c r="B3541" s="4">
        <v>13</v>
      </c>
      <c r="C3541" s="4" t="s">
        <v>11</v>
      </c>
      <c r="D3541" s="7">
        <v>35.76</v>
      </c>
      <c r="E3541" s="4" t="s">
        <v>12</v>
      </c>
      <c r="F3541" s="4" t="s">
        <v>17</v>
      </c>
      <c r="G3541" s="4" t="s">
        <v>49</v>
      </c>
      <c r="H3541" s="4" t="s">
        <v>44</v>
      </c>
      <c r="I3541" s="5">
        <v>45737</v>
      </c>
      <c r="J3541" s="4">
        <f t="shared" si="55"/>
        <v>32</v>
      </c>
    </row>
    <row r="3542" spans="1:10" x14ac:dyDescent="0.25">
      <c r="A3542" s="4">
        <f>_xlfn.XLOOKUP(E3542,'Data Validation'!$M$3:$M$10,'Data Validation'!$N$3:$N$10)</f>
        <v>8</v>
      </c>
      <c r="B3542" s="4">
        <v>15</v>
      </c>
      <c r="C3542" s="4" t="s">
        <v>11</v>
      </c>
      <c r="D3542" s="7">
        <v>35.76</v>
      </c>
      <c r="E3542" s="4" t="s">
        <v>12</v>
      </c>
      <c r="F3542" s="4" t="s">
        <v>17</v>
      </c>
      <c r="G3542" s="4" t="s">
        <v>49</v>
      </c>
      <c r="H3542" s="4" t="s">
        <v>44</v>
      </c>
      <c r="I3542" s="5">
        <v>45737</v>
      </c>
      <c r="J3542" s="4">
        <f t="shared" si="55"/>
        <v>32</v>
      </c>
    </row>
    <row r="3543" spans="1:10" x14ac:dyDescent="0.25">
      <c r="A3543" s="4">
        <f>_xlfn.XLOOKUP(E3543,'Data Validation'!$M$3:$M$10,'Data Validation'!$N$3:$N$10)</f>
        <v>8</v>
      </c>
      <c r="B3543" s="4">
        <v>17</v>
      </c>
      <c r="C3543" s="4" t="s">
        <v>11</v>
      </c>
      <c r="D3543" s="7">
        <v>35.76</v>
      </c>
      <c r="E3543" s="4" t="s">
        <v>12</v>
      </c>
      <c r="F3543" s="4" t="s">
        <v>20</v>
      </c>
      <c r="G3543" s="4" t="s">
        <v>49</v>
      </c>
      <c r="H3543" s="4" t="s">
        <v>44</v>
      </c>
      <c r="I3543" s="5">
        <v>45737</v>
      </c>
      <c r="J3543" s="4">
        <f t="shared" si="55"/>
        <v>32</v>
      </c>
    </row>
    <row r="3544" spans="1:10" x14ac:dyDescent="0.25">
      <c r="A3544" s="4">
        <f>_xlfn.XLOOKUP(E3544,'Data Validation'!$M$3:$M$10,'Data Validation'!$N$3:$N$10)</f>
        <v>8</v>
      </c>
      <c r="B3544" s="4">
        <v>17</v>
      </c>
      <c r="C3544" s="4" t="s">
        <v>11</v>
      </c>
      <c r="D3544" s="7">
        <v>35.76</v>
      </c>
      <c r="E3544" s="4" t="s">
        <v>12</v>
      </c>
      <c r="F3544" s="4" t="s">
        <v>20</v>
      </c>
      <c r="G3544" s="4" t="s">
        <v>49</v>
      </c>
      <c r="H3544" s="4" t="s">
        <v>44</v>
      </c>
      <c r="I3544" s="5">
        <v>45737</v>
      </c>
      <c r="J3544" s="4">
        <f t="shared" si="55"/>
        <v>32</v>
      </c>
    </row>
    <row r="3545" spans="1:10" x14ac:dyDescent="0.25">
      <c r="A3545" s="4">
        <f>_xlfn.XLOOKUP(E3545,'Data Validation'!$M$3:$M$10,'Data Validation'!$N$3:$N$10)</f>
        <v>8</v>
      </c>
      <c r="B3545" s="4">
        <v>18</v>
      </c>
      <c r="C3545" s="4" t="s">
        <v>11</v>
      </c>
      <c r="D3545" s="7">
        <v>35.76</v>
      </c>
      <c r="E3545" s="4" t="s">
        <v>12</v>
      </c>
      <c r="F3545" s="4" t="s">
        <v>20</v>
      </c>
      <c r="G3545" s="4" t="s">
        <v>49</v>
      </c>
      <c r="H3545" s="4" t="s">
        <v>44</v>
      </c>
      <c r="I3545" s="5">
        <v>45737</v>
      </c>
      <c r="J3545" s="4">
        <f t="shared" si="55"/>
        <v>32</v>
      </c>
    </row>
    <row r="3546" spans="1:10" x14ac:dyDescent="0.25">
      <c r="A3546" s="4">
        <f>_xlfn.XLOOKUP(E3546,'Data Validation'!$M$3:$M$10,'Data Validation'!$N$3:$N$10)</f>
        <v>8</v>
      </c>
      <c r="B3546" s="4">
        <v>16</v>
      </c>
      <c r="C3546" s="4" t="s">
        <v>11</v>
      </c>
      <c r="D3546" s="7">
        <v>35.76</v>
      </c>
      <c r="E3546" s="4" t="s">
        <v>12</v>
      </c>
      <c r="F3546" s="4" t="s">
        <v>17</v>
      </c>
      <c r="G3546" s="4" t="s">
        <v>50</v>
      </c>
      <c r="H3546" s="4" t="s">
        <v>44</v>
      </c>
      <c r="I3546" s="5">
        <v>45738</v>
      </c>
      <c r="J3546" s="4">
        <f t="shared" si="55"/>
        <v>32</v>
      </c>
    </row>
    <row r="3547" spans="1:10" x14ac:dyDescent="0.25">
      <c r="A3547" s="4">
        <f>_xlfn.XLOOKUP(E3547,'Data Validation'!$M$3:$M$10,'Data Validation'!$N$3:$N$10)</f>
        <v>8</v>
      </c>
      <c r="B3547" s="4">
        <v>10</v>
      </c>
      <c r="C3547" s="4" t="s">
        <v>11</v>
      </c>
      <c r="D3547" s="7">
        <v>35.76</v>
      </c>
      <c r="E3547" s="4" t="s">
        <v>12</v>
      </c>
      <c r="F3547" s="4" t="s">
        <v>13</v>
      </c>
      <c r="G3547" s="4" t="s">
        <v>51</v>
      </c>
      <c r="H3547" s="4" t="s">
        <v>44</v>
      </c>
      <c r="I3547" s="5">
        <v>45739</v>
      </c>
      <c r="J3547" s="4">
        <f t="shared" si="55"/>
        <v>32</v>
      </c>
    </row>
    <row r="3548" spans="1:10" x14ac:dyDescent="0.25">
      <c r="A3548" s="4">
        <f>_xlfn.XLOOKUP(E3548,'Data Validation'!$M$3:$M$10,'Data Validation'!$N$3:$N$10)</f>
        <v>8</v>
      </c>
      <c r="B3548" s="4">
        <v>18</v>
      </c>
      <c r="C3548" s="4" t="s">
        <v>11</v>
      </c>
      <c r="D3548" s="7">
        <v>35.76</v>
      </c>
      <c r="E3548" s="4" t="s">
        <v>12</v>
      </c>
      <c r="F3548" s="4" t="s">
        <v>20</v>
      </c>
      <c r="G3548" s="4" t="s">
        <v>51</v>
      </c>
      <c r="H3548" s="4" t="s">
        <v>44</v>
      </c>
      <c r="I3548" s="5">
        <v>45739</v>
      </c>
      <c r="J3548" s="4">
        <f t="shared" si="55"/>
        <v>32</v>
      </c>
    </row>
  </sheetData>
  <sheetProtection sheet="1" objects="1" scenarios="1" selectLockedCells="1" selectUnlockedCells="1"/>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2D381-70EA-410C-BD26-BC672A418497}">
  <dimension ref="A1:K3429"/>
  <sheetViews>
    <sheetView workbookViewId="0">
      <selection activeCell="G31" sqref="G31"/>
    </sheetView>
  </sheetViews>
  <sheetFormatPr defaultRowHeight="15" x14ac:dyDescent="0.25"/>
  <cols>
    <col min="1" max="1" width="11.85546875" bestFit="1" customWidth="1"/>
    <col min="2" max="2" width="10" bestFit="1" customWidth="1"/>
    <col min="3" max="3" width="7.140625" bestFit="1" customWidth="1"/>
    <col min="4" max="4" width="19.140625" bestFit="1" customWidth="1"/>
    <col min="5" max="5" width="12.42578125" bestFit="1" customWidth="1"/>
    <col min="6" max="6" width="11.140625" bestFit="1" customWidth="1"/>
    <col min="7" max="7" width="12.5703125" bestFit="1" customWidth="1"/>
    <col min="8" max="8" width="12.85546875" bestFit="1" customWidth="1"/>
    <col min="9" max="9" width="10.28515625" bestFit="1" customWidth="1"/>
    <col min="10" max="10" width="10.140625" bestFit="1" customWidth="1"/>
    <col min="11" max="11" width="8.140625" bestFit="1" customWidth="1"/>
  </cols>
  <sheetData>
    <row r="1" spans="1:11" x14ac:dyDescent="0.25">
      <c r="A1" s="2" t="s">
        <v>0</v>
      </c>
      <c r="B1" s="2" t="s">
        <v>1</v>
      </c>
      <c r="C1" s="2" t="s">
        <v>2</v>
      </c>
      <c r="D1" s="2" t="s">
        <v>3</v>
      </c>
      <c r="E1" s="2" t="s">
        <v>4</v>
      </c>
      <c r="F1" s="2" t="s">
        <v>5</v>
      </c>
      <c r="G1" s="2" t="s">
        <v>6</v>
      </c>
      <c r="H1" s="2" t="s">
        <v>7</v>
      </c>
      <c r="I1" s="2" t="s">
        <v>8</v>
      </c>
      <c r="J1" s="2"/>
      <c r="K1" s="2"/>
    </row>
    <row r="2" spans="1:11" x14ac:dyDescent="0.25">
      <c r="A2">
        <v>6</v>
      </c>
      <c r="B2" t="s">
        <v>11</v>
      </c>
      <c r="C2">
        <v>38.700000000000003</v>
      </c>
      <c r="D2" t="s">
        <v>18</v>
      </c>
      <c r="E2" t="s">
        <v>13</v>
      </c>
      <c r="F2" t="s">
        <v>45</v>
      </c>
      <c r="G2" t="s">
        <v>42</v>
      </c>
      <c r="H2">
        <v>1</v>
      </c>
      <c r="I2">
        <v>1</v>
      </c>
      <c r="J2" s="1"/>
      <c r="K2" s="8"/>
    </row>
    <row r="3" spans="1:11" x14ac:dyDescent="0.25">
      <c r="A3">
        <v>7</v>
      </c>
      <c r="C3">
        <v>28.9</v>
      </c>
      <c r="D3" t="s">
        <v>19</v>
      </c>
      <c r="E3" t="s">
        <v>17</v>
      </c>
      <c r="F3" t="s">
        <v>46</v>
      </c>
      <c r="G3" t="s">
        <v>43</v>
      </c>
      <c r="H3">
        <v>2</v>
      </c>
      <c r="I3">
        <v>2</v>
      </c>
      <c r="J3" s="1"/>
      <c r="K3" s="8"/>
    </row>
    <row r="4" spans="1:11" x14ac:dyDescent="0.25">
      <c r="A4">
        <v>8</v>
      </c>
      <c r="C4">
        <v>33.799999999999997</v>
      </c>
      <c r="D4" t="s">
        <v>29</v>
      </c>
      <c r="E4" t="s">
        <v>20</v>
      </c>
      <c r="F4" t="s">
        <v>47</v>
      </c>
      <c r="G4" t="s">
        <v>44</v>
      </c>
      <c r="H4">
        <v>3</v>
      </c>
      <c r="I4">
        <v>3</v>
      </c>
      <c r="J4" s="1"/>
      <c r="K4" s="8"/>
    </row>
    <row r="5" spans="1:11" x14ac:dyDescent="0.25">
      <c r="A5">
        <v>9</v>
      </c>
      <c r="C5">
        <v>24</v>
      </c>
      <c r="D5" t="s">
        <v>21</v>
      </c>
      <c r="F5" t="s">
        <v>48</v>
      </c>
      <c r="G5" t="s">
        <v>52</v>
      </c>
      <c r="H5">
        <v>4</v>
      </c>
      <c r="I5">
        <v>4</v>
      </c>
      <c r="J5" s="1"/>
      <c r="K5" s="8"/>
    </row>
    <row r="6" spans="1:11" x14ac:dyDescent="0.25">
      <c r="A6">
        <v>10</v>
      </c>
      <c r="C6">
        <v>32.82</v>
      </c>
      <c r="D6" t="s">
        <v>24</v>
      </c>
      <c r="F6" t="s">
        <v>49</v>
      </c>
      <c r="G6" t="s">
        <v>32</v>
      </c>
      <c r="H6">
        <v>5</v>
      </c>
      <c r="I6">
        <v>5</v>
      </c>
      <c r="J6" s="1"/>
      <c r="K6" s="8"/>
    </row>
    <row r="7" spans="1:11" x14ac:dyDescent="0.25">
      <c r="A7">
        <v>11</v>
      </c>
      <c r="C7">
        <v>37.72</v>
      </c>
      <c r="D7" t="s">
        <v>26</v>
      </c>
      <c r="F7" t="s">
        <v>50</v>
      </c>
      <c r="G7" t="s">
        <v>53</v>
      </c>
      <c r="H7">
        <v>6</v>
      </c>
      <c r="I7">
        <v>6</v>
      </c>
      <c r="J7" s="1"/>
      <c r="K7" s="8"/>
    </row>
    <row r="8" spans="1:11" x14ac:dyDescent="0.25">
      <c r="A8">
        <v>12</v>
      </c>
      <c r="C8">
        <v>27.92</v>
      </c>
      <c r="D8" t="s">
        <v>16</v>
      </c>
      <c r="F8" t="s">
        <v>51</v>
      </c>
      <c r="G8" t="s">
        <v>54</v>
      </c>
      <c r="H8">
        <v>7</v>
      </c>
      <c r="I8">
        <v>7</v>
      </c>
      <c r="J8" s="1"/>
      <c r="K8" s="8"/>
    </row>
    <row r="9" spans="1:11" x14ac:dyDescent="0.25">
      <c r="A9">
        <v>13</v>
      </c>
      <c r="C9">
        <v>23.02</v>
      </c>
      <c r="D9" t="s">
        <v>12</v>
      </c>
      <c r="G9" t="s">
        <v>55</v>
      </c>
      <c r="I9">
        <v>8</v>
      </c>
      <c r="J9" s="1"/>
      <c r="K9" s="8"/>
    </row>
    <row r="10" spans="1:11" x14ac:dyDescent="0.25">
      <c r="A10">
        <v>14</v>
      </c>
      <c r="C10">
        <v>18.12</v>
      </c>
      <c r="G10" t="s">
        <v>56</v>
      </c>
      <c r="I10">
        <v>9</v>
      </c>
      <c r="J10" s="1"/>
      <c r="K10" s="8"/>
    </row>
    <row r="11" spans="1:11" x14ac:dyDescent="0.25">
      <c r="A11">
        <v>15</v>
      </c>
      <c r="C11">
        <v>35.76</v>
      </c>
      <c r="G11" t="s">
        <v>57</v>
      </c>
      <c r="I11">
        <v>10</v>
      </c>
      <c r="J11" s="1"/>
      <c r="K11" s="8"/>
    </row>
    <row r="12" spans="1:11" x14ac:dyDescent="0.25">
      <c r="A12">
        <v>16</v>
      </c>
      <c r="C12">
        <v>30.86</v>
      </c>
      <c r="G12" t="s">
        <v>58</v>
      </c>
      <c r="I12">
        <v>11</v>
      </c>
      <c r="J12" s="1"/>
      <c r="K12" s="8"/>
    </row>
    <row r="13" spans="1:11" x14ac:dyDescent="0.25">
      <c r="A13">
        <v>17</v>
      </c>
      <c r="C13">
        <v>25.96</v>
      </c>
      <c r="G13" t="s">
        <v>59</v>
      </c>
      <c r="I13">
        <v>12</v>
      </c>
      <c r="J13" s="1"/>
      <c r="K13" s="8"/>
    </row>
    <row r="14" spans="1:11" x14ac:dyDescent="0.25">
      <c r="A14">
        <v>18</v>
      </c>
      <c r="C14">
        <v>21.06</v>
      </c>
      <c r="J14" s="1"/>
      <c r="K14" s="8"/>
    </row>
    <row r="15" spans="1:11" x14ac:dyDescent="0.25">
      <c r="A15">
        <v>19</v>
      </c>
      <c r="J15" s="1"/>
      <c r="K15" s="8"/>
    </row>
    <row r="16" spans="1:11" x14ac:dyDescent="0.25">
      <c r="A16">
        <v>20</v>
      </c>
      <c r="J16" s="1"/>
      <c r="K16" s="8"/>
    </row>
    <row r="17" spans="1:11" x14ac:dyDescent="0.25">
      <c r="A17">
        <v>21</v>
      </c>
      <c r="J17" s="1"/>
      <c r="K17" s="8"/>
    </row>
    <row r="18" spans="1:11" x14ac:dyDescent="0.25">
      <c r="A18">
        <v>22</v>
      </c>
      <c r="J18" s="1"/>
      <c r="K18" s="8"/>
    </row>
    <row r="19" spans="1:11" x14ac:dyDescent="0.25">
      <c r="J19" s="1"/>
      <c r="K19" s="8"/>
    </row>
    <row r="20" spans="1:11" x14ac:dyDescent="0.25">
      <c r="J20" s="1"/>
      <c r="K20" s="8"/>
    </row>
    <row r="21" spans="1:11" x14ac:dyDescent="0.25">
      <c r="J21" s="1"/>
      <c r="K21" s="8"/>
    </row>
    <row r="22" spans="1:11" x14ac:dyDescent="0.25">
      <c r="J22" s="1"/>
      <c r="K22" s="8"/>
    </row>
    <row r="23" spans="1:11" x14ac:dyDescent="0.25">
      <c r="J23" s="1"/>
      <c r="K23" s="8"/>
    </row>
    <row r="24" spans="1:11" x14ac:dyDescent="0.25">
      <c r="J24" s="1"/>
      <c r="K24" s="8"/>
    </row>
    <row r="25" spans="1:11" x14ac:dyDescent="0.25">
      <c r="J25" s="1"/>
      <c r="K25" s="8"/>
    </row>
    <row r="26" spans="1:11" x14ac:dyDescent="0.25">
      <c r="J26" s="1"/>
      <c r="K26" s="8"/>
    </row>
    <row r="27" spans="1:11" x14ac:dyDescent="0.25">
      <c r="J27" s="1"/>
      <c r="K27" s="8"/>
    </row>
    <row r="28" spans="1:11" x14ac:dyDescent="0.25">
      <c r="J28" s="1"/>
      <c r="K28" s="8"/>
    </row>
    <row r="29" spans="1:11" x14ac:dyDescent="0.25">
      <c r="J29" s="1"/>
      <c r="K29" s="8"/>
    </row>
    <row r="30" spans="1:11" x14ac:dyDescent="0.25">
      <c r="J30" s="1"/>
      <c r="K30" s="8"/>
    </row>
    <row r="31" spans="1:11" x14ac:dyDescent="0.25">
      <c r="J31" s="1"/>
      <c r="K31" s="8"/>
    </row>
    <row r="32" spans="1:11" x14ac:dyDescent="0.25">
      <c r="J32" s="1"/>
      <c r="K32" s="8"/>
    </row>
    <row r="33" spans="10:11" x14ac:dyDescent="0.25">
      <c r="J33" s="1"/>
      <c r="K33" s="8"/>
    </row>
    <row r="34" spans="10:11" x14ac:dyDescent="0.25">
      <c r="J34" s="1"/>
      <c r="K34" s="8"/>
    </row>
    <row r="35" spans="10:11" x14ac:dyDescent="0.25">
      <c r="J35" s="1"/>
      <c r="K35" s="8"/>
    </row>
    <row r="36" spans="10:11" x14ac:dyDescent="0.25">
      <c r="J36" s="1"/>
      <c r="K36" s="8"/>
    </row>
    <row r="37" spans="10:11" x14ac:dyDescent="0.25">
      <c r="J37" s="1"/>
      <c r="K37" s="8"/>
    </row>
    <row r="38" spans="10:11" x14ac:dyDescent="0.25">
      <c r="J38" s="1"/>
      <c r="K38" s="8"/>
    </row>
    <row r="39" spans="10:11" x14ac:dyDescent="0.25">
      <c r="J39" s="1"/>
      <c r="K39" s="8"/>
    </row>
    <row r="40" spans="10:11" x14ac:dyDescent="0.25">
      <c r="J40" s="1"/>
      <c r="K40" s="8"/>
    </row>
    <row r="41" spans="10:11" x14ac:dyDescent="0.25">
      <c r="J41" s="1"/>
      <c r="K41" s="8"/>
    </row>
    <row r="42" spans="10:11" x14ac:dyDescent="0.25">
      <c r="J42" s="1"/>
      <c r="K42" s="8"/>
    </row>
    <row r="43" spans="10:11" x14ac:dyDescent="0.25">
      <c r="J43" s="1"/>
      <c r="K43" s="8"/>
    </row>
    <row r="44" spans="10:11" x14ac:dyDescent="0.25">
      <c r="J44" s="1"/>
      <c r="K44" s="8"/>
    </row>
    <row r="45" spans="10:11" x14ac:dyDescent="0.25">
      <c r="J45" s="1"/>
      <c r="K45" s="8"/>
    </row>
    <row r="46" spans="10:11" x14ac:dyDescent="0.25">
      <c r="J46" s="1"/>
      <c r="K46" s="8"/>
    </row>
    <row r="47" spans="10:11" x14ac:dyDescent="0.25">
      <c r="J47" s="1"/>
      <c r="K47" s="8"/>
    </row>
    <row r="48" spans="10:11" x14ac:dyDescent="0.25">
      <c r="J48" s="1"/>
      <c r="K48" s="8"/>
    </row>
    <row r="49" spans="10:11" x14ac:dyDescent="0.25">
      <c r="J49" s="1"/>
      <c r="K49" s="8"/>
    </row>
    <row r="50" spans="10:11" x14ac:dyDescent="0.25">
      <c r="J50" s="1"/>
      <c r="K50" s="8"/>
    </row>
    <row r="51" spans="10:11" x14ac:dyDescent="0.25">
      <c r="J51" s="1"/>
      <c r="K51" s="8"/>
    </row>
    <row r="52" spans="10:11" x14ac:dyDescent="0.25">
      <c r="J52" s="1"/>
      <c r="K52" s="8"/>
    </row>
    <row r="53" spans="10:11" x14ac:dyDescent="0.25">
      <c r="J53" s="1"/>
      <c r="K53" s="8"/>
    </row>
    <row r="54" spans="10:11" x14ac:dyDescent="0.25">
      <c r="J54" s="1"/>
      <c r="K54" s="8"/>
    </row>
    <row r="55" spans="10:11" x14ac:dyDescent="0.25">
      <c r="J55" s="1"/>
      <c r="K55" s="8"/>
    </row>
    <row r="56" spans="10:11" x14ac:dyDescent="0.25">
      <c r="J56" s="1"/>
      <c r="K56" s="8"/>
    </row>
    <row r="57" spans="10:11" x14ac:dyDescent="0.25">
      <c r="J57" s="1"/>
      <c r="K57" s="8"/>
    </row>
    <row r="58" spans="10:11" x14ac:dyDescent="0.25">
      <c r="J58" s="1"/>
      <c r="K58" s="8"/>
    </row>
    <row r="59" spans="10:11" x14ac:dyDescent="0.25">
      <c r="J59" s="1"/>
      <c r="K59" s="8"/>
    </row>
    <row r="60" spans="10:11" x14ac:dyDescent="0.25">
      <c r="J60" s="1"/>
      <c r="K60" s="8"/>
    </row>
    <row r="61" spans="10:11" x14ac:dyDescent="0.25">
      <c r="J61" s="1"/>
      <c r="K61" s="8"/>
    </row>
    <row r="62" spans="10:11" x14ac:dyDescent="0.25">
      <c r="J62" s="1"/>
      <c r="K62" s="8"/>
    </row>
    <row r="63" spans="10:11" x14ac:dyDescent="0.25">
      <c r="J63" s="1"/>
      <c r="K63" s="8"/>
    </row>
    <row r="64" spans="10:11" x14ac:dyDescent="0.25">
      <c r="J64" s="1"/>
      <c r="K64" s="8"/>
    </row>
    <row r="65" spans="10:11" x14ac:dyDescent="0.25">
      <c r="J65" s="1"/>
      <c r="K65" s="8"/>
    </row>
    <row r="66" spans="10:11" x14ac:dyDescent="0.25">
      <c r="J66" s="1"/>
      <c r="K66" s="8"/>
    </row>
    <row r="67" spans="10:11" x14ac:dyDescent="0.25">
      <c r="J67" s="1"/>
      <c r="K67" s="8"/>
    </row>
    <row r="68" spans="10:11" x14ac:dyDescent="0.25">
      <c r="J68" s="1"/>
      <c r="K68" s="8"/>
    </row>
    <row r="69" spans="10:11" x14ac:dyDescent="0.25">
      <c r="J69" s="1"/>
      <c r="K69" s="8"/>
    </row>
    <row r="70" spans="10:11" x14ac:dyDescent="0.25">
      <c r="J70" s="1"/>
      <c r="K70" s="8"/>
    </row>
    <row r="71" spans="10:11" x14ac:dyDescent="0.25">
      <c r="J71" s="1"/>
      <c r="K71" s="8"/>
    </row>
    <row r="72" spans="10:11" x14ac:dyDescent="0.25">
      <c r="J72" s="1"/>
      <c r="K72" s="8"/>
    </row>
    <row r="73" spans="10:11" x14ac:dyDescent="0.25">
      <c r="J73" s="1"/>
      <c r="K73" s="8"/>
    </row>
    <row r="74" spans="10:11" x14ac:dyDescent="0.25">
      <c r="J74" s="1"/>
      <c r="K74" s="8"/>
    </row>
    <row r="75" spans="10:11" x14ac:dyDescent="0.25">
      <c r="J75" s="1"/>
      <c r="K75" s="8"/>
    </row>
    <row r="76" spans="10:11" x14ac:dyDescent="0.25">
      <c r="J76" s="1"/>
      <c r="K76" s="8"/>
    </row>
    <row r="77" spans="10:11" x14ac:dyDescent="0.25">
      <c r="J77" s="1"/>
      <c r="K77" s="8"/>
    </row>
    <row r="78" spans="10:11" x14ac:dyDescent="0.25">
      <c r="J78" s="1"/>
      <c r="K78" s="8"/>
    </row>
    <row r="79" spans="10:11" x14ac:dyDescent="0.25">
      <c r="J79" s="1"/>
      <c r="K79" s="8"/>
    </row>
    <row r="80" spans="10:11" x14ac:dyDescent="0.25">
      <c r="J80" s="1"/>
      <c r="K80" s="8"/>
    </row>
    <row r="81" spans="10:11" x14ac:dyDescent="0.25">
      <c r="J81" s="1"/>
      <c r="K81" s="8"/>
    </row>
    <row r="82" spans="10:11" x14ac:dyDescent="0.25">
      <c r="J82" s="1"/>
      <c r="K82" s="8"/>
    </row>
    <row r="83" spans="10:11" x14ac:dyDescent="0.25">
      <c r="J83" s="1"/>
      <c r="K83" s="8"/>
    </row>
    <row r="84" spans="10:11" x14ac:dyDescent="0.25">
      <c r="J84" s="1"/>
      <c r="K84" s="8"/>
    </row>
    <row r="85" spans="10:11" x14ac:dyDescent="0.25">
      <c r="J85" s="1"/>
      <c r="K85" s="8"/>
    </row>
    <row r="86" spans="10:11" x14ac:dyDescent="0.25">
      <c r="J86" s="1"/>
      <c r="K86" s="8"/>
    </row>
    <row r="87" spans="10:11" x14ac:dyDescent="0.25">
      <c r="J87" s="1"/>
      <c r="K87" s="8"/>
    </row>
    <row r="88" spans="10:11" x14ac:dyDescent="0.25">
      <c r="J88" s="1"/>
      <c r="K88" s="8"/>
    </row>
    <row r="89" spans="10:11" x14ac:dyDescent="0.25">
      <c r="J89" s="1"/>
      <c r="K89" s="8"/>
    </row>
    <row r="90" spans="10:11" x14ac:dyDescent="0.25">
      <c r="J90" s="1"/>
      <c r="K90" s="8"/>
    </row>
    <row r="91" spans="10:11" x14ac:dyDescent="0.25">
      <c r="J91" s="1"/>
      <c r="K91" s="8"/>
    </row>
    <row r="92" spans="10:11" x14ac:dyDescent="0.25">
      <c r="J92" s="1"/>
      <c r="K92" s="8"/>
    </row>
    <row r="93" spans="10:11" x14ac:dyDescent="0.25">
      <c r="J93" s="1"/>
      <c r="K93" s="8"/>
    </row>
    <row r="94" spans="10:11" x14ac:dyDescent="0.25">
      <c r="J94" s="1"/>
      <c r="K94" s="8"/>
    </row>
    <row r="95" spans="10:11" x14ac:dyDescent="0.25">
      <c r="J95" s="1"/>
      <c r="K95" s="8"/>
    </row>
    <row r="96" spans="10:11" x14ac:dyDescent="0.25">
      <c r="J96" s="1"/>
      <c r="K96" s="8"/>
    </row>
    <row r="97" spans="10:11" x14ac:dyDescent="0.25">
      <c r="J97" s="1"/>
      <c r="K97" s="8"/>
    </row>
    <row r="98" spans="10:11" x14ac:dyDescent="0.25">
      <c r="J98" s="1"/>
      <c r="K98" s="8"/>
    </row>
    <row r="99" spans="10:11" x14ac:dyDescent="0.25">
      <c r="J99" s="1"/>
      <c r="K99" s="8"/>
    </row>
    <row r="100" spans="10:11" x14ac:dyDescent="0.25">
      <c r="J100" s="1"/>
      <c r="K100" s="8"/>
    </row>
    <row r="101" spans="10:11" x14ac:dyDescent="0.25">
      <c r="J101" s="1"/>
      <c r="K101" s="8"/>
    </row>
    <row r="102" spans="10:11" x14ac:dyDescent="0.25">
      <c r="J102" s="1"/>
      <c r="K102" s="8"/>
    </row>
    <row r="103" spans="10:11" x14ac:dyDescent="0.25">
      <c r="J103" s="1"/>
      <c r="K103" s="8"/>
    </row>
    <row r="104" spans="10:11" x14ac:dyDescent="0.25">
      <c r="J104" s="1"/>
      <c r="K104" s="8"/>
    </row>
    <row r="105" spans="10:11" x14ac:dyDescent="0.25">
      <c r="J105" s="1"/>
      <c r="K105" s="8"/>
    </row>
    <row r="106" spans="10:11" x14ac:dyDescent="0.25">
      <c r="J106" s="1"/>
      <c r="K106" s="8"/>
    </row>
    <row r="107" spans="10:11" x14ac:dyDescent="0.25">
      <c r="J107" s="1"/>
      <c r="K107" s="8"/>
    </row>
    <row r="108" spans="10:11" x14ac:dyDescent="0.25">
      <c r="J108" s="1"/>
      <c r="K108" s="8"/>
    </row>
    <row r="109" spans="10:11" x14ac:dyDescent="0.25">
      <c r="J109" s="1"/>
      <c r="K109" s="8"/>
    </row>
    <row r="110" spans="10:11" x14ac:dyDescent="0.25">
      <c r="J110" s="1"/>
      <c r="K110" s="8"/>
    </row>
    <row r="111" spans="10:11" x14ac:dyDescent="0.25">
      <c r="J111" s="1"/>
      <c r="K111" s="8"/>
    </row>
    <row r="112" spans="10:11" x14ac:dyDescent="0.25">
      <c r="J112" s="1"/>
      <c r="K112" s="8"/>
    </row>
    <row r="113" spans="10:11" x14ac:dyDescent="0.25">
      <c r="J113" s="1"/>
      <c r="K113" s="8"/>
    </row>
    <row r="114" spans="10:11" x14ac:dyDescent="0.25">
      <c r="J114" s="1"/>
      <c r="K114" s="8"/>
    </row>
    <row r="115" spans="10:11" x14ac:dyDescent="0.25">
      <c r="J115" s="1"/>
      <c r="K115" s="8"/>
    </row>
    <row r="116" spans="10:11" x14ac:dyDescent="0.25">
      <c r="J116" s="1"/>
      <c r="K116" s="8"/>
    </row>
    <row r="117" spans="10:11" x14ac:dyDescent="0.25">
      <c r="J117" s="1"/>
      <c r="K117" s="8"/>
    </row>
    <row r="118" spans="10:11" x14ac:dyDescent="0.25">
      <c r="J118" s="1"/>
      <c r="K118" s="8"/>
    </row>
    <row r="119" spans="10:11" x14ac:dyDescent="0.25">
      <c r="J119" s="1"/>
      <c r="K119" s="8"/>
    </row>
    <row r="120" spans="10:11" x14ac:dyDescent="0.25">
      <c r="J120" s="1"/>
      <c r="K120" s="8"/>
    </row>
    <row r="121" spans="10:11" x14ac:dyDescent="0.25">
      <c r="J121" s="1"/>
      <c r="K121" s="8"/>
    </row>
    <row r="122" spans="10:11" x14ac:dyDescent="0.25">
      <c r="J122" s="1"/>
      <c r="K122" s="8"/>
    </row>
    <row r="123" spans="10:11" x14ac:dyDescent="0.25">
      <c r="J123" s="1"/>
      <c r="K123" s="8"/>
    </row>
    <row r="124" spans="10:11" x14ac:dyDescent="0.25">
      <c r="J124" s="1"/>
      <c r="K124" s="8"/>
    </row>
    <row r="125" spans="10:11" x14ac:dyDescent="0.25">
      <c r="J125" s="1"/>
      <c r="K125" s="8"/>
    </row>
    <row r="126" spans="10:11" x14ac:dyDescent="0.25">
      <c r="J126" s="1"/>
      <c r="K126" s="8"/>
    </row>
    <row r="127" spans="10:11" x14ac:dyDescent="0.25">
      <c r="J127" s="1"/>
      <c r="K127" s="8"/>
    </row>
    <row r="128" spans="10:11" x14ac:dyDescent="0.25">
      <c r="J128" s="1"/>
      <c r="K128" s="8"/>
    </row>
    <row r="129" spans="10:11" x14ac:dyDescent="0.25">
      <c r="J129" s="1"/>
      <c r="K129" s="8"/>
    </row>
    <row r="130" spans="10:11" x14ac:dyDescent="0.25">
      <c r="J130" s="1"/>
      <c r="K130" s="8"/>
    </row>
    <row r="131" spans="10:11" x14ac:dyDescent="0.25">
      <c r="J131" s="1"/>
      <c r="K131" s="8"/>
    </row>
    <row r="132" spans="10:11" x14ac:dyDescent="0.25">
      <c r="J132" s="1"/>
      <c r="K132" s="8"/>
    </row>
    <row r="133" spans="10:11" x14ac:dyDescent="0.25">
      <c r="J133" s="1"/>
      <c r="K133" s="8"/>
    </row>
    <row r="134" spans="10:11" x14ac:dyDescent="0.25">
      <c r="J134" s="1"/>
      <c r="K134" s="8"/>
    </row>
    <row r="135" spans="10:11" x14ac:dyDescent="0.25">
      <c r="J135" s="1"/>
      <c r="K135" s="8"/>
    </row>
    <row r="136" spans="10:11" x14ac:dyDescent="0.25">
      <c r="J136" s="1"/>
      <c r="K136" s="8"/>
    </row>
    <row r="137" spans="10:11" x14ac:dyDescent="0.25">
      <c r="J137" s="1"/>
      <c r="K137" s="8"/>
    </row>
    <row r="138" spans="10:11" x14ac:dyDescent="0.25">
      <c r="J138" s="1"/>
      <c r="K138" s="8"/>
    </row>
    <row r="139" spans="10:11" x14ac:dyDescent="0.25">
      <c r="J139" s="1"/>
      <c r="K139" s="8"/>
    </row>
    <row r="140" spans="10:11" x14ac:dyDescent="0.25">
      <c r="J140" s="1"/>
      <c r="K140" s="8"/>
    </row>
    <row r="141" spans="10:11" x14ac:dyDescent="0.25">
      <c r="J141" s="1"/>
      <c r="K141" s="8"/>
    </row>
    <row r="142" spans="10:11" x14ac:dyDescent="0.25">
      <c r="J142" s="1"/>
      <c r="K142" s="8"/>
    </row>
    <row r="143" spans="10:11" x14ac:dyDescent="0.25">
      <c r="J143" s="1"/>
      <c r="K143" s="8"/>
    </row>
    <row r="144" spans="10:11" x14ac:dyDescent="0.25">
      <c r="J144" s="1"/>
      <c r="K144" s="8"/>
    </row>
    <row r="145" spans="10:11" x14ac:dyDescent="0.25">
      <c r="J145" s="1"/>
      <c r="K145" s="8"/>
    </row>
    <row r="146" spans="10:11" x14ac:dyDescent="0.25">
      <c r="J146" s="1"/>
      <c r="K146" s="8"/>
    </row>
    <row r="147" spans="10:11" x14ac:dyDescent="0.25">
      <c r="J147" s="1"/>
      <c r="K147" s="8"/>
    </row>
    <row r="148" spans="10:11" x14ac:dyDescent="0.25">
      <c r="J148" s="1"/>
      <c r="K148" s="8"/>
    </row>
    <row r="149" spans="10:11" x14ac:dyDescent="0.25">
      <c r="J149" s="1"/>
      <c r="K149" s="8"/>
    </row>
    <row r="150" spans="10:11" x14ac:dyDescent="0.25">
      <c r="J150" s="1"/>
      <c r="K150" s="8"/>
    </row>
    <row r="151" spans="10:11" x14ac:dyDescent="0.25">
      <c r="J151" s="1"/>
      <c r="K151" s="8"/>
    </row>
    <row r="152" spans="10:11" x14ac:dyDescent="0.25">
      <c r="J152" s="1"/>
      <c r="K152" s="8"/>
    </row>
    <row r="153" spans="10:11" x14ac:dyDescent="0.25">
      <c r="J153" s="1"/>
      <c r="K153" s="8"/>
    </row>
    <row r="154" spans="10:11" x14ac:dyDescent="0.25">
      <c r="J154" s="1"/>
      <c r="K154" s="8"/>
    </row>
    <row r="155" spans="10:11" x14ac:dyDescent="0.25">
      <c r="J155" s="1"/>
      <c r="K155" s="8"/>
    </row>
    <row r="156" spans="10:11" x14ac:dyDescent="0.25">
      <c r="J156" s="1"/>
      <c r="K156" s="8"/>
    </row>
    <row r="157" spans="10:11" x14ac:dyDescent="0.25">
      <c r="J157" s="1"/>
      <c r="K157" s="8"/>
    </row>
    <row r="158" spans="10:11" x14ac:dyDescent="0.25">
      <c r="J158" s="1"/>
      <c r="K158" s="8"/>
    </row>
    <row r="159" spans="10:11" x14ac:dyDescent="0.25">
      <c r="J159" s="1"/>
      <c r="K159" s="8"/>
    </row>
    <row r="160" spans="10:11" x14ac:dyDescent="0.25">
      <c r="J160" s="1"/>
      <c r="K160" s="8"/>
    </row>
    <row r="161" spans="10:11" x14ac:dyDescent="0.25">
      <c r="J161" s="1"/>
      <c r="K161" s="8"/>
    </row>
    <row r="162" spans="10:11" x14ac:dyDescent="0.25">
      <c r="J162" s="1"/>
      <c r="K162" s="8"/>
    </row>
    <row r="163" spans="10:11" x14ac:dyDescent="0.25">
      <c r="J163" s="1"/>
      <c r="K163" s="8"/>
    </row>
    <row r="164" spans="10:11" x14ac:dyDescent="0.25">
      <c r="J164" s="1"/>
      <c r="K164" s="8"/>
    </row>
    <row r="165" spans="10:11" x14ac:dyDescent="0.25">
      <c r="J165" s="1"/>
      <c r="K165" s="8"/>
    </row>
    <row r="166" spans="10:11" x14ac:dyDescent="0.25">
      <c r="J166" s="1"/>
      <c r="K166" s="8"/>
    </row>
    <row r="167" spans="10:11" x14ac:dyDescent="0.25">
      <c r="J167" s="1"/>
      <c r="K167" s="8"/>
    </row>
    <row r="168" spans="10:11" x14ac:dyDescent="0.25">
      <c r="J168" s="1"/>
      <c r="K168" s="8"/>
    </row>
    <row r="169" spans="10:11" x14ac:dyDescent="0.25">
      <c r="J169" s="1"/>
      <c r="K169" s="8"/>
    </row>
    <row r="170" spans="10:11" x14ac:dyDescent="0.25">
      <c r="J170" s="1"/>
      <c r="K170" s="8"/>
    </row>
    <row r="171" spans="10:11" x14ac:dyDescent="0.25">
      <c r="J171" s="1"/>
      <c r="K171" s="8"/>
    </row>
    <row r="172" spans="10:11" x14ac:dyDescent="0.25">
      <c r="J172" s="1"/>
      <c r="K172" s="8"/>
    </row>
    <row r="173" spans="10:11" x14ac:dyDescent="0.25">
      <c r="J173" s="1"/>
      <c r="K173" s="8"/>
    </row>
    <row r="174" spans="10:11" x14ac:dyDescent="0.25">
      <c r="J174" s="1"/>
      <c r="K174" s="8"/>
    </row>
    <row r="175" spans="10:11" x14ac:dyDescent="0.25">
      <c r="J175" s="1"/>
      <c r="K175" s="8"/>
    </row>
    <row r="176" spans="10:11" x14ac:dyDescent="0.25">
      <c r="J176" s="1"/>
      <c r="K176" s="8"/>
    </row>
    <row r="177" spans="10:11" x14ac:dyDescent="0.25">
      <c r="J177" s="1"/>
      <c r="K177" s="8"/>
    </row>
    <row r="178" spans="10:11" x14ac:dyDescent="0.25">
      <c r="J178" s="1"/>
      <c r="K178" s="8"/>
    </row>
    <row r="179" spans="10:11" x14ac:dyDescent="0.25">
      <c r="J179" s="1"/>
      <c r="K179" s="8"/>
    </row>
    <row r="180" spans="10:11" x14ac:dyDescent="0.25">
      <c r="J180" s="1"/>
      <c r="K180" s="8"/>
    </row>
    <row r="181" spans="10:11" x14ac:dyDescent="0.25">
      <c r="J181" s="1"/>
      <c r="K181" s="8"/>
    </row>
    <row r="182" spans="10:11" x14ac:dyDescent="0.25">
      <c r="J182" s="1"/>
      <c r="K182" s="8"/>
    </row>
    <row r="183" spans="10:11" x14ac:dyDescent="0.25">
      <c r="J183" s="1"/>
      <c r="K183" s="8"/>
    </row>
    <row r="184" spans="10:11" x14ac:dyDescent="0.25">
      <c r="J184" s="1"/>
      <c r="K184" s="8"/>
    </row>
    <row r="185" spans="10:11" x14ac:dyDescent="0.25">
      <c r="J185" s="1"/>
      <c r="K185" s="8"/>
    </row>
    <row r="186" spans="10:11" x14ac:dyDescent="0.25">
      <c r="J186" s="1"/>
      <c r="K186" s="8"/>
    </row>
    <row r="187" spans="10:11" x14ac:dyDescent="0.25">
      <c r="J187" s="1"/>
      <c r="K187" s="8"/>
    </row>
    <row r="188" spans="10:11" x14ac:dyDescent="0.25">
      <c r="J188" s="1"/>
      <c r="K188" s="8"/>
    </row>
    <row r="189" spans="10:11" x14ac:dyDescent="0.25">
      <c r="J189" s="1"/>
      <c r="K189" s="8"/>
    </row>
    <row r="190" spans="10:11" x14ac:dyDescent="0.25">
      <c r="J190" s="1"/>
      <c r="K190" s="8"/>
    </row>
    <row r="191" spans="10:11" x14ac:dyDescent="0.25">
      <c r="J191" s="1"/>
      <c r="K191" s="8"/>
    </row>
    <row r="192" spans="10:11" x14ac:dyDescent="0.25">
      <c r="J192" s="1"/>
      <c r="K192" s="8"/>
    </row>
    <row r="193" spans="10:11" x14ac:dyDescent="0.25">
      <c r="J193" s="1"/>
      <c r="K193" s="8"/>
    </row>
    <row r="194" spans="10:11" x14ac:dyDescent="0.25">
      <c r="J194" s="1"/>
      <c r="K194" s="8"/>
    </row>
    <row r="195" spans="10:11" x14ac:dyDescent="0.25">
      <c r="J195" s="1"/>
      <c r="K195" s="8"/>
    </row>
    <row r="196" spans="10:11" x14ac:dyDescent="0.25">
      <c r="J196" s="1"/>
      <c r="K196" s="8"/>
    </row>
    <row r="197" spans="10:11" x14ac:dyDescent="0.25">
      <c r="J197" s="1"/>
      <c r="K197" s="8"/>
    </row>
    <row r="198" spans="10:11" x14ac:dyDescent="0.25">
      <c r="J198" s="1"/>
      <c r="K198" s="8"/>
    </row>
    <row r="199" spans="10:11" x14ac:dyDescent="0.25">
      <c r="J199" s="1"/>
      <c r="K199" s="8"/>
    </row>
    <row r="200" spans="10:11" x14ac:dyDescent="0.25">
      <c r="J200" s="1"/>
      <c r="K200" s="8"/>
    </row>
    <row r="201" spans="10:11" x14ac:dyDescent="0.25">
      <c r="J201" s="1"/>
      <c r="K201" s="8"/>
    </row>
    <row r="202" spans="10:11" x14ac:dyDescent="0.25">
      <c r="J202" s="1"/>
      <c r="K202" s="8"/>
    </row>
    <row r="203" spans="10:11" x14ac:dyDescent="0.25">
      <c r="J203" s="1"/>
      <c r="K203" s="8"/>
    </row>
    <row r="204" spans="10:11" x14ac:dyDescent="0.25">
      <c r="J204" s="1"/>
      <c r="K204" s="8"/>
    </row>
    <row r="205" spans="10:11" x14ac:dyDescent="0.25">
      <c r="J205" s="1"/>
      <c r="K205" s="8"/>
    </row>
    <row r="206" spans="10:11" x14ac:dyDescent="0.25">
      <c r="J206" s="1"/>
      <c r="K206" s="8"/>
    </row>
    <row r="207" spans="10:11" x14ac:dyDescent="0.25">
      <c r="J207" s="1"/>
      <c r="K207" s="8"/>
    </row>
    <row r="208" spans="10:11" x14ac:dyDescent="0.25">
      <c r="J208" s="1"/>
      <c r="K208" s="8"/>
    </row>
    <row r="209" spans="10:11" x14ac:dyDescent="0.25">
      <c r="J209" s="1"/>
      <c r="K209" s="8"/>
    </row>
    <row r="210" spans="10:11" x14ac:dyDescent="0.25">
      <c r="J210" s="1"/>
      <c r="K210" s="8"/>
    </row>
    <row r="211" spans="10:11" x14ac:dyDescent="0.25">
      <c r="J211" s="1"/>
      <c r="K211" s="8"/>
    </row>
    <row r="212" spans="10:11" x14ac:dyDescent="0.25">
      <c r="J212" s="1"/>
      <c r="K212" s="8"/>
    </row>
    <row r="213" spans="10:11" x14ac:dyDescent="0.25">
      <c r="J213" s="1"/>
      <c r="K213" s="8"/>
    </row>
    <row r="214" spans="10:11" x14ac:dyDescent="0.25">
      <c r="J214" s="1"/>
      <c r="K214" s="8"/>
    </row>
    <row r="215" spans="10:11" x14ac:dyDescent="0.25">
      <c r="J215" s="1"/>
      <c r="K215" s="8"/>
    </row>
    <row r="216" spans="10:11" x14ac:dyDescent="0.25">
      <c r="J216" s="1"/>
      <c r="K216" s="8"/>
    </row>
    <row r="217" spans="10:11" x14ac:dyDescent="0.25">
      <c r="J217" s="1"/>
      <c r="K217" s="8"/>
    </row>
    <row r="218" spans="10:11" x14ac:dyDescent="0.25">
      <c r="J218" s="1"/>
      <c r="K218" s="8"/>
    </row>
    <row r="219" spans="10:11" x14ac:dyDescent="0.25">
      <c r="J219" s="1"/>
      <c r="K219" s="8"/>
    </row>
    <row r="220" spans="10:11" x14ac:dyDescent="0.25">
      <c r="J220" s="1"/>
      <c r="K220" s="8"/>
    </row>
    <row r="221" spans="10:11" x14ac:dyDescent="0.25">
      <c r="J221" s="1"/>
      <c r="K221" s="8"/>
    </row>
    <row r="222" spans="10:11" x14ac:dyDescent="0.25">
      <c r="J222" s="1"/>
      <c r="K222" s="8"/>
    </row>
    <row r="223" spans="10:11" x14ac:dyDescent="0.25">
      <c r="J223" s="1"/>
      <c r="K223" s="8"/>
    </row>
    <row r="224" spans="10:11" x14ac:dyDescent="0.25">
      <c r="J224" s="1"/>
      <c r="K224" s="8"/>
    </row>
    <row r="225" spans="10:11" x14ac:dyDescent="0.25">
      <c r="J225" s="1"/>
      <c r="K225" s="8"/>
    </row>
    <row r="226" spans="10:11" x14ac:dyDescent="0.25">
      <c r="J226" s="1"/>
      <c r="K226" s="8"/>
    </row>
    <row r="227" spans="10:11" x14ac:dyDescent="0.25">
      <c r="J227" s="1"/>
      <c r="K227" s="8"/>
    </row>
    <row r="228" spans="10:11" x14ac:dyDescent="0.25">
      <c r="J228" s="1"/>
      <c r="K228" s="8"/>
    </row>
    <row r="229" spans="10:11" x14ac:dyDescent="0.25">
      <c r="J229" s="1"/>
      <c r="K229" s="8"/>
    </row>
    <row r="230" spans="10:11" x14ac:dyDescent="0.25">
      <c r="J230" s="1"/>
      <c r="K230" s="8"/>
    </row>
    <row r="231" spans="10:11" x14ac:dyDescent="0.25">
      <c r="J231" s="1"/>
      <c r="K231" s="8"/>
    </row>
    <row r="232" spans="10:11" x14ac:dyDescent="0.25">
      <c r="J232" s="1"/>
      <c r="K232" s="8"/>
    </row>
    <row r="233" spans="10:11" x14ac:dyDescent="0.25">
      <c r="J233" s="1"/>
      <c r="K233" s="8"/>
    </row>
    <row r="234" spans="10:11" x14ac:dyDescent="0.25">
      <c r="J234" s="1"/>
      <c r="K234" s="8"/>
    </row>
    <row r="235" spans="10:11" x14ac:dyDescent="0.25">
      <c r="J235" s="1"/>
      <c r="K235" s="8"/>
    </row>
    <row r="236" spans="10:11" x14ac:dyDescent="0.25">
      <c r="J236" s="1"/>
      <c r="K236" s="8"/>
    </row>
    <row r="237" spans="10:11" x14ac:dyDescent="0.25">
      <c r="J237" s="1"/>
      <c r="K237" s="8"/>
    </row>
    <row r="238" spans="10:11" x14ac:dyDescent="0.25">
      <c r="J238" s="1"/>
      <c r="K238" s="8"/>
    </row>
    <row r="239" spans="10:11" x14ac:dyDescent="0.25">
      <c r="J239" s="1"/>
      <c r="K239" s="8"/>
    </row>
    <row r="240" spans="10:11" x14ac:dyDescent="0.25">
      <c r="J240" s="1"/>
      <c r="K240" s="8"/>
    </row>
    <row r="241" spans="10:11" x14ac:dyDescent="0.25">
      <c r="J241" s="1"/>
      <c r="K241" s="8"/>
    </row>
    <row r="242" spans="10:11" x14ac:dyDescent="0.25">
      <c r="J242" s="1"/>
      <c r="K242" s="8"/>
    </row>
    <row r="243" spans="10:11" x14ac:dyDescent="0.25">
      <c r="J243" s="1"/>
      <c r="K243" s="8"/>
    </row>
    <row r="244" spans="10:11" x14ac:dyDescent="0.25">
      <c r="J244" s="1"/>
      <c r="K244" s="8"/>
    </row>
    <row r="245" spans="10:11" x14ac:dyDescent="0.25">
      <c r="J245" s="1"/>
      <c r="K245" s="8"/>
    </row>
    <row r="246" spans="10:11" x14ac:dyDescent="0.25">
      <c r="J246" s="1"/>
      <c r="K246" s="8"/>
    </row>
    <row r="247" spans="10:11" x14ac:dyDescent="0.25">
      <c r="J247" s="1"/>
      <c r="K247" s="8"/>
    </row>
    <row r="248" spans="10:11" x14ac:dyDescent="0.25">
      <c r="J248" s="1"/>
      <c r="K248" s="8"/>
    </row>
    <row r="249" spans="10:11" x14ac:dyDescent="0.25">
      <c r="J249" s="1"/>
      <c r="K249" s="8"/>
    </row>
    <row r="250" spans="10:11" x14ac:dyDescent="0.25">
      <c r="J250" s="1"/>
      <c r="K250" s="8"/>
    </row>
    <row r="251" spans="10:11" x14ac:dyDescent="0.25">
      <c r="J251" s="1"/>
      <c r="K251" s="8"/>
    </row>
    <row r="252" spans="10:11" x14ac:dyDescent="0.25">
      <c r="J252" s="1"/>
      <c r="K252" s="8"/>
    </row>
    <row r="253" spans="10:11" x14ac:dyDescent="0.25">
      <c r="J253" s="1"/>
      <c r="K253" s="8"/>
    </row>
    <row r="254" spans="10:11" x14ac:dyDescent="0.25">
      <c r="J254" s="1"/>
      <c r="K254" s="8"/>
    </row>
    <row r="255" spans="10:11" x14ac:dyDescent="0.25">
      <c r="J255" s="1"/>
      <c r="K255" s="8"/>
    </row>
    <row r="256" spans="10:11" x14ac:dyDescent="0.25">
      <c r="J256" s="1"/>
      <c r="K256" s="8"/>
    </row>
    <row r="257" spans="10:11" x14ac:dyDescent="0.25">
      <c r="J257" s="1"/>
      <c r="K257" s="8"/>
    </row>
    <row r="258" spans="10:11" x14ac:dyDescent="0.25">
      <c r="J258" s="1"/>
      <c r="K258" s="8"/>
    </row>
    <row r="259" spans="10:11" x14ac:dyDescent="0.25">
      <c r="J259" s="1"/>
      <c r="K259" s="8"/>
    </row>
    <row r="260" spans="10:11" x14ac:dyDescent="0.25">
      <c r="J260" s="1"/>
      <c r="K260" s="8"/>
    </row>
    <row r="261" spans="10:11" x14ac:dyDescent="0.25">
      <c r="J261" s="1"/>
      <c r="K261" s="8"/>
    </row>
    <row r="262" spans="10:11" x14ac:dyDescent="0.25">
      <c r="J262" s="1"/>
      <c r="K262" s="8"/>
    </row>
    <row r="263" spans="10:11" x14ac:dyDescent="0.25">
      <c r="J263" s="1"/>
      <c r="K263" s="8"/>
    </row>
    <row r="264" spans="10:11" x14ac:dyDescent="0.25">
      <c r="J264" s="1"/>
      <c r="K264" s="8"/>
    </row>
    <row r="265" spans="10:11" x14ac:dyDescent="0.25">
      <c r="J265" s="1"/>
      <c r="K265" s="8"/>
    </row>
    <row r="266" spans="10:11" x14ac:dyDescent="0.25">
      <c r="J266" s="1"/>
      <c r="K266" s="8"/>
    </row>
    <row r="267" spans="10:11" x14ac:dyDescent="0.25">
      <c r="J267" s="1"/>
      <c r="K267" s="8"/>
    </row>
    <row r="268" spans="10:11" x14ac:dyDescent="0.25">
      <c r="J268" s="1"/>
      <c r="K268" s="8"/>
    </row>
    <row r="269" spans="10:11" x14ac:dyDescent="0.25">
      <c r="J269" s="1"/>
      <c r="K269" s="8"/>
    </row>
    <row r="270" spans="10:11" x14ac:dyDescent="0.25">
      <c r="J270" s="1"/>
      <c r="K270" s="8"/>
    </row>
    <row r="271" spans="10:11" x14ac:dyDescent="0.25">
      <c r="J271" s="1"/>
      <c r="K271" s="8"/>
    </row>
    <row r="272" spans="10:11" x14ac:dyDescent="0.25">
      <c r="J272" s="1"/>
      <c r="K272" s="8"/>
    </row>
    <row r="273" spans="10:11" x14ac:dyDescent="0.25">
      <c r="J273" s="1"/>
      <c r="K273" s="8"/>
    </row>
    <row r="274" spans="10:11" x14ac:dyDescent="0.25">
      <c r="J274" s="1"/>
      <c r="K274" s="8"/>
    </row>
    <row r="275" spans="10:11" x14ac:dyDescent="0.25">
      <c r="J275" s="1"/>
      <c r="K275" s="8"/>
    </row>
    <row r="276" spans="10:11" x14ac:dyDescent="0.25">
      <c r="J276" s="1"/>
      <c r="K276" s="8"/>
    </row>
    <row r="277" spans="10:11" x14ac:dyDescent="0.25">
      <c r="J277" s="1"/>
      <c r="K277" s="8"/>
    </row>
    <row r="278" spans="10:11" x14ac:dyDescent="0.25">
      <c r="J278" s="1"/>
      <c r="K278" s="8"/>
    </row>
    <row r="279" spans="10:11" x14ac:dyDescent="0.25">
      <c r="J279" s="1"/>
      <c r="K279" s="8"/>
    </row>
    <row r="280" spans="10:11" x14ac:dyDescent="0.25">
      <c r="J280" s="1"/>
      <c r="K280" s="8"/>
    </row>
    <row r="281" spans="10:11" x14ac:dyDescent="0.25">
      <c r="J281" s="1"/>
      <c r="K281" s="8"/>
    </row>
    <row r="282" spans="10:11" x14ac:dyDescent="0.25">
      <c r="J282" s="1"/>
      <c r="K282" s="8"/>
    </row>
    <row r="283" spans="10:11" x14ac:dyDescent="0.25">
      <c r="J283" s="1"/>
      <c r="K283" s="8"/>
    </row>
    <row r="284" spans="10:11" x14ac:dyDescent="0.25">
      <c r="J284" s="1"/>
      <c r="K284" s="8"/>
    </row>
    <row r="285" spans="10:11" x14ac:dyDescent="0.25">
      <c r="J285" s="1"/>
      <c r="K285" s="8"/>
    </row>
    <row r="286" spans="10:11" x14ac:dyDescent="0.25">
      <c r="J286" s="1"/>
      <c r="K286" s="8"/>
    </row>
    <row r="287" spans="10:11" x14ac:dyDescent="0.25">
      <c r="J287" s="1"/>
      <c r="K287" s="8"/>
    </row>
    <row r="288" spans="10:11" x14ac:dyDescent="0.25">
      <c r="J288" s="1"/>
      <c r="K288" s="8"/>
    </row>
    <row r="289" spans="10:11" x14ac:dyDescent="0.25">
      <c r="J289" s="1"/>
      <c r="K289" s="8"/>
    </row>
    <row r="290" spans="10:11" x14ac:dyDescent="0.25">
      <c r="J290" s="1"/>
      <c r="K290" s="8"/>
    </row>
    <row r="291" spans="10:11" x14ac:dyDescent="0.25">
      <c r="J291" s="1"/>
      <c r="K291" s="8"/>
    </row>
    <row r="292" spans="10:11" x14ac:dyDescent="0.25">
      <c r="J292" s="1"/>
      <c r="K292" s="8"/>
    </row>
    <row r="293" spans="10:11" x14ac:dyDescent="0.25">
      <c r="J293" s="1"/>
      <c r="K293" s="8"/>
    </row>
    <row r="294" spans="10:11" x14ac:dyDescent="0.25">
      <c r="J294" s="1"/>
      <c r="K294" s="8"/>
    </row>
    <row r="295" spans="10:11" x14ac:dyDescent="0.25">
      <c r="J295" s="1"/>
      <c r="K295" s="8"/>
    </row>
    <row r="296" spans="10:11" x14ac:dyDescent="0.25">
      <c r="J296" s="1"/>
      <c r="K296" s="8"/>
    </row>
    <row r="297" spans="10:11" x14ac:dyDescent="0.25">
      <c r="J297" s="1"/>
      <c r="K297" s="8"/>
    </row>
    <row r="298" spans="10:11" x14ac:dyDescent="0.25">
      <c r="J298" s="1"/>
      <c r="K298" s="8"/>
    </row>
    <row r="299" spans="10:11" x14ac:dyDescent="0.25">
      <c r="J299" s="1"/>
      <c r="K299" s="8"/>
    </row>
    <row r="300" spans="10:11" x14ac:dyDescent="0.25">
      <c r="J300" s="1"/>
      <c r="K300" s="8"/>
    </row>
    <row r="301" spans="10:11" x14ac:dyDescent="0.25">
      <c r="J301" s="1"/>
      <c r="K301" s="8"/>
    </row>
    <row r="302" spans="10:11" x14ac:dyDescent="0.25">
      <c r="J302" s="1"/>
      <c r="K302" s="8"/>
    </row>
    <row r="303" spans="10:11" x14ac:dyDescent="0.25">
      <c r="J303" s="1"/>
      <c r="K303" s="8"/>
    </row>
    <row r="304" spans="10:11" x14ac:dyDescent="0.25">
      <c r="J304" s="1"/>
      <c r="K304" s="8"/>
    </row>
    <row r="305" spans="10:11" x14ac:dyDescent="0.25">
      <c r="J305" s="1"/>
      <c r="K305" s="8"/>
    </row>
    <row r="306" spans="10:11" x14ac:dyDescent="0.25">
      <c r="J306" s="1"/>
      <c r="K306" s="8"/>
    </row>
    <row r="307" spans="10:11" x14ac:dyDescent="0.25">
      <c r="J307" s="1"/>
      <c r="K307" s="8"/>
    </row>
    <row r="308" spans="10:11" x14ac:dyDescent="0.25">
      <c r="J308" s="1"/>
      <c r="K308" s="8"/>
    </row>
    <row r="309" spans="10:11" x14ac:dyDescent="0.25">
      <c r="J309" s="1"/>
      <c r="K309" s="8"/>
    </row>
    <row r="310" spans="10:11" x14ac:dyDescent="0.25">
      <c r="J310" s="1"/>
      <c r="K310" s="8"/>
    </row>
    <row r="311" spans="10:11" x14ac:dyDescent="0.25">
      <c r="J311" s="1"/>
      <c r="K311" s="8"/>
    </row>
    <row r="312" spans="10:11" x14ac:dyDescent="0.25">
      <c r="J312" s="1"/>
      <c r="K312" s="8"/>
    </row>
    <row r="313" spans="10:11" x14ac:dyDescent="0.25">
      <c r="J313" s="1"/>
      <c r="K313" s="8"/>
    </row>
    <row r="314" spans="10:11" x14ac:dyDescent="0.25">
      <c r="J314" s="1"/>
      <c r="K314" s="8"/>
    </row>
    <row r="315" spans="10:11" x14ac:dyDescent="0.25">
      <c r="J315" s="1"/>
      <c r="K315" s="8"/>
    </row>
    <row r="316" spans="10:11" x14ac:dyDescent="0.25">
      <c r="J316" s="1"/>
      <c r="K316" s="8"/>
    </row>
    <row r="317" spans="10:11" x14ac:dyDescent="0.25">
      <c r="J317" s="1"/>
      <c r="K317" s="8"/>
    </row>
    <row r="318" spans="10:11" x14ac:dyDescent="0.25">
      <c r="J318" s="1"/>
      <c r="K318" s="8"/>
    </row>
    <row r="319" spans="10:11" x14ac:dyDescent="0.25">
      <c r="J319" s="1"/>
      <c r="K319" s="8"/>
    </row>
    <row r="320" spans="10:11" x14ac:dyDescent="0.25">
      <c r="J320" s="1"/>
      <c r="K320" s="8"/>
    </row>
    <row r="321" spans="10:11" x14ac:dyDescent="0.25">
      <c r="J321" s="1"/>
      <c r="K321" s="8"/>
    </row>
    <row r="322" spans="10:11" x14ac:dyDescent="0.25">
      <c r="J322" s="1"/>
      <c r="K322" s="8"/>
    </row>
    <row r="323" spans="10:11" x14ac:dyDescent="0.25">
      <c r="J323" s="1"/>
      <c r="K323" s="8"/>
    </row>
    <row r="324" spans="10:11" x14ac:dyDescent="0.25">
      <c r="J324" s="1"/>
      <c r="K324" s="8"/>
    </row>
    <row r="325" spans="10:11" x14ac:dyDescent="0.25">
      <c r="J325" s="1"/>
      <c r="K325" s="8"/>
    </row>
    <row r="326" spans="10:11" x14ac:dyDescent="0.25">
      <c r="J326" s="1"/>
      <c r="K326" s="8"/>
    </row>
    <row r="327" spans="10:11" x14ac:dyDescent="0.25">
      <c r="J327" s="1"/>
      <c r="K327" s="8"/>
    </row>
    <row r="328" spans="10:11" x14ac:dyDescent="0.25">
      <c r="J328" s="1"/>
      <c r="K328" s="8"/>
    </row>
    <row r="329" spans="10:11" x14ac:dyDescent="0.25">
      <c r="J329" s="1"/>
      <c r="K329" s="8"/>
    </row>
    <row r="330" spans="10:11" x14ac:dyDescent="0.25">
      <c r="J330" s="1"/>
      <c r="K330" s="8"/>
    </row>
    <row r="331" spans="10:11" x14ac:dyDescent="0.25">
      <c r="J331" s="1"/>
      <c r="K331" s="8"/>
    </row>
    <row r="332" spans="10:11" x14ac:dyDescent="0.25">
      <c r="J332" s="1"/>
      <c r="K332" s="8"/>
    </row>
    <row r="333" spans="10:11" x14ac:dyDescent="0.25">
      <c r="J333" s="1"/>
      <c r="K333" s="8"/>
    </row>
    <row r="334" spans="10:11" x14ac:dyDescent="0.25">
      <c r="J334" s="1"/>
      <c r="K334" s="8"/>
    </row>
    <row r="335" spans="10:11" x14ac:dyDescent="0.25">
      <c r="J335" s="1"/>
      <c r="K335" s="8"/>
    </row>
    <row r="336" spans="10:11" x14ac:dyDescent="0.25">
      <c r="J336" s="1"/>
      <c r="K336" s="8"/>
    </row>
    <row r="337" spans="10:11" x14ac:dyDescent="0.25">
      <c r="J337" s="1"/>
      <c r="K337" s="8"/>
    </row>
    <row r="338" spans="10:11" x14ac:dyDescent="0.25">
      <c r="J338" s="1"/>
      <c r="K338" s="8"/>
    </row>
    <row r="339" spans="10:11" x14ac:dyDescent="0.25">
      <c r="J339" s="1"/>
      <c r="K339" s="8"/>
    </row>
    <row r="340" spans="10:11" x14ac:dyDescent="0.25">
      <c r="J340" s="1"/>
      <c r="K340" s="8"/>
    </row>
    <row r="341" spans="10:11" x14ac:dyDescent="0.25">
      <c r="J341" s="1"/>
      <c r="K341" s="8"/>
    </row>
    <row r="342" spans="10:11" x14ac:dyDescent="0.25">
      <c r="J342" s="1"/>
      <c r="K342" s="8"/>
    </row>
    <row r="343" spans="10:11" x14ac:dyDescent="0.25">
      <c r="J343" s="1"/>
      <c r="K343" s="8"/>
    </row>
    <row r="344" spans="10:11" x14ac:dyDescent="0.25">
      <c r="J344" s="1"/>
      <c r="K344" s="8"/>
    </row>
    <row r="345" spans="10:11" x14ac:dyDescent="0.25">
      <c r="J345" s="1"/>
      <c r="K345" s="8"/>
    </row>
    <row r="346" spans="10:11" x14ac:dyDescent="0.25">
      <c r="J346" s="1"/>
      <c r="K346" s="8"/>
    </row>
    <row r="347" spans="10:11" x14ac:dyDescent="0.25">
      <c r="J347" s="1"/>
      <c r="K347" s="8"/>
    </row>
    <row r="348" spans="10:11" x14ac:dyDescent="0.25">
      <c r="J348" s="1"/>
      <c r="K348" s="8"/>
    </row>
    <row r="349" spans="10:11" x14ac:dyDescent="0.25">
      <c r="J349" s="1"/>
      <c r="K349" s="8"/>
    </row>
    <row r="350" spans="10:11" x14ac:dyDescent="0.25">
      <c r="J350" s="1"/>
      <c r="K350" s="8"/>
    </row>
    <row r="351" spans="10:11" x14ac:dyDescent="0.25">
      <c r="J351" s="1"/>
      <c r="K351" s="8"/>
    </row>
    <row r="352" spans="10:11" x14ac:dyDescent="0.25">
      <c r="J352" s="1"/>
      <c r="K352" s="8"/>
    </row>
    <row r="353" spans="10:11" x14ac:dyDescent="0.25">
      <c r="J353" s="1"/>
      <c r="K353" s="8"/>
    </row>
    <row r="354" spans="10:11" x14ac:dyDescent="0.25">
      <c r="J354" s="1"/>
      <c r="K354" s="8"/>
    </row>
    <row r="355" spans="10:11" x14ac:dyDescent="0.25">
      <c r="J355" s="1"/>
      <c r="K355" s="8"/>
    </row>
    <row r="356" spans="10:11" x14ac:dyDescent="0.25">
      <c r="J356" s="1"/>
      <c r="K356" s="8"/>
    </row>
    <row r="357" spans="10:11" x14ac:dyDescent="0.25">
      <c r="J357" s="1"/>
      <c r="K357" s="8"/>
    </row>
    <row r="358" spans="10:11" x14ac:dyDescent="0.25">
      <c r="J358" s="1"/>
      <c r="K358" s="8"/>
    </row>
    <row r="359" spans="10:11" x14ac:dyDescent="0.25">
      <c r="J359" s="1"/>
      <c r="K359" s="8"/>
    </row>
    <row r="360" spans="10:11" x14ac:dyDescent="0.25">
      <c r="J360" s="1"/>
      <c r="K360" s="8"/>
    </row>
    <row r="361" spans="10:11" x14ac:dyDescent="0.25">
      <c r="J361" s="1"/>
      <c r="K361" s="8"/>
    </row>
    <row r="362" spans="10:11" x14ac:dyDescent="0.25">
      <c r="J362" s="1"/>
      <c r="K362" s="8"/>
    </row>
    <row r="363" spans="10:11" x14ac:dyDescent="0.25">
      <c r="J363" s="1"/>
      <c r="K363" s="8"/>
    </row>
    <row r="364" spans="10:11" x14ac:dyDescent="0.25">
      <c r="J364" s="1"/>
      <c r="K364" s="8"/>
    </row>
    <row r="365" spans="10:11" x14ac:dyDescent="0.25">
      <c r="J365" s="1"/>
      <c r="K365" s="8"/>
    </row>
    <row r="366" spans="10:11" x14ac:dyDescent="0.25">
      <c r="J366" s="1"/>
      <c r="K366" s="8"/>
    </row>
    <row r="367" spans="10:11" x14ac:dyDescent="0.25">
      <c r="J367" s="1"/>
      <c r="K367" s="8"/>
    </row>
    <row r="368" spans="10:11" x14ac:dyDescent="0.25">
      <c r="J368" s="1"/>
      <c r="K368" s="8"/>
    </row>
    <row r="369" spans="10:11" x14ac:dyDescent="0.25">
      <c r="J369" s="1"/>
      <c r="K369" s="8"/>
    </row>
    <row r="370" spans="10:11" x14ac:dyDescent="0.25">
      <c r="J370" s="1"/>
      <c r="K370" s="8"/>
    </row>
    <row r="371" spans="10:11" x14ac:dyDescent="0.25">
      <c r="J371" s="1"/>
      <c r="K371" s="8"/>
    </row>
    <row r="372" spans="10:11" x14ac:dyDescent="0.25">
      <c r="J372" s="1"/>
      <c r="K372" s="8"/>
    </row>
    <row r="373" spans="10:11" x14ac:dyDescent="0.25">
      <c r="J373" s="1"/>
      <c r="K373" s="8"/>
    </row>
    <row r="374" spans="10:11" x14ac:dyDescent="0.25">
      <c r="J374" s="1"/>
      <c r="K374" s="8"/>
    </row>
    <row r="375" spans="10:11" x14ac:dyDescent="0.25">
      <c r="J375" s="1"/>
      <c r="K375" s="8"/>
    </row>
    <row r="376" spans="10:11" x14ac:dyDescent="0.25">
      <c r="J376" s="1"/>
      <c r="K376" s="8"/>
    </row>
    <row r="377" spans="10:11" x14ac:dyDescent="0.25">
      <c r="J377" s="1"/>
      <c r="K377" s="8"/>
    </row>
    <row r="378" spans="10:11" x14ac:dyDescent="0.25">
      <c r="J378" s="1"/>
      <c r="K378" s="8"/>
    </row>
    <row r="379" spans="10:11" x14ac:dyDescent="0.25">
      <c r="J379" s="1"/>
      <c r="K379" s="8"/>
    </row>
    <row r="380" spans="10:11" x14ac:dyDescent="0.25">
      <c r="J380" s="1"/>
      <c r="K380" s="8"/>
    </row>
    <row r="381" spans="10:11" x14ac:dyDescent="0.25">
      <c r="J381" s="1"/>
      <c r="K381" s="8"/>
    </row>
    <row r="382" spans="10:11" x14ac:dyDescent="0.25">
      <c r="J382" s="1"/>
      <c r="K382" s="8"/>
    </row>
    <row r="383" spans="10:11" x14ac:dyDescent="0.25">
      <c r="K383" s="8"/>
    </row>
    <row r="384" spans="10:11" x14ac:dyDescent="0.25">
      <c r="K384" s="8"/>
    </row>
    <row r="385" spans="11:11" x14ac:dyDescent="0.25">
      <c r="K385" s="8"/>
    </row>
    <row r="386" spans="11:11" x14ac:dyDescent="0.25">
      <c r="K386" s="8"/>
    </row>
    <row r="387" spans="11:11" x14ac:dyDescent="0.25">
      <c r="K387" s="8"/>
    </row>
    <row r="388" spans="11:11" x14ac:dyDescent="0.25">
      <c r="K388" s="8"/>
    </row>
    <row r="389" spans="11:11" x14ac:dyDescent="0.25">
      <c r="K389" s="8"/>
    </row>
    <row r="390" spans="11:11" x14ac:dyDescent="0.25">
      <c r="K390" s="8"/>
    </row>
    <row r="391" spans="11:11" x14ac:dyDescent="0.25">
      <c r="K391" s="8"/>
    </row>
    <row r="392" spans="11:11" x14ac:dyDescent="0.25">
      <c r="K392" s="8"/>
    </row>
    <row r="393" spans="11:11" x14ac:dyDescent="0.25">
      <c r="K393" s="8"/>
    </row>
    <row r="394" spans="11:11" x14ac:dyDescent="0.25">
      <c r="K394" s="8"/>
    </row>
    <row r="395" spans="11:11" x14ac:dyDescent="0.25">
      <c r="K395" s="8"/>
    </row>
    <row r="396" spans="11:11" x14ac:dyDescent="0.25">
      <c r="K396" s="8"/>
    </row>
    <row r="397" spans="11:11" x14ac:dyDescent="0.25">
      <c r="K397" s="8"/>
    </row>
    <row r="398" spans="11:11" x14ac:dyDescent="0.25">
      <c r="K398" s="8"/>
    </row>
    <row r="399" spans="11:11" x14ac:dyDescent="0.25">
      <c r="K399" s="8"/>
    </row>
    <row r="400" spans="11:11" x14ac:dyDescent="0.25">
      <c r="K400" s="8"/>
    </row>
    <row r="401" spans="11:11" x14ac:dyDescent="0.25">
      <c r="K401" s="8"/>
    </row>
    <row r="402" spans="11:11" x14ac:dyDescent="0.25">
      <c r="K402" s="8"/>
    </row>
    <row r="403" spans="11:11" x14ac:dyDescent="0.25">
      <c r="K403" s="8"/>
    </row>
    <row r="404" spans="11:11" x14ac:dyDescent="0.25">
      <c r="K404" s="8"/>
    </row>
    <row r="405" spans="11:11" x14ac:dyDescent="0.25">
      <c r="K405" s="8"/>
    </row>
    <row r="406" spans="11:11" x14ac:dyDescent="0.25">
      <c r="K406" s="8"/>
    </row>
    <row r="407" spans="11:11" x14ac:dyDescent="0.25">
      <c r="K407" s="8"/>
    </row>
    <row r="408" spans="11:11" x14ac:dyDescent="0.25">
      <c r="K408" s="8"/>
    </row>
    <row r="409" spans="11:11" x14ac:dyDescent="0.25">
      <c r="K409" s="8"/>
    </row>
    <row r="410" spans="11:11" x14ac:dyDescent="0.25">
      <c r="K410" s="8"/>
    </row>
    <row r="411" spans="11:11" x14ac:dyDescent="0.25">
      <c r="K411" s="8"/>
    </row>
    <row r="412" spans="11:11" x14ac:dyDescent="0.25">
      <c r="K412" s="8"/>
    </row>
    <row r="413" spans="11:11" x14ac:dyDescent="0.25">
      <c r="K413" s="8"/>
    </row>
    <row r="414" spans="11:11" x14ac:dyDescent="0.25">
      <c r="K414" s="8"/>
    </row>
    <row r="415" spans="11:11" x14ac:dyDescent="0.25">
      <c r="K415" s="8"/>
    </row>
    <row r="416" spans="11:11" x14ac:dyDescent="0.25">
      <c r="K416" s="8"/>
    </row>
    <row r="417" spans="11:11" x14ac:dyDescent="0.25">
      <c r="K417" s="8"/>
    </row>
    <row r="418" spans="11:11" x14ac:dyDescent="0.25">
      <c r="K418" s="8"/>
    </row>
    <row r="419" spans="11:11" x14ac:dyDescent="0.25">
      <c r="K419" s="8"/>
    </row>
    <row r="420" spans="11:11" x14ac:dyDescent="0.25">
      <c r="K420" s="8"/>
    </row>
    <row r="421" spans="11:11" x14ac:dyDescent="0.25">
      <c r="K421" s="8"/>
    </row>
    <row r="422" spans="11:11" x14ac:dyDescent="0.25">
      <c r="K422" s="8"/>
    </row>
    <row r="423" spans="11:11" x14ac:dyDescent="0.25">
      <c r="K423" s="8"/>
    </row>
    <row r="424" spans="11:11" x14ac:dyDescent="0.25">
      <c r="K424" s="8"/>
    </row>
    <row r="425" spans="11:11" x14ac:dyDescent="0.25">
      <c r="K425" s="8"/>
    </row>
    <row r="426" spans="11:11" x14ac:dyDescent="0.25">
      <c r="K426" s="8"/>
    </row>
    <row r="427" spans="11:11" x14ac:dyDescent="0.25">
      <c r="K427" s="8"/>
    </row>
    <row r="428" spans="11:11" x14ac:dyDescent="0.25">
      <c r="K428" s="8"/>
    </row>
    <row r="429" spans="11:11" x14ac:dyDescent="0.25">
      <c r="K429" s="8"/>
    </row>
    <row r="430" spans="11:11" x14ac:dyDescent="0.25">
      <c r="K430" s="8"/>
    </row>
    <row r="431" spans="11:11" x14ac:dyDescent="0.25">
      <c r="K431" s="8"/>
    </row>
    <row r="432" spans="11:11" x14ac:dyDescent="0.25">
      <c r="K432" s="8"/>
    </row>
    <row r="433" spans="11:11" x14ac:dyDescent="0.25">
      <c r="K433" s="8"/>
    </row>
    <row r="434" spans="11:11" x14ac:dyDescent="0.25">
      <c r="K434" s="8"/>
    </row>
    <row r="435" spans="11:11" x14ac:dyDescent="0.25">
      <c r="K435" s="8"/>
    </row>
    <row r="436" spans="11:11" x14ac:dyDescent="0.25">
      <c r="K436" s="8"/>
    </row>
    <row r="437" spans="11:11" x14ac:dyDescent="0.25">
      <c r="K437" s="8"/>
    </row>
    <row r="438" spans="11:11" x14ac:dyDescent="0.25">
      <c r="K438" s="8"/>
    </row>
    <row r="439" spans="11:11" x14ac:dyDescent="0.25">
      <c r="K439" s="8"/>
    </row>
    <row r="440" spans="11:11" x14ac:dyDescent="0.25">
      <c r="K440" s="8"/>
    </row>
    <row r="441" spans="11:11" x14ac:dyDescent="0.25">
      <c r="K441" s="8"/>
    </row>
    <row r="442" spans="11:11" x14ac:dyDescent="0.25">
      <c r="K442" s="8"/>
    </row>
    <row r="443" spans="11:11" x14ac:dyDescent="0.25">
      <c r="K443" s="8"/>
    </row>
    <row r="444" spans="11:11" x14ac:dyDescent="0.25">
      <c r="K444" s="8"/>
    </row>
    <row r="445" spans="11:11" x14ac:dyDescent="0.25">
      <c r="K445" s="8"/>
    </row>
    <row r="446" spans="11:11" x14ac:dyDescent="0.25">
      <c r="K446" s="8"/>
    </row>
    <row r="447" spans="11:11" x14ac:dyDescent="0.25">
      <c r="K447" s="8"/>
    </row>
    <row r="448" spans="11:11" x14ac:dyDescent="0.25">
      <c r="K448" s="8"/>
    </row>
    <row r="449" spans="11:11" x14ac:dyDescent="0.25">
      <c r="K449" s="8"/>
    </row>
    <row r="450" spans="11:11" x14ac:dyDescent="0.25">
      <c r="K450" s="8"/>
    </row>
    <row r="451" spans="11:11" x14ac:dyDescent="0.25">
      <c r="K451" s="8"/>
    </row>
    <row r="452" spans="11:11" x14ac:dyDescent="0.25">
      <c r="K452" s="8"/>
    </row>
    <row r="453" spans="11:11" x14ac:dyDescent="0.25">
      <c r="K453" s="8"/>
    </row>
    <row r="454" spans="11:11" x14ac:dyDescent="0.25">
      <c r="K454" s="8"/>
    </row>
    <row r="455" spans="11:11" x14ac:dyDescent="0.25">
      <c r="K455" s="8"/>
    </row>
    <row r="456" spans="11:11" x14ac:dyDescent="0.25">
      <c r="K456" s="8"/>
    </row>
    <row r="457" spans="11:11" x14ac:dyDescent="0.25">
      <c r="K457" s="8"/>
    </row>
    <row r="458" spans="11:11" x14ac:dyDescent="0.25">
      <c r="K458" s="8"/>
    </row>
    <row r="459" spans="11:11" x14ac:dyDescent="0.25">
      <c r="K459" s="8"/>
    </row>
    <row r="460" spans="11:11" x14ac:dyDescent="0.25">
      <c r="K460" s="8"/>
    </row>
    <row r="461" spans="11:11" x14ac:dyDescent="0.25">
      <c r="K461" s="8"/>
    </row>
    <row r="462" spans="11:11" x14ac:dyDescent="0.25">
      <c r="K462" s="8"/>
    </row>
    <row r="463" spans="11:11" x14ac:dyDescent="0.25">
      <c r="K463" s="8"/>
    </row>
    <row r="464" spans="11:11" x14ac:dyDescent="0.25">
      <c r="K464" s="8"/>
    </row>
    <row r="465" spans="11:11" x14ac:dyDescent="0.25">
      <c r="K465" s="8"/>
    </row>
    <row r="466" spans="11:11" x14ac:dyDescent="0.25">
      <c r="K466" s="8"/>
    </row>
    <row r="467" spans="11:11" x14ac:dyDescent="0.25">
      <c r="K467" s="8"/>
    </row>
    <row r="468" spans="11:11" x14ac:dyDescent="0.25">
      <c r="K468" s="8"/>
    </row>
    <row r="469" spans="11:11" x14ac:dyDescent="0.25">
      <c r="K469" s="8"/>
    </row>
    <row r="470" spans="11:11" x14ac:dyDescent="0.25">
      <c r="K470" s="8"/>
    </row>
    <row r="471" spans="11:11" x14ac:dyDescent="0.25">
      <c r="K471" s="8"/>
    </row>
    <row r="472" spans="11:11" x14ac:dyDescent="0.25">
      <c r="K472" s="8"/>
    </row>
    <row r="473" spans="11:11" x14ac:dyDescent="0.25">
      <c r="K473" s="8"/>
    </row>
    <row r="474" spans="11:11" x14ac:dyDescent="0.25">
      <c r="K474" s="8"/>
    </row>
    <row r="475" spans="11:11" x14ac:dyDescent="0.25">
      <c r="K475" s="8"/>
    </row>
    <row r="476" spans="11:11" x14ac:dyDescent="0.25">
      <c r="K476" s="8"/>
    </row>
    <row r="477" spans="11:11" x14ac:dyDescent="0.25">
      <c r="K477" s="8"/>
    </row>
    <row r="478" spans="11:11" x14ac:dyDescent="0.25">
      <c r="K478" s="8"/>
    </row>
    <row r="479" spans="11:11" x14ac:dyDescent="0.25">
      <c r="K479" s="8"/>
    </row>
    <row r="480" spans="11:11" x14ac:dyDescent="0.25">
      <c r="K480" s="8"/>
    </row>
    <row r="481" spans="11:11" x14ac:dyDescent="0.25">
      <c r="K481" s="8"/>
    </row>
    <row r="482" spans="11:11" x14ac:dyDescent="0.25">
      <c r="K482" s="8"/>
    </row>
    <row r="483" spans="11:11" x14ac:dyDescent="0.25">
      <c r="K483" s="8"/>
    </row>
    <row r="484" spans="11:11" x14ac:dyDescent="0.25">
      <c r="K484" s="8"/>
    </row>
    <row r="485" spans="11:11" x14ac:dyDescent="0.25">
      <c r="K485" s="8"/>
    </row>
    <row r="486" spans="11:11" x14ac:dyDescent="0.25">
      <c r="K486" s="8"/>
    </row>
    <row r="487" spans="11:11" x14ac:dyDescent="0.25">
      <c r="K487" s="8"/>
    </row>
    <row r="488" spans="11:11" x14ac:dyDescent="0.25">
      <c r="K488" s="8"/>
    </row>
    <row r="489" spans="11:11" x14ac:dyDescent="0.25">
      <c r="K489" s="8"/>
    </row>
    <row r="490" spans="11:11" x14ac:dyDescent="0.25">
      <c r="K490" s="8"/>
    </row>
    <row r="491" spans="11:11" x14ac:dyDescent="0.25">
      <c r="K491" s="8"/>
    </row>
    <row r="492" spans="11:11" x14ac:dyDescent="0.25">
      <c r="K492" s="8"/>
    </row>
    <row r="493" spans="11:11" x14ac:dyDescent="0.25">
      <c r="K493" s="8"/>
    </row>
    <row r="494" spans="11:11" x14ac:dyDescent="0.25">
      <c r="K494" s="8"/>
    </row>
    <row r="495" spans="11:11" x14ac:dyDescent="0.25">
      <c r="K495" s="8"/>
    </row>
    <row r="496" spans="11:11" x14ac:dyDescent="0.25">
      <c r="K496" s="8"/>
    </row>
    <row r="497" spans="11:11" x14ac:dyDescent="0.25">
      <c r="K497" s="8"/>
    </row>
    <row r="498" spans="11:11" x14ac:dyDescent="0.25">
      <c r="K498" s="8"/>
    </row>
    <row r="499" spans="11:11" x14ac:dyDescent="0.25">
      <c r="K499" s="8"/>
    </row>
    <row r="500" spans="11:11" x14ac:dyDescent="0.25">
      <c r="K500" s="8"/>
    </row>
    <row r="501" spans="11:11" x14ac:dyDescent="0.25">
      <c r="K501" s="8"/>
    </row>
    <row r="502" spans="11:11" x14ac:dyDescent="0.25">
      <c r="K502" s="8"/>
    </row>
    <row r="503" spans="11:11" x14ac:dyDescent="0.25">
      <c r="K503" s="8"/>
    </row>
    <row r="504" spans="11:11" x14ac:dyDescent="0.25">
      <c r="K504" s="8"/>
    </row>
    <row r="505" spans="11:11" x14ac:dyDescent="0.25">
      <c r="K505" s="8"/>
    </row>
    <row r="506" spans="11:11" x14ac:dyDescent="0.25">
      <c r="K506" s="8"/>
    </row>
    <row r="507" spans="11:11" x14ac:dyDescent="0.25">
      <c r="K507" s="8"/>
    </row>
    <row r="508" spans="11:11" x14ac:dyDescent="0.25">
      <c r="K508" s="8"/>
    </row>
    <row r="509" spans="11:11" x14ac:dyDescent="0.25">
      <c r="K509" s="8"/>
    </row>
    <row r="510" spans="11:11" x14ac:dyDescent="0.25">
      <c r="K510" s="8"/>
    </row>
    <row r="511" spans="11:11" x14ac:dyDescent="0.25">
      <c r="K511" s="8"/>
    </row>
    <row r="512" spans="11:11" x14ac:dyDescent="0.25">
      <c r="K512" s="8"/>
    </row>
    <row r="513" spans="11:11" x14ac:dyDescent="0.25">
      <c r="K513" s="8"/>
    </row>
    <row r="514" spans="11:11" x14ac:dyDescent="0.25">
      <c r="K514" s="8"/>
    </row>
    <row r="515" spans="11:11" x14ac:dyDescent="0.25">
      <c r="K515" s="8"/>
    </row>
    <row r="516" spans="11:11" x14ac:dyDescent="0.25">
      <c r="K516" s="8"/>
    </row>
    <row r="517" spans="11:11" x14ac:dyDescent="0.25">
      <c r="K517" s="8"/>
    </row>
    <row r="518" spans="11:11" x14ac:dyDescent="0.25">
      <c r="K518" s="8"/>
    </row>
    <row r="519" spans="11:11" x14ac:dyDescent="0.25">
      <c r="K519" s="8"/>
    </row>
    <row r="520" spans="11:11" x14ac:dyDescent="0.25">
      <c r="K520" s="8"/>
    </row>
    <row r="521" spans="11:11" x14ac:dyDescent="0.25">
      <c r="K521" s="8"/>
    </row>
    <row r="522" spans="11:11" x14ac:dyDescent="0.25">
      <c r="K522" s="8"/>
    </row>
    <row r="523" spans="11:11" x14ac:dyDescent="0.25">
      <c r="K523" s="8"/>
    </row>
    <row r="524" spans="11:11" x14ac:dyDescent="0.25">
      <c r="K524" s="8"/>
    </row>
    <row r="525" spans="11:11" x14ac:dyDescent="0.25">
      <c r="K525" s="8"/>
    </row>
    <row r="526" spans="11:11" x14ac:dyDescent="0.25">
      <c r="K526" s="8"/>
    </row>
    <row r="527" spans="11:11" x14ac:dyDescent="0.25">
      <c r="K527" s="8"/>
    </row>
    <row r="528" spans="11:11" x14ac:dyDescent="0.25">
      <c r="K528" s="8"/>
    </row>
    <row r="529" spans="11:11" x14ac:dyDescent="0.25">
      <c r="K529" s="8"/>
    </row>
    <row r="530" spans="11:11" x14ac:dyDescent="0.25">
      <c r="K530" s="8"/>
    </row>
    <row r="531" spans="11:11" x14ac:dyDescent="0.25">
      <c r="K531" s="8"/>
    </row>
    <row r="532" spans="11:11" x14ac:dyDescent="0.25">
      <c r="K532" s="8"/>
    </row>
    <row r="533" spans="11:11" x14ac:dyDescent="0.25">
      <c r="K533" s="8"/>
    </row>
    <row r="534" spans="11:11" x14ac:dyDescent="0.25">
      <c r="K534" s="8"/>
    </row>
    <row r="535" spans="11:11" x14ac:dyDescent="0.25">
      <c r="K535" s="8"/>
    </row>
    <row r="536" spans="11:11" x14ac:dyDescent="0.25">
      <c r="K536" s="8"/>
    </row>
    <row r="537" spans="11:11" x14ac:dyDescent="0.25">
      <c r="K537" s="8"/>
    </row>
    <row r="538" spans="11:11" x14ac:dyDescent="0.25">
      <c r="K538" s="8"/>
    </row>
    <row r="539" spans="11:11" x14ac:dyDescent="0.25">
      <c r="K539" s="8"/>
    </row>
    <row r="540" spans="11:11" x14ac:dyDescent="0.25">
      <c r="K540" s="8"/>
    </row>
    <row r="541" spans="11:11" x14ac:dyDescent="0.25">
      <c r="K541" s="8"/>
    </row>
    <row r="542" spans="11:11" x14ac:dyDescent="0.25">
      <c r="K542" s="8"/>
    </row>
    <row r="543" spans="11:11" x14ac:dyDescent="0.25">
      <c r="K543" s="8"/>
    </row>
    <row r="544" spans="11:11" x14ac:dyDescent="0.25">
      <c r="K544" s="8"/>
    </row>
    <row r="545" spans="11:11" x14ac:dyDescent="0.25">
      <c r="K545" s="8"/>
    </row>
    <row r="546" spans="11:11" x14ac:dyDescent="0.25">
      <c r="K546" s="8"/>
    </row>
    <row r="547" spans="11:11" x14ac:dyDescent="0.25">
      <c r="K547" s="8"/>
    </row>
    <row r="548" spans="11:11" x14ac:dyDescent="0.25">
      <c r="K548" s="8"/>
    </row>
    <row r="549" spans="11:11" x14ac:dyDescent="0.25">
      <c r="K549" s="8"/>
    </row>
    <row r="550" spans="11:11" x14ac:dyDescent="0.25">
      <c r="K550" s="8"/>
    </row>
    <row r="551" spans="11:11" x14ac:dyDescent="0.25">
      <c r="K551" s="8"/>
    </row>
    <row r="552" spans="11:11" x14ac:dyDescent="0.25">
      <c r="K552" s="8"/>
    </row>
    <row r="553" spans="11:11" x14ac:dyDescent="0.25">
      <c r="K553" s="8"/>
    </row>
    <row r="554" spans="11:11" x14ac:dyDescent="0.25">
      <c r="K554" s="8"/>
    </row>
    <row r="555" spans="11:11" x14ac:dyDescent="0.25">
      <c r="K555" s="8"/>
    </row>
    <row r="556" spans="11:11" x14ac:dyDescent="0.25">
      <c r="K556" s="8"/>
    </row>
    <row r="557" spans="11:11" x14ac:dyDescent="0.25">
      <c r="K557" s="8"/>
    </row>
    <row r="558" spans="11:11" x14ac:dyDescent="0.25">
      <c r="K558" s="8"/>
    </row>
    <row r="559" spans="11:11" x14ac:dyDescent="0.25">
      <c r="K559" s="8"/>
    </row>
    <row r="560" spans="11:11" x14ac:dyDescent="0.25">
      <c r="K560" s="8"/>
    </row>
    <row r="561" spans="11:11" x14ac:dyDescent="0.25">
      <c r="K561" s="8"/>
    </row>
    <row r="562" spans="11:11" x14ac:dyDescent="0.25">
      <c r="K562" s="8"/>
    </row>
    <row r="563" spans="11:11" x14ac:dyDescent="0.25">
      <c r="K563" s="8"/>
    </row>
    <row r="564" spans="11:11" x14ac:dyDescent="0.25">
      <c r="K564" s="8"/>
    </row>
    <row r="565" spans="11:11" x14ac:dyDescent="0.25">
      <c r="K565" s="8"/>
    </row>
    <row r="566" spans="11:11" x14ac:dyDescent="0.25">
      <c r="K566" s="8"/>
    </row>
    <row r="567" spans="11:11" x14ac:dyDescent="0.25">
      <c r="K567" s="8"/>
    </row>
    <row r="568" spans="11:11" x14ac:dyDescent="0.25">
      <c r="K568" s="8"/>
    </row>
    <row r="569" spans="11:11" x14ac:dyDescent="0.25">
      <c r="K569" s="8"/>
    </row>
    <row r="570" spans="11:11" x14ac:dyDescent="0.25">
      <c r="K570" s="8"/>
    </row>
    <row r="571" spans="11:11" x14ac:dyDescent="0.25">
      <c r="K571" s="8"/>
    </row>
    <row r="572" spans="11:11" x14ac:dyDescent="0.25">
      <c r="K572" s="8"/>
    </row>
    <row r="573" spans="11:11" x14ac:dyDescent="0.25">
      <c r="K573" s="8"/>
    </row>
    <row r="574" spans="11:11" x14ac:dyDescent="0.25">
      <c r="K574" s="8"/>
    </row>
    <row r="575" spans="11:11" x14ac:dyDescent="0.25">
      <c r="K575" s="8"/>
    </row>
    <row r="576" spans="11:11" x14ac:dyDescent="0.25">
      <c r="K576" s="8"/>
    </row>
    <row r="577" spans="11:11" x14ac:dyDescent="0.25">
      <c r="K577" s="8"/>
    </row>
    <row r="578" spans="11:11" x14ac:dyDescent="0.25">
      <c r="K578" s="8"/>
    </row>
    <row r="579" spans="11:11" x14ac:dyDescent="0.25">
      <c r="K579" s="8"/>
    </row>
    <row r="580" spans="11:11" x14ac:dyDescent="0.25">
      <c r="K580" s="8"/>
    </row>
    <row r="581" spans="11:11" x14ac:dyDescent="0.25">
      <c r="K581" s="8"/>
    </row>
    <row r="582" spans="11:11" x14ac:dyDescent="0.25">
      <c r="K582" s="8"/>
    </row>
    <row r="583" spans="11:11" x14ac:dyDescent="0.25">
      <c r="K583" s="8"/>
    </row>
    <row r="584" spans="11:11" x14ac:dyDescent="0.25">
      <c r="K584" s="8"/>
    </row>
    <row r="585" spans="11:11" x14ac:dyDescent="0.25">
      <c r="K585" s="8"/>
    </row>
    <row r="586" spans="11:11" x14ac:dyDescent="0.25">
      <c r="K586" s="8"/>
    </row>
    <row r="587" spans="11:11" x14ac:dyDescent="0.25">
      <c r="K587" s="8"/>
    </row>
    <row r="588" spans="11:11" x14ac:dyDescent="0.25">
      <c r="K588" s="8"/>
    </row>
    <row r="589" spans="11:11" x14ac:dyDescent="0.25">
      <c r="K589" s="8"/>
    </row>
    <row r="590" spans="11:11" x14ac:dyDescent="0.25">
      <c r="K590" s="8"/>
    </row>
    <row r="591" spans="11:11" x14ac:dyDescent="0.25">
      <c r="K591" s="8"/>
    </row>
    <row r="592" spans="11:11" x14ac:dyDescent="0.25">
      <c r="K592" s="8"/>
    </row>
    <row r="593" spans="11:11" x14ac:dyDescent="0.25">
      <c r="K593" s="8"/>
    </row>
    <row r="594" spans="11:11" x14ac:dyDescent="0.25">
      <c r="K594" s="8"/>
    </row>
    <row r="595" spans="11:11" x14ac:dyDescent="0.25">
      <c r="K595" s="8"/>
    </row>
    <row r="596" spans="11:11" x14ac:dyDescent="0.25">
      <c r="K596" s="8"/>
    </row>
    <row r="597" spans="11:11" x14ac:dyDescent="0.25">
      <c r="K597" s="8"/>
    </row>
    <row r="598" spans="11:11" x14ac:dyDescent="0.25">
      <c r="K598" s="8"/>
    </row>
    <row r="599" spans="11:11" x14ac:dyDescent="0.25">
      <c r="K599" s="8"/>
    </row>
    <row r="600" spans="11:11" x14ac:dyDescent="0.25">
      <c r="K600" s="8"/>
    </row>
    <row r="601" spans="11:11" x14ac:dyDescent="0.25">
      <c r="K601" s="8"/>
    </row>
    <row r="602" spans="11:11" x14ac:dyDescent="0.25">
      <c r="K602" s="8"/>
    </row>
    <row r="603" spans="11:11" x14ac:dyDescent="0.25">
      <c r="K603" s="8"/>
    </row>
    <row r="604" spans="11:11" x14ac:dyDescent="0.25">
      <c r="K604" s="8"/>
    </row>
    <row r="605" spans="11:11" x14ac:dyDescent="0.25">
      <c r="K605" s="8"/>
    </row>
    <row r="606" spans="11:11" x14ac:dyDescent="0.25">
      <c r="K606" s="8"/>
    </row>
    <row r="607" spans="11:11" x14ac:dyDescent="0.25">
      <c r="K607" s="8"/>
    </row>
    <row r="608" spans="11:11" x14ac:dyDescent="0.25">
      <c r="K608" s="8"/>
    </row>
    <row r="609" spans="11:11" x14ac:dyDescent="0.25">
      <c r="K609" s="8"/>
    </row>
    <row r="610" spans="11:11" x14ac:dyDescent="0.25">
      <c r="K610" s="8"/>
    </row>
    <row r="611" spans="11:11" x14ac:dyDescent="0.25">
      <c r="K611" s="8"/>
    </row>
    <row r="612" spans="11:11" x14ac:dyDescent="0.25">
      <c r="K612" s="8"/>
    </row>
    <row r="613" spans="11:11" x14ac:dyDescent="0.25">
      <c r="K613" s="8"/>
    </row>
    <row r="614" spans="11:11" x14ac:dyDescent="0.25">
      <c r="K614" s="8"/>
    </row>
    <row r="615" spans="11:11" x14ac:dyDescent="0.25">
      <c r="K615" s="8"/>
    </row>
    <row r="616" spans="11:11" x14ac:dyDescent="0.25">
      <c r="K616" s="8"/>
    </row>
    <row r="617" spans="11:11" x14ac:dyDescent="0.25">
      <c r="K617" s="8"/>
    </row>
    <row r="618" spans="11:11" x14ac:dyDescent="0.25">
      <c r="K618" s="8"/>
    </row>
    <row r="619" spans="11:11" x14ac:dyDescent="0.25">
      <c r="K619" s="8"/>
    </row>
    <row r="620" spans="11:11" x14ac:dyDescent="0.25">
      <c r="K620" s="8"/>
    </row>
    <row r="621" spans="11:11" x14ac:dyDescent="0.25">
      <c r="K621" s="8"/>
    </row>
    <row r="622" spans="11:11" x14ac:dyDescent="0.25">
      <c r="K622" s="8"/>
    </row>
    <row r="623" spans="11:11" x14ac:dyDescent="0.25">
      <c r="K623" s="8"/>
    </row>
    <row r="624" spans="11:11" x14ac:dyDescent="0.25">
      <c r="K624" s="8"/>
    </row>
    <row r="625" spans="11:11" x14ac:dyDescent="0.25">
      <c r="K625" s="8"/>
    </row>
    <row r="626" spans="11:11" x14ac:dyDescent="0.25">
      <c r="K626" s="8"/>
    </row>
    <row r="627" spans="11:11" x14ac:dyDescent="0.25">
      <c r="K627" s="8"/>
    </row>
    <row r="628" spans="11:11" x14ac:dyDescent="0.25">
      <c r="K628" s="8"/>
    </row>
    <row r="629" spans="11:11" x14ac:dyDescent="0.25">
      <c r="K629" s="8"/>
    </row>
    <row r="630" spans="11:11" x14ac:dyDescent="0.25">
      <c r="K630" s="8"/>
    </row>
    <row r="631" spans="11:11" x14ac:dyDescent="0.25">
      <c r="K631" s="8"/>
    </row>
    <row r="632" spans="11:11" x14ac:dyDescent="0.25">
      <c r="K632" s="8"/>
    </row>
    <row r="633" spans="11:11" x14ac:dyDescent="0.25">
      <c r="K633" s="8"/>
    </row>
    <row r="634" spans="11:11" x14ac:dyDescent="0.25">
      <c r="K634" s="8"/>
    </row>
    <row r="635" spans="11:11" x14ac:dyDescent="0.25">
      <c r="K635" s="8"/>
    </row>
    <row r="636" spans="11:11" x14ac:dyDescent="0.25">
      <c r="K636" s="8"/>
    </row>
    <row r="637" spans="11:11" x14ac:dyDescent="0.25">
      <c r="K637" s="8"/>
    </row>
    <row r="638" spans="11:11" x14ac:dyDescent="0.25">
      <c r="K638" s="8"/>
    </row>
    <row r="639" spans="11:11" x14ac:dyDescent="0.25">
      <c r="K639" s="8"/>
    </row>
    <row r="640" spans="11:11" x14ac:dyDescent="0.25">
      <c r="K640" s="8"/>
    </row>
    <row r="641" spans="11:11" x14ac:dyDescent="0.25">
      <c r="K641" s="8"/>
    </row>
    <row r="642" spans="11:11" x14ac:dyDescent="0.25">
      <c r="K642" s="8"/>
    </row>
    <row r="643" spans="11:11" x14ac:dyDescent="0.25">
      <c r="K643" s="8"/>
    </row>
    <row r="644" spans="11:11" x14ac:dyDescent="0.25">
      <c r="K644" s="8"/>
    </row>
    <row r="645" spans="11:11" x14ac:dyDescent="0.25">
      <c r="K645" s="8"/>
    </row>
    <row r="646" spans="11:11" x14ac:dyDescent="0.25">
      <c r="K646" s="8"/>
    </row>
    <row r="647" spans="11:11" x14ac:dyDescent="0.25">
      <c r="K647" s="8"/>
    </row>
    <row r="648" spans="11:11" x14ac:dyDescent="0.25">
      <c r="K648" s="8"/>
    </row>
    <row r="649" spans="11:11" x14ac:dyDescent="0.25">
      <c r="K649" s="8"/>
    </row>
    <row r="650" spans="11:11" x14ac:dyDescent="0.25">
      <c r="K650" s="8"/>
    </row>
    <row r="651" spans="11:11" x14ac:dyDescent="0.25">
      <c r="K651" s="8"/>
    </row>
    <row r="652" spans="11:11" x14ac:dyDescent="0.25">
      <c r="K652" s="8"/>
    </row>
    <row r="653" spans="11:11" x14ac:dyDescent="0.25">
      <c r="K653" s="8"/>
    </row>
    <row r="654" spans="11:11" x14ac:dyDescent="0.25">
      <c r="K654" s="8"/>
    </row>
    <row r="655" spans="11:11" x14ac:dyDescent="0.25">
      <c r="K655" s="8"/>
    </row>
    <row r="656" spans="11:11" x14ac:dyDescent="0.25">
      <c r="K656" s="8"/>
    </row>
    <row r="657" spans="11:11" x14ac:dyDescent="0.25">
      <c r="K657" s="8"/>
    </row>
    <row r="658" spans="11:11" x14ac:dyDescent="0.25">
      <c r="K658" s="8"/>
    </row>
    <row r="659" spans="11:11" x14ac:dyDescent="0.25">
      <c r="K659" s="8"/>
    </row>
    <row r="660" spans="11:11" x14ac:dyDescent="0.25">
      <c r="K660" s="8"/>
    </row>
    <row r="661" spans="11:11" x14ac:dyDescent="0.25">
      <c r="K661" s="8"/>
    </row>
    <row r="662" spans="11:11" x14ac:dyDescent="0.25">
      <c r="K662" s="8"/>
    </row>
    <row r="663" spans="11:11" x14ac:dyDescent="0.25">
      <c r="K663" s="8"/>
    </row>
    <row r="664" spans="11:11" x14ac:dyDescent="0.25">
      <c r="K664" s="8"/>
    </row>
    <row r="665" spans="11:11" x14ac:dyDescent="0.25">
      <c r="K665" s="8"/>
    </row>
    <row r="666" spans="11:11" x14ac:dyDescent="0.25">
      <c r="K666" s="8"/>
    </row>
    <row r="667" spans="11:11" x14ac:dyDescent="0.25">
      <c r="K667" s="8"/>
    </row>
    <row r="668" spans="11:11" x14ac:dyDescent="0.25">
      <c r="K668" s="8"/>
    </row>
    <row r="669" spans="11:11" x14ac:dyDescent="0.25">
      <c r="K669" s="8"/>
    </row>
    <row r="670" spans="11:11" x14ac:dyDescent="0.25">
      <c r="K670" s="8"/>
    </row>
    <row r="671" spans="11:11" x14ac:dyDescent="0.25">
      <c r="K671" s="8"/>
    </row>
    <row r="672" spans="11:11" x14ac:dyDescent="0.25">
      <c r="K672" s="8"/>
    </row>
    <row r="673" spans="11:11" x14ac:dyDescent="0.25">
      <c r="K673" s="8"/>
    </row>
    <row r="674" spans="11:11" x14ac:dyDescent="0.25">
      <c r="K674" s="8"/>
    </row>
    <row r="675" spans="11:11" x14ac:dyDescent="0.25">
      <c r="K675" s="8"/>
    </row>
    <row r="676" spans="11:11" x14ac:dyDescent="0.25">
      <c r="K676" s="8"/>
    </row>
    <row r="677" spans="11:11" x14ac:dyDescent="0.25">
      <c r="K677" s="8"/>
    </row>
    <row r="678" spans="11:11" x14ac:dyDescent="0.25">
      <c r="K678" s="8"/>
    </row>
    <row r="679" spans="11:11" x14ac:dyDescent="0.25">
      <c r="K679" s="8"/>
    </row>
    <row r="680" spans="11:11" x14ac:dyDescent="0.25">
      <c r="K680" s="8"/>
    </row>
    <row r="681" spans="11:11" x14ac:dyDescent="0.25">
      <c r="K681" s="8"/>
    </row>
    <row r="682" spans="11:11" x14ac:dyDescent="0.25">
      <c r="K682" s="8"/>
    </row>
    <row r="683" spans="11:11" x14ac:dyDescent="0.25">
      <c r="K683" s="8"/>
    </row>
    <row r="684" spans="11:11" x14ac:dyDescent="0.25">
      <c r="K684" s="8"/>
    </row>
    <row r="685" spans="11:11" x14ac:dyDescent="0.25">
      <c r="K685" s="8"/>
    </row>
    <row r="686" spans="11:11" x14ac:dyDescent="0.25">
      <c r="K686" s="8"/>
    </row>
    <row r="687" spans="11:11" x14ac:dyDescent="0.25">
      <c r="K687" s="8"/>
    </row>
    <row r="688" spans="11:11" x14ac:dyDescent="0.25">
      <c r="K688" s="8"/>
    </row>
    <row r="689" spans="11:11" x14ac:dyDescent="0.25">
      <c r="K689" s="8"/>
    </row>
    <row r="690" spans="11:11" x14ac:dyDescent="0.25">
      <c r="K690" s="8"/>
    </row>
    <row r="691" spans="11:11" x14ac:dyDescent="0.25">
      <c r="K691" s="8"/>
    </row>
    <row r="692" spans="11:11" x14ac:dyDescent="0.25">
      <c r="K692" s="8"/>
    </row>
    <row r="693" spans="11:11" x14ac:dyDescent="0.25">
      <c r="K693" s="8"/>
    </row>
    <row r="694" spans="11:11" x14ac:dyDescent="0.25">
      <c r="K694" s="8"/>
    </row>
    <row r="695" spans="11:11" x14ac:dyDescent="0.25">
      <c r="K695" s="8"/>
    </row>
    <row r="696" spans="11:11" x14ac:dyDescent="0.25">
      <c r="K696" s="8"/>
    </row>
    <row r="697" spans="11:11" x14ac:dyDescent="0.25">
      <c r="K697" s="8"/>
    </row>
    <row r="698" spans="11:11" x14ac:dyDescent="0.25">
      <c r="K698" s="8"/>
    </row>
    <row r="699" spans="11:11" x14ac:dyDescent="0.25">
      <c r="K699" s="8"/>
    </row>
    <row r="700" spans="11:11" x14ac:dyDescent="0.25">
      <c r="K700" s="8"/>
    </row>
    <row r="701" spans="11:11" x14ac:dyDescent="0.25">
      <c r="K701" s="8"/>
    </row>
    <row r="702" spans="11:11" x14ac:dyDescent="0.25">
      <c r="K702" s="8"/>
    </row>
    <row r="703" spans="11:11" x14ac:dyDescent="0.25">
      <c r="K703" s="8"/>
    </row>
    <row r="704" spans="11:11" x14ac:dyDescent="0.25">
      <c r="K704" s="8"/>
    </row>
    <row r="705" spans="11:11" x14ac:dyDescent="0.25">
      <c r="K705" s="8"/>
    </row>
    <row r="706" spans="11:11" x14ac:dyDescent="0.25">
      <c r="K706" s="8"/>
    </row>
    <row r="707" spans="11:11" x14ac:dyDescent="0.25">
      <c r="K707" s="8"/>
    </row>
    <row r="708" spans="11:11" x14ac:dyDescent="0.25">
      <c r="K708" s="8"/>
    </row>
    <row r="709" spans="11:11" x14ac:dyDescent="0.25">
      <c r="K709" s="8"/>
    </row>
    <row r="710" spans="11:11" x14ac:dyDescent="0.25">
      <c r="K710" s="8"/>
    </row>
    <row r="711" spans="11:11" x14ac:dyDescent="0.25">
      <c r="K711" s="8"/>
    </row>
    <row r="712" spans="11:11" x14ac:dyDescent="0.25">
      <c r="K712" s="8"/>
    </row>
    <row r="713" spans="11:11" x14ac:dyDescent="0.25">
      <c r="K713" s="8"/>
    </row>
    <row r="714" spans="11:11" x14ac:dyDescent="0.25">
      <c r="K714" s="8"/>
    </row>
    <row r="715" spans="11:11" x14ac:dyDescent="0.25">
      <c r="K715" s="8"/>
    </row>
    <row r="716" spans="11:11" x14ac:dyDescent="0.25">
      <c r="K716" s="8"/>
    </row>
    <row r="717" spans="11:11" x14ac:dyDescent="0.25">
      <c r="K717" s="8"/>
    </row>
    <row r="718" spans="11:11" x14ac:dyDescent="0.25">
      <c r="K718" s="8"/>
    </row>
    <row r="719" spans="11:11" x14ac:dyDescent="0.25">
      <c r="K719" s="8"/>
    </row>
    <row r="720" spans="11:11" x14ac:dyDescent="0.25">
      <c r="K720" s="8"/>
    </row>
    <row r="721" spans="11:11" x14ac:dyDescent="0.25">
      <c r="K721" s="8"/>
    </row>
    <row r="722" spans="11:11" x14ac:dyDescent="0.25">
      <c r="K722" s="8"/>
    </row>
    <row r="723" spans="11:11" x14ac:dyDescent="0.25">
      <c r="K723" s="8"/>
    </row>
    <row r="724" spans="11:11" x14ac:dyDescent="0.25">
      <c r="K724" s="8"/>
    </row>
    <row r="725" spans="11:11" x14ac:dyDescent="0.25">
      <c r="K725" s="8"/>
    </row>
    <row r="726" spans="11:11" x14ac:dyDescent="0.25">
      <c r="K726" s="8"/>
    </row>
    <row r="727" spans="11:11" x14ac:dyDescent="0.25">
      <c r="K727" s="8"/>
    </row>
    <row r="728" spans="11:11" x14ac:dyDescent="0.25">
      <c r="K728" s="8"/>
    </row>
    <row r="729" spans="11:11" x14ac:dyDescent="0.25">
      <c r="K729" s="8"/>
    </row>
    <row r="730" spans="11:11" x14ac:dyDescent="0.25">
      <c r="K730" s="8"/>
    </row>
    <row r="731" spans="11:11" x14ac:dyDescent="0.25">
      <c r="K731" s="8"/>
    </row>
    <row r="732" spans="11:11" x14ac:dyDescent="0.25">
      <c r="K732" s="8"/>
    </row>
    <row r="733" spans="11:11" x14ac:dyDescent="0.25">
      <c r="K733" s="8"/>
    </row>
    <row r="734" spans="11:11" x14ac:dyDescent="0.25">
      <c r="K734" s="8"/>
    </row>
    <row r="735" spans="11:11" x14ac:dyDescent="0.25">
      <c r="K735" s="8"/>
    </row>
    <row r="736" spans="11:11" x14ac:dyDescent="0.25">
      <c r="K736" s="8"/>
    </row>
    <row r="737" spans="11:11" x14ac:dyDescent="0.25">
      <c r="K737" s="8"/>
    </row>
    <row r="738" spans="11:11" x14ac:dyDescent="0.25">
      <c r="K738" s="8"/>
    </row>
    <row r="739" spans="11:11" x14ac:dyDescent="0.25">
      <c r="K739" s="8"/>
    </row>
    <row r="740" spans="11:11" x14ac:dyDescent="0.25">
      <c r="K740" s="8"/>
    </row>
    <row r="741" spans="11:11" x14ac:dyDescent="0.25">
      <c r="K741" s="8"/>
    </row>
    <row r="742" spans="11:11" x14ac:dyDescent="0.25">
      <c r="K742" s="8"/>
    </row>
    <row r="743" spans="11:11" x14ac:dyDescent="0.25">
      <c r="K743" s="8"/>
    </row>
    <row r="744" spans="11:11" x14ac:dyDescent="0.25">
      <c r="K744" s="8"/>
    </row>
    <row r="745" spans="11:11" x14ac:dyDescent="0.25">
      <c r="K745" s="8"/>
    </row>
    <row r="746" spans="11:11" x14ac:dyDescent="0.25">
      <c r="K746" s="8"/>
    </row>
    <row r="747" spans="11:11" x14ac:dyDescent="0.25">
      <c r="K747" s="8"/>
    </row>
    <row r="748" spans="11:11" x14ac:dyDescent="0.25">
      <c r="K748" s="8"/>
    </row>
    <row r="749" spans="11:11" x14ac:dyDescent="0.25">
      <c r="K749" s="8"/>
    </row>
    <row r="750" spans="11:11" x14ac:dyDescent="0.25">
      <c r="K750" s="8"/>
    </row>
    <row r="751" spans="11:11" x14ac:dyDescent="0.25">
      <c r="K751" s="8"/>
    </row>
    <row r="752" spans="11:11" x14ac:dyDescent="0.25">
      <c r="K752" s="8"/>
    </row>
    <row r="753" spans="11:11" x14ac:dyDescent="0.25">
      <c r="K753" s="8"/>
    </row>
    <row r="754" spans="11:11" x14ac:dyDescent="0.25">
      <c r="K754" s="8"/>
    </row>
    <row r="755" spans="11:11" x14ac:dyDescent="0.25">
      <c r="K755" s="8"/>
    </row>
    <row r="756" spans="11:11" x14ac:dyDescent="0.25">
      <c r="K756" s="8"/>
    </row>
    <row r="757" spans="11:11" x14ac:dyDescent="0.25">
      <c r="K757" s="8"/>
    </row>
    <row r="758" spans="11:11" x14ac:dyDescent="0.25">
      <c r="K758" s="8"/>
    </row>
    <row r="759" spans="11:11" x14ac:dyDescent="0.25">
      <c r="K759" s="8"/>
    </row>
    <row r="760" spans="11:11" x14ac:dyDescent="0.25">
      <c r="K760" s="8"/>
    </row>
    <row r="761" spans="11:11" x14ac:dyDescent="0.25">
      <c r="K761" s="8"/>
    </row>
    <row r="762" spans="11:11" x14ac:dyDescent="0.25">
      <c r="K762" s="8"/>
    </row>
    <row r="763" spans="11:11" x14ac:dyDescent="0.25">
      <c r="K763" s="8"/>
    </row>
    <row r="764" spans="11:11" x14ac:dyDescent="0.25">
      <c r="K764" s="8"/>
    </row>
    <row r="765" spans="11:11" x14ac:dyDescent="0.25">
      <c r="K765" s="8"/>
    </row>
    <row r="766" spans="11:11" x14ac:dyDescent="0.25">
      <c r="K766" s="8"/>
    </row>
    <row r="767" spans="11:11" x14ac:dyDescent="0.25">
      <c r="K767" s="8"/>
    </row>
    <row r="768" spans="11:11" x14ac:dyDescent="0.25">
      <c r="K768" s="8"/>
    </row>
    <row r="769" spans="11:11" x14ac:dyDescent="0.25">
      <c r="K769" s="8"/>
    </row>
    <row r="770" spans="11:11" x14ac:dyDescent="0.25">
      <c r="K770" s="8"/>
    </row>
    <row r="771" spans="11:11" x14ac:dyDescent="0.25">
      <c r="K771" s="8"/>
    </row>
    <row r="772" spans="11:11" x14ac:dyDescent="0.25">
      <c r="K772" s="8"/>
    </row>
    <row r="773" spans="11:11" x14ac:dyDescent="0.25">
      <c r="K773" s="8"/>
    </row>
    <row r="774" spans="11:11" x14ac:dyDescent="0.25">
      <c r="K774" s="8"/>
    </row>
    <row r="775" spans="11:11" x14ac:dyDescent="0.25">
      <c r="K775" s="8"/>
    </row>
    <row r="776" spans="11:11" x14ac:dyDescent="0.25">
      <c r="K776" s="8"/>
    </row>
    <row r="777" spans="11:11" x14ac:dyDescent="0.25">
      <c r="K777" s="8"/>
    </row>
    <row r="778" spans="11:11" x14ac:dyDescent="0.25">
      <c r="K778" s="8"/>
    </row>
    <row r="779" spans="11:11" x14ac:dyDescent="0.25">
      <c r="K779" s="8"/>
    </row>
    <row r="780" spans="11:11" x14ac:dyDescent="0.25">
      <c r="K780" s="8"/>
    </row>
    <row r="781" spans="11:11" x14ac:dyDescent="0.25">
      <c r="K781" s="8"/>
    </row>
    <row r="782" spans="11:11" x14ac:dyDescent="0.25">
      <c r="K782" s="8"/>
    </row>
    <row r="783" spans="11:11" x14ac:dyDescent="0.25">
      <c r="K783" s="8"/>
    </row>
    <row r="784" spans="11:11" x14ac:dyDescent="0.25">
      <c r="K784" s="8"/>
    </row>
    <row r="785" spans="11:11" x14ac:dyDescent="0.25">
      <c r="K785" s="8"/>
    </row>
    <row r="786" spans="11:11" x14ac:dyDescent="0.25">
      <c r="K786" s="8"/>
    </row>
    <row r="787" spans="11:11" x14ac:dyDescent="0.25">
      <c r="K787" s="8"/>
    </row>
    <row r="788" spans="11:11" x14ac:dyDescent="0.25">
      <c r="K788" s="8"/>
    </row>
    <row r="789" spans="11:11" x14ac:dyDescent="0.25">
      <c r="K789" s="8"/>
    </row>
    <row r="790" spans="11:11" x14ac:dyDescent="0.25">
      <c r="K790" s="8"/>
    </row>
    <row r="791" spans="11:11" x14ac:dyDescent="0.25">
      <c r="K791" s="8"/>
    </row>
    <row r="792" spans="11:11" x14ac:dyDescent="0.25">
      <c r="K792" s="8"/>
    </row>
    <row r="793" spans="11:11" x14ac:dyDescent="0.25">
      <c r="K793" s="8"/>
    </row>
    <row r="794" spans="11:11" x14ac:dyDescent="0.25">
      <c r="K794" s="8"/>
    </row>
    <row r="795" spans="11:11" x14ac:dyDescent="0.25">
      <c r="K795" s="8"/>
    </row>
    <row r="796" spans="11:11" x14ac:dyDescent="0.25">
      <c r="K796" s="8"/>
    </row>
    <row r="797" spans="11:11" x14ac:dyDescent="0.25">
      <c r="K797" s="8"/>
    </row>
    <row r="798" spans="11:11" x14ac:dyDescent="0.25">
      <c r="K798" s="8"/>
    </row>
    <row r="799" spans="11:11" x14ac:dyDescent="0.25">
      <c r="K799" s="8"/>
    </row>
    <row r="800" spans="11:11" x14ac:dyDescent="0.25">
      <c r="K800" s="8"/>
    </row>
    <row r="801" spans="11:11" x14ac:dyDescent="0.25">
      <c r="K801" s="8"/>
    </row>
    <row r="802" spans="11:11" x14ac:dyDescent="0.25">
      <c r="K802" s="8"/>
    </row>
    <row r="803" spans="11:11" x14ac:dyDescent="0.25">
      <c r="K803" s="8"/>
    </row>
    <row r="804" spans="11:11" x14ac:dyDescent="0.25">
      <c r="K804" s="8"/>
    </row>
    <row r="805" spans="11:11" x14ac:dyDescent="0.25">
      <c r="K805" s="8"/>
    </row>
    <row r="806" spans="11:11" x14ac:dyDescent="0.25">
      <c r="K806" s="8"/>
    </row>
    <row r="807" spans="11:11" x14ac:dyDescent="0.25">
      <c r="K807" s="8"/>
    </row>
    <row r="808" spans="11:11" x14ac:dyDescent="0.25">
      <c r="K808" s="8"/>
    </row>
    <row r="809" spans="11:11" x14ac:dyDescent="0.25">
      <c r="K809" s="8"/>
    </row>
    <row r="810" spans="11:11" x14ac:dyDescent="0.25">
      <c r="K810" s="8"/>
    </row>
    <row r="811" spans="11:11" x14ac:dyDescent="0.25">
      <c r="K811" s="8"/>
    </row>
    <row r="812" spans="11:11" x14ac:dyDescent="0.25">
      <c r="K812" s="8"/>
    </row>
    <row r="813" spans="11:11" x14ac:dyDescent="0.25">
      <c r="K813" s="8"/>
    </row>
    <row r="814" spans="11:11" x14ac:dyDescent="0.25">
      <c r="K814" s="8"/>
    </row>
    <row r="815" spans="11:11" x14ac:dyDescent="0.25">
      <c r="K815" s="8"/>
    </row>
    <row r="816" spans="11:11" x14ac:dyDescent="0.25">
      <c r="K816" s="8"/>
    </row>
    <row r="817" spans="11:11" x14ac:dyDescent="0.25">
      <c r="K817" s="8"/>
    </row>
    <row r="818" spans="11:11" x14ac:dyDescent="0.25">
      <c r="K818" s="8"/>
    </row>
    <row r="819" spans="11:11" x14ac:dyDescent="0.25">
      <c r="K819" s="8"/>
    </row>
    <row r="820" spans="11:11" x14ac:dyDescent="0.25">
      <c r="K820" s="8"/>
    </row>
    <row r="821" spans="11:11" x14ac:dyDescent="0.25">
      <c r="K821" s="8"/>
    </row>
    <row r="822" spans="11:11" x14ac:dyDescent="0.25">
      <c r="K822" s="8"/>
    </row>
    <row r="823" spans="11:11" x14ac:dyDescent="0.25">
      <c r="K823" s="8"/>
    </row>
    <row r="824" spans="11:11" x14ac:dyDescent="0.25">
      <c r="K824" s="8"/>
    </row>
    <row r="825" spans="11:11" x14ac:dyDescent="0.25">
      <c r="K825" s="8"/>
    </row>
    <row r="826" spans="11:11" x14ac:dyDescent="0.25">
      <c r="K826" s="8"/>
    </row>
    <row r="827" spans="11:11" x14ac:dyDescent="0.25">
      <c r="K827" s="8"/>
    </row>
    <row r="828" spans="11:11" x14ac:dyDescent="0.25">
      <c r="K828" s="8"/>
    </row>
    <row r="829" spans="11:11" x14ac:dyDescent="0.25">
      <c r="K829" s="8"/>
    </row>
    <row r="830" spans="11:11" x14ac:dyDescent="0.25">
      <c r="K830" s="8"/>
    </row>
    <row r="831" spans="11:11" x14ac:dyDescent="0.25">
      <c r="K831" s="8"/>
    </row>
    <row r="832" spans="11:11" x14ac:dyDescent="0.25">
      <c r="K832" s="8"/>
    </row>
    <row r="833" spans="11:11" x14ac:dyDescent="0.25">
      <c r="K833" s="8"/>
    </row>
    <row r="834" spans="11:11" x14ac:dyDescent="0.25">
      <c r="K834" s="8"/>
    </row>
    <row r="835" spans="11:11" x14ac:dyDescent="0.25">
      <c r="K835" s="8"/>
    </row>
    <row r="836" spans="11:11" x14ac:dyDescent="0.25">
      <c r="K836" s="8"/>
    </row>
    <row r="837" spans="11:11" x14ac:dyDescent="0.25">
      <c r="K837" s="8"/>
    </row>
    <row r="838" spans="11:11" x14ac:dyDescent="0.25">
      <c r="K838" s="8"/>
    </row>
    <row r="839" spans="11:11" x14ac:dyDescent="0.25">
      <c r="K839" s="8"/>
    </row>
    <row r="840" spans="11:11" x14ac:dyDescent="0.25">
      <c r="K840" s="8"/>
    </row>
    <row r="841" spans="11:11" x14ac:dyDescent="0.25">
      <c r="K841" s="8"/>
    </row>
    <row r="842" spans="11:11" x14ac:dyDescent="0.25">
      <c r="K842" s="8"/>
    </row>
    <row r="843" spans="11:11" x14ac:dyDescent="0.25">
      <c r="K843" s="8"/>
    </row>
    <row r="844" spans="11:11" x14ac:dyDescent="0.25">
      <c r="K844" s="8"/>
    </row>
    <row r="845" spans="11:11" x14ac:dyDescent="0.25">
      <c r="K845" s="8"/>
    </row>
    <row r="846" spans="11:11" x14ac:dyDescent="0.25">
      <c r="K846" s="8"/>
    </row>
    <row r="847" spans="11:11" x14ac:dyDescent="0.25">
      <c r="K847" s="8"/>
    </row>
    <row r="848" spans="11:11" x14ac:dyDescent="0.25">
      <c r="K848" s="8"/>
    </row>
    <row r="849" spans="11:11" x14ac:dyDescent="0.25">
      <c r="K849" s="8"/>
    </row>
    <row r="850" spans="11:11" x14ac:dyDescent="0.25">
      <c r="K850" s="8"/>
    </row>
    <row r="851" spans="11:11" x14ac:dyDescent="0.25">
      <c r="K851" s="8"/>
    </row>
    <row r="852" spans="11:11" x14ac:dyDescent="0.25">
      <c r="K852" s="8"/>
    </row>
    <row r="853" spans="11:11" x14ac:dyDescent="0.25">
      <c r="K853" s="8"/>
    </row>
    <row r="854" spans="11:11" x14ac:dyDescent="0.25">
      <c r="K854" s="8"/>
    </row>
    <row r="855" spans="11:11" x14ac:dyDescent="0.25">
      <c r="K855" s="8"/>
    </row>
    <row r="856" spans="11:11" x14ac:dyDescent="0.25">
      <c r="K856" s="8"/>
    </row>
    <row r="857" spans="11:11" x14ac:dyDescent="0.25">
      <c r="K857" s="8"/>
    </row>
    <row r="858" spans="11:11" x14ac:dyDescent="0.25">
      <c r="K858" s="8"/>
    </row>
    <row r="859" spans="11:11" x14ac:dyDescent="0.25">
      <c r="K859" s="8"/>
    </row>
    <row r="860" spans="11:11" x14ac:dyDescent="0.25">
      <c r="K860" s="8"/>
    </row>
    <row r="861" spans="11:11" x14ac:dyDescent="0.25">
      <c r="K861" s="8"/>
    </row>
    <row r="862" spans="11:11" x14ac:dyDescent="0.25">
      <c r="K862" s="8"/>
    </row>
    <row r="863" spans="11:11" x14ac:dyDescent="0.25">
      <c r="K863" s="8"/>
    </row>
    <row r="864" spans="11:11" x14ac:dyDescent="0.25">
      <c r="K864" s="8"/>
    </row>
    <row r="865" spans="11:11" x14ac:dyDescent="0.25">
      <c r="K865" s="8"/>
    </row>
    <row r="866" spans="11:11" x14ac:dyDescent="0.25">
      <c r="K866" s="8"/>
    </row>
    <row r="867" spans="11:11" x14ac:dyDescent="0.25">
      <c r="K867" s="8"/>
    </row>
    <row r="868" spans="11:11" x14ac:dyDescent="0.25">
      <c r="K868" s="8"/>
    </row>
    <row r="869" spans="11:11" x14ac:dyDescent="0.25">
      <c r="K869" s="8"/>
    </row>
    <row r="870" spans="11:11" x14ac:dyDescent="0.25">
      <c r="K870" s="8"/>
    </row>
    <row r="871" spans="11:11" x14ac:dyDescent="0.25">
      <c r="K871" s="8"/>
    </row>
    <row r="872" spans="11:11" x14ac:dyDescent="0.25">
      <c r="K872" s="8"/>
    </row>
    <row r="873" spans="11:11" x14ac:dyDescent="0.25">
      <c r="K873" s="8"/>
    </row>
    <row r="874" spans="11:11" x14ac:dyDescent="0.25">
      <c r="K874" s="8"/>
    </row>
    <row r="875" spans="11:11" x14ac:dyDescent="0.25">
      <c r="K875" s="8"/>
    </row>
    <row r="876" spans="11:11" x14ac:dyDescent="0.25">
      <c r="K876" s="8"/>
    </row>
    <row r="877" spans="11:11" x14ac:dyDescent="0.25">
      <c r="K877" s="8"/>
    </row>
    <row r="878" spans="11:11" x14ac:dyDescent="0.25">
      <c r="K878" s="8"/>
    </row>
    <row r="879" spans="11:11" x14ac:dyDescent="0.25">
      <c r="K879" s="8"/>
    </row>
    <row r="880" spans="11:11" x14ac:dyDescent="0.25">
      <c r="K880" s="8"/>
    </row>
    <row r="881" spans="11:11" x14ac:dyDescent="0.25">
      <c r="K881" s="8"/>
    </row>
    <row r="882" spans="11:11" x14ac:dyDescent="0.25">
      <c r="K882" s="8"/>
    </row>
    <row r="883" spans="11:11" x14ac:dyDescent="0.25">
      <c r="K883" s="8"/>
    </row>
    <row r="884" spans="11:11" x14ac:dyDescent="0.25">
      <c r="K884" s="8"/>
    </row>
    <row r="885" spans="11:11" x14ac:dyDescent="0.25">
      <c r="K885" s="8"/>
    </row>
    <row r="886" spans="11:11" x14ac:dyDescent="0.25">
      <c r="K886" s="8"/>
    </row>
    <row r="887" spans="11:11" x14ac:dyDescent="0.25">
      <c r="K887" s="8"/>
    </row>
    <row r="888" spans="11:11" x14ac:dyDescent="0.25">
      <c r="K888" s="8"/>
    </row>
    <row r="889" spans="11:11" x14ac:dyDescent="0.25">
      <c r="K889" s="8"/>
    </row>
    <row r="890" spans="11:11" x14ac:dyDescent="0.25">
      <c r="K890" s="8"/>
    </row>
    <row r="891" spans="11:11" x14ac:dyDescent="0.25">
      <c r="K891" s="8"/>
    </row>
    <row r="892" spans="11:11" x14ac:dyDescent="0.25">
      <c r="K892" s="8"/>
    </row>
    <row r="893" spans="11:11" x14ac:dyDescent="0.25">
      <c r="K893" s="8"/>
    </row>
    <row r="894" spans="11:11" x14ac:dyDescent="0.25">
      <c r="K894" s="8"/>
    </row>
    <row r="895" spans="11:11" x14ac:dyDescent="0.25">
      <c r="K895" s="8"/>
    </row>
    <row r="896" spans="11:11" x14ac:dyDescent="0.25">
      <c r="K896" s="8"/>
    </row>
    <row r="897" spans="11:11" x14ac:dyDescent="0.25">
      <c r="K897" s="8"/>
    </row>
    <row r="898" spans="11:11" x14ac:dyDescent="0.25">
      <c r="K898" s="8"/>
    </row>
    <row r="899" spans="11:11" x14ac:dyDescent="0.25">
      <c r="K899" s="8"/>
    </row>
    <row r="900" spans="11:11" x14ac:dyDescent="0.25">
      <c r="K900" s="8"/>
    </row>
    <row r="901" spans="11:11" x14ac:dyDescent="0.25">
      <c r="K901" s="8"/>
    </row>
    <row r="902" spans="11:11" x14ac:dyDescent="0.25">
      <c r="K902" s="8"/>
    </row>
    <row r="903" spans="11:11" x14ac:dyDescent="0.25">
      <c r="K903" s="8"/>
    </row>
    <row r="904" spans="11:11" x14ac:dyDescent="0.25">
      <c r="K904" s="8"/>
    </row>
    <row r="905" spans="11:11" x14ac:dyDescent="0.25">
      <c r="K905" s="8"/>
    </row>
    <row r="906" spans="11:11" x14ac:dyDescent="0.25">
      <c r="K906" s="8"/>
    </row>
    <row r="907" spans="11:11" x14ac:dyDescent="0.25">
      <c r="K907" s="8"/>
    </row>
    <row r="908" spans="11:11" x14ac:dyDescent="0.25">
      <c r="K908" s="8"/>
    </row>
    <row r="909" spans="11:11" x14ac:dyDescent="0.25">
      <c r="K909" s="8"/>
    </row>
    <row r="910" spans="11:11" x14ac:dyDescent="0.25">
      <c r="K910" s="8"/>
    </row>
    <row r="911" spans="11:11" x14ac:dyDescent="0.25">
      <c r="K911" s="8"/>
    </row>
    <row r="912" spans="11:11" x14ac:dyDescent="0.25">
      <c r="K912" s="8"/>
    </row>
    <row r="913" spans="11:11" x14ac:dyDescent="0.25">
      <c r="K913" s="8"/>
    </row>
    <row r="914" spans="11:11" x14ac:dyDescent="0.25">
      <c r="K914" s="8"/>
    </row>
    <row r="915" spans="11:11" x14ac:dyDescent="0.25">
      <c r="K915" s="8"/>
    </row>
    <row r="916" spans="11:11" x14ac:dyDescent="0.25">
      <c r="K916" s="8"/>
    </row>
    <row r="917" spans="11:11" x14ac:dyDescent="0.25">
      <c r="K917" s="8"/>
    </row>
    <row r="918" spans="11:11" x14ac:dyDescent="0.25">
      <c r="K918" s="8"/>
    </row>
    <row r="919" spans="11:11" x14ac:dyDescent="0.25">
      <c r="K919" s="8"/>
    </row>
    <row r="920" spans="11:11" x14ac:dyDescent="0.25">
      <c r="K920" s="8"/>
    </row>
    <row r="921" spans="11:11" x14ac:dyDescent="0.25">
      <c r="K921" s="8"/>
    </row>
    <row r="922" spans="11:11" x14ac:dyDescent="0.25">
      <c r="K922" s="8"/>
    </row>
    <row r="923" spans="11:11" x14ac:dyDescent="0.25">
      <c r="K923" s="8"/>
    </row>
    <row r="924" spans="11:11" x14ac:dyDescent="0.25">
      <c r="K924" s="8"/>
    </row>
    <row r="925" spans="11:11" x14ac:dyDescent="0.25">
      <c r="K925" s="8"/>
    </row>
    <row r="926" spans="11:11" x14ac:dyDescent="0.25">
      <c r="K926" s="8"/>
    </row>
    <row r="927" spans="11:11" x14ac:dyDescent="0.25">
      <c r="K927" s="8"/>
    </row>
    <row r="928" spans="11:11" x14ac:dyDescent="0.25">
      <c r="K928" s="8"/>
    </row>
    <row r="929" spans="11:11" x14ac:dyDescent="0.25">
      <c r="K929" s="8"/>
    </row>
    <row r="930" spans="11:11" x14ac:dyDescent="0.25">
      <c r="K930" s="8"/>
    </row>
    <row r="931" spans="11:11" x14ac:dyDescent="0.25">
      <c r="K931" s="8"/>
    </row>
    <row r="932" spans="11:11" x14ac:dyDescent="0.25">
      <c r="K932" s="8"/>
    </row>
    <row r="933" spans="11:11" x14ac:dyDescent="0.25">
      <c r="K933" s="8"/>
    </row>
    <row r="934" spans="11:11" x14ac:dyDescent="0.25">
      <c r="K934" s="8"/>
    </row>
    <row r="935" spans="11:11" x14ac:dyDescent="0.25">
      <c r="K935" s="8"/>
    </row>
    <row r="936" spans="11:11" x14ac:dyDescent="0.25">
      <c r="K936" s="8"/>
    </row>
    <row r="937" spans="11:11" x14ac:dyDescent="0.25">
      <c r="K937" s="8"/>
    </row>
    <row r="938" spans="11:11" x14ac:dyDescent="0.25">
      <c r="K938" s="8"/>
    </row>
    <row r="939" spans="11:11" x14ac:dyDescent="0.25">
      <c r="K939" s="8"/>
    </row>
    <row r="940" spans="11:11" x14ac:dyDescent="0.25">
      <c r="K940" s="8"/>
    </row>
    <row r="941" spans="11:11" x14ac:dyDescent="0.25">
      <c r="K941" s="8"/>
    </row>
    <row r="942" spans="11:11" x14ac:dyDescent="0.25">
      <c r="K942" s="8"/>
    </row>
    <row r="943" spans="11:11" x14ac:dyDescent="0.25">
      <c r="K943" s="8"/>
    </row>
    <row r="944" spans="11:11" x14ac:dyDescent="0.25">
      <c r="K944" s="8"/>
    </row>
    <row r="945" spans="11:11" x14ac:dyDescent="0.25">
      <c r="K945" s="8"/>
    </row>
    <row r="946" spans="11:11" x14ac:dyDescent="0.25">
      <c r="K946" s="8"/>
    </row>
    <row r="947" spans="11:11" x14ac:dyDescent="0.25">
      <c r="K947" s="8"/>
    </row>
    <row r="948" spans="11:11" x14ac:dyDescent="0.25">
      <c r="K948" s="8"/>
    </row>
    <row r="949" spans="11:11" x14ac:dyDescent="0.25">
      <c r="K949" s="8"/>
    </row>
    <row r="950" spans="11:11" x14ac:dyDescent="0.25">
      <c r="K950" s="8"/>
    </row>
    <row r="951" spans="11:11" x14ac:dyDescent="0.25">
      <c r="K951" s="8"/>
    </row>
    <row r="952" spans="11:11" x14ac:dyDescent="0.25">
      <c r="K952" s="8"/>
    </row>
    <row r="953" spans="11:11" x14ac:dyDescent="0.25">
      <c r="K953" s="8"/>
    </row>
    <row r="954" spans="11:11" x14ac:dyDescent="0.25">
      <c r="K954" s="8"/>
    </row>
    <row r="955" spans="11:11" x14ac:dyDescent="0.25">
      <c r="K955" s="8"/>
    </row>
    <row r="956" spans="11:11" x14ac:dyDescent="0.25">
      <c r="K956" s="8"/>
    </row>
    <row r="957" spans="11:11" x14ac:dyDescent="0.25">
      <c r="K957" s="8"/>
    </row>
    <row r="958" spans="11:11" x14ac:dyDescent="0.25">
      <c r="K958" s="8"/>
    </row>
    <row r="959" spans="11:11" x14ac:dyDescent="0.25">
      <c r="K959" s="8"/>
    </row>
    <row r="960" spans="11:11" x14ac:dyDescent="0.25">
      <c r="K960" s="8"/>
    </row>
    <row r="961" spans="11:11" x14ac:dyDescent="0.25">
      <c r="K961" s="8"/>
    </row>
    <row r="962" spans="11:11" x14ac:dyDescent="0.25">
      <c r="K962" s="8"/>
    </row>
    <row r="963" spans="11:11" x14ac:dyDescent="0.25">
      <c r="K963" s="8"/>
    </row>
    <row r="964" spans="11:11" x14ac:dyDescent="0.25">
      <c r="K964" s="8"/>
    </row>
    <row r="965" spans="11:11" x14ac:dyDescent="0.25">
      <c r="K965" s="8"/>
    </row>
    <row r="966" spans="11:11" x14ac:dyDescent="0.25">
      <c r="K966" s="8"/>
    </row>
    <row r="967" spans="11:11" x14ac:dyDescent="0.25">
      <c r="K967" s="8"/>
    </row>
    <row r="968" spans="11:11" x14ac:dyDescent="0.25">
      <c r="K968" s="8"/>
    </row>
    <row r="969" spans="11:11" x14ac:dyDescent="0.25">
      <c r="K969" s="8"/>
    </row>
    <row r="970" spans="11:11" x14ac:dyDescent="0.25">
      <c r="K970" s="8"/>
    </row>
    <row r="971" spans="11:11" x14ac:dyDescent="0.25">
      <c r="K971" s="8"/>
    </row>
    <row r="972" spans="11:11" x14ac:dyDescent="0.25">
      <c r="K972" s="8"/>
    </row>
    <row r="973" spans="11:11" x14ac:dyDescent="0.25">
      <c r="K973" s="8"/>
    </row>
    <row r="974" spans="11:11" x14ac:dyDescent="0.25">
      <c r="K974" s="8"/>
    </row>
    <row r="975" spans="11:11" x14ac:dyDescent="0.25">
      <c r="K975" s="8"/>
    </row>
    <row r="976" spans="11:11" x14ac:dyDescent="0.25">
      <c r="K976" s="8"/>
    </row>
    <row r="977" spans="11:11" x14ac:dyDescent="0.25">
      <c r="K977" s="8"/>
    </row>
    <row r="978" spans="11:11" x14ac:dyDescent="0.25">
      <c r="K978" s="8"/>
    </row>
    <row r="979" spans="11:11" x14ac:dyDescent="0.25">
      <c r="K979" s="8"/>
    </row>
    <row r="980" spans="11:11" x14ac:dyDescent="0.25">
      <c r="K980" s="8"/>
    </row>
    <row r="981" spans="11:11" x14ac:dyDescent="0.25">
      <c r="K981" s="8"/>
    </row>
    <row r="982" spans="11:11" x14ac:dyDescent="0.25">
      <c r="K982" s="8"/>
    </row>
    <row r="983" spans="11:11" x14ac:dyDescent="0.25">
      <c r="K983" s="8"/>
    </row>
    <row r="984" spans="11:11" x14ac:dyDescent="0.25">
      <c r="K984" s="8"/>
    </row>
    <row r="985" spans="11:11" x14ac:dyDescent="0.25">
      <c r="K985" s="8"/>
    </row>
    <row r="986" spans="11:11" x14ac:dyDescent="0.25">
      <c r="K986" s="8"/>
    </row>
    <row r="987" spans="11:11" x14ac:dyDescent="0.25">
      <c r="K987" s="8"/>
    </row>
    <row r="988" spans="11:11" x14ac:dyDescent="0.25">
      <c r="K988" s="8"/>
    </row>
    <row r="989" spans="11:11" x14ac:dyDescent="0.25">
      <c r="K989" s="8"/>
    </row>
    <row r="990" spans="11:11" x14ac:dyDescent="0.25">
      <c r="K990" s="8"/>
    </row>
    <row r="991" spans="11:11" x14ac:dyDescent="0.25">
      <c r="K991" s="8"/>
    </row>
    <row r="992" spans="11:11" x14ac:dyDescent="0.25">
      <c r="K992" s="8"/>
    </row>
    <row r="993" spans="11:11" x14ac:dyDescent="0.25">
      <c r="K993" s="8"/>
    </row>
    <row r="994" spans="11:11" x14ac:dyDescent="0.25">
      <c r="K994" s="8"/>
    </row>
    <row r="995" spans="11:11" x14ac:dyDescent="0.25">
      <c r="K995" s="8"/>
    </row>
    <row r="996" spans="11:11" x14ac:dyDescent="0.25">
      <c r="K996" s="8"/>
    </row>
    <row r="997" spans="11:11" x14ac:dyDescent="0.25">
      <c r="K997" s="8"/>
    </row>
    <row r="998" spans="11:11" x14ac:dyDescent="0.25">
      <c r="K998" s="8"/>
    </row>
    <row r="999" spans="11:11" x14ac:dyDescent="0.25">
      <c r="K999" s="8"/>
    </row>
    <row r="1000" spans="11:11" x14ac:dyDescent="0.25">
      <c r="K1000" s="8"/>
    </row>
    <row r="1001" spans="11:11" x14ac:dyDescent="0.25">
      <c r="K1001" s="8"/>
    </row>
    <row r="1002" spans="11:11" x14ac:dyDescent="0.25">
      <c r="K1002" s="8"/>
    </row>
    <row r="1003" spans="11:11" x14ac:dyDescent="0.25">
      <c r="K1003" s="8"/>
    </row>
    <row r="1004" spans="11:11" x14ac:dyDescent="0.25">
      <c r="K1004" s="8"/>
    </row>
    <row r="1005" spans="11:11" x14ac:dyDescent="0.25">
      <c r="K1005" s="8"/>
    </row>
    <row r="1006" spans="11:11" x14ac:dyDescent="0.25">
      <c r="K1006" s="8"/>
    </row>
    <row r="1007" spans="11:11" x14ac:dyDescent="0.25">
      <c r="K1007" s="8"/>
    </row>
    <row r="1008" spans="11:11" x14ac:dyDescent="0.25">
      <c r="K1008" s="8"/>
    </row>
    <row r="1009" spans="11:11" x14ac:dyDescent="0.25">
      <c r="K1009" s="8"/>
    </row>
    <row r="1010" spans="11:11" x14ac:dyDescent="0.25">
      <c r="K1010" s="8"/>
    </row>
    <row r="1011" spans="11:11" x14ac:dyDescent="0.25">
      <c r="K1011" s="8"/>
    </row>
    <row r="1012" spans="11:11" x14ac:dyDescent="0.25">
      <c r="K1012" s="8"/>
    </row>
    <row r="1013" spans="11:11" x14ac:dyDescent="0.25">
      <c r="K1013" s="8"/>
    </row>
    <row r="1014" spans="11:11" x14ac:dyDescent="0.25">
      <c r="K1014" s="8"/>
    </row>
    <row r="1015" spans="11:11" x14ac:dyDescent="0.25">
      <c r="K1015" s="8"/>
    </row>
    <row r="1016" spans="11:11" x14ac:dyDescent="0.25">
      <c r="K1016" s="8"/>
    </row>
    <row r="1017" spans="11:11" x14ac:dyDescent="0.25">
      <c r="K1017" s="8"/>
    </row>
    <row r="1018" spans="11:11" x14ac:dyDescent="0.25">
      <c r="K1018" s="8"/>
    </row>
    <row r="1019" spans="11:11" x14ac:dyDescent="0.25">
      <c r="K1019" s="8"/>
    </row>
    <row r="1020" spans="11:11" x14ac:dyDescent="0.25">
      <c r="K1020" s="8"/>
    </row>
    <row r="1021" spans="11:11" x14ac:dyDescent="0.25">
      <c r="K1021" s="8"/>
    </row>
    <row r="1022" spans="11:11" x14ac:dyDescent="0.25">
      <c r="K1022" s="8"/>
    </row>
    <row r="1023" spans="11:11" x14ac:dyDescent="0.25">
      <c r="K1023" s="8"/>
    </row>
    <row r="1024" spans="11:11" x14ac:dyDescent="0.25">
      <c r="K1024" s="8"/>
    </row>
    <row r="1025" spans="11:11" x14ac:dyDescent="0.25">
      <c r="K1025" s="8"/>
    </row>
    <row r="1026" spans="11:11" x14ac:dyDescent="0.25">
      <c r="K1026" s="8"/>
    </row>
    <row r="1027" spans="11:11" x14ac:dyDescent="0.25">
      <c r="K1027" s="8"/>
    </row>
    <row r="1028" spans="11:11" x14ac:dyDescent="0.25">
      <c r="K1028" s="8"/>
    </row>
    <row r="1029" spans="11:11" x14ac:dyDescent="0.25">
      <c r="K1029" s="8"/>
    </row>
    <row r="1030" spans="11:11" x14ac:dyDescent="0.25">
      <c r="K1030" s="8"/>
    </row>
    <row r="1031" spans="11:11" x14ac:dyDescent="0.25">
      <c r="K1031" s="8"/>
    </row>
    <row r="1032" spans="11:11" x14ac:dyDescent="0.25">
      <c r="K1032" s="8"/>
    </row>
    <row r="1033" spans="11:11" x14ac:dyDescent="0.25">
      <c r="K1033" s="8"/>
    </row>
    <row r="1034" spans="11:11" x14ac:dyDescent="0.25">
      <c r="K1034" s="8"/>
    </row>
    <row r="1035" spans="11:11" x14ac:dyDescent="0.25">
      <c r="K1035" s="8"/>
    </row>
    <row r="1036" spans="11:11" x14ac:dyDescent="0.25">
      <c r="K1036" s="8"/>
    </row>
    <row r="1037" spans="11:11" x14ac:dyDescent="0.25">
      <c r="K1037" s="8"/>
    </row>
    <row r="1038" spans="11:11" x14ac:dyDescent="0.25">
      <c r="K1038" s="8"/>
    </row>
    <row r="1039" spans="11:11" x14ac:dyDescent="0.25">
      <c r="K1039" s="8"/>
    </row>
    <row r="1040" spans="11:11" x14ac:dyDescent="0.25">
      <c r="K1040" s="8"/>
    </row>
    <row r="1041" spans="11:11" x14ac:dyDescent="0.25">
      <c r="K1041" s="8"/>
    </row>
    <row r="1042" spans="11:11" x14ac:dyDescent="0.25">
      <c r="K1042" s="8"/>
    </row>
    <row r="1043" spans="11:11" x14ac:dyDescent="0.25">
      <c r="K1043" s="8"/>
    </row>
    <row r="1044" spans="11:11" x14ac:dyDescent="0.25">
      <c r="K1044" s="8"/>
    </row>
    <row r="1045" spans="11:11" x14ac:dyDescent="0.25">
      <c r="K1045" s="8"/>
    </row>
    <row r="1046" spans="11:11" x14ac:dyDescent="0.25">
      <c r="K1046" s="8"/>
    </row>
    <row r="1047" spans="11:11" x14ac:dyDescent="0.25">
      <c r="K1047" s="8"/>
    </row>
    <row r="1048" spans="11:11" x14ac:dyDescent="0.25">
      <c r="K1048" s="8"/>
    </row>
    <row r="1049" spans="11:11" x14ac:dyDescent="0.25">
      <c r="K1049" s="8"/>
    </row>
    <row r="1050" spans="11:11" x14ac:dyDescent="0.25">
      <c r="K1050" s="8"/>
    </row>
    <row r="1051" spans="11:11" x14ac:dyDescent="0.25">
      <c r="K1051" s="8"/>
    </row>
    <row r="1052" spans="11:11" x14ac:dyDescent="0.25">
      <c r="K1052" s="8"/>
    </row>
    <row r="1053" spans="11:11" x14ac:dyDescent="0.25">
      <c r="K1053" s="8"/>
    </row>
    <row r="1054" spans="11:11" x14ac:dyDescent="0.25">
      <c r="K1054" s="8"/>
    </row>
    <row r="1055" spans="11:11" x14ac:dyDescent="0.25">
      <c r="K1055" s="8"/>
    </row>
    <row r="1056" spans="11:11" x14ac:dyDescent="0.25">
      <c r="K1056" s="8"/>
    </row>
    <row r="1057" spans="11:11" x14ac:dyDescent="0.25">
      <c r="K1057" s="8"/>
    </row>
    <row r="1058" spans="11:11" x14ac:dyDescent="0.25">
      <c r="K1058" s="8"/>
    </row>
    <row r="1059" spans="11:11" x14ac:dyDescent="0.25">
      <c r="K1059" s="8"/>
    </row>
    <row r="1060" spans="11:11" x14ac:dyDescent="0.25">
      <c r="K1060" s="8"/>
    </row>
    <row r="1061" spans="11:11" x14ac:dyDescent="0.25">
      <c r="K1061" s="8"/>
    </row>
    <row r="1062" spans="11:11" x14ac:dyDescent="0.25">
      <c r="K1062" s="8"/>
    </row>
    <row r="1063" spans="11:11" x14ac:dyDescent="0.25">
      <c r="K1063" s="8"/>
    </row>
    <row r="1064" spans="11:11" x14ac:dyDescent="0.25">
      <c r="K1064" s="8"/>
    </row>
    <row r="1065" spans="11:11" x14ac:dyDescent="0.25">
      <c r="K1065" s="8"/>
    </row>
    <row r="1066" spans="11:11" x14ac:dyDescent="0.25">
      <c r="K1066" s="8"/>
    </row>
    <row r="1067" spans="11:11" x14ac:dyDescent="0.25">
      <c r="K1067" s="8"/>
    </row>
    <row r="1068" spans="11:11" x14ac:dyDescent="0.25">
      <c r="K1068" s="8"/>
    </row>
    <row r="1069" spans="11:11" x14ac:dyDescent="0.25">
      <c r="K1069" s="8"/>
    </row>
    <row r="1070" spans="11:11" x14ac:dyDescent="0.25">
      <c r="K1070" s="8"/>
    </row>
    <row r="1071" spans="11:11" x14ac:dyDescent="0.25">
      <c r="K1071" s="8"/>
    </row>
    <row r="1072" spans="11:11" x14ac:dyDescent="0.25">
      <c r="K1072" s="8"/>
    </row>
    <row r="1073" spans="11:11" x14ac:dyDescent="0.25">
      <c r="K1073" s="8"/>
    </row>
    <row r="1074" spans="11:11" x14ac:dyDescent="0.25">
      <c r="K1074" s="8"/>
    </row>
    <row r="1075" spans="11:11" x14ac:dyDescent="0.25">
      <c r="K1075" s="8"/>
    </row>
    <row r="1076" spans="11:11" x14ac:dyDescent="0.25">
      <c r="K1076" s="8"/>
    </row>
    <row r="1077" spans="11:11" x14ac:dyDescent="0.25">
      <c r="K1077" s="8"/>
    </row>
    <row r="1078" spans="11:11" x14ac:dyDescent="0.25">
      <c r="K1078" s="8"/>
    </row>
    <row r="1079" spans="11:11" x14ac:dyDescent="0.25">
      <c r="K1079" s="8"/>
    </row>
    <row r="1080" spans="11:11" x14ac:dyDescent="0.25">
      <c r="K1080" s="8"/>
    </row>
    <row r="1081" spans="11:11" x14ac:dyDescent="0.25">
      <c r="K1081" s="8"/>
    </row>
    <row r="1082" spans="11:11" x14ac:dyDescent="0.25">
      <c r="K1082" s="8"/>
    </row>
    <row r="1083" spans="11:11" x14ac:dyDescent="0.25">
      <c r="K1083" s="8"/>
    </row>
    <row r="1084" spans="11:11" x14ac:dyDescent="0.25">
      <c r="K1084" s="8"/>
    </row>
    <row r="1085" spans="11:11" x14ac:dyDescent="0.25">
      <c r="K1085" s="8"/>
    </row>
    <row r="1086" spans="11:11" x14ac:dyDescent="0.25">
      <c r="K1086" s="8"/>
    </row>
    <row r="1087" spans="11:11" x14ac:dyDescent="0.25">
      <c r="K1087" s="8"/>
    </row>
    <row r="1088" spans="11:11" x14ac:dyDescent="0.25">
      <c r="K1088" s="8"/>
    </row>
    <row r="1089" spans="11:11" x14ac:dyDescent="0.25">
      <c r="K1089" s="8"/>
    </row>
    <row r="1090" spans="11:11" x14ac:dyDescent="0.25">
      <c r="K1090" s="8"/>
    </row>
    <row r="1091" spans="11:11" x14ac:dyDescent="0.25">
      <c r="K1091" s="8"/>
    </row>
    <row r="1092" spans="11:11" x14ac:dyDescent="0.25">
      <c r="K1092" s="8"/>
    </row>
    <row r="1093" spans="11:11" x14ac:dyDescent="0.25">
      <c r="K1093" s="8"/>
    </row>
    <row r="1094" spans="11:11" x14ac:dyDescent="0.25">
      <c r="K1094" s="8"/>
    </row>
    <row r="1095" spans="11:11" x14ac:dyDescent="0.25">
      <c r="K1095" s="8"/>
    </row>
    <row r="1096" spans="11:11" x14ac:dyDescent="0.25">
      <c r="K1096" s="8"/>
    </row>
    <row r="1097" spans="11:11" x14ac:dyDescent="0.25">
      <c r="K1097" s="8"/>
    </row>
    <row r="1098" spans="11:11" x14ac:dyDescent="0.25">
      <c r="K1098" s="8"/>
    </row>
    <row r="1099" spans="11:11" x14ac:dyDescent="0.25">
      <c r="K1099" s="8"/>
    </row>
    <row r="1100" spans="11:11" x14ac:dyDescent="0.25">
      <c r="K1100" s="8"/>
    </row>
    <row r="1101" spans="11:11" x14ac:dyDescent="0.25">
      <c r="K1101" s="8"/>
    </row>
    <row r="1102" spans="11:11" x14ac:dyDescent="0.25">
      <c r="K1102" s="8"/>
    </row>
    <row r="1103" spans="11:11" x14ac:dyDescent="0.25">
      <c r="K1103" s="8"/>
    </row>
    <row r="1104" spans="11:11" x14ac:dyDescent="0.25">
      <c r="K1104" s="8"/>
    </row>
    <row r="1105" spans="11:11" x14ac:dyDescent="0.25">
      <c r="K1105" s="8"/>
    </row>
    <row r="1106" spans="11:11" x14ac:dyDescent="0.25">
      <c r="K1106" s="8"/>
    </row>
    <row r="1107" spans="11:11" x14ac:dyDescent="0.25">
      <c r="K1107" s="8"/>
    </row>
    <row r="1108" spans="11:11" x14ac:dyDescent="0.25">
      <c r="K1108" s="8"/>
    </row>
    <row r="1109" spans="11:11" x14ac:dyDescent="0.25">
      <c r="K1109" s="8"/>
    </row>
    <row r="1110" spans="11:11" x14ac:dyDescent="0.25">
      <c r="K1110" s="8"/>
    </row>
    <row r="1111" spans="11:11" x14ac:dyDescent="0.25">
      <c r="K1111" s="8"/>
    </row>
    <row r="1112" spans="11:11" x14ac:dyDescent="0.25">
      <c r="K1112" s="8"/>
    </row>
    <row r="1113" spans="11:11" x14ac:dyDescent="0.25">
      <c r="K1113" s="8"/>
    </row>
    <row r="1114" spans="11:11" x14ac:dyDescent="0.25">
      <c r="K1114" s="8"/>
    </row>
    <row r="1115" spans="11:11" x14ac:dyDescent="0.25">
      <c r="K1115" s="8"/>
    </row>
    <row r="1116" spans="11:11" x14ac:dyDescent="0.25">
      <c r="K1116" s="8"/>
    </row>
    <row r="1117" spans="11:11" x14ac:dyDescent="0.25">
      <c r="K1117" s="8"/>
    </row>
    <row r="1118" spans="11:11" x14ac:dyDescent="0.25">
      <c r="K1118" s="8"/>
    </row>
    <row r="1119" spans="11:11" x14ac:dyDescent="0.25">
      <c r="K1119" s="8"/>
    </row>
    <row r="1120" spans="11:11" x14ac:dyDescent="0.25">
      <c r="K1120" s="8"/>
    </row>
    <row r="1121" spans="11:11" x14ac:dyDescent="0.25">
      <c r="K1121" s="8"/>
    </row>
    <row r="1122" spans="11:11" x14ac:dyDescent="0.25">
      <c r="K1122" s="8"/>
    </row>
    <row r="1123" spans="11:11" x14ac:dyDescent="0.25">
      <c r="K1123" s="8"/>
    </row>
    <row r="1124" spans="11:11" x14ac:dyDescent="0.25">
      <c r="K1124" s="8"/>
    </row>
    <row r="1125" spans="11:11" x14ac:dyDescent="0.25">
      <c r="K1125" s="8"/>
    </row>
    <row r="1126" spans="11:11" x14ac:dyDescent="0.25">
      <c r="K1126" s="8"/>
    </row>
    <row r="1127" spans="11:11" x14ac:dyDescent="0.25">
      <c r="K1127" s="8"/>
    </row>
    <row r="1128" spans="11:11" x14ac:dyDescent="0.25">
      <c r="K1128" s="8"/>
    </row>
    <row r="1129" spans="11:11" x14ac:dyDescent="0.25">
      <c r="K1129" s="8"/>
    </row>
    <row r="1130" spans="11:11" x14ac:dyDescent="0.25">
      <c r="K1130" s="8"/>
    </row>
    <row r="1131" spans="11:11" x14ac:dyDescent="0.25">
      <c r="K1131" s="8"/>
    </row>
    <row r="1132" spans="11:11" x14ac:dyDescent="0.25">
      <c r="K1132" s="8"/>
    </row>
    <row r="1133" spans="11:11" x14ac:dyDescent="0.25">
      <c r="K1133" s="8"/>
    </row>
    <row r="1134" spans="11:11" x14ac:dyDescent="0.25">
      <c r="K1134" s="8"/>
    </row>
    <row r="1135" spans="11:11" x14ac:dyDescent="0.25">
      <c r="K1135" s="8"/>
    </row>
    <row r="1136" spans="11:11" x14ac:dyDescent="0.25">
      <c r="K1136" s="8"/>
    </row>
    <row r="1137" spans="11:11" x14ac:dyDescent="0.25">
      <c r="K1137" s="8"/>
    </row>
    <row r="1138" spans="11:11" x14ac:dyDescent="0.25">
      <c r="K1138" s="8"/>
    </row>
    <row r="1139" spans="11:11" x14ac:dyDescent="0.25">
      <c r="K1139" s="8"/>
    </row>
    <row r="1140" spans="11:11" x14ac:dyDescent="0.25">
      <c r="K1140" s="8"/>
    </row>
    <row r="1141" spans="11:11" x14ac:dyDescent="0.25">
      <c r="K1141" s="8"/>
    </row>
    <row r="1142" spans="11:11" x14ac:dyDescent="0.25">
      <c r="K1142" s="8"/>
    </row>
    <row r="1143" spans="11:11" x14ac:dyDescent="0.25">
      <c r="K1143" s="8"/>
    </row>
    <row r="1144" spans="11:11" x14ac:dyDescent="0.25">
      <c r="K1144" s="8"/>
    </row>
    <row r="1145" spans="11:11" x14ac:dyDescent="0.25">
      <c r="K1145" s="8"/>
    </row>
    <row r="1146" spans="11:11" x14ac:dyDescent="0.25">
      <c r="K1146" s="8"/>
    </row>
    <row r="1147" spans="11:11" x14ac:dyDescent="0.25">
      <c r="K1147" s="8"/>
    </row>
    <row r="1148" spans="11:11" x14ac:dyDescent="0.25">
      <c r="K1148" s="8"/>
    </row>
    <row r="1149" spans="11:11" x14ac:dyDescent="0.25">
      <c r="K1149" s="8"/>
    </row>
    <row r="1150" spans="11:11" x14ac:dyDescent="0.25">
      <c r="K1150" s="8"/>
    </row>
    <row r="1151" spans="11:11" x14ac:dyDescent="0.25">
      <c r="K1151" s="8"/>
    </row>
    <row r="1152" spans="11:11" x14ac:dyDescent="0.25">
      <c r="K1152" s="8"/>
    </row>
    <row r="1153" spans="11:11" x14ac:dyDescent="0.25">
      <c r="K1153" s="8"/>
    </row>
    <row r="1154" spans="11:11" x14ac:dyDescent="0.25">
      <c r="K1154" s="8"/>
    </row>
    <row r="1155" spans="11:11" x14ac:dyDescent="0.25">
      <c r="K1155" s="8"/>
    </row>
    <row r="1156" spans="11:11" x14ac:dyDescent="0.25">
      <c r="K1156" s="8"/>
    </row>
    <row r="1157" spans="11:11" x14ac:dyDescent="0.25">
      <c r="K1157" s="8"/>
    </row>
    <row r="1158" spans="11:11" x14ac:dyDescent="0.25">
      <c r="K1158" s="8"/>
    </row>
    <row r="1159" spans="11:11" x14ac:dyDescent="0.25">
      <c r="K1159" s="8"/>
    </row>
    <row r="1160" spans="11:11" x14ac:dyDescent="0.25">
      <c r="K1160" s="8"/>
    </row>
    <row r="1161" spans="11:11" x14ac:dyDescent="0.25">
      <c r="K1161" s="8"/>
    </row>
    <row r="1162" spans="11:11" x14ac:dyDescent="0.25">
      <c r="K1162" s="8"/>
    </row>
    <row r="1163" spans="11:11" x14ac:dyDescent="0.25">
      <c r="K1163" s="8"/>
    </row>
    <row r="1164" spans="11:11" x14ac:dyDescent="0.25">
      <c r="K1164" s="8"/>
    </row>
    <row r="1165" spans="11:11" x14ac:dyDescent="0.25">
      <c r="K1165" s="8"/>
    </row>
    <row r="1166" spans="11:11" x14ac:dyDescent="0.25">
      <c r="K1166" s="8"/>
    </row>
    <row r="1167" spans="11:11" x14ac:dyDescent="0.25">
      <c r="K1167" s="8"/>
    </row>
    <row r="1168" spans="11:11" x14ac:dyDescent="0.25">
      <c r="K1168" s="8"/>
    </row>
    <row r="1169" spans="11:11" x14ac:dyDescent="0.25">
      <c r="K1169" s="8"/>
    </row>
    <row r="1170" spans="11:11" x14ac:dyDescent="0.25">
      <c r="K1170" s="8"/>
    </row>
    <row r="1171" spans="11:11" x14ac:dyDescent="0.25">
      <c r="K1171" s="8"/>
    </row>
    <row r="1172" spans="11:11" x14ac:dyDescent="0.25">
      <c r="K1172" s="8"/>
    </row>
    <row r="1173" spans="11:11" x14ac:dyDescent="0.25">
      <c r="K1173" s="8"/>
    </row>
    <row r="1174" spans="11:11" x14ac:dyDescent="0.25">
      <c r="K1174" s="8"/>
    </row>
    <row r="1175" spans="11:11" x14ac:dyDescent="0.25">
      <c r="K1175" s="8"/>
    </row>
    <row r="1176" spans="11:11" x14ac:dyDescent="0.25">
      <c r="K1176" s="8"/>
    </row>
    <row r="1177" spans="11:11" x14ac:dyDescent="0.25">
      <c r="K1177" s="8"/>
    </row>
    <row r="1178" spans="11:11" x14ac:dyDescent="0.25">
      <c r="K1178" s="8"/>
    </row>
    <row r="1179" spans="11:11" x14ac:dyDescent="0.25">
      <c r="K1179" s="8"/>
    </row>
    <row r="1180" spans="11:11" x14ac:dyDescent="0.25">
      <c r="K1180" s="8"/>
    </row>
    <row r="1181" spans="11:11" x14ac:dyDescent="0.25">
      <c r="K1181" s="8"/>
    </row>
    <row r="1182" spans="11:11" x14ac:dyDescent="0.25">
      <c r="K1182" s="8"/>
    </row>
    <row r="1183" spans="11:11" x14ac:dyDescent="0.25">
      <c r="K1183" s="8"/>
    </row>
    <row r="1184" spans="11:11" x14ac:dyDescent="0.25">
      <c r="K1184" s="8"/>
    </row>
    <row r="1185" spans="11:11" x14ac:dyDescent="0.25">
      <c r="K1185" s="8"/>
    </row>
    <row r="1186" spans="11:11" x14ac:dyDescent="0.25">
      <c r="K1186" s="8"/>
    </row>
    <row r="1187" spans="11:11" x14ac:dyDescent="0.25">
      <c r="K1187" s="8"/>
    </row>
    <row r="1188" spans="11:11" x14ac:dyDescent="0.25">
      <c r="K1188" s="8"/>
    </row>
    <row r="1189" spans="11:11" x14ac:dyDescent="0.25">
      <c r="K1189" s="8"/>
    </row>
    <row r="1190" spans="11:11" x14ac:dyDescent="0.25">
      <c r="K1190" s="8"/>
    </row>
    <row r="1191" spans="11:11" x14ac:dyDescent="0.25">
      <c r="K1191" s="8"/>
    </row>
    <row r="1192" spans="11:11" x14ac:dyDescent="0.25">
      <c r="K1192" s="8"/>
    </row>
    <row r="1193" spans="11:11" x14ac:dyDescent="0.25">
      <c r="K1193" s="8"/>
    </row>
    <row r="1194" spans="11:11" x14ac:dyDescent="0.25">
      <c r="K1194" s="8"/>
    </row>
    <row r="1195" spans="11:11" x14ac:dyDescent="0.25">
      <c r="K1195" s="8"/>
    </row>
    <row r="1196" spans="11:11" x14ac:dyDescent="0.25">
      <c r="K1196" s="8"/>
    </row>
    <row r="1197" spans="11:11" x14ac:dyDescent="0.25">
      <c r="K1197" s="8"/>
    </row>
    <row r="1198" spans="11:11" x14ac:dyDescent="0.25">
      <c r="K1198" s="8"/>
    </row>
    <row r="1199" spans="11:11" x14ac:dyDescent="0.25">
      <c r="K1199" s="8"/>
    </row>
    <row r="1200" spans="11:11" x14ac:dyDescent="0.25">
      <c r="K1200" s="8"/>
    </row>
    <row r="1201" spans="11:11" x14ac:dyDescent="0.25">
      <c r="K1201" s="8"/>
    </row>
    <row r="1202" spans="11:11" x14ac:dyDescent="0.25">
      <c r="K1202" s="8"/>
    </row>
    <row r="1203" spans="11:11" x14ac:dyDescent="0.25">
      <c r="K1203" s="8"/>
    </row>
    <row r="1204" spans="11:11" x14ac:dyDescent="0.25">
      <c r="K1204" s="8"/>
    </row>
    <row r="1205" spans="11:11" x14ac:dyDescent="0.25">
      <c r="K1205" s="8"/>
    </row>
    <row r="1206" spans="11:11" x14ac:dyDescent="0.25">
      <c r="K1206" s="8"/>
    </row>
    <row r="1207" spans="11:11" x14ac:dyDescent="0.25">
      <c r="K1207" s="8"/>
    </row>
    <row r="1208" spans="11:11" x14ac:dyDescent="0.25">
      <c r="K1208" s="8"/>
    </row>
    <row r="1209" spans="11:11" x14ac:dyDescent="0.25">
      <c r="K1209" s="8"/>
    </row>
    <row r="1210" spans="11:11" x14ac:dyDescent="0.25">
      <c r="K1210" s="8"/>
    </row>
    <row r="1211" spans="11:11" x14ac:dyDescent="0.25">
      <c r="K1211" s="8"/>
    </row>
    <row r="1212" spans="11:11" x14ac:dyDescent="0.25">
      <c r="K1212" s="8"/>
    </row>
    <row r="1213" spans="11:11" x14ac:dyDescent="0.25">
      <c r="K1213" s="8"/>
    </row>
    <row r="1214" spans="11:11" x14ac:dyDescent="0.25">
      <c r="K1214" s="8"/>
    </row>
    <row r="1215" spans="11:11" x14ac:dyDescent="0.25">
      <c r="K1215" s="8"/>
    </row>
    <row r="1216" spans="11:11" x14ac:dyDescent="0.25">
      <c r="K1216" s="8"/>
    </row>
    <row r="1217" spans="11:11" x14ac:dyDescent="0.25">
      <c r="K1217" s="8"/>
    </row>
    <row r="1218" spans="11:11" x14ac:dyDescent="0.25">
      <c r="K1218" s="8"/>
    </row>
    <row r="1219" spans="11:11" x14ac:dyDescent="0.25">
      <c r="K1219" s="8"/>
    </row>
    <row r="1220" spans="11:11" x14ac:dyDescent="0.25">
      <c r="K1220" s="8"/>
    </row>
    <row r="1221" spans="11:11" x14ac:dyDescent="0.25">
      <c r="K1221" s="8"/>
    </row>
    <row r="1222" spans="11:11" x14ac:dyDescent="0.25">
      <c r="K1222" s="8"/>
    </row>
    <row r="1223" spans="11:11" x14ac:dyDescent="0.25">
      <c r="K1223" s="8"/>
    </row>
    <row r="1224" spans="11:11" x14ac:dyDescent="0.25">
      <c r="K1224" s="8"/>
    </row>
    <row r="1225" spans="11:11" x14ac:dyDescent="0.25">
      <c r="K1225" s="8"/>
    </row>
    <row r="1226" spans="11:11" x14ac:dyDescent="0.25">
      <c r="K1226" s="8"/>
    </row>
    <row r="1227" spans="11:11" x14ac:dyDescent="0.25">
      <c r="K1227" s="8"/>
    </row>
    <row r="1228" spans="11:11" x14ac:dyDescent="0.25">
      <c r="K1228" s="8"/>
    </row>
    <row r="1229" spans="11:11" x14ac:dyDescent="0.25">
      <c r="K1229" s="8"/>
    </row>
    <row r="1230" spans="11:11" x14ac:dyDescent="0.25">
      <c r="K1230" s="8"/>
    </row>
    <row r="1231" spans="11:11" x14ac:dyDescent="0.25">
      <c r="K1231" s="8"/>
    </row>
    <row r="1232" spans="11:11" x14ac:dyDescent="0.25">
      <c r="K1232" s="8"/>
    </row>
    <row r="1233" spans="11:11" x14ac:dyDescent="0.25">
      <c r="K1233" s="8"/>
    </row>
    <row r="1234" spans="11:11" x14ac:dyDescent="0.25">
      <c r="K1234" s="8"/>
    </row>
    <row r="1235" spans="11:11" x14ac:dyDescent="0.25">
      <c r="K1235" s="8"/>
    </row>
    <row r="1236" spans="11:11" x14ac:dyDescent="0.25">
      <c r="K1236" s="8"/>
    </row>
    <row r="1237" spans="11:11" x14ac:dyDescent="0.25">
      <c r="K1237" s="8"/>
    </row>
    <row r="1238" spans="11:11" x14ac:dyDescent="0.25">
      <c r="K1238" s="8"/>
    </row>
    <row r="1239" spans="11:11" x14ac:dyDescent="0.25">
      <c r="K1239" s="8"/>
    </row>
    <row r="1240" spans="11:11" x14ac:dyDescent="0.25">
      <c r="K1240" s="8"/>
    </row>
    <row r="1241" spans="11:11" x14ac:dyDescent="0.25">
      <c r="K1241" s="8"/>
    </row>
    <row r="1242" spans="11:11" x14ac:dyDescent="0.25">
      <c r="K1242" s="8"/>
    </row>
    <row r="1243" spans="11:11" x14ac:dyDescent="0.25">
      <c r="K1243" s="8"/>
    </row>
    <row r="1244" spans="11:11" x14ac:dyDescent="0.25">
      <c r="K1244" s="8"/>
    </row>
    <row r="1245" spans="11:11" x14ac:dyDescent="0.25">
      <c r="K1245" s="8"/>
    </row>
    <row r="1246" spans="11:11" x14ac:dyDescent="0.25">
      <c r="K1246" s="8"/>
    </row>
    <row r="1247" spans="11:11" x14ac:dyDescent="0.25">
      <c r="K1247" s="8"/>
    </row>
    <row r="1248" spans="11:11" x14ac:dyDescent="0.25">
      <c r="K1248" s="8"/>
    </row>
    <row r="1249" spans="11:11" x14ac:dyDescent="0.25">
      <c r="K1249" s="8"/>
    </row>
    <row r="1250" spans="11:11" x14ac:dyDescent="0.25">
      <c r="K1250" s="8"/>
    </row>
    <row r="1251" spans="11:11" x14ac:dyDescent="0.25">
      <c r="K1251" s="8"/>
    </row>
    <row r="1252" spans="11:11" x14ac:dyDescent="0.25">
      <c r="K1252" s="8"/>
    </row>
    <row r="1253" spans="11:11" x14ac:dyDescent="0.25">
      <c r="K1253" s="8"/>
    </row>
    <row r="1254" spans="11:11" x14ac:dyDescent="0.25">
      <c r="K1254" s="8"/>
    </row>
    <row r="1255" spans="11:11" x14ac:dyDescent="0.25">
      <c r="K1255" s="8"/>
    </row>
    <row r="1256" spans="11:11" x14ac:dyDescent="0.25">
      <c r="K1256" s="8"/>
    </row>
    <row r="1257" spans="11:11" x14ac:dyDescent="0.25">
      <c r="K1257" s="8"/>
    </row>
    <row r="1258" spans="11:11" x14ac:dyDescent="0.25">
      <c r="K1258" s="8"/>
    </row>
    <row r="1259" spans="11:11" x14ac:dyDescent="0.25">
      <c r="K1259" s="8"/>
    </row>
    <row r="1260" spans="11:11" x14ac:dyDescent="0.25">
      <c r="K1260" s="8"/>
    </row>
    <row r="1261" spans="11:11" x14ac:dyDescent="0.25">
      <c r="K1261" s="8"/>
    </row>
    <row r="1262" spans="11:11" x14ac:dyDescent="0.25">
      <c r="K1262" s="8"/>
    </row>
    <row r="1263" spans="11:11" x14ac:dyDescent="0.25">
      <c r="K1263" s="8"/>
    </row>
    <row r="1264" spans="11:11" x14ac:dyDescent="0.25">
      <c r="K1264" s="8"/>
    </row>
    <row r="1265" spans="11:11" x14ac:dyDescent="0.25">
      <c r="K1265" s="8"/>
    </row>
    <row r="1266" spans="11:11" x14ac:dyDescent="0.25">
      <c r="K1266" s="8"/>
    </row>
    <row r="1267" spans="11:11" x14ac:dyDescent="0.25">
      <c r="K1267" s="8"/>
    </row>
    <row r="1268" spans="11:11" x14ac:dyDescent="0.25">
      <c r="K1268" s="8"/>
    </row>
    <row r="1269" spans="11:11" x14ac:dyDescent="0.25">
      <c r="K1269" s="8"/>
    </row>
    <row r="1270" spans="11:11" x14ac:dyDescent="0.25">
      <c r="K1270" s="8"/>
    </row>
    <row r="1271" spans="11:11" x14ac:dyDescent="0.25">
      <c r="K1271" s="8"/>
    </row>
    <row r="1272" spans="11:11" x14ac:dyDescent="0.25">
      <c r="K1272" s="8"/>
    </row>
    <row r="1273" spans="11:11" x14ac:dyDescent="0.25">
      <c r="K1273" s="8"/>
    </row>
    <row r="1274" spans="11:11" x14ac:dyDescent="0.25">
      <c r="K1274" s="8"/>
    </row>
    <row r="1275" spans="11:11" x14ac:dyDescent="0.25">
      <c r="K1275" s="8"/>
    </row>
    <row r="1276" spans="11:11" x14ac:dyDescent="0.25">
      <c r="K1276" s="8"/>
    </row>
    <row r="1277" spans="11:11" x14ac:dyDescent="0.25">
      <c r="K1277" s="8"/>
    </row>
    <row r="1278" spans="11:11" x14ac:dyDescent="0.25">
      <c r="K1278" s="8"/>
    </row>
    <row r="1279" spans="11:11" x14ac:dyDescent="0.25">
      <c r="K1279" s="8"/>
    </row>
    <row r="1280" spans="11:11" x14ac:dyDescent="0.25">
      <c r="K1280" s="8"/>
    </row>
    <row r="1281" spans="11:11" x14ac:dyDescent="0.25">
      <c r="K1281" s="8"/>
    </row>
    <row r="1282" spans="11:11" x14ac:dyDescent="0.25">
      <c r="K1282" s="8"/>
    </row>
    <row r="1283" spans="11:11" x14ac:dyDescent="0.25">
      <c r="K1283" s="8"/>
    </row>
    <row r="1284" spans="11:11" x14ac:dyDescent="0.25">
      <c r="K1284" s="8"/>
    </row>
    <row r="1285" spans="11:11" x14ac:dyDescent="0.25">
      <c r="K1285" s="8"/>
    </row>
    <row r="1286" spans="11:11" x14ac:dyDescent="0.25">
      <c r="K1286" s="8"/>
    </row>
    <row r="1287" spans="11:11" x14ac:dyDescent="0.25">
      <c r="K1287" s="8"/>
    </row>
    <row r="1288" spans="11:11" x14ac:dyDescent="0.25">
      <c r="K1288" s="8"/>
    </row>
    <row r="1289" spans="11:11" x14ac:dyDescent="0.25">
      <c r="K1289" s="8"/>
    </row>
    <row r="1290" spans="11:11" x14ac:dyDescent="0.25">
      <c r="K1290" s="8"/>
    </row>
    <row r="1291" spans="11:11" x14ac:dyDescent="0.25">
      <c r="K1291" s="8"/>
    </row>
    <row r="1292" spans="11:11" x14ac:dyDescent="0.25">
      <c r="K1292" s="8"/>
    </row>
    <row r="1293" spans="11:11" x14ac:dyDescent="0.25">
      <c r="K1293" s="8"/>
    </row>
    <row r="1294" spans="11:11" x14ac:dyDescent="0.25">
      <c r="K1294" s="8"/>
    </row>
    <row r="1295" spans="11:11" x14ac:dyDescent="0.25">
      <c r="K1295" s="8"/>
    </row>
    <row r="1296" spans="11:11" x14ac:dyDescent="0.25">
      <c r="K1296" s="8"/>
    </row>
    <row r="1297" spans="11:11" x14ac:dyDescent="0.25">
      <c r="K1297" s="8"/>
    </row>
    <row r="1298" spans="11:11" x14ac:dyDescent="0.25">
      <c r="K1298" s="8"/>
    </row>
    <row r="1299" spans="11:11" x14ac:dyDescent="0.25">
      <c r="K1299" s="8"/>
    </row>
    <row r="1300" spans="11:11" x14ac:dyDescent="0.25">
      <c r="K1300" s="8"/>
    </row>
    <row r="1301" spans="11:11" x14ac:dyDescent="0.25">
      <c r="K1301" s="8"/>
    </row>
    <row r="1302" spans="11:11" x14ac:dyDescent="0.25">
      <c r="K1302" s="8"/>
    </row>
    <row r="1303" spans="11:11" x14ac:dyDescent="0.25">
      <c r="K1303" s="8"/>
    </row>
    <row r="1304" spans="11:11" x14ac:dyDescent="0.25">
      <c r="K1304" s="8"/>
    </row>
    <row r="1305" spans="11:11" x14ac:dyDescent="0.25">
      <c r="K1305" s="8"/>
    </row>
    <row r="1306" spans="11:11" x14ac:dyDescent="0.25">
      <c r="K1306" s="8"/>
    </row>
    <row r="1307" spans="11:11" x14ac:dyDescent="0.25">
      <c r="K1307" s="8"/>
    </row>
    <row r="1308" spans="11:11" x14ac:dyDescent="0.25">
      <c r="K1308" s="8"/>
    </row>
    <row r="1309" spans="11:11" x14ac:dyDescent="0.25">
      <c r="K1309" s="8"/>
    </row>
    <row r="1310" spans="11:11" x14ac:dyDescent="0.25">
      <c r="K1310" s="8"/>
    </row>
    <row r="1311" spans="11:11" x14ac:dyDescent="0.25">
      <c r="K1311" s="8"/>
    </row>
    <row r="1312" spans="11:11" x14ac:dyDescent="0.25">
      <c r="K1312" s="8"/>
    </row>
    <row r="1313" spans="11:11" x14ac:dyDescent="0.25">
      <c r="K1313" s="8"/>
    </row>
    <row r="1314" spans="11:11" x14ac:dyDescent="0.25">
      <c r="K1314" s="8"/>
    </row>
    <row r="1315" spans="11:11" x14ac:dyDescent="0.25">
      <c r="K1315" s="8"/>
    </row>
    <row r="1316" spans="11:11" x14ac:dyDescent="0.25">
      <c r="K1316" s="8"/>
    </row>
    <row r="1317" spans="11:11" x14ac:dyDescent="0.25">
      <c r="K1317" s="8"/>
    </row>
    <row r="1318" spans="11:11" x14ac:dyDescent="0.25">
      <c r="K1318" s="8"/>
    </row>
    <row r="1319" spans="11:11" x14ac:dyDescent="0.25">
      <c r="K1319" s="8"/>
    </row>
    <row r="1320" spans="11:11" x14ac:dyDescent="0.25">
      <c r="K1320" s="8"/>
    </row>
    <row r="1321" spans="11:11" x14ac:dyDescent="0.25">
      <c r="K1321" s="8"/>
    </row>
    <row r="1322" spans="11:11" x14ac:dyDescent="0.25">
      <c r="K1322" s="8"/>
    </row>
    <row r="1323" spans="11:11" x14ac:dyDescent="0.25">
      <c r="K1323" s="8"/>
    </row>
    <row r="1324" spans="11:11" x14ac:dyDescent="0.25">
      <c r="K1324" s="8"/>
    </row>
    <row r="1325" spans="11:11" x14ac:dyDescent="0.25">
      <c r="K1325" s="8"/>
    </row>
    <row r="1326" spans="11:11" x14ac:dyDescent="0.25">
      <c r="K1326" s="8"/>
    </row>
    <row r="1327" spans="11:11" x14ac:dyDescent="0.25">
      <c r="K1327" s="8"/>
    </row>
    <row r="1328" spans="11:11" x14ac:dyDescent="0.25">
      <c r="K1328" s="8"/>
    </row>
    <row r="1329" spans="11:11" x14ac:dyDescent="0.25">
      <c r="K1329" s="8"/>
    </row>
    <row r="1330" spans="11:11" x14ac:dyDescent="0.25">
      <c r="K1330" s="8"/>
    </row>
    <row r="1331" spans="11:11" x14ac:dyDescent="0.25">
      <c r="K1331" s="8"/>
    </row>
    <row r="1332" spans="11:11" x14ac:dyDescent="0.25">
      <c r="K1332" s="8"/>
    </row>
    <row r="1333" spans="11:11" x14ac:dyDescent="0.25">
      <c r="K1333" s="8"/>
    </row>
    <row r="1334" spans="11:11" x14ac:dyDescent="0.25">
      <c r="K1334" s="8"/>
    </row>
    <row r="1335" spans="11:11" x14ac:dyDescent="0.25">
      <c r="K1335" s="8"/>
    </row>
    <row r="1336" spans="11:11" x14ac:dyDescent="0.25">
      <c r="K1336" s="8"/>
    </row>
    <row r="1337" spans="11:11" x14ac:dyDescent="0.25">
      <c r="K1337" s="8"/>
    </row>
    <row r="1338" spans="11:11" x14ac:dyDescent="0.25">
      <c r="K1338" s="8"/>
    </row>
    <row r="1339" spans="11:11" x14ac:dyDescent="0.25">
      <c r="K1339" s="8"/>
    </row>
    <row r="1340" spans="11:11" x14ac:dyDescent="0.25">
      <c r="K1340" s="8"/>
    </row>
    <row r="1341" spans="11:11" x14ac:dyDescent="0.25">
      <c r="K1341" s="8"/>
    </row>
    <row r="1342" spans="11:11" x14ac:dyDescent="0.25">
      <c r="K1342" s="8"/>
    </row>
    <row r="1343" spans="11:11" x14ac:dyDescent="0.25">
      <c r="K1343" s="8"/>
    </row>
    <row r="1344" spans="11:11" x14ac:dyDescent="0.25">
      <c r="K1344" s="8"/>
    </row>
    <row r="1345" spans="11:11" x14ac:dyDescent="0.25">
      <c r="K1345" s="8"/>
    </row>
    <row r="1346" spans="11:11" x14ac:dyDescent="0.25">
      <c r="K1346" s="8"/>
    </row>
    <row r="1347" spans="11:11" x14ac:dyDescent="0.25">
      <c r="K1347" s="8"/>
    </row>
    <row r="1348" spans="11:11" x14ac:dyDescent="0.25">
      <c r="K1348" s="8"/>
    </row>
    <row r="1349" spans="11:11" x14ac:dyDescent="0.25">
      <c r="K1349" s="8"/>
    </row>
    <row r="1350" spans="11:11" x14ac:dyDescent="0.25">
      <c r="K1350" s="8"/>
    </row>
    <row r="1351" spans="11:11" x14ac:dyDescent="0.25">
      <c r="K1351" s="8"/>
    </row>
    <row r="1352" spans="11:11" x14ac:dyDescent="0.25">
      <c r="K1352" s="8"/>
    </row>
    <row r="1353" spans="11:11" x14ac:dyDescent="0.25">
      <c r="K1353" s="8"/>
    </row>
    <row r="1354" spans="11:11" x14ac:dyDescent="0.25">
      <c r="K1354" s="8"/>
    </row>
    <row r="1355" spans="11:11" x14ac:dyDescent="0.25">
      <c r="K1355" s="8"/>
    </row>
    <row r="1356" spans="11:11" x14ac:dyDescent="0.25">
      <c r="K1356" s="8"/>
    </row>
    <row r="1357" spans="11:11" x14ac:dyDescent="0.25">
      <c r="K1357" s="8"/>
    </row>
    <row r="1358" spans="11:11" x14ac:dyDescent="0.25">
      <c r="K1358" s="8"/>
    </row>
    <row r="1359" spans="11:11" x14ac:dyDescent="0.25">
      <c r="K1359" s="8"/>
    </row>
    <row r="1360" spans="11:11" x14ac:dyDescent="0.25">
      <c r="K1360" s="8"/>
    </row>
    <row r="1361" spans="11:11" x14ac:dyDescent="0.25">
      <c r="K1361" s="8"/>
    </row>
    <row r="1362" spans="11:11" x14ac:dyDescent="0.25">
      <c r="K1362" s="8"/>
    </row>
    <row r="1363" spans="11:11" x14ac:dyDescent="0.25">
      <c r="K1363" s="8"/>
    </row>
    <row r="1364" spans="11:11" x14ac:dyDescent="0.25">
      <c r="K1364" s="8"/>
    </row>
    <row r="1365" spans="11:11" x14ac:dyDescent="0.25">
      <c r="K1365" s="8"/>
    </row>
    <row r="1366" spans="11:11" x14ac:dyDescent="0.25">
      <c r="K1366" s="8"/>
    </row>
    <row r="1367" spans="11:11" x14ac:dyDescent="0.25">
      <c r="K1367" s="8"/>
    </row>
    <row r="1368" spans="11:11" x14ac:dyDescent="0.25">
      <c r="K1368" s="8"/>
    </row>
    <row r="1369" spans="11:11" x14ac:dyDescent="0.25">
      <c r="K1369" s="8"/>
    </row>
    <row r="1370" spans="11:11" x14ac:dyDescent="0.25">
      <c r="K1370" s="8"/>
    </row>
    <row r="1371" spans="11:11" x14ac:dyDescent="0.25">
      <c r="K1371" s="8"/>
    </row>
    <row r="1372" spans="11:11" x14ac:dyDescent="0.25">
      <c r="K1372" s="8"/>
    </row>
    <row r="1373" spans="11:11" x14ac:dyDescent="0.25">
      <c r="K1373" s="8"/>
    </row>
    <row r="1374" spans="11:11" x14ac:dyDescent="0.25">
      <c r="K1374" s="8"/>
    </row>
    <row r="1375" spans="11:11" x14ac:dyDescent="0.25">
      <c r="K1375" s="8"/>
    </row>
    <row r="1376" spans="11:11" x14ac:dyDescent="0.25">
      <c r="K1376" s="8"/>
    </row>
    <row r="1377" spans="11:11" x14ac:dyDescent="0.25">
      <c r="K1377" s="8"/>
    </row>
    <row r="1378" spans="11:11" x14ac:dyDescent="0.25">
      <c r="K1378" s="8"/>
    </row>
    <row r="1379" spans="11:11" x14ac:dyDescent="0.25">
      <c r="K1379" s="8"/>
    </row>
    <row r="1380" spans="11:11" x14ac:dyDescent="0.25">
      <c r="K1380" s="8"/>
    </row>
    <row r="1381" spans="11:11" x14ac:dyDescent="0.25">
      <c r="K1381" s="8"/>
    </row>
    <row r="1382" spans="11:11" x14ac:dyDescent="0.25">
      <c r="K1382" s="8"/>
    </row>
    <row r="1383" spans="11:11" x14ac:dyDescent="0.25">
      <c r="K1383" s="8"/>
    </row>
    <row r="1384" spans="11:11" x14ac:dyDescent="0.25">
      <c r="K1384" s="8"/>
    </row>
    <row r="1385" spans="11:11" x14ac:dyDescent="0.25">
      <c r="K1385" s="8"/>
    </row>
    <row r="1386" spans="11:11" x14ac:dyDescent="0.25">
      <c r="K1386" s="8"/>
    </row>
    <row r="1387" spans="11:11" x14ac:dyDescent="0.25">
      <c r="K1387" s="8"/>
    </row>
    <row r="1388" spans="11:11" x14ac:dyDescent="0.25">
      <c r="K1388" s="8"/>
    </row>
    <row r="1389" spans="11:11" x14ac:dyDescent="0.25">
      <c r="K1389" s="8"/>
    </row>
    <row r="1390" spans="11:11" x14ac:dyDescent="0.25">
      <c r="K1390" s="8"/>
    </row>
    <row r="1391" spans="11:11" x14ac:dyDescent="0.25">
      <c r="K1391" s="8"/>
    </row>
    <row r="1392" spans="11:11" x14ac:dyDescent="0.25">
      <c r="K1392" s="8"/>
    </row>
    <row r="1393" spans="11:11" x14ac:dyDescent="0.25">
      <c r="K1393" s="8"/>
    </row>
    <row r="1394" spans="11:11" x14ac:dyDescent="0.25">
      <c r="K1394" s="8"/>
    </row>
    <row r="1395" spans="11:11" x14ac:dyDescent="0.25">
      <c r="K1395" s="8"/>
    </row>
    <row r="1396" spans="11:11" x14ac:dyDescent="0.25">
      <c r="K1396" s="8"/>
    </row>
    <row r="1397" spans="11:11" x14ac:dyDescent="0.25">
      <c r="K1397" s="8"/>
    </row>
    <row r="1398" spans="11:11" x14ac:dyDescent="0.25">
      <c r="K1398" s="8"/>
    </row>
    <row r="1399" spans="11:11" x14ac:dyDescent="0.25">
      <c r="K1399" s="8"/>
    </row>
    <row r="1400" spans="11:11" x14ac:dyDescent="0.25">
      <c r="K1400" s="8"/>
    </row>
    <row r="1401" spans="11:11" x14ac:dyDescent="0.25">
      <c r="K1401" s="8"/>
    </row>
    <row r="1402" spans="11:11" x14ac:dyDescent="0.25">
      <c r="K1402" s="8"/>
    </row>
    <row r="1403" spans="11:11" x14ac:dyDescent="0.25">
      <c r="K1403" s="8"/>
    </row>
    <row r="1404" spans="11:11" x14ac:dyDescent="0.25">
      <c r="K1404" s="8"/>
    </row>
    <row r="1405" spans="11:11" x14ac:dyDescent="0.25">
      <c r="K1405" s="8"/>
    </row>
    <row r="1406" spans="11:11" x14ac:dyDescent="0.25">
      <c r="K1406" s="8"/>
    </row>
    <row r="1407" spans="11:11" x14ac:dyDescent="0.25">
      <c r="K1407" s="8"/>
    </row>
    <row r="1408" spans="11:11" x14ac:dyDescent="0.25">
      <c r="K1408" s="8"/>
    </row>
    <row r="1409" spans="11:11" x14ac:dyDescent="0.25">
      <c r="K1409" s="8"/>
    </row>
    <row r="1410" spans="11:11" x14ac:dyDescent="0.25">
      <c r="K1410" s="8"/>
    </row>
    <row r="1411" spans="11:11" x14ac:dyDescent="0.25">
      <c r="K1411" s="8"/>
    </row>
    <row r="1412" spans="11:11" x14ac:dyDescent="0.25">
      <c r="K1412" s="8"/>
    </row>
    <row r="1413" spans="11:11" x14ac:dyDescent="0.25">
      <c r="K1413" s="8"/>
    </row>
    <row r="1414" spans="11:11" x14ac:dyDescent="0.25">
      <c r="K1414" s="8"/>
    </row>
    <row r="1415" spans="11:11" x14ac:dyDescent="0.25">
      <c r="K1415" s="8"/>
    </row>
    <row r="1416" spans="11:11" x14ac:dyDescent="0.25">
      <c r="K1416" s="8"/>
    </row>
    <row r="1417" spans="11:11" x14ac:dyDescent="0.25">
      <c r="K1417" s="8"/>
    </row>
    <row r="1418" spans="11:11" x14ac:dyDescent="0.25">
      <c r="K1418" s="8"/>
    </row>
    <row r="1419" spans="11:11" x14ac:dyDescent="0.25">
      <c r="K1419" s="8"/>
    </row>
    <row r="1420" spans="11:11" x14ac:dyDescent="0.25">
      <c r="K1420" s="8"/>
    </row>
    <row r="1421" spans="11:11" x14ac:dyDescent="0.25">
      <c r="K1421" s="8"/>
    </row>
    <row r="1422" spans="11:11" x14ac:dyDescent="0.25">
      <c r="K1422" s="8"/>
    </row>
    <row r="1423" spans="11:11" x14ac:dyDescent="0.25">
      <c r="K1423" s="8"/>
    </row>
    <row r="1424" spans="11:11" x14ac:dyDescent="0.25">
      <c r="K1424" s="8"/>
    </row>
    <row r="1425" spans="11:11" x14ac:dyDescent="0.25">
      <c r="K1425" s="8"/>
    </row>
    <row r="1426" spans="11:11" x14ac:dyDescent="0.25">
      <c r="K1426" s="8"/>
    </row>
    <row r="1427" spans="11:11" x14ac:dyDescent="0.25">
      <c r="K1427" s="8"/>
    </row>
    <row r="1428" spans="11:11" x14ac:dyDescent="0.25">
      <c r="K1428" s="8"/>
    </row>
    <row r="1429" spans="11:11" x14ac:dyDescent="0.25">
      <c r="K1429" s="8"/>
    </row>
    <row r="1430" spans="11:11" x14ac:dyDescent="0.25">
      <c r="K1430" s="8"/>
    </row>
    <row r="1431" spans="11:11" x14ac:dyDescent="0.25">
      <c r="K1431" s="8"/>
    </row>
    <row r="1432" spans="11:11" x14ac:dyDescent="0.25">
      <c r="K1432" s="8"/>
    </row>
    <row r="1433" spans="11:11" x14ac:dyDescent="0.25">
      <c r="K1433" s="8"/>
    </row>
    <row r="1434" spans="11:11" x14ac:dyDescent="0.25">
      <c r="K1434" s="8"/>
    </row>
    <row r="1435" spans="11:11" x14ac:dyDescent="0.25">
      <c r="K1435" s="8"/>
    </row>
    <row r="1436" spans="11:11" x14ac:dyDescent="0.25">
      <c r="K1436" s="8"/>
    </row>
    <row r="1437" spans="11:11" x14ac:dyDescent="0.25">
      <c r="K1437" s="8"/>
    </row>
    <row r="1438" spans="11:11" x14ac:dyDescent="0.25">
      <c r="K1438" s="8"/>
    </row>
    <row r="1439" spans="11:11" x14ac:dyDescent="0.25">
      <c r="K1439" s="8"/>
    </row>
    <row r="1440" spans="11:11" x14ac:dyDescent="0.25">
      <c r="K1440" s="8"/>
    </row>
    <row r="1441" spans="11:11" x14ac:dyDescent="0.25">
      <c r="K1441" s="8"/>
    </row>
    <row r="1442" spans="11:11" x14ac:dyDescent="0.25">
      <c r="K1442" s="8"/>
    </row>
    <row r="1443" spans="11:11" x14ac:dyDescent="0.25">
      <c r="K1443" s="8"/>
    </row>
    <row r="1444" spans="11:11" x14ac:dyDescent="0.25">
      <c r="K1444" s="8"/>
    </row>
    <row r="1445" spans="11:11" x14ac:dyDescent="0.25">
      <c r="K1445" s="8"/>
    </row>
    <row r="1446" spans="11:11" x14ac:dyDescent="0.25">
      <c r="K1446" s="8"/>
    </row>
    <row r="1447" spans="11:11" x14ac:dyDescent="0.25">
      <c r="K1447" s="8"/>
    </row>
    <row r="1448" spans="11:11" x14ac:dyDescent="0.25">
      <c r="K1448" s="8"/>
    </row>
    <row r="1449" spans="11:11" x14ac:dyDescent="0.25">
      <c r="K1449" s="8"/>
    </row>
    <row r="1450" spans="11:11" x14ac:dyDescent="0.25">
      <c r="K1450" s="8"/>
    </row>
    <row r="1451" spans="11:11" x14ac:dyDescent="0.25">
      <c r="K1451" s="8"/>
    </row>
    <row r="1452" spans="11:11" x14ac:dyDescent="0.25">
      <c r="K1452" s="8"/>
    </row>
    <row r="1453" spans="11:11" x14ac:dyDescent="0.25">
      <c r="K1453" s="8"/>
    </row>
    <row r="1454" spans="11:11" x14ac:dyDescent="0.25">
      <c r="K1454" s="8"/>
    </row>
    <row r="1455" spans="11:11" x14ac:dyDescent="0.25">
      <c r="K1455" s="8"/>
    </row>
    <row r="1456" spans="11:11" x14ac:dyDescent="0.25">
      <c r="K1456" s="8"/>
    </row>
    <row r="1457" spans="11:11" x14ac:dyDescent="0.25">
      <c r="K1457" s="8"/>
    </row>
    <row r="1458" spans="11:11" x14ac:dyDescent="0.25">
      <c r="K1458" s="8"/>
    </row>
    <row r="1459" spans="11:11" x14ac:dyDescent="0.25">
      <c r="K1459" s="8"/>
    </row>
    <row r="1460" spans="11:11" x14ac:dyDescent="0.25">
      <c r="K1460" s="8"/>
    </row>
    <row r="1461" spans="11:11" x14ac:dyDescent="0.25">
      <c r="K1461" s="8"/>
    </row>
    <row r="1462" spans="11:11" x14ac:dyDescent="0.25">
      <c r="K1462" s="8"/>
    </row>
    <row r="1463" spans="11:11" x14ac:dyDescent="0.25">
      <c r="K1463" s="8"/>
    </row>
    <row r="1464" spans="11:11" x14ac:dyDescent="0.25">
      <c r="K1464" s="8"/>
    </row>
    <row r="1465" spans="11:11" x14ac:dyDescent="0.25">
      <c r="K1465" s="8"/>
    </row>
    <row r="1466" spans="11:11" x14ac:dyDescent="0.25">
      <c r="K1466" s="8"/>
    </row>
    <row r="1467" spans="11:11" x14ac:dyDescent="0.25">
      <c r="K1467" s="8"/>
    </row>
    <row r="1468" spans="11:11" x14ac:dyDescent="0.25">
      <c r="K1468" s="8"/>
    </row>
    <row r="1469" spans="11:11" x14ac:dyDescent="0.25">
      <c r="K1469" s="8"/>
    </row>
    <row r="1470" spans="11:11" x14ac:dyDescent="0.25">
      <c r="K1470" s="8"/>
    </row>
    <row r="1471" spans="11:11" x14ac:dyDescent="0.25">
      <c r="K1471" s="8"/>
    </row>
    <row r="1472" spans="11:11" x14ac:dyDescent="0.25">
      <c r="K1472" s="8"/>
    </row>
    <row r="1473" spans="11:11" x14ac:dyDescent="0.25">
      <c r="K1473" s="8"/>
    </row>
    <row r="1474" spans="11:11" x14ac:dyDescent="0.25">
      <c r="K1474" s="8"/>
    </row>
    <row r="1475" spans="11:11" x14ac:dyDescent="0.25">
      <c r="K1475" s="8"/>
    </row>
    <row r="1476" spans="11:11" x14ac:dyDescent="0.25">
      <c r="K1476" s="8"/>
    </row>
    <row r="1477" spans="11:11" x14ac:dyDescent="0.25">
      <c r="K1477" s="8"/>
    </row>
    <row r="1478" spans="11:11" x14ac:dyDescent="0.25">
      <c r="K1478" s="8"/>
    </row>
    <row r="1479" spans="11:11" x14ac:dyDescent="0.25">
      <c r="K1479" s="8"/>
    </row>
    <row r="1480" spans="11:11" x14ac:dyDescent="0.25">
      <c r="K1480" s="8"/>
    </row>
    <row r="1481" spans="11:11" x14ac:dyDescent="0.25">
      <c r="K1481" s="8"/>
    </row>
    <row r="1482" spans="11:11" x14ac:dyDescent="0.25">
      <c r="K1482" s="8"/>
    </row>
    <row r="1483" spans="11:11" x14ac:dyDescent="0.25">
      <c r="K1483" s="8"/>
    </row>
    <row r="1484" spans="11:11" x14ac:dyDescent="0.25">
      <c r="K1484" s="8"/>
    </row>
    <row r="1485" spans="11:11" x14ac:dyDescent="0.25">
      <c r="K1485" s="8"/>
    </row>
    <row r="1486" spans="11:11" x14ac:dyDescent="0.25">
      <c r="K1486" s="8"/>
    </row>
    <row r="1487" spans="11:11" x14ac:dyDescent="0.25">
      <c r="K1487" s="8"/>
    </row>
    <row r="1488" spans="11:11" x14ac:dyDescent="0.25">
      <c r="K1488" s="8"/>
    </row>
    <row r="1489" spans="11:11" x14ac:dyDescent="0.25">
      <c r="K1489" s="8"/>
    </row>
    <row r="1490" spans="11:11" x14ac:dyDescent="0.25">
      <c r="K1490" s="8"/>
    </row>
    <row r="1491" spans="11:11" x14ac:dyDescent="0.25">
      <c r="K1491" s="8"/>
    </row>
    <row r="1492" spans="11:11" x14ac:dyDescent="0.25">
      <c r="K1492" s="8"/>
    </row>
    <row r="1493" spans="11:11" x14ac:dyDescent="0.25">
      <c r="K1493" s="8"/>
    </row>
    <row r="1494" spans="11:11" x14ac:dyDescent="0.25">
      <c r="K1494" s="8"/>
    </row>
    <row r="1495" spans="11:11" x14ac:dyDescent="0.25">
      <c r="K1495" s="8"/>
    </row>
    <row r="1496" spans="11:11" x14ac:dyDescent="0.25">
      <c r="K1496" s="8"/>
    </row>
    <row r="1497" spans="11:11" x14ac:dyDescent="0.25">
      <c r="K1497" s="8"/>
    </row>
    <row r="1498" spans="11:11" x14ac:dyDescent="0.25">
      <c r="K1498" s="8"/>
    </row>
    <row r="1499" spans="11:11" x14ac:dyDescent="0.25">
      <c r="K1499" s="8"/>
    </row>
    <row r="1500" spans="11:11" x14ac:dyDescent="0.25">
      <c r="K1500" s="8"/>
    </row>
    <row r="1501" spans="11:11" x14ac:dyDescent="0.25">
      <c r="K1501" s="8"/>
    </row>
    <row r="1502" spans="11:11" x14ac:dyDescent="0.25">
      <c r="K1502" s="8"/>
    </row>
    <row r="1503" spans="11:11" x14ac:dyDescent="0.25">
      <c r="K1503" s="8"/>
    </row>
    <row r="1504" spans="11:11" x14ac:dyDescent="0.25">
      <c r="K1504" s="8"/>
    </row>
    <row r="1505" spans="11:11" x14ac:dyDescent="0.25">
      <c r="K1505" s="8"/>
    </row>
    <row r="1506" spans="11:11" x14ac:dyDescent="0.25">
      <c r="K1506" s="8"/>
    </row>
    <row r="1507" spans="11:11" x14ac:dyDescent="0.25">
      <c r="K1507" s="8"/>
    </row>
    <row r="1508" spans="11:11" x14ac:dyDescent="0.25">
      <c r="K1508" s="8"/>
    </row>
    <row r="1509" spans="11:11" x14ac:dyDescent="0.25">
      <c r="K1509" s="8"/>
    </row>
    <row r="1510" spans="11:11" x14ac:dyDescent="0.25">
      <c r="K1510" s="8"/>
    </row>
    <row r="1511" spans="11:11" x14ac:dyDescent="0.25">
      <c r="K1511" s="8"/>
    </row>
    <row r="1512" spans="11:11" x14ac:dyDescent="0.25">
      <c r="K1512" s="8"/>
    </row>
    <row r="1513" spans="11:11" x14ac:dyDescent="0.25">
      <c r="K1513" s="8"/>
    </row>
    <row r="1514" spans="11:11" x14ac:dyDescent="0.25">
      <c r="K1514" s="8"/>
    </row>
    <row r="1515" spans="11:11" x14ac:dyDescent="0.25">
      <c r="K1515" s="8"/>
    </row>
    <row r="1516" spans="11:11" x14ac:dyDescent="0.25">
      <c r="K1516" s="8"/>
    </row>
    <row r="1517" spans="11:11" x14ac:dyDescent="0.25">
      <c r="K1517" s="8"/>
    </row>
    <row r="1518" spans="11:11" x14ac:dyDescent="0.25">
      <c r="K1518" s="8"/>
    </row>
    <row r="1519" spans="11:11" x14ac:dyDescent="0.25">
      <c r="K1519" s="8"/>
    </row>
    <row r="1520" spans="11:11" x14ac:dyDescent="0.25">
      <c r="K1520" s="8"/>
    </row>
    <row r="1521" spans="11:11" x14ac:dyDescent="0.25">
      <c r="K1521" s="8"/>
    </row>
    <row r="1522" spans="11:11" x14ac:dyDescent="0.25">
      <c r="K1522" s="8"/>
    </row>
    <row r="1523" spans="11:11" x14ac:dyDescent="0.25">
      <c r="K1523" s="8"/>
    </row>
    <row r="1524" spans="11:11" x14ac:dyDescent="0.25">
      <c r="K1524" s="8"/>
    </row>
    <row r="1525" spans="11:11" x14ac:dyDescent="0.25">
      <c r="K1525" s="8"/>
    </row>
    <row r="1526" spans="11:11" x14ac:dyDescent="0.25">
      <c r="K1526" s="8"/>
    </row>
    <row r="1527" spans="11:11" x14ac:dyDescent="0.25">
      <c r="K1527" s="8"/>
    </row>
    <row r="1528" spans="11:11" x14ac:dyDescent="0.25">
      <c r="K1528" s="8"/>
    </row>
    <row r="1529" spans="11:11" x14ac:dyDescent="0.25">
      <c r="K1529" s="8"/>
    </row>
    <row r="1530" spans="11:11" x14ac:dyDescent="0.25">
      <c r="K1530" s="8"/>
    </row>
    <row r="1531" spans="11:11" x14ac:dyDescent="0.25">
      <c r="K1531" s="8"/>
    </row>
    <row r="1532" spans="11:11" x14ac:dyDescent="0.25">
      <c r="K1532" s="8"/>
    </row>
    <row r="1533" spans="11:11" x14ac:dyDescent="0.25">
      <c r="K1533" s="8"/>
    </row>
    <row r="1534" spans="11:11" x14ac:dyDescent="0.25">
      <c r="K1534" s="8"/>
    </row>
    <row r="1535" spans="11:11" x14ac:dyDescent="0.25">
      <c r="K1535" s="8"/>
    </row>
    <row r="1536" spans="11:11" x14ac:dyDescent="0.25">
      <c r="K1536" s="8"/>
    </row>
    <row r="1537" spans="11:11" x14ac:dyDescent="0.25">
      <c r="K1537" s="8"/>
    </row>
    <row r="1538" spans="11:11" x14ac:dyDescent="0.25">
      <c r="K1538" s="8"/>
    </row>
    <row r="1539" spans="11:11" x14ac:dyDescent="0.25">
      <c r="K1539" s="8"/>
    </row>
    <row r="1540" spans="11:11" x14ac:dyDescent="0.25">
      <c r="K1540" s="8"/>
    </row>
    <row r="1541" spans="11:11" x14ac:dyDescent="0.25">
      <c r="K1541" s="8"/>
    </row>
    <row r="1542" spans="11:11" x14ac:dyDescent="0.25">
      <c r="K1542" s="8"/>
    </row>
    <row r="1543" spans="11:11" x14ac:dyDescent="0.25">
      <c r="K1543" s="8"/>
    </row>
    <row r="1544" spans="11:11" x14ac:dyDescent="0.25">
      <c r="K1544" s="8"/>
    </row>
    <row r="1545" spans="11:11" x14ac:dyDescent="0.25">
      <c r="K1545" s="8"/>
    </row>
    <row r="1546" spans="11:11" x14ac:dyDescent="0.25">
      <c r="K1546" s="8"/>
    </row>
    <row r="1547" spans="11:11" x14ac:dyDescent="0.25">
      <c r="K1547" s="8"/>
    </row>
    <row r="1548" spans="11:11" x14ac:dyDescent="0.25">
      <c r="K1548" s="8"/>
    </row>
    <row r="1549" spans="11:11" x14ac:dyDescent="0.25">
      <c r="K1549" s="8"/>
    </row>
    <row r="1550" spans="11:11" x14ac:dyDescent="0.25">
      <c r="K1550" s="8"/>
    </row>
    <row r="1551" spans="11:11" x14ac:dyDescent="0.25">
      <c r="K1551" s="8"/>
    </row>
    <row r="1552" spans="11:11" x14ac:dyDescent="0.25">
      <c r="K1552" s="8"/>
    </row>
    <row r="1553" spans="11:11" x14ac:dyDescent="0.25">
      <c r="K1553" s="8"/>
    </row>
    <row r="1554" spans="11:11" x14ac:dyDescent="0.25">
      <c r="K1554" s="8"/>
    </row>
    <row r="1555" spans="11:11" x14ac:dyDescent="0.25">
      <c r="K1555" s="8"/>
    </row>
    <row r="1556" spans="11:11" x14ac:dyDescent="0.25">
      <c r="K1556" s="8"/>
    </row>
    <row r="1557" spans="11:11" x14ac:dyDescent="0.25">
      <c r="K1557" s="8"/>
    </row>
    <row r="1558" spans="11:11" x14ac:dyDescent="0.25">
      <c r="K1558" s="8"/>
    </row>
    <row r="1559" spans="11:11" x14ac:dyDescent="0.25">
      <c r="K1559" s="8"/>
    </row>
    <row r="1560" spans="11:11" x14ac:dyDescent="0.25">
      <c r="K1560" s="8"/>
    </row>
    <row r="1561" spans="11:11" x14ac:dyDescent="0.25">
      <c r="K1561" s="8"/>
    </row>
    <row r="1562" spans="11:11" x14ac:dyDescent="0.25">
      <c r="K1562" s="8"/>
    </row>
    <row r="1563" spans="11:11" x14ac:dyDescent="0.25">
      <c r="K1563" s="8"/>
    </row>
    <row r="1564" spans="11:11" x14ac:dyDescent="0.25">
      <c r="K1564" s="8"/>
    </row>
    <row r="1565" spans="11:11" x14ac:dyDescent="0.25">
      <c r="K1565" s="8"/>
    </row>
    <row r="1566" spans="11:11" x14ac:dyDescent="0.25">
      <c r="K1566" s="8"/>
    </row>
    <row r="1567" spans="11:11" x14ac:dyDescent="0.25">
      <c r="K1567" s="8"/>
    </row>
    <row r="1568" spans="11:11" x14ac:dyDescent="0.25">
      <c r="K1568" s="8"/>
    </row>
    <row r="1569" spans="11:11" x14ac:dyDescent="0.25">
      <c r="K1569" s="8"/>
    </row>
    <row r="1570" spans="11:11" x14ac:dyDescent="0.25">
      <c r="K1570" s="8"/>
    </row>
    <row r="1571" spans="11:11" x14ac:dyDescent="0.25">
      <c r="K1571" s="8"/>
    </row>
    <row r="1572" spans="11:11" x14ac:dyDescent="0.25">
      <c r="K1572" s="8"/>
    </row>
    <row r="1573" spans="11:11" x14ac:dyDescent="0.25">
      <c r="K1573" s="8"/>
    </row>
    <row r="1574" spans="11:11" x14ac:dyDescent="0.25">
      <c r="K1574" s="8"/>
    </row>
    <row r="1575" spans="11:11" x14ac:dyDescent="0.25">
      <c r="K1575" s="8"/>
    </row>
    <row r="1576" spans="11:11" x14ac:dyDescent="0.25">
      <c r="K1576" s="8"/>
    </row>
    <row r="1577" spans="11:11" x14ac:dyDescent="0.25">
      <c r="K1577" s="8"/>
    </row>
    <row r="1578" spans="11:11" x14ac:dyDescent="0.25">
      <c r="K1578" s="8"/>
    </row>
    <row r="1579" spans="11:11" x14ac:dyDescent="0.25">
      <c r="K1579" s="8"/>
    </row>
    <row r="1580" spans="11:11" x14ac:dyDescent="0.25">
      <c r="K1580" s="8"/>
    </row>
    <row r="1581" spans="11:11" x14ac:dyDescent="0.25">
      <c r="K1581" s="8"/>
    </row>
    <row r="1582" spans="11:11" x14ac:dyDescent="0.25">
      <c r="K1582" s="8"/>
    </row>
    <row r="1583" spans="11:11" x14ac:dyDescent="0.25">
      <c r="K1583" s="8"/>
    </row>
    <row r="1584" spans="11:11" x14ac:dyDescent="0.25">
      <c r="K1584" s="8"/>
    </row>
    <row r="1585" spans="11:11" x14ac:dyDescent="0.25">
      <c r="K1585" s="8"/>
    </row>
    <row r="1586" spans="11:11" x14ac:dyDescent="0.25">
      <c r="K1586" s="8"/>
    </row>
    <row r="1587" spans="11:11" x14ac:dyDescent="0.25">
      <c r="K1587" s="8"/>
    </row>
    <row r="1588" spans="11:11" x14ac:dyDescent="0.25">
      <c r="K1588" s="8"/>
    </row>
    <row r="1589" spans="11:11" x14ac:dyDescent="0.25">
      <c r="K1589" s="8"/>
    </row>
    <row r="1590" spans="11:11" x14ac:dyDescent="0.25">
      <c r="K1590" s="8"/>
    </row>
    <row r="1591" spans="11:11" x14ac:dyDescent="0.25">
      <c r="K1591" s="8"/>
    </row>
    <row r="1592" spans="11:11" x14ac:dyDescent="0.25">
      <c r="K1592" s="8"/>
    </row>
    <row r="1593" spans="11:11" x14ac:dyDescent="0.25">
      <c r="K1593" s="8"/>
    </row>
    <row r="1594" spans="11:11" x14ac:dyDescent="0.25">
      <c r="K1594" s="8"/>
    </row>
    <row r="1595" spans="11:11" x14ac:dyDescent="0.25">
      <c r="K1595" s="8"/>
    </row>
    <row r="1596" spans="11:11" x14ac:dyDescent="0.25">
      <c r="K1596" s="8"/>
    </row>
    <row r="1597" spans="11:11" x14ac:dyDescent="0.25">
      <c r="K1597" s="8"/>
    </row>
    <row r="1598" spans="11:11" x14ac:dyDescent="0.25">
      <c r="K1598" s="8"/>
    </row>
    <row r="1599" spans="11:11" x14ac:dyDescent="0.25">
      <c r="K1599" s="8"/>
    </row>
    <row r="1600" spans="11:11" x14ac:dyDescent="0.25">
      <c r="K1600" s="8"/>
    </row>
    <row r="1601" spans="11:11" x14ac:dyDescent="0.25">
      <c r="K1601" s="8"/>
    </row>
    <row r="1602" spans="11:11" x14ac:dyDescent="0.25">
      <c r="K1602" s="8"/>
    </row>
    <row r="1603" spans="11:11" x14ac:dyDescent="0.25">
      <c r="K1603" s="8"/>
    </row>
    <row r="1604" spans="11:11" x14ac:dyDescent="0.25">
      <c r="K1604" s="8"/>
    </row>
    <row r="1605" spans="11:11" x14ac:dyDescent="0.25">
      <c r="K1605" s="8"/>
    </row>
    <row r="1606" spans="11:11" x14ac:dyDescent="0.25">
      <c r="K1606" s="8"/>
    </row>
    <row r="1607" spans="11:11" x14ac:dyDescent="0.25">
      <c r="K1607" s="8"/>
    </row>
    <row r="1608" spans="11:11" x14ac:dyDescent="0.25">
      <c r="K1608" s="8"/>
    </row>
    <row r="1609" spans="11:11" x14ac:dyDescent="0.25">
      <c r="K1609" s="8"/>
    </row>
    <row r="1610" spans="11:11" x14ac:dyDescent="0.25">
      <c r="K1610" s="8"/>
    </row>
    <row r="1611" spans="11:11" x14ac:dyDescent="0.25">
      <c r="K1611" s="8"/>
    </row>
    <row r="1612" spans="11:11" x14ac:dyDescent="0.25">
      <c r="K1612" s="8"/>
    </row>
    <row r="1613" spans="11:11" x14ac:dyDescent="0.25">
      <c r="K1613" s="8"/>
    </row>
    <row r="1614" spans="11:11" x14ac:dyDescent="0.25">
      <c r="K1614" s="8"/>
    </row>
    <row r="1615" spans="11:11" x14ac:dyDescent="0.25">
      <c r="K1615" s="8"/>
    </row>
    <row r="1616" spans="11:11" x14ac:dyDescent="0.25">
      <c r="K1616" s="8"/>
    </row>
    <row r="1617" spans="11:11" x14ac:dyDescent="0.25">
      <c r="K1617" s="8"/>
    </row>
    <row r="1618" spans="11:11" x14ac:dyDescent="0.25">
      <c r="K1618" s="8"/>
    </row>
    <row r="1619" spans="11:11" x14ac:dyDescent="0.25">
      <c r="K1619" s="8"/>
    </row>
    <row r="1620" spans="11:11" x14ac:dyDescent="0.25">
      <c r="K1620" s="8"/>
    </row>
    <row r="1621" spans="11:11" x14ac:dyDescent="0.25">
      <c r="K1621" s="8"/>
    </row>
    <row r="1622" spans="11:11" x14ac:dyDescent="0.25">
      <c r="K1622" s="8"/>
    </row>
    <row r="1623" spans="11:11" x14ac:dyDescent="0.25">
      <c r="K1623" s="8"/>
    </row>
    <row r="1624" spans="11:11" x14ac:dyDescent="0.25">
      <c r="K1624" s="8"/>
    </row>
    <row r="1625" spans="11:11" x14ac:dyDescent="0.25">
      <c r="K1625" s="8"/>
    </row>
    <row r="1626" spans="11:11" x14ac:dyDescent="0.25">
      <c r="K1626" s="8"/>
    </row>
    <row r="1627" spans="11:11" x14ac:dyDescent="0.25">
      <c r="K1627" s="8"/>
    </row>
    <row r="1628" spans="11:11" x14ac:dyDescent="0.25">
      <c r="K1628" s="8"/>
    </row>
    <row r="1629" spans="11:11" x14ac:dyDescent="0.25">
      <c r="K1629" s="8"/>
    </row>
    <row r="1630" spans="11:11" x14ac:dyDescent="0.25">
      <c r="K1630" s="8"/>
    </row>
    <row r="1631" spans="11:11" x14ac:dyDescent="0.25">
      <c r="K1631" s="8"/>
    </row>
    <row r="1632" spans="11:11" x14ac:dyDescent="0.25">
      <c r="K1632" s="8"/>
    </row>
    <row r="1633" spans="11:11" x14ac:dyDescent="0.25">
      <c r="K1633" s="8"/>
    </row>
    <row r="1634" spans="11:11" x14ac:dyDescent="0.25">
      <c r="K1634" s="8"/>
    </row>
    <row r="1635" spans="11:11" x14ac:dyDescent="0.25">
      <c r="K1635" s="8"/>
    </row>
    <row r="1636" spans="11:11" x14ac:dyDescent="0.25">
      <c r="K1636" s="8"/>
    </row>
    <row r="1637" spans="11:11" x14ac:dyDescent="0.25">
      <c r="K1637" s="8"/>
    </row>
    <row r="1638" spans="11:11" x14ac:dyDescent="0.25">
      <c r="K1638" s="8"/>
    </row>
    <row r="1639" spans="11:11" x14ac:dyDescent="0.25">
      <c r="K1639" s="8"/>
    </row>
    <row r="1640" spans="11:11" x14ac:dyDescent="0.25">
      <c r="K1640" s="8"/>
    </row>
    <row r="1641" spans="11:11" x14ac:dyDescent="0.25">
      <c r="K1641" s="8"/>
    </row>
    <row r="1642" spans="11:11" x14ac:dyDescent="0.25">
      <c r="K1642" s="8"/>
    </row>
    <row r="1643" spans="11:11" x14ac:dyDescent="0.25">
      <c r="K1643" s="8"/>
    </row>
    <row r="1644" spans="11:11" x14ac:dyDescent="0.25">
      <c r="K1644" s="8"/>
    </row>
    <row r="1645" spans="11:11" x14ac:dyDescent="0.25">
      <c r="K1645" s="8"/>
    </row>
    <row r="1646" spans="11:11" x14ac:dyDescent="0.25">
      <c r="K1646" s="8"/>
    </row>
    <row r="1647" spans="11:11" x14ac:dyDescent="0.25">
      <c r="K1647" s="8"/>
    </row>
    <row r="1648" spans="11:11" x14ac:dyDescent="0.25">
      <c r="K1648" s="8"/>
    </row>
    <row r="1649" spans="11:11" x14ac:dyDescent="0.25">
      <c r="K1649" s="8"/>
    </row>
    <row r="1650" spans="11:11" x14ac:dyDescent="0.25">
      <c r="K1650" s="8"/>
    </row>
    <row r="1651" spans="11:11" x14ac:dyDescent="0.25">
      <c r="K1651" s="8"/>
    </row>
    <row r="1652" spans="11:11" x14ac:dyDescent="0.25">
      <c r="K1652" s="8"/>
    </row>
    <row r="1653" spans="11:11" x14ac:dyDescent="0.25">
      <c r="K1653" s="8"/>
    </row>
    <row r="1654" spans="11:11" x14ac:dyDescent="0.25">
      <c r="K1654" s="8"/>
    </row>
    <row r="1655" spans="11:11" x14ac:dyDescent="0.25">
      <c r="K1655" s="8"/>
    </row>
    <row r="1656" spans="11:11" x14ac:dyDescent="0.25">
      <c r="K1656" s="8"/>
    </row>
    <row r="1657" spans="11:11" x14ac:dyDescent="0.25">
      <c r="K1657" s="8"/>
    </row>
    <row r="1658" spans="11:11" x14ac:dyDescent="0.25">
      <c r="K1658" s="8"/>
    </row>
    <row r="1659" spans="11:11" x14ac:dyDescent="0.25">
      <c r="K1659" s="8"/>
    </row>
    <row r="1660" spans="11:11" x14ac:dyDescent="0.25">
      <c r="K1660" s="8"/>
    </row>
    <row r="1661" spans="11:11" x14ac:dyDescent="0.25">
      <c r="K1661" s="8"/>
    </row>
    <row r="1662" spans="11:11" x14ac:dyDescent="0.25">
      <c r="K1662" s="8"/>
    </row>
    <row r="1663" spans="11:11" x14ac:dyDescent="0.25">
      <c r="K1663" s="8"/>
    </row>
    <row r="1664" spans="11:11" x14ac:dyDescent="0.25">
      <c r="K1664" s="8"/>
    </row>
    <row r="1665" spans="11:11" x14ac:dyDescent="0.25">
      <c r="K1665" s="8"/>
    </row>
    <row r="1666" spans="11:11" x14ac:dyDescent="0.25">
      <c r="K1666" s="8"/>
    </row>
    <row r="1667" spans="11:11" x14ac:dyDescent="0.25">
      <c r="K1667" s="8"/>
    </row>
    <row r="1668" spans="11:11" x14ac:dyDescent="0.25">
      <c r="K1668" s="8"/>
    </row>
    <row r="1669" spans="11:11" x14ac:dyDescent="0.25">
      <c r="K1669" s="8"/>
    </row>
    <row r="1670" spans="11:11" x14ac:dyDescent="0.25">
      <c r="K1670" s="8"/>
    </row>
    <row r="1671" spans="11:11" x14ac:dyDescent="0.25">
      <c r="K1671" s="8"/>
    </row>
    <row r="1672" spans="11:11" x14ac:dyDescent="0.25">
      <c r="K1672" s="8"/>
    </row>
    <row r="1673" spans="11:11" x14ac:dyDescent="0.25">
      <c r="K1673" s="8"/>
    </row>
    <row r="1674" spans="11:11" x14ac:dyDescent="0.25">
      <c r="K1674" s="8"/>
    </row>
    <row r="1675" spans="11:11" x14ac:dyDescent="0.25">
      <c r="K1675" s="8"/>
    </row>
    <row r="1676" spans="11:11" x14ac:dyDescent="0.25">
      <c r="K1676" s="8"/>
    </row>
    <row r="1677" spans="11:11" x14ac:dyDescent="0.25">
      <c r="K1677" s="8"/>
    </row>
    <row r="1678" spans="11:11" x14ac:dyDescent="0.25">
      <c r="K1678" s="8"/>
    </row>
    <row r="1679" spans="11:11" x14ac:dyDescent="0.25">
      <c r="K1679" s="8"/>
    </row>
    <row r="1680" spans="11:11" x14ac:dyDescent="0.25">
      <c r="K1680" s="8"/>
    </row>
    <row r="1681" spans="11:11" x14ac:dyDescent="0.25">
      <c r="K1681" s="8"/>
    </row>
    <row r="1682" spans="11:11" x14ac:dyDescent="0.25">
      <c r="K1682" s="8"/>
    </row>
    <row r="1683" spans="11:11" x14ac:dyDescent="0.25">
      <c r="K1683" s="8"/>
    </row>
    <row r="1684" spans="11:11" x14ac:dyDescent="0.25">
      <c r="K1684" s="8"/>
    </row>
    <row r="1685" spans="11:11" x14ac:dyDescent="0.25">
      <c r="K1685" s="8"/>
    </row>
    <row r="1686" spans="11:11" x14ac:dyDescent="0.25">
      <c r="K1686" s="8"/>
    </row>
    <row r="1687" spans="11:11" x14ac:dyDescent="0.25">
      <c r="K1687" s="8"/>
    </row>
    <row r="1688" spans="11:11" x14ac:dyDescent="0.25">
      <c r="K1688" s="8"/>
    </row>
    <row r="1689" spans="11:11" x14ac:dyDescent="0.25">
      <c r="K1689" s="8"/>
    </row>
    <row r="1690" spans="11:11" x14ac:dyDescent="0.25">
      <c r="K1690" s="8"/>
    </row>
    <row r="1691" spans="11:11" x14ac:dyDescent="0.25">
      <c r="K1691" s="8"/>
    </row>
    <row r="1692" spans="11:11" x14ac:dyDescent="0.25">
      <c r="K1692" s="8"/>
    </row>
    <row r="1693" spans="11:11" x14ac:dyDescent="0.25">
      <c r="K1693" s="8"/>
    </row>
    <row r="1694" spans="11:11" x14ac:dyDescent="0.25">
      <c r="K1694" s="8"/>
    </row>
    <row r="1695" spans="11:11" x14ac:dyDescent="0.25">
      <c r="K1695" s="8"/>
    </row>
    <row r="1696" spans="11:11" x14ac:dyDescent="0.25">
      <c r="K1696" s="8"/>
    </row>
    <row r="1697" spans="11:11" x14ac:dyDescent="0.25">
      <c r="K1697" s="8"/>
    </row>
    <row r="1698" spans="11:11" x14ac:dyDescent="0.25">
      <c r="K1698" s="8"/>
    </row>
    <row r="1699" spans="11:11" x14ac:dyDescent="0.25">
      <c r="K1699" s="8"/>
    </row>
    <row r="1700" spans="11:11" x14ac:dyDescent="0.25">
      <c r="K1700" s="8"/>
    </row>
    <row r="1701" spans="11:11" x14ac:dyDescent="0.25">
      <c r="K1701" s="8"/>
    </row>
    <row r="1702" spans="11:11" x14ac:dyDescent="0.25">
      <c r="K1702" s="8"/>
    </row>
    <row r="1703" spans="11:11" x14ac:dyDescent="0.25">
      <c r="K1703" s="8"/>
    </row>
    <row r="1704" spans="11:11" x14ac:dyDescent="0.25">
      <c r="K1704" s="8"/>
    </row>
    <row r="1705" spans="11:11" x14ac:dyDescent="0.25">
      <c r="K1705" s="8"/>
    </row>
    <row r="1706" spans="11:11" x14ac:dyDescent="0.25">
      <c r="K1706" s="8"/>
    </row>
    <row r="1707" spans="11:11" x14ac:dyDescent="0.25">
      <c r="K1707" s="8"/>
    </row>
    <row r="1708" spans="11:11" x14ac:dyDescent="0.25">
      <c r="K1708" s="8"/>
    </row>
    <row r="1709" spans="11:11" x14ac:dyDescent="0.25">
      <c r="K1709" s="8"/>
    </row>
    <row r="1710" spans="11:11" x14ac:dyDescent="0.25">
      <c r="K1710" s="8"/>
    </row>
    <row r="1711" spans="11:11" x14ac:dyDescent="0.25">
      <c r="K1711" s="8"/>
    </row>
    <row r="1712" spans="11:11" x14ac:dyDescent="0.25">
      <c r="K1712" s="8"/>
    </row>
    <row r="1713" spans="11:11" x14ac:dyDescent="0.25">
      <c r="K1713" s="8"/>
    </row>
    <row r="1714" spans="11:11" x14ac:dyDescent="0.25">
      <c r="K1714" s="8"/>
    </row>
    <row r="1715" spans="11:11" x14ac:dyDescent="0.25">
      <c r="K1715" s="8"/>
    </row>
    <row r="1716" spans="11:11" x14ac:dyDescent="0.25">
      <c r="K1716" s="8"/>
    </row>
    <row r="1717" spans="11:11" x14ac:dyDescent="0.25">
      <c r="K1717" s="8"/>
    </row>
    <row r="1718" spans="11:11" x14ac:dyDescent="0.25">
      <c r="K1718" s="8"/>
    </row>
    <row r="1719" spans="11:11" x14ac:dyDescent="0.25">
      <c r="K1719" s="8"/>
    </row>
    <row r="1720" spans="11:11" x14ac:dyDescent="0.25">
      <c r="K1720" s="8"/>
    </row>
    <row r="1721" spans="11:11" x14ac:dyDescent="0.25">
      <c r="K1721" s="8"/>
    </row>
    <row r="1722" spans="11:11" x14ac:dyDescent="0.25">
      <c r="K1722" s="8"/>
    </row>
    <row r="1723" spans="11:11" x14ac:dyDescent="0.25">
      <c r="K1723" s="8"/>
    </row>
    <row r="1724" spans="11:11" x14ac:dyDescent="0.25">
      <c r="K1724" s="8"/>
    </row>
    <row r="1725" spans="11:11" x14ac:dyDescent="0.25">
      <c r="K1725" s="8"/>
    </row>
    <row r="1726" spans="11:11" x14ac:dyDescent="0.25">
      <c r="K1726" s="8"/>
    </row>
    <row r="1727" spans="11:11" x14ac:dyDescent="0.25">
      <c r="K1727" s="8"/>
    </row>
    <row r="1728" spans="11:11" x14ac:dyDescent="0.25">
      <c r="K1728" s="8"/>
    </row>
    <row r="1729" spans="11:11" x14ac:dyDescent="0.25">
      <c r="K1729" s="8"/>
    </row>
    <row r="1730" spans="11:11" x14ac:dyDescent="0.25">
      <c r="K1730" s="8"/>
    </row>
    <row r="1731" spans="11:11" x14ac:dyDescent="0.25">
      <c r="K1731" s="8"/>
    </row>
    <row r="1732" spans="11:11" x14ac:dyDescent="0.25">
      <c r="K1732" s="8"/>
    </row>
    <row r="1733" spans="11:11" x14ac:dyDescent="0.25">
      <c r="K1733" s="8"/>
    </row>
    <row r="1734" spans="11:11" x14ac:dyDescent="0.25">
      <c r="K1734" s="8"/>
    </row>
    <row r="1735" spans="11:11" x14ac:dyDescent="0.25">
      <c r="K1735" s="8"/>
    </row>
    <row r="1736" spans="11:11" x14ac:dyDescent="0.25">
      <c r="K1736" s="8"/>
    </row>
    <row r="1737" spans="11:11" x14ac:dyDescent="0.25">
      <c r="K1737" s="8"/>
    </row>
    <row r="1738" spans="11:11" x14ac:dyDescent="0.25">
      <c r="K1738" s="8"/>
    </row>
    <row r="1739" spans="11:11" x14ac:dyDescent="0.25">
      <c r="K1739" s="8"/>
    </row>
    <row r="1740" spans="11:11" x14ac:dyDescent="0.25">
      <c r="K1740" s="8"/>
    </row>
    <row r="1741" spans="11:11" x14ac:dyDescent="0.25">
      <c r="K1741" s="8"/>
    </row>
    <row r="1742" spans="11:11" x14ac:dyDescent="0.25">
      <c r="K1742" s="8"/>
    </row>
    <row r="1743" spans="11:11" x14ac:dyDescent="0.25">
      <c r="K1743" s="8"/>
    </row>
    <row r="1744" spans="11:11" x14ac:dyDescent="0.25">
      <c r="K1744" s="8"/>
    </row>
    <row r="1745" spans="11:11" x14ac:dyDescent="0.25">
      <c r="K1745" s="8"/>
    </row>
    <row r="1746" spans="11:11" x14ac:dyDescent="0.25">
      <c r="K1746" s="8"/>
    </row>
    <row r="1747" spans="11:11" x14ac:dyDescent="0.25">
      <c r="K1747" s="8"/>
    </row>
    <row r="1748" spans="11:11" x14ac:dyDescent="0.25">
      <c r="K1748" s="8"/>
    </row>
    <row r="1749" spans="11:11" x14ac:dyDescent="0.25">
      <c r="K1749" s="8"/>
    </row>
    <row r="1750" spans="11:11" x14ac:dyDescent="0.25">
      <c r="K1750" s="8"/>
    </row>
    <row r="1751" spans="11:11" x14ac:dyDescent="0.25">
      <c r="K1751" s="8"/>
    </row>
    <row r="1752" spans="11:11" x14ac:dyDescent="0.25">
      <c r="K1752" s="8"/>
    </row>
    <row r="1753" spans="11:11" x14ac:dyDescent="0.25">
      <c r="K1753" s="8"/>
    </row>
    <row r="1754" spans="11:11" x14ac:dyDescent="0.25">
      <c r="K1754" s="8"/>
    </row>
    <row r="1755" spans="11:11" x14ac:dyDescent="0.25">
      <c r="K1755" s="8"/>
    </row>
    <row r="1756" spans="11:11" x14ac:dyDescent="0.25">
      <c r="K1756" s="8"/>
    </row>
    <row r="1757" spans="11:11" x14ac:dyDescent="0.25">
      <c r="K1757" s="8"/>
    </row>
    <row r="1758" spans="11:11" x14ac:dyDescent="0.25">
      <c r="K1758" s="8"/>
    </row>
    <row r="1759" spans="11:11" x14ac:dyDescent="0.25">
      <c r="K1759" s="8"/>
    </row>
    <row r="1760" spans="11:11" x14ac:dyDescent="0.25">
      <c r="K1760" s="8"/>
    </row>
    <row r="1761" spans="11:11" x14ac:dyDescent="0.25">
      <c r="K1761" s="8"/>
    </row>
    <row r="1762" spans="11:11" x14ac:dyDescent="0.25">
      <c r="K1762" s="8"/>
    </row>
    <row r="1763" spans="11:11" x14ac:dyDescent="0.25">
      <c r="K1763" s="8"/>
    </row>
    <row r="1764" spans="11:11" x14ac:dyDescent="0.25">
      <c r="K1764" s="8"/>
    </row>
    <row r="1765" spans="11:11" x14ac:dyDescent="0.25">
      <c r="K1765" s="8"/>
    </row>
    <row r="1766" spans="11:11" x14ac:dyDescent="0.25">
      <c r="K1766" s="8"/>
    </row>
    <row r="1767" spans="11:11" x14ac:dyDescent="0.25">
      <c r="K1767" s="8"/>
    </row>
    <row r="1768" spans="11:11" x14ac:dyDescent="0.25">
      <c r="K1768" s="8"/>
    </row>
    <row r="1769" spans="11:11" x14ac:dyDescent="0.25">
      <c r="K1769" s="8"/>
    </row>
    <row r="1770" spans="11:11" x14ac:dyDescent="0.25">
      <c r="K1770" s="8"/>
    </row>
    <row r="1771" spans="11:11" x14ac:dyDescent="0.25">
      <c r="K1771" s="8"/>
    </row>
    <row r="1772" spans="11:11" x14ac:dyDescent="0.25">
      <c r="K1772" s="8"/>
    </row>
    <row r="1773" spans="11:11" x14ac:dyDescent="0.25">
      <c r="K1773" s="8"/>
    </row>
    <row r="1774" spans="11:11" x14ac:dyDescent="0.25">
      <c r="K1774" s="8"/>
    </row>
    <row r="1775" spans="11:11" x14ac:dyDescent="0.25">
      <c r="K1775" s="8"/>
    </row>
    <row r="1776" spans="11:11" x14ac:dyDescent="0.25">
      <c r="K1776" s="8"/>
    </row>
    <row r="1777" spans="11:11" x14ac:dyDescent="0.25">
      <c r="K1777" s="8"/>
    </row>
    <row r="1778" spans="11:11" x14ac:dyDescent="0.25">
      <c r="K1778" s="8"/>
    </row>
    <row r="1779" spans="11:11" x14ac:dyDescent="0.25">
      <c r="K1779" s="8"/>
    </row>
    <row r="1780" spans="11:11" x14ac:dyDescent="0.25">
      <c r="K1780" s="8"/>
    </row>
    <row r="1781" spans="11:11" x14ac:dyDescent="0.25">
      <c r="K1781" s="8"/>
    </row>
    <row r="1782" spans="11:11" x14ac:dyDescent="0.25">
      <c r="K1782" s="8"/>
    </row>
    <row r="1783" spans="11:11" x14ac:dyDescent="0.25">
      <c r="K1783" s="8"/>
    </row>
    <row r="1784" spans="11:11" x14ac:dyDescent="0.25">
      <c r="K1784" s="8"/>
    </row>
    <row r="1785" spans="11:11" x14ac:dyDescent="0.25">
      <c r="K1785" s="8"/>
    </row>
    <row r="1786" spans="11:11" x14ac:dyDescent="0.25">
      <c r="K1786" s="8"/>
    </row>
    <row r="1787" spans="11:11" x14ac:dyDescent="0.25">
      <c r="K1787" s="8"/>
    </row>
    <row r="1788" spans="11:11" x14ac:dyDescent="0.25">
      <c r="K1788" s="8"/>
    </row>
    <row r="1789" spans="11:11" x14ac:dyDescent="0.25">
      <c r="K1789" s="8"/>
    </row>
    <row r="1790" spans="11:11" x14ac:dyDescent="0.25">
      <c r="K1790" s="8"/>
    </row>
    <row r="1791" spans="11:11" x14ac:dyDescent="0.25">
      <c r="K1791" s="8"/>
    </row>
    <row r="1792" spans="11:11" x14ac:dyDescent="0.25">
      <c r="K1792" s="8"/>
    </row>
    <row r="1793" spans="11:11" x14ac:dyDescent="0.25">
      <c r="K1793" s="8"/>
    </row>
    <row r="1794" spans="11:11" x14ac:dyDescent="0.25">
      <c r="K1794" s="8"/>
    </row>
    <row r="1795" spans="11:11" x14ac:dyDescent="0.25">
      <c r="K1795" s="8"/>
    </row>
    <row r="1796" spans="11:11" x14ac:dyDescent="0.25">
      <c r="K1796" s="8"/>
    </row>
    <row r="1797" spans="11:11" x14ac:dyDescent="0.25">
      <c r="K1797" s="8"/>
    </row>
    <row r="1798" spans="11:11" x14ac:dyDescent="0.25">
      <c r="K1798" s="8"/>
    </row>
    <row r="1799" spans="11:11" x14ac:dyDescent="0.25">
      <c r="K1799" s="8"/>
    </row>
    <row r="1800" spans="11:11" x14ac:dyDescent="0.25">
      <c r="K1800" s="8"/>
    </row>
    <row r="1801" spans="11:11" x14ac:dyDescent="0.25">
      <c r="K1801" s="8"/>
    </row>
    <row r="1802" spans="11:11" x14ac:dyDescent="0.25">
      <c r="K1802" s="8"/>
    </row>
    <row r="1803" spans="11:11" x14ac:dyDescent="0.25">
      <c r="K1803" s="8"/>
    </row>
    <row r="1804" spans="11:11" x14ac:dyDescent="0.25">
      <c r="K1804" s="8"/>
    </row>
    <row r="1805" spans="11:11" x14ac:dyDescent="0.25">
      <c r="K1805" s="8"/>
    </row>
    <row r="1806" spans="11:11" x14ac:dyDescent="0.25">
      <c r="K1806" s="8"/>
    </row>
    <row r="1807" spans="11:11" x14ac:dyDescent="0.25">
      <c r="K1807" s="8"/>
    </row>
    <row r="1808" spans="11:11" x14ac:dyDescent="0.25">
      <c r="K1808" s="8"/>
    </row>
    <row r="1809" spans="11:11" x14ac:dyDescent="0.25">
      <c r="K1809" s="8"/>
    </row>
    <row r="1810" spans="11:11" x14ac:dyDescent="0.25">
      <c r="K1810" s="8"/>
    </row>
    <row r="1811" spans="11:11" x14ac:dyDescent="0.25">
      <c r="K1811" s="8"/>
    </row>
    <row r="1812" spans="11:11" x14ac:dyDescent="0.25">
      <c r="K1812" s="8"/>
    </row>
    <row r="1813" spans="11:11" x14ac:dyDescent="0.25">
      <c r="K1813" s="8"/>
    </row>
    <row r="1814" spans="11:11" x14ac:dyDescent="0.25">
      <c r="K1814" s="8"/>
    </row>
    <row r="1815" spans="11:11" x14ac:dyDescent="0.25">
      <c r="K1815" s="8"/>
    </row>
    <row r="1816" spans="11:11" x14ac:dyDescent="0.25">
      <c r="K1816" s="8"/>
    </row>
    <row r="1817" spans="11:11" x14ac:dyDescent="0.25">
      <c r="K1817" s="8"/>
    </row>
    <row r="1818" spans="11:11" x14ac:dyDescent="0.25">
      <c r="K1818" s="8"/>
    </row>
    <row r="1819" spans="11:11" x14ac:dyDescent="0.25">
      <c r="K1819" s="8"/>
    </row>
    <row r="1820" spans="11:11" x14ac:dyDescent="0.25">
      <c r="K1820" s="8"/>
    </row>
    <row r="1821" spans="11:11" x14ac:dyDescent="0.25">
      <c r="K1821" s="8"/>
    </row>
    <row r="1822" spans="11:11" x14ac:dyDescent="0.25">
      <c r="K1822" s="8"/>
    </row>
    <row r="1823" spans="11:11" x14ac:dyDescent="0.25">
      <c r="K1823" s="8"/>
    </row>
    <row r="1824" spans="11:11" x14ac:dyDescent="0.25">
      <c r="K1824" s="8"/>
    </row>
    <row r="1825" spans="11:11" x14ac:dyDescent="0.25">
      <c r="K1825" s="8"/>
    </row>
    <row r="1826" spans="11:11" x14ac:dyDescent="0.25">
      <c r="K1826" s="8"/>
    </row>
    <row r="1827" spans="11:11" x14ac:dyDescent="0.25">
      <c r="K1827" s="8"/>
    </row>
    <row r="1828" spans="11:11" x14ac:dyDescent="0.25">
      <c r="K1828" s="8"/>
    </row>
    <row r="1829" spans="11:11" x14ac:dyDescent="0.25">
      <c r="K1829" s="8"/>
    </row>
    <row r="1830" spans="11:11" x14ac:dyDescent="0.25">
      <c r="K1830" s="8"/>
    </row>
    <row r="1831" spans="11:11" x14ac:dyDescent="0.25">
      <c r="K1831" s="8"/>
    </row>
    <row r="1832" spans="11:11" x14ac:dyDescent="0.25">
      <c r="K1832" s="8"/>
    </row>
    <row r="1833" spans="11:11" x14ac:dyDescent="0.25">
      <c r="K1833" s="8"/>
    </row>
    <row r="1834" spans="11:11" x14ac:dyDescent="0.25">
      <c r="K1834" s="8"/>
    </row>
    <row r="1835" spans="11:11" x14ac:dyDescent="0.25">
      <c r="K1835" s="8"/>
    </row>
    <row r="1836" spans="11:11" x14ac:dyDescent="0.25">
      <c r="K1836" s="8"/>
    </row>
    <row r="1837" spans="11:11" x14ac:dyDescent="0.25">
      <c r="K1837" s="8"/>
    </row>
    <row r="1838" spans="11:11" x14ac:dyDescent="0.25">
      <c r="K1838" s="8"/>
    </row>
    <row r="1839" spans="11:11" x14ac:dyDescent="0.25">
      <c r="K1839" s="8"/>
    </row>
    <row r="1840" spans="11:11" x14ac:dyDescent="0.25">
      <c r="K1840" s="8"/>
    </row>
    <row r="1841" spans="11:11" x14ac:dyDescent="0.25">
      <c r="K1841" s="8"/>
    </row>
    <row r="1842" spans="11:11" x14ac:dyDescent="0.25">
      <c r="K1842" s="8"/>
    </row>
    <row r="1843" spans="11:11" x14ac:dyDescent="0.25">
      <c r="K1843" s="8"/>
    </row>
    <row r="1844" spans="11:11" x14ac:dyDescent="0.25">
      <c r="K1844" s="8"/>
    </row>
    <row r="1845" spans="11:11" x14ac:dyDescent="0.25">
      <c r="K1845" s="8"/>
    </row>
    <row r="1846" spans="11:11" x14ac:dyDescent="0.25">
      <c r="K1846" s="8"/>
    </row>
    <row r="1847" spans="11:11" x14ac:dyDescent="0.25">
      <c r="K1847" s="8"/>
    </row>
    <row r="1848" spans="11:11" x14ac:dyDescent="0.25">
      <c r="K1848" s="8"/>
    </row>
    <row r="1849" spans="11:11" x14ac:dyDescent="0.25">
      <c r="K1849" s="8"/>
    </row>
    <row r="1850" spans="11:11" x14ac:dyDescent="0.25">
      <c r="K1850" s="8"/>
    </row>
    <row r="1851" spans="11:11" x14ac:dyDescent="0.25">
      <c r="K1851" s="8"/>
    </row>
    <row r="1852" spans="11:11" x14ac:dyDescent="0.25">
      <c r="K1852" s="8"/>
    </row>
    <row r="1853" spans="11:11" x14ac:dyDescent="0.25">
      <c r="K1853" s="8"/>
    </row>
    <row r="1854" spans="11:11" x14ac:dyDescent="0.25">
      <c r="K1854" s="8"/>
    </row>
    <row r="1855" spans="11:11" x14ac:dyDescent="0.25">
      <c r="K1855" s="8"/>
    </row>
    <row r="1856" spans="11:11" x14ac:dyDescent="0.25">
      <c r="K1856" s="8"/>
    </row>
    <row r="1857" spans="11:11" x14ac:dyDescent="0.25">
      <c r="K1857" s="8"/>
    </row>
    <row r="1858" spans="11:11" x14ac:dyDescent="0.25">
      <c r="K1858" s="8"/>
    </row>
    <row r="1859" spans="11:11" x14ac:dyDescent="0.25">
      <c r="K1859" s="8"/>
    </row>
    <row r="1860" spans="11:11" x14ac:dyDescent="0.25">
      <c r="K1860" s="8"/>
    </row>
    <row r="1861" spans="11:11" x14ac:dyDescent="0.25">
      <c r="K1861" s="8"/>
    </row>
    <row r="1862" spans="11:11" x14ac:dyDescent="0.25">
      <c r="K1862" s="8"/>
    </row>
    <row r="1863" spans="11:11" x14ac:dyDescent="0.25">
      <c r="K1863" s="8"/>
    </row>
    <row r="1864" spans="11:11" x14ac:dyDescent="0.25">
      <c r="K1864" s="8"/>
    </row>
    <row r="1865" spans="11:11" x14ac:dyDescent="0.25">
      <c r="K1865" s="8"/>
    </row>
    <row r="1866" spans="11:11" x14ac:dyDescent="0.25">
      <c r="K1866" s="8"/>
    </row>
    <row r="1867" spans="11:11" x14ac:dyDescent="0.25">
      <c r="K1867" s="8"/>
    </row>
    <row r="1868" spans="11:11" x14ac:dyDescent="0.25">
      <c r="K1868" s="8"/>
    </row>
    <row r="1869" spans="11:11" x14ac:dyDescent="0.25">
      <c r="K1869" s="8"/>
    </row>
    <row r="1870" spans="11:11" x14ac:dyDescent="0.25">
      <c r="K1870" s="8"/>
    </row>
    <row r="1871" spans="11:11" x14ac:dyDescent="0.25">
      <c r="K1871" s="8"/>
    </row>
    <row r="1872" spans="11:11" x14ac:dyDescent="0.25">
      <c r="K1872" s="8"/>
    </row>
    <row r="1873" spans="11:11" x14ac:dyDescent="0.25">
      <c r="K1873" s="8"/>
    </row>
    <row r="1874" spans="11:11" x14ac:dyDescent="0.25">
      <c r="K1874" s="8"/>
    </row>
    <row r="1875" spans="11:11" x14ac:dyDescent="0.25">
      <c r="K1875" s="8"/>
    </row>
    <row r="1876" spans="11:11" x14ac:dyDescent="0.25">
      <c r="K1876" s="8"/>
    </row>
    <row r="1877" spans="11:11" x14ac:dyDescent="0.25">
      <c r="K1877" s="8"/>
    </row>
    <row r="1878" spans="11:11" x14ac:dyDescent="0.25">
      <c r="K1878" s="8"/>
    </row>
    <row r="1879" spans="11:11" x14ac:dyDescent="0.25">
      <c r="K1879" s="8"/>
    </row>
    <row r="1880" spans="11:11" x14ac:dyDescent="0.25">
      <c r="K1880" s="8"/>
    </row>
    <row r="1881" spans="11:11" x14ac:dyDescent="0.25">
      <c r="K1881" s="8"/>
    </row>
    <row r="1882" spans="11:11" x14ac:dyDescent="0.25">
      <c r="K1882" s="8"/>
    </row>
    <row r="1883" spans="11:11" x14ac:dyDescent="0.25">
      <c r="K1883" s="8"/>
    </row>
    <row r="1884" spans="11:11" x14ac:dyDescent="0.25">
      <c r="K1884" s="8"/>
    </row>
    <row r="1885" spans="11:11" x14ac:dyDescent="0.25">
      <c r="K1885" s="8"/>
    </row>
    <row r="1886" spans="11:11" x14ac:dyDescent="0.25">
      <c r="K1886" s="8"/>
    </row>
    <row r="1887" spans="11:11" x14ac:dyDescent="0.25">
      <c r="K1887" s="8"/>
    </row>
    <row r="1888" spans="11:11" x14ac:dyDescent="0.25">
      <c r="K1888" s="8"/>
    </row>
    <row r="1889" spans="11:11" x14ac:dyDescent="0.25">
      <c r="K1889" s="8"/>
    </row>
    <row r="1890" spans="11:11" x14ac:dyDescent="0.25">
      <c r="K1890" s="8"/>
    </row>
    <row r="1891" spans="11:11" x14ac:dyDescent="0.25">
      <c r="K1891" s="8"/>
    </row>
    <row r="1892" spans="11:11" x14ac:dyDescent="0.25">
      <c r="K1892" s="8"/>
    </row>
    <row r="1893" spans="11:11" x14ac:dyDescent="0.25">
      <c r="K1893" s="8"/>
    </row>
    <row r="1894" spans="11:11" x14ac:dyDescent="0.25">
      <c r="K1894" s="8"/>
    </row>
    <row r="1895" spans="11:11" x14ac:dyDescent="0.25">
      <c r="K1895" s="8"/>
    </row>
    <row r="1896" spans="11:11" x14ac:dyDescent="0.25">
      <c r="K1896" s="8"/>
    </row>
    <row r="1897" spans="11:11" x14ac:dyDescent="0.25">
      <c r="K1897" s="8"/>
    </row>
    <row r="1898" spans="11:11" x14ac:dyDescent="0.25">
      <c r="K1898" s="8"/>
    </row>
    <row r="1899" spans="11:11" x14ac:dyDescent="0.25">
      <c r="K1899" s="8"/>
    </row>
    <row r="1900" spans="11:11" x14ac:dyDescent="0.25">
      <c r="K1900" s="8"/>
    </row>
    <row r="1901" spans="11:11" x14ac:dyDescent="0.25">
      <c r="K1901" s="8"/>
    </row>
    <row r="1902" spans="11:11" x14ac:dyDescent="0.25">
      <c r="K1902" s="8"/>
    </row>
    <row r="1903" spans="11:11" x14ac:dyDescent="0.25">
      <c r="K1903" s="8"/>
    </row>
    <row r="1904" spans="11:11" x14ac:dyDescent="0.25">
      <c r="K1904" s="8"/>
    </row>
    <row r="1905" spans="11:11" x14ac:dyDescent="0.25">
      <c r="K1905" s="8"/>
    </row>
    <row r="1906" spans="11:11" x14ac:dyDescent="0.25">
      <c r="K1906" s="8"/>
    </row>
    <row r="1907" spans="11:11" x14ac:dyDescent="0.25">
      <c r="K1907" s="8"/>
    </row>
    <row r="1908" spans="11:11" x14ac:dyDescent="0.25">
      <c r="K1908" s="8"/>
    </row>
    <row r="1909" spans="11:11" x14ac:dyDescent="0.25">
      <c r="K1909" s="8"/>
    </row>
    <row r="1910" spans="11:11" x14ac:dyDescent="0.25">
      <c r="K1910" s="8"/>
    </row>
    <row r="1911" spans="11:11" x14ac:dyDescent="0.25">
      <c r="K1911" s="8"/>
    </row>
    <row r="1912" spans="11:11" x14ac:dyDescent="0.25">
      <c r="K1912" s="8"/>
    </row>
    <row r="1913" spans="11:11" x14ac:dyDescent="0.25">
      <c r="K1913" s="8"/>
    </row>
    <row r="1914" spans="11:11" x14ac:dyDescent="0.25">
      <c r="K1914" s="8"/>
    </row>
    <row r="1915" spans="11:11" x14ac:dyDescent="0.25">
      <c r="K1915" s="8"/>
    </row>
    <row r="1916" spans="11:11" x14ac:dyDescent="0.25">
      <c r="K1916" s="8"/>
    </row>
    <row r="1917" spans="11:11" x14ac:dyDescent="0.25">
      <c r="K1917" s="8"/>
    </row>
    <row r="1918" spans="11:11" x14ac:dyDescent="0.25">
      <c r="K1918" s="8"/>
    </row>
    <row r="1919" spans="11:11" x14ac:dyDescent="0.25">
      <c r="K1919" s="8"/>
    </row>
    <row r="1920" spans="11:11" x14ac:dyDescent="0.25">
      <c r="K1920" s="8"/>
    </row>
    <row r="1921" spans="11:11" x14ac:dyDescent="0.25">
      <c r="K1921" s="8"/>
    </row>
    <row r="1922" spans="11:11" x14ac:dyDescent="0.25">
      <c r="K1922" s="8"/>
    </row>
    <row r="1923" spans="11:11" x14ac:dyDescent="0.25">
      <c r="K1923" s="8"/>
    </row>
    <row r="1924" spans="11:11" x14ac:dyDescent="0.25">
      <c r="K1924" s="8"/>
    </row>
    <row r="1925" spans="11:11" x14ac:dyDescent="0.25">
      <c r="K1925" s="8"/>
    </row>
    <row r="1926" spans="11:11" x14ac:dyDescent="0.25">
      <c r="K1926" s="8"/>
    </row>
    <row r="1927" spans="11:11" x14ac:dyDescent="0.25">
      <c r="K1927" s="8"/>
    </row>
    <row r="1928" spans="11:11" x14ac:dyDescent="0.25">
      <c r="K1928" s="8"/>
    </row>
    <row r="1929" spans="11:11" x14ac:dyDescent="0.25">
      <c r="K1929" s="8"/>
    </row>
    <row r="1930" spans="11:11" x14ac:dyDescent="0.25">
      <c r="K1930" s="8"/>
    </row>
    <row r="1931" spans="11:11" x14ac:dyDescent="0.25">
      <c r="K1931" s="8"/>
    </row>
    <row r="1932" spans="11:11" x14ac:dyDescent="0.25">
      <c r="K1932" s="8"/>
    </row>
    <row r="1933" spans="11:11" x14ac:dyDescent="0.25">
      <c r="K1933" s="8"/>
    </row>
    <row r="1934" spans="11:11" x14ac:dyDescent="0.25">
      <c r="K1934" s="8"/>
    </row>
    <row r="1935" spans="11:11" x14ac:dyDescent="0.25">
      <c r="K1935" s="8"/>
    </row>
    <row r="1936" spans="11:11" x14ac:dyDescent="0.25">
      <c r="K1936" s="8"/>
    </row>
    <row r="1937" spans="11:11" x14ac:dyDescent="0.25">
      <c r="K1937" s="8"/>
    </row>
    <row r="1938" spans="11:11" x14ac:dyDescent="0.25">
      <c r="K1938" s="8"/>
    </row>
    <row r="1939" spans="11:11" x14ac:dyDescent="0.25">
      <c r="K1939" s="8"/>
    </row>
    <row r="1940" spans="11:11" x14ac:dyDescent="0.25">
      <c r="K1940" s="8"/>
    </row>
    <row r="1941" spans="11:11" x14ac:dyDescent="0.25">
      <c r="K1941" s="8"/>
    </row>
    <row r="1942" spans="11:11" x14ac:dyDescent="0.25">
      <c r="K1942" s="8"/>
    </row>
    <row r="1943" spans="11:11" x14ac:dyDescent="0.25">
      <c r="K1943" s="8"/>
    </row>
    <row r="1944" spans="11:11" x14ac:dyDescent="0.25">
      <c r="K1944" s="8"/>
    </row>
    <row r="1945" spans="11:11" x14ac:dyDescent="0.25">
      <c r="K1945" s="8"/>
    </row>
    <row r="1946" spans="11:11" x14ac:dyDescent="0.25">
      <c r="K1946" s="8"/>
    </row>
    <row r="1947" spans="11:11" x14ac:dyDescent="0.25">
      <c r="K1947" s="8"/>
    </row>
    <row r="1948" spans="11:11" x14ac:dyDescent="0.25">
      <c r="K1948" s="8"/>
    </row>
    <row r="1949" spans="11:11" x14ac:dyDescent="0.25">
      <c r="K1949" s="8"/>
    </row>
    <row r="1950" spans="11:11" x14ac:dyDescent="0.25">
      <c r="K1950" s="8"/>
    </row>
    <row r="1951" spans="11:11" x14ac:dyDescent="0.25">
      <c r="K1951" s="8"/>
    </row>
    <row r="1952" spans="11:11" x14ac:dyDescent="0.25">
      <c r="K1952" s="8"/>
    </row>
    <row r="1953" spans="11:11" x14ac:dyDescent="0.25">
      <c r="K1953" s="8"/>
    </row>
    <row r="1954" spans="11:11" x14ac:dyDescent="0.25">
      <c r="K1954" s="8"/>
    </row>
    <row r="1955" spans="11:11" x14ac:dyDescent="0.25">
      <c r="K1955" s="8"/>
    </row>
    <row r="1956" spans="11:11" x14ac:dyDescent="0.25">
      <c r="K1956" s="8"/>
    </row>
    <row r="1957" spans="11:11" x14ac:dyDescent="0.25">
      <c r="K1957" s="8"/>
    </row>
    <row r="1958" spans="11:11" x14ac:dyDescent="0.25">
      <c r="K1958" s="8"/>
    </row>
    <row r="1959" spans="11:11" x14ac:dyDescent="0.25">
      <c r="K1959" s="8"/>
    </row>
    <row r="1960" spans="11:11" x14ac:dyDescent="0.25">
      <c r="K1960" s="8"/>
    </row>
    <row r="1961" spans="11:11" x14ac:dyDescent="0.25">
      <c r="K1961" s="8"/>
    </row>
    <row r="1962" spans="11:11" x14ac:dyDescent="0.25">
      <c r="K1962" s="8"/>
    </row>
    <row r="1963" spans="11:11" x14ac:dyDescent="0.25">
      <c r="K1963" s="8"/>
    </row>
    <row r="1964" spans="11:11" x14ac:dyDescent="0.25">
      <c r="K1964" s="8"/>
    </row>
    <row r="1965" spans="11:11" x14ac:dyDescent="0.25">
      <c r="K1965" s="8"/>
    </row>
    <row r="1966" spans="11:11" x14ac:dyDescent="0.25">
      <c r="K1966" s="8"/>
    </row>
    <row r="1967" spans="11:11" x14ac:dyDescent="0.25">
      <c r="K1967" s="8"/>
    </row>
    <row r="1968" spans="11:11" x14ac:dyDescent="0.25">
      <c r="K1968" s="8"/>
    </row>
    <row r="1969" spans="11:11" x14ac:dyDescent="0.25">
      <c r="K1969" s="8"/>
    </row>
    <row r="1970" spans="11:11" x14ac:dyDescent="0.25">
      <c r="K1970" s="8"/>
    </row>
    <row r="1971" spans="11:11" x14ac:dyDescent="0.25">
      <c r="K1971" s="8"/>
    </row>
    <row r="1972" spans="11:11" x14ac:dyDescent="0.25">
      <c r="K1972" s="8"/>
    </row>
    <row r="1973" spans="11:11" x14ac:dyDescent="0.25">
      <c r="K1973" s="8"/>
    </row>
    <row r="1974" spans="11:11" x14ac:dyDescent="0.25">
      <c r="K1974" s="8"/>
    </row>
    <row r="1975" spans="11:11" x14ac:dyDescent="0.25">
      <c r="K1975" s="8"/>
    </row>
    <row r="1976" spans="11:11" x14ac:dyDescent="0.25">
      <c r="K1976" s="8"/>
    </row>
    <row r="1977" spans="11:11" x14ac:dyDescent="0.25">
      <c r="K1977" s="8"/>
    </row>
    <row r="1978" spans="11:11" x14ac:dyDescent="0.25">
      <c r="K1978" s="8"/>
    </row>
    <row r="1979" spans="11:11" x14ac:dyDescent="0.25">
      <c r="K1979" s="8"/>
    </row>
    <row r="1980" spans="11:11" x14ac:dyDescent="0.25">
      <c r="K1980" s="8"/>
    </row>
    <row r="1981" spans="11:11" x14ac:dyDescent="0.25">
      <c r="K1981" s="8"/>
    </row>
    <row r="1982" spans="11:11" x14ac:dyDescent="0.25">
      <c r="K1982" s="8"/>
    </row>
    <row r="1983" spans="11:11" x14ac:dyDescent="0.25">
      <c r="K1983" s="8"/>
    </row>
    <row r="1984" spans="11:11" x14ac:dyDescent="0.25">
      <c r="K1984" s="8"/>
    </row>
    <row r="1985" spans="11:11" x14ac:dyDescent="0.25">
      <c r="K1985" s="8"/>
    </row>
    <row r="1986" spans="11:11" x14ac:dyDescent="0.25">
      <c r="K1986" s="8"/>
    </row>
    <row r="1987" spans="11:11" x14ac:dyDescent="0.25">
      <c r="K1987" s="8"/>
    </row>
    <row r="1988" spans="11:11" x14ac:dyDescent="0.25">
      <c r="K1988" s="8"/>
    </row>
    <row r="1989" spans="11:11" x14ac:dyDescent="0.25">
      <c r="K1989" s="8"/>
    </row>
    <row r="1990" spans="11:11" x14ac:dyDescent="0.25">
      <c r="K1990" s="8"/>
    </row>
    <row r="1991" spans="11:11" x14ac:dyDescent="0.25">
      <c r="K1991" s="8"/>
    </row>
    <row r="1992" spans="11:11" x14ac:dyDescent="0.25">
      <c r="K1992" s="8"/>
    </row>
    <row r="1993" spans="11:11" x14ac:dyDescent="0.25">
      <c r="K1993" s="8"/>
    </row>
    <row r="1994" spans="11:11" x14ac:dyDescent="0.25">
      <c r="K1994" s="8"/>
    </row>
    <row r="1995" spans="11:11" x14ac:dyDescent="0.25">
      <c r="K1995" s="8"/>
    </row>
    <row r="1996" spans="11:11" x14ac:dyDescent="0.25">
      <c r="K1996" s="8"/>
    </row>
    <row r="1997" spans="11:11" x14ac:dyDescent="0.25">
      <c r="K1997" s="8"/>
    </row>
    <row r="1998" spans="11:11" x14ac:dyDescent="0.25">
      <c r="K1998" s="8"/>
    </row>
    <row r="1999" spans="11:11" x14ac:dyDescent="0.25">
      <c r="K1999" s="8"/>
    </row>
    <row r="2000" spans="11:11" x14ac:dyDescent="0.25">
      <c r="K2000" s="8"/>
    </row>
    <row r="2001" spans="11:11" x14ac:dyDescent="0.25">
      <c r="K2001" s="8"/>
    </row>
    <row r="2002" spans="11:11" x14ac:dyDescent="0.25">
      <c r="K2002" s="8"/>
    </row>
    <row r="2003" spans="11:11" x14ac:dyDescent="0.25">
      <c r="K2003" s="8"/>
    </row>
    <row r="2004" spans="11:11" x14ac:dyDescent="0.25">
      <c r="K2004" s="8"/>
    </row>
    <row r="2005" spans="11:11" x14ac:dyDescent="0.25">
      <c r="K2005" s="8"/>
    </row>
    <row r="2006" spans="11:11" x14ac:dyDescent="0.25">
      <c r="K2006" s="8"/>
    </row>
    <row r="2007" spans="11:11" x14ac:dyDescent="0.25">
      <c r="K2007" s="8"/>
    </row>
    <row r="2008" spans="11:11" x14ac:dyDescent="0.25">
      <c r="K2008" s="8"/>
    </row>
    <row r="2009" spans="11:11" x14ac:dyDescent="0.25">
      <c r="K2009" s="8"/>
    </row>
    <row r="2010" spans="11:11" x14ac:dyDescent="0.25">
      <c r="K2010" s="8"/>
    </row>
    <row r="2011" spans="11:11" x14ac:dyDescent="0.25">
      <c r="K2011" s="8"/>
    </row>
    <row r="2012" spans="11:11" x14ac:dyDescent="0.25">
      <c r="K2012" s="8"/>
    </row>
    <row r="2013" spans="11:11" x14ac:dyDescent="0.25">
      <c r="K2013" s="8"/>
    </row>
    <row r="2014" spans="11:11" x14ac:dyDescent="0.25">
      <c r="K2014" s="8"/>
    </row>
    <row r="2015" spans="11:11" x14ac:dyDescent="0.25">
      <c r="K2015" s="8"/>
    </row>
    <row r="2016" spans="11:11" x14ac:dyDescent="0.25">
      <c r="K2016" s="8"/>
    </row>
    <row r="2017" spans="11:11" x14ac:dyDescent="0.25">
      <c r="K2017" s="8"/>
    </row>
    <row r="2018" spans="11:11" x14ac:dyDescent="0.25">
      <c r="K2018" s="8"/>
    </row>
    <row r="2019" spans="11:11" x14ac:dyDescent="0.25">
      <c r="K2019" s="8"/>
    </row>
    <row r="2020" spans="11:11" x14ac:dyDescent="0.25">
      <c r="K2020" s="8"/>
    </row>
    <row r="2021" spans="11:11" x14ac:dyDescent="0.25">
      <c r="K2021" s="8"/>
    </row>
    <row r="2022" spans="11:11" x14ac:dyDescent="0.25">
      <c r="K2022" s="8"/>
    </row>
    <row r="2023" spans="11:11" x14ac:dyDescent="0.25">
      <c r="K2023" s="8"/>
    </row>
    <row r="2024" spans="11:11" x14ac:dyDescent="0.25">
      <c r="K2024" s="8"/>
    </row>
    <row r="2025" spans="11:11" x14ac:dyDescent="0.25">
      <c r="K2025" s="8"/>
    </row>
    <row r="2026" spans="11:11" x14ac:dyDescent="0.25">
      <c r="K2026" s="8"/>
    </row>
    <row r="2027" spans="11:11" x14ac:dyDescent="0.25">
      <c r="K2027" s="8"/>
    </row>
    <row r="2028" spans="11:11" x14ac:dyDescent="0.25">
      <c r="K2028" s="8"/>
    </row>
    <row r="2029" spans="11:11" x14ac:dyDescent="0.25">
      <c r="K2029" s="8"/>
    </row>
    <row r="2030" spans="11:11" x14ac:dyDescent="0.25">
      <c r="K2030" s="8"/>
    </row>
    <row r="2031" spans="11:11" x14ac:dyDescent="0.25">
      <c r="K2031" s="8"/>
    </row>
    <row r="2032" spans="11:11" x14ac:dyDescent="0.25">
      <c r="K2032" s="8"/>
    </row>
    <row r="2033" spans="11:11" x14ac:dyDescent="0.25">
      <c r="K2033" s="8"/>
    </row>
    <row r="2034" spans="11:11" x14ac:dyDescent="0.25">
      <c r="K2034" s="8"/>
    </row>
    <row r="2035" spans="11:11" x14ac:dyDescent="0.25">
      <c r="K2035" s="8"/>
    </row>
    <row r="2036" spans="11:11" x14ac:dyDescent="0.25">
      <c r="K2036" s="8"/>
    </row>
    <row r="2037" spans="11:11" x14ac:dyDescent="0.25">
      <c r="K2037" s="8"/>
    </row>
    <row r="2038" spans="11:11" x14ac:dyDescent="0.25">
      <c r="K2038" s="8"/>
    </row>
    <row r="2039" spans="11:11" x14ac:dyDescent="0.25">
      <c r="K2039" s="8"/>
    </row>
    <row r="2040" spans="11:11" x14ac:dyDescent="0.25">
      <c r="K2040" s="8"/>
    </row>
    <row r="2041" spans="11:11" x14ac:dyDescent="0.25">
      <c r="K2041" s="8"/>
    </row>
    <row r="2042" spans="11:11" x14ac:dyDescent="0.25">
      <c r="K2042" s="8"/>
    </row>
    <row r="2043" spans="11:11" x14ac:dyDescent="0.25">
      <c r="K2043" s="8"/>
    </row>
    <row r="2044" spans="11:11" x14ac:dyDescent="0.25">
      <c r="K2044" s="8"/>
    </row>
    <row r="2045" spans="11:11" x14ac:dyDescent="0.25">
      <c r="K2045" s="8"/>
    </row>
    <row r="2046" spans="11:11" x14ac:dyDescent="0.25">
      <c r="K2046" s="8"/>
    </row>
    <row r="2047" spans="11:11" x14ac:dyDescent="0.25">
      <c r="K2047" s="8"/>
    </row>
    <row r="2048" spans="11:11" x14ac:dyDescent="0.25">
      <c r="K2048" s="8"/>
    </row>
    <row r="2049" spans="11:11" x14ac:dyDescent="0.25">
      <c r="K2049" s="8"/>
    </row>
    <row r="2050" spans="11:11" x14ac:dyDescent="0.25">
      <c r="K2050" s="8"/>
    </row>
    <row r="2051" spans="11:11" x14ac:dyDescent="0.25">
      <c r="K2051" s="8"/>
    </row>
    <row r="2052" spans="11:11" x14ac:dyDescent="0.25">
      <c r="K2052" s="8"/>
    </row>
    <row r="2053" spans="11:11" x14ac:dyDescent="0.25">
      <c r="K2053" s="8"/>
    </row>
    <row r="2054" spans="11:11" x14ac:dyDescent="0.25">
      <c r="K2054" s="8"/>
    </row>
    <row r="2055" spans="11:11" x14ac:dyDescent="0.25">
      <c r="K2055" s="8"/>
    </row>
    <row r="2056" spans="11:11" x14ac:dyDescent="0.25">
      <c r="K2056" s="8"/>
    </row>
    <row r="2057" spans="11:11" x14ac:dyDescent="0.25">
      <c r="K2057" s="8"/>
    </row>
    <row r="2058" spans="11:11" x14ac:dyDescent="0.25">
      <c r="K2058" s="8"/>
    </row>
    <row r="2059" spans="11:11" x14ac:dyDescent="0.25">
      <c r="K2059" s="8"/>
    </row>
    <row r="2060" spans="11:11" x14ac:dyDescent="0.25">
      <c r="K2060" s="8"/>
    </row>
    <row r="2061" spans="11:11" x14ac:dyDescent="0.25">
      <c r="K2061" s="8"/>
    </row>
    <row r="2062" spans="11:11" x14ac:dyDescent="0.25">
      <c r="K2062" s="8"/>
    </row>
    <row r="2063" spans="11:11" x14ac:dyDescent="0.25">
      <c r="K2063" s="8"/>
    </row>
    <row r="2064" spans="11:11" x14ac:dyDescent="0.25">
      <c r="K2064" s="8"/>
    </row>
    <row r="2065" spans="11:11" x14ac:dyDescent="0.25">
      <c r="K2065" s="8"/>
    </row>
    <row r="2066" spans="11:11" x14ac:dyDescent="0.25">
      <c r="K2066" s="8"/>
    </row>
    <row r="2067" spans="11:11" x14ac:dyDescent="0.25">
      <c r="K2067" s="8"/>
    </row>
    <row r="2068" spans="11:11" x14ac:dyDescent="0.25">
      <c r="K2068" s="8"/>
    </row>
    <row r="2069" spans="11:11" x14ac:dyDescent="0.25">
      <c r="K2069" s="8"/>
    </row>
    <row r="2070" spans="11:11" x14ac:dyDescent="0.25">
      <c r="K2070" s="8"/>
    </row>
    <row r="2071" spans="11:11" x14ac:dyDescent="0.25">
      <c r="K2071" s="8"/>
    </row>
    <row r="2072" spans="11:11" x14ac:dyDescent="0.25">
      <c r="K2072" s="8"/>
    </row>
    <row r="2073" spans="11:11" x14ac:dyDescent="0.25">
      <c r="K2073" s="8"/>
    </row>
    <row r="2074" spans="11:11" x14ac:dyDescent="0.25">
      <c r="K2074" s="8"/>
    </row>
    <row r="2075" spans="11:11" x14ac:dyDescent="0.25">
      <c r="K2075" s="8"/>
    </row>
    <row r="2076" spans="11:11" x14ac:dyDescent="0.25">
      <c r="K2076" s="8"/>
    </row>
    <row r="2077" spans="11:11" x14ac:dyDescent="0.25">
      <c r="K2077" s="8"/>
    </row>
    <row r="2078" spans="11:11" x14ac:dyDescent="0.25">
      <c r="K2078" s="8"/>
    </row>
    <row r="2079" spans="11:11" x14ac:dyDescent="0.25">
      <c r="K2079" s="8"/>
    </row>
    <row r="2080" spans="11:11" x14ac:dyDescent="0.25">
      <c r="K2080" s="8"/>
    </row>
    <row r="2081" spans="11:11" x14ac:dyDescent="0.25">
      <c r="K2081" s="8"/>
    </row>
    <row r="2082" spans="11:11" x14ac:dyDescent="0.25">
      <c r="K2082" s="8"/>
    </row>
    <row r="2083" spans="11:11" x14ac:dyDescent="0.25">
      <c r="K2083" s="8"/>
    </row>
    <row r="2084" spans="11:11" x14ac:dyDescent="0.25">
      <c r="K2084" s="8"/>
    </row>
    <row r="2085" spans="11:11" x14ac:dyDescent="0.25">
      <c r="K2085" s="8"/>
    </row>
    <row r="2086" spans="11:11" x14ac:dyDescent="0.25">
      <c r="K2086" s="8"/>
    </row>
    <row r="2087" spans="11:11" x14ac:dyDescent="0.25">
      <c r="K2087" s="8"/>
    </row>
    <row r="2088" spans="11:11" x14ac:dyDescent="0.25">
      <c r="K2088" s="8"/>
    </row>
    <row r="2089" spans="11:11" x14ac:dyDescent="0.25">
      <c r="K2089" s="8"/>
    </row>
    <row r="2090" spans="11:11" x14ac:dyDescent="0.25">
      <c r="K2090" s="8"/>
    </row>
    <row r="2091" spans="11:11" x14ac:dyDescent="0.25">
      <c r="K2091" s="8"/>
    </row>
    <row r="2092" spans="11:11" x14ac:dyDescent="0.25">
      <c r="K2092" s="8"/>
    </row>
    <row r="2093" spans="11:11" x14ac:dyDescent="0.25">
      <c r="K2093" s="8"/>
    </row>
    <row r="2094" spans="11:11" x14ac:dyDescent="0.25">
      <c r="K2094" s="8"/>
    </row>
    <row r="2095" spans="11:11" x14ac:dyDescent="0.25">
      <c r="K2095" s="8"/>
    </row>
    <row r="2096" spans="11:11" x14ac:dyDescent="0.25">
      <c r="K2096" s="8"/>
    </row>
    <row r="2097" spans="11:11" x14ac:dyDescent="0.25">
      <c r="K2097" s="8"/>
    </row>
    <row r="2098" spans="11:11" x14ac:dyDescent="0.25">
      <c r="K2098" s="8"/>
    </row>
    <row r="2099" spans="11:11" x14ac:dyDescent="0.25">
      <c r="K2099" s="8"/>
    </row>
    <row r="2100" spans="11:11" x14ac:dyDescent="0.25">
      <c r="K2100" s="8"/>
    </row>
    <row r="2101" spans="11:11" x14ac:dyDescent="0.25">
      <c r="K2101" s="8"/>
    </row>
    <row r="2102" spans="11:11" x14ac:dyDescent="0.25">
      <c r="K2102" s="8"/>
    </row>
    <row r="2103" spans="11:11" x14ac:dyDescent="0.25">
      <c r="K2103" s="8"/>
    </row>
    <row r="2104" spans="11:11" x14ac:dyDescent="0.25">
      <c r="K2104" s="8"/>
    </row>
    <row r="2105" spans="11:11" x14ac:dyDescent="0.25">
      <c r="K2105" s="8"/>
    </row>
    <row r="2106" spans="11:11" x14ac:dyDescent="0.25">
      <c r="K2106" s="8"/>
    </row>
    <row r="2107" spans="11:11" x14ac:dyDescent="0.25">
      <c r="K2107" s="8"/>
    </row>
    <row r="2108" spans="11:11" x14ac:dyDescent="0.25">
      <c r="K2108" s="8"/>
    </row>
    <row r="2109" spans="11:11" x14ac:dyDescent="0.25">
      <c r="K2109" s="8"/>
    </row>
    <row r="2110" spans="11:11" x14ac:dyDescent="0.25">
      <c r="K2110" s="8"/>
    </row>
    <row r="2111" spans="11:11" x14ac:dyDescent="0.25">
      <c r="K2111" s="8"/>
    </row>
    <row r="2112" spans="11:11" x14ac:dyDescent="0.25">
      <c r="K2112" s="8"/>
    </row>
    <row r="2113" spans="11:11" x14ac:dyDescent="0.25">
      <c r="K2113" s="8"/>
    </row>
    <row r="2114" spans="11:11" x14ac:dyDescent="0.25">
      <c r="K2114" s="8"/>
    </row>
    <row r="2115" spans="11:11" x14ac:dyDescent="0.25">
      <c r="K2115" s="8"/>
    </row>
    <row r="2116" spans="11:11" x14ac:dyDescent="0.25">
      <c r="K2116" s="8"/>
    </row>
    <row r="2117" spans="11:11" x14ac:dyDescent="0.25">
      <c r="K2117" s="8"/>
    </row>
    <row r="2118" spans="11:11" x14ac:dyDescent="0.25">
      <c r="K2118" s="8"/>
    </row>
    <row r="2119" spans="11:11" x14ac:dyDescent="0.25">
      <c r="K2119" s="8"/>
    </row>
    <row r="2120" spans="11:11" x14ac:dyDescent="0.25">
      <c r="K2120" s="8"/>
    </row>
    <row r="2121" spans="11:11" x14ac:dyDescent="0.25">
      <c r="K2121" s="8"/>
    </row>
    <row r="2122" spans="11:11" x14ac:dyDescent="0.25">
      <c r="K2122" s="8"/>
    </row>
    <row r="2123" spans="11:11" x14ac:dyDescent="0.25">
      <c r="K2123" s="8"/>
    </row>
    <row r="2124" spans="11:11" x14ac:dyDescent="0.25">
      <c r="K2124" s="8"/>
    </row>
    <row r="2125" spans="11:11" x14ac:dyDescent="0.25">
      <c r="K2125" s="8"/>
    </row>
    <row r="2126" spans="11:11" x14ac:dyDescent="0.25">
      <c r="K2126" s="8"/>
    </row>
    <row r="2127" spans="11:11" x14ac:dyDescent="0.25">
      <c r="K2127" s="8"/>
    </row>
    <row r="2128" spans="11:11" x14ac:dyDescent="0.25">
      <c r="K2128" s="8"/>
    </row>
    <row r="2129" spans="11:11" x14ac:dyDescent="0.25">
      <c r="K2129" s="8"/>
    </row>
    <row r="2130" spans="11:11" x14ac:dyDescent="0.25">
      <c r="K2130" s="8"/>
    </row>
    <row r="2131" spans="11:11" x14ac:dyDescent="0.25">
      <c r="K2131" s="8"/>
    </row>
    <row r="2132" spans="11:11" x14ac:dyDescent="0.25">
      <c r="K2132" s="8"/>
    </row>
    <row r="2133" spans="11:11" x14ac:dyDescent="0.25">
      <c r="K2133" s="8"/>
    </row>
    <row r="2134" spans="11:11" x14ac:dyDescent="0.25">
      <c r="K2134" s="8"/>
    </row>
    <row r="2135" spans="11:11" x14ac:dyDescent="0.25">
      <c r="K2135" s="8"/>
    </row>
    <row r="2136" spans="11:11" x14ac:dyDescent="0.25">
      <c r="K2136" s="8"/>
    </row>
    <row r="2137" spans="11:11" x14ac:dyDescent="0.25">
      <c r="K2137" s="8"/>
    </row>
    <row r="2138" spans="11:11" x14ac:dyDescent="0.25">
      <c r="K2138" s="8"/>
    </row>
    <row r="2139" spans="11:11" x14ac:dyDescent="0.25">
      <c r="K2139" s="8"/>
    </row>
    <row r="2140" spans="11:11" x14ac:dyDescent="0.25">
      <c r="K2140" s="8"/>
    </row>
    <row r="2141" spans="11:11" x14ac:dyDescent="0.25">
      <c r="K2141" s="8"/>
    </row>
    <row r="2142" spans="11:11" x14ac:dyDescent="0.25">
      <c r="K2142" s="8"/>
    </row>
    <row r="2143" spans="11:11" x14ac:dyDescent="0.25">
      <c r="K2143" s="8"/>
    </row>
    <row r="2144" spans="11:11" x14ac:dyDescent="0.25">
      <c r="K2144" s="8"/>
    </row>
    <row r="2145" spans="11:11" x14ac:dyDescent="0.25">
      <c r="K2145" s="8"/>
    </row>
    <row r="2146" spans="11:11" x14ac:dyDescent="0.25">
      <c r="K2146" s="8"/>
    </row>
    <row r="2147" spans="11:11" x14ac:dyDescent="0.25">
      <c r="K2147" s="8"/>
    </row>
    <row r="2148" spans="11:11" x14ac:dyDescent="0.25">
      <c r="K2148" s="8"/>
    </row>
    <row r="2149" spans="11:11" x14ac:dyDescent="0.25">
      <c r="K2149" s="8"/>
    </row>
    <row r="2150" spans="11:11" x14ac:dyDescent="0.25">
      <c r="K2150" s="8"/>
    </row>
    <row r="2151" spans="11:11" x14ac:dyDescent="0.25">
      <c r="K2151" s="8"/>
    </row>
    <row r="2152" spans="11:11" x14ac:dyDescent="0.25">
      <c r="K2152" s="8"/>
    </row>
    <row r="2153" spans="11:11" x14ac:dyDescent="0.25">
      <c r="K2153" s="8"/>
    </row>
    <row r="2154" spans="11:11" x14ac:dyDescent="0.25">
      <c r="K2154" s="8"/>
    </row>
    <row r="2155" spans="11:11" x14ac:dyDescent="0.25">
      <c r="K2155" s="8"/>
    </row>
    <row r="2156" spans="11:11" x14ac:dyDescent="0.25">
      <c r="K2156" s="8"/>
    </row>
    <row r="2157" spans="11:11" x14ac:dyDescent="0.25">
      <c r="K2157" s="8"/>
    </row>
    <row r="2158" spans="11:11" x14ac:dyDescent="0.25">
      <c r="K2158" s="8"/>
    </row>
    <row r="2159" spans="11:11" x14ac:dyDescent="0.25">
      <c r="K2159" s="8"/>
    </row>
    <row r="2160" spans="11:11" x14ac:dyDescent="0.25">
      <c r="K2160" s="8"/>
    </row>
    <row r="2161" spans="11:11" x14ac:dyDescent="0.25">
      <c r="K2161" s="8"/>
    </row>
    <row r="2162" spans="11:11" x14ac:dyDescent="0.25">
      <c r="K2162" s="8"/>
    </row>
    <row r="2163" spans="11:11" x14ac:dyDescent="0.25">
      <c r="K2163" s="8"/>
    </row>
    <row r="2164" spans="11:11" x14ac:dyDescent="0.25">
      <c r="K2164" s="8"/>
    </row>
    <row r="2165" spans="11:11" x14ac:dyDescent="0.25">
      <c r="K2165" s="8"/>
    </row>
    <row r="2166" spans="11:11" x14ac:dyDescent="0.25">
      <c r="K2166" s="8"/>
    </row>
    <row r="2167" spans="11:11" x14ac:dyDescent="0.25">
      <c r="K2167" s="8"/>
    </row>
    <row r="2168" spans="11:11" x14ac:dyDescent="0.25">
      <c r="K2168" s="8"/>
    </row>
    <row r="2169" spans="11:11" x14ac:dyDescent="0.25">
      <c r="K2169" s="8"/>
    </row>
    <row r="2170" spans="11:11" x14ac:dyDescent="0.25">
      <c r="K2170" s="8"/>
    </row>
    <row r="2171" spans="11:11" x14ac:dyDescent="0.25">
      <c r="K2171" s="8"/>
    </row>
    <row r="2172" spans="11:11" x14ac:dyDescent="0.25">
      <c r="K2172" s="8"/>
    </row>
    <row r="2173" spans="11:11" x14ac:dyDescent="0.25">
      <c r="K2173" s="8"/>
    </row>
    <row r="2174" spans="11:11" x14ac:dyDescent="0.25">
      <c r="K2174" s="8"/>
    </row>
    <row r="2175" spans="11:11" x14ac:dyDescent="0.25">
      <c r="K2175" s="8"/>
    </row>
    <row r="2176" spans="11:11" x14ac:dyDescent="0.25">
      <c r="K2176" s="8"/>
    </row>
    <row r="2177" spans="11:11" x14ac:dyDescent="0.25">
      <c r="K2177" s="8"/>
    </row>
    <row r="2178" spans="11:11" x14ac:dyDescent="0.25">
      <c r="K2178" s="8"/>
    </row>
    <row r="2179" spans="11:11" x14ac:dyDescent="0.25">
      <c r="K2179" s="8"/>
    </row>
    <row r="2180" spans="11:11" x14ac:dyDescent="0.25">
      <c r="K2180" s="8"/>
    </row>
    <row r="2181" spans="11:11" x14ac:dyDescent="0.25">
      <c r="K2181" s="8"/>
    </row>
    <row r="2182" spans="11:11" x14ac:dyDescent="0.25">
      <c r="K2182" s="8"/>
    </row>
    <row r="2183" spans="11:11" x14ac:dyDescent="0.25">
      <c r="K2183" s="8"/>
    </row>
    <row r="2184" spans="11:11" x14ac:dyDescent="0.25">
      <c r="K2184" s="8"/>
    </row>
    <row r="2185" spans="11:11" x14ac:dyDescent="0.25">
      <c r="K2185" s="8"/>
    </row>
    <row r="2186" spans="11:11" x14ac:dyDescent="0.25">
      <c r="K2186" s="8"/>
    </row>
    <row r="2187" spans="11:11" x14ac:dyDescent="0.25">
      <c r="K2187" s="8"/>
    </row>
    <row r="2188" spans="11:11" x14ac:dyDescent="0.25">
      <c r="K2188" s="8"/>
    </row>
    <row r="2189" spans="11:11" x14ac:dyDescent="0.25">
      <c r="K2189" s="8"/>
    </row>
    <row r="2190" spans="11:11" x14ac:dyDescent="0.25">
      <c r="K2190" s="8"/>
    </row>
    <row r="2191" spans="11:11" x14ac:dyDescent="0.25">
      <c r="K2191" s="8"/>
    </row>
    <row r="2192" spans="11:11" x14ac:dyDescent="0.25">
      <c r="K2192" s="8"/>
    </row>
    <row r="2193" spans="11:11" x14ac:dyDescent="0.25">
      <c r="K2193" s="8"/>
    </row>
    <row r="2194" spans="11:11" x14ac:dyDescent="0.25">
      <c r="K2194" s="8"/>
    </row>
    <row r="2195" spans="11:11" x14ac:dyDescent="0.25">
      <c r="K2195" s="8"/>
    </row>
    <row r="2196" spans="11:11" x14ac:dyDescent="0.25">
      <c r="K2196" s="8"/>
    </row>
    <row r="2197" spans="11:11" x14ac:dyDescent="0.25">
      <c r="K2197" s="8"/>
    </row>
    <row r="2198" spans="11:11" x14ac:dyDescent="0.25">
      <c r="K2198" s="8"/>
    </row>
    <row r="2199" spans="11:11" x14ac:dyDescent="0.25">
      <c r="K2199" s="8"/>
    </row>
    <row r="2200" spans="11:11" x14ac:dyDescent="0.25">
      <c r="K2200" s="8"/>
    </row>
    <row r="2201" spans="11:11" x14ac:dyDescent="0.25">
      <c r="K2201" s="8"/>
    </row>
    <row r="2202" spans="11:11" x14ac:dyDescent="0.25">
      <c r="K2202" s="8"/>
    </row>
    <row r="2203" spans="11:11" x14ac:dyDescent="0.25">
      <c r="K2203" s="8"/>
    </row>
    <row r="2204" spans="11:11" x14ac:dyDescent="0.25">
      <c r="K2204" s="8"/>
    </row>
    <row r="2205" spans="11:11" x14ac:dyDescent="0.25">
      <c r="K2205" s="8"/>
    </row>
    <row r="2206" spans="11:11" x14ac:dyDescent="0.25">
      <c r="K2206" s="8"/>
    </row>
    <row r="2207" spans="11:11" x14ac:dyDescent="0.25">
      <c r="K2207" s="8"/>
    </row>
    <row r="2208" spans="11:11" x14ac:dyDescent="0.25">
      <c r="K2208" s="8"/>
    </row>
    <row r="2209" spans="11:11" x14ac:dyDescent="0.25">
      <c r="K2209" s="8"/>
    </row>
    <row r="2210" spans="11:11" x14ac:dyDescent="0.25">
      <c r="K2210" s="8"/>
    </row>
    <row r="2211" spans="11:11" x14ac:dyDescent="0.25">
      <c r="K2211" s="8"/>
    </row>
    <row r="2212" spans="11:11" x14ac:dyDescent="0.25">
      <c r="K2212" s="8"/>
    </row>
    <row r="2213" spans="11:11" x14ac:dyDescent="0.25">
      <c r="K2213" s="8"/>
    </row>
    <row r="2214" spans="11:11" x14ac:dyDescent="0.25">
      <c r="K2214" s="8"/>
    </row>
    <row r="2215" spans="11:11" x14ac:dyDescent="0.25">
      <c r="K2215" s="8"/>
    </row>
    <row r="2216" spans="11:11" x14ac:dyDescent="0.25">
      <c r="K2216" s="8"/>
    </row>
    <row r="2217" spans="11:11" x14ac:dyDescent="0.25">
      <c r="K2217" s="8"/>
    </row>
    <row r="2218" spans="11:11" x14ac:dyDescent="0.25">
      <c r="K2218" s="8"/>
    </row>
    <row r="2219" spans="11:11" x14ac:dyDescent="0.25">
      <c r="K2219" s="8"/>
    </row>
    <row r="2220" spans="11:11" x14ac:dyDescent="0.25">
      <c r="K2220" s="8"/>
    </row>
    <row r="2221" spans="11:11" x14ac:dyDescent="0.25">
      <c r="K2221" s="8"/>
    </row>
    <row r="2222" spans="11:11" x14ac:dyDescent="0.25">
      <c r="K2222" s="8"/>
    </row>
    <row r="2223" spans="11:11" x14ac:dyDescent="0.25">
      <c r="K2223" s="8"/>
    </row>
    <row r="2224" spans="11:11" x14ac:dyDescent="0.25">
      <c r="K2224" s="8"/>
    </row>
    <row r="2225" spans="11:11" x14ac:dyDescent="0.25">
      <c r="K2225" s="8"/>
    </row>
    <row r="2226" spans="11:11" x14ac:dyDescent="0.25">
      <c r="K2226" s="8"/>
    </row>
    <row r="2227" spans="11:11" x14ac:dyDescent="0.25">
      <c r="K2227" s="8"/>
    </row>
    <row r="2228" spans="11:11" x14ac:dyDescent="0.25">
      <c r="K2228" s="8"/>
    </row>
    <row r="2229" spans="11:11" x14ac:dyDescent="0.25">
      <c r="K2229" s="8"/>
    </row>
    <row r="2230" spans="11:11" x14ac:dyDescent="0.25">
      <c r="K2230" s="8"/>
    </row>
    <row r="2231" spans="11:11" x14ac:dyDescent="0.25">
      <c r="K2231" s="8"/>
    </row>
    <row r="2232" spans="11:11" x14ac:dyDescent="0.25">
      <c r="K2232" s="8"/>
    </row>
    <row r="2233" spans="11:11" x14ac:dyDescent="0.25">
      <c r="K2233" s="8"/>
    </row>
    <row r="2234" spans="11:11" x14ac:dyDescent="0.25">
      <c r="K2234" s="8"/>
    </row>
    <row r="2235" spans="11:11" x14ac:dyDescent="0.25">
      <c r="K2235" s="8"/>
    </row>
    <row r="2236" spans="11:11" x14ac:dyDescent="0.25">
      <c r="K2236" s="8"/>
    </row>
    <row r="2237" spans="11:11" x14ac:dyDescent="0.25">
      <c r="K2237" s="8"/>
    </row>
    <row r="2238" spans="11:11" x14ac:dyDescent="0.25">
      <c r="K2238" s="8"/>
    </row>
    <row r="2239" spans="11:11" x14ac:dyDescent="0.25">
      <c r="K2239" s="8"/>
    </row>
    <row r="2240" spans="11:11" x14ac:dyDescent="0.25">
      <c r="K2240" s="8"/>
    </row>
    <row r="2241" spans="11:11" x14ac:dyDescent="0.25">
      <c r="K2241" s="8"/>
    </row>
    <row r="2242" spans="11:11" x14ac:dyDescent="0.25">
      <c r="K2242" s="8"/>
    </row>
    <row r="2243" spans="11:11" x14ac:dyDescent="0.25">
      <c r="K2243" s="8"/>
    </row>
    <row r="2244" spans="11:11" x14ac:dyDescent="0.25">
      <c r="K2244" s="8"/>
    </row>
    <row r="2245" spans="11:11" x14ac:dyDescent="0.25">
      <c r="K2245" s="8"/>
    </row>
    <row r="2246" spans="11:11" x14ac:dyDescent="0.25">
      <c r="K2246" s="8"/>
    </row>
    <row r="2247" spans="11:11" x14ac:dyDescent="0.25">
      <c r="K2247" s="8"/>
    </row>
    <row r="2248" spans="11:11" x14ac:dyDescent="0.25">
      <c r="K2248" s="8"/>
    </row>
    <row r="2249" spans="11:11" x14ac:dyDescent="0.25">
      <c r="K2249" s="8"/>
    </row>
    <row r="2250" spans="11:11" x14ac:dyDescent="0.25">
      <c r="K2250" s="8"/>
    </row>
    <row r="2251" spans="11:11" x14ac:dyDescent="0.25">
      <c r="K2251" s="8"/>
    </row>
    <row r="2252" spans="11:11" x14ac:dyDescent="0.25">
      <c r="K2252" s="8"/>
    </row>
    <row r="2253" spans="11:11" x14ac:dyDescent="0.25">
      <c r="K2253" s="8"/>
    </row>
    <row r="2254" spans="11:11" x14ac:dyDescent="0.25">
      <c r="K2254" s="8"/>
    </row>
    <row r="2255" spans="11:11" x14ac:dyDescent="0.25">
      <c r="K2255" s="8"/>
    </row>
    <row r="2256" spans="11:11" x14ac:dyDescent="0.25">
      <c r="K2256" s="8"/>
    </row>
    <row r="2257" spans="11:11" x14ac:dyDescent="0.25">
      <c r="K2257" s="8"/>
    </row>
    <row r="2258" spans="11:11" x14ac:dyDescent="0.25">
      <c r="K2258" s="8"/>
    </row>
    <row r="2259" spans="11:11" x14ac:dyDescent="0.25">
      <c r="K2259" s="8"/>
    </row>
    <row r="2260" spans="11:11" x14ac:dyDescent="0.25">
      <c r="K2260" s="8"/>
    </row>
    <row r="2261" spans="11:11" x14ac:dyDescent="0.25">
      <c r="K2261" s="8"/>
    </row>
    <row r="2262" spans="11:11" x14ac:dyDescent="0.25">
      <c r="K2262" s="8"/>
    </row>
    <row r="2263" spans="11:11" x14ac:dyDescent="0.25">
      <c r="K2263" s="8"/>
    </row>
    <row r="2264" spans="11:11" x14ac:dyDescent="0.25">
      <c r="K2264" s="8"/>
    </row>
    <row r="2265" spans="11:11" x14ac:dyDescent="0.25">
      <c r="K2265" s="8"/>
    </row>
    <row r="2266" spans="11:11" x14ac:dyDescent="0.25">
      <c r="K2266" s="8"/>
    </row>
    <row r="2267" spans="11:11" x14ac:dyDescent="0.25">
      <c r="K2267" s="8"/>
    </row>
    <row r="2268" spans="11:11" x14ac:dyDescent="0.25">
      <c r="K2268" s="8"/>
    </row>
    <row r="2269" spans="11:11" x14ac:dyDescent="0.25">
      <c r="K2269" s="8"/>
    </row>
    <row r="2270" spans="11:11" x14ac:dyDescent="0.25">
      <c r="K2270" s="8"/>
    </row>
    <row r="2271" spans="11:11" x14ac:dyDescent="0.25">
      <c r="K2271" s="8"/>
    </row>
    <row r="2272" spans="11:11" x14ac:dyDescent="0.25">
      <c r="K2272" s="8"/>
    </row>
    <row r="2273" spans="11:11" x14ac:dyDescent="0.25">
      <c r="K2273" s="8"/>
    </row>
    <row r="2274" spans="11:11" x14ac:dyDescent="0.25">
      <c r="K2274" s="8"/>
    </row>
    <row r="2275" spans="11:11" x14ac:dyDescent="0.25">
      <c r="K2275" s="8"/>
    </row>
    <row r="2276" spans="11:11" x14ac:dyDescent="0.25">
      <c r="K2276" s="8"/>
    </row>
    <row r="2277" spans="11:11" x14ac:dyDescent="0.25">
      <c r="K2277" s="8"/>
    </row>
    <row r="2278" spans="11:11" x14ac:dyDescent="0.25">
      <c r="K2278" s="8"/>
    </row>
    <row r="2279" spans="11:11" x14ac:dyDescent="0.25">
      <c r="K2279" s="8"/>
    </row>
    <row r="2280" spans="11:11" x14ac:dyDescent="0.25">
      <c r="K2280" s="8"/>
    </row>
    <row r="2281" spans="11:11" x14ac:dyDescent="0.25">
      <c r="K2281" s="8"/>
    </row>
    <row r="2282" spans="11:11" x14ac:dyDescent="0.25">
      <c r="K2282" s="8"/>
    </row>
    <row r="2283" spans="11:11" x14ac:dyDescent="0.25">
      <c r="K2283" s="8"/>
    </row>
    <row r="2284" spans="11:11" x14ac:dyDescent="0.25">
      <c r="K2284" s="8"/>
    </row>
    <row r="2285" spans="11:11" x14ac:dyDescent="0.25">
      <c r="K2285" s="8"/>
    </row>
    <row r="2286" spans="11:11" x14ac:dyDescent="0.25">
      <c r="K2286" s="8"/>
    </row>
    <row r="2287" spans="11:11" x14ac:dyDescent="0.25">
      <c r="K2287" s="8"/>
    </row>
    <row r="2288" spans="11:11" x14ac:dyDescent="0.25">
      <c r="K2288" s="8"/>
    </row>
    <row r="2289" spans="11:11" x14ac:dyDescent="0.25">
      <c r="K2289" s="8"/>
    </row>
    <row r="2290" spans="11:11" x14ac:dyDescent="0.25">
      <c r="K2290" s="8"/>
    </row>
    <row r="2291" spans="11:11" x14ac:dyDescent="0.25">
      <c r="K2291" s="8"/>
    </row>
    <row r="2292" spans="11:11" x14ac:dyDescent="0.25">
      <c r="K2292" s="8"/>
    </row>
    <row r="2293" spans="11:11" x14ac:dyDescent="0.25">
      <c r="K2293" s="8"/>
    </row>
    <row r="2294" spans="11:11" x14ac:dyDescent="0.25">
      <c r="K2294" s="8"/>
    </row>
    <row r="2295" spans="11:11" x14ac:dyDescent="0.25">
      <c r="K2295" s="8"/>
    </row>
    <row r="2296" spans="11:11" x14ac:dyDescent="0.25">
      <c r="K2296" s="8"/>
    </row>
    <row r="2297" spans="11:11" x14ac:dyDescent="0.25">
      <c r="K2297" s="8"/>
    </row>
    <row r="2298" spans="11:11" x14ac:dyDescent="0.25">
      <c r="K2298" s="8"/>
    </row>
    <row r="2299" spans="11:11" x14ac:dyDescent="0.25">
      <c r="K2299" s="8"/>
    </row>
    <row r="2300" spans="11:11" x14ac:dyDescent="0.25">
      <c r="K2300" s="8"/>
    </row>
    <row r="2301" spans="11:11" x14ac:dyDescent="0.25">
      <c r="K2301" s="8"/>
    </row>
    <row r="2302" spans="11:11" x14ac:dyDescent="0.25">
      <c r="K2302" s="8"/>
    </row>
    <row r="2303" spans="11:11" x14ac:dyDescent="0.25">
      <c r="K2303" s="8"/>
    </row>
    <row r="2304" spans="11:11" x14ac:dyDescent="0.25">
      <c r="K2304" s="8"/>
    </row>
    <row r="2305" spans="11:11" x14ac:dyDescent="0.25">
      <c r="K2305" s="8"/>
    </row>
    <row r="2306" spans="11:11" x14ac:dyDescent="0.25">
      <c r="K2306" s="8"/>
    </row>
    <row r="2307" spans="11:11" x14ac:dyDescent="0.25">
      <c r="K2307" s="8"/>
    </row>
    <row r="2308" spans="11:11" x14ac:dyDescent="0.25">
      <c r="K2308" s="8"/>
    </row>
    <row r="2309" spans="11:11" x14ac:dyDescent="0.25">
      <c r="K2309" s="8"/>
    </row>
    <row r="2310" spans="11:11" x14ac:dyDescent="0.25">
      <c r="K2310" s="8"/>
    </row>
    <row r="2311" spans="11:11" x14ac:dyDescent="0.25">
      <c r="K2311" s="8"/>
    </row>
    <row r="2312" spans="11:11" x14ac:dyDescent="0.25">
      <c r="K2312" s="8"/>
    </row>
    <row r="2313" spans="11:11" x14ac:dyDescent="0.25">
      <c r="K2313" s="8"/>
    </row>
    <row r="2314" spans="11:11" x14ac:dyDescent="0.25">
      <c r="K2314" s="8"/>
    </row>
    <row r="2315" spans="11:11" x14ac:dyDescent="0.25">
      <c r="K2315" s="8"/>
    </row>
    <row r="2316" spans="11:11" x14ac:dyDescent="0.25">
      <c r="K2316" s="8"/>
    </row>
    <row r="2317" spans="11:11" x14ac:dyDescent="0.25">
      <c r="K2317" s="8"/>
    </row>
    <row r="2318" spans="11:11" x14ac:dyDescent="0.25">
      <c r="K2318" s="8"/>
    </row>
    <row r="2319" spans="11:11" x14ac:dyDescent="0.25">
      <c r="K2319" s="8"/>
    </row>
    <row r="2320" spans="11:11" x14ac:dyDescent="0.25">
      <c r="K2320" s="8"/>
    </row>
    <row r="2321" spans="11:11" x14ac:dyDescent="0.25">
      <c r="K2321" s="8"/>
    </row>
    <row r="2322" spans="11:11" x14ac:dyDescent="0.25">
      <c r="K2322" s="8"/>
    </row>
    <row r="2323" spans="11:11" x14ac:dyDescent="0.25">
      <c r="K2323" s="8"/>
    </row>
    <row r="2324" spans="11:11" x14ac:dyDescent="0.25">
      <c r="K2324" s="8"/>
    </row>
    <row r="2325" spans="11:11" x14ac:dyDescent="0.25">
      <c r="K2325" s="8"/>
    </row>
    <row r="2326" spans="11:11" x14ac:dyDescent="0.25">
      <c r="K2326" s="8"/>
    </row>
    <row r="2327" spans="11:11" x14ac:dyDescent="0.25">
      <c r="K2327" s="8"/>
    </row>
    <row r="2328" spans="11:11" x14ac:dyDescent="0.25">
      <c r="K2328" s="8"/>
    </row>
    <row r="2329" spans="11:11" x14ac:dyDescent="0.25">
      <c r="K2329" s="8"/>
    </row>
    <row r="2330" spans="11:11" x14ac:dyDescent="0.25">
      <c r="K2330" s="8"/>
    </row>
    <row r="2331" spans="11:11" x14ac:dyDescent="0.25">
      <c r="K2331" s="8"/>
    </row>
    <row r="2332" spans="11:11" x14ac:dyDescent="0.25">
      <c r="K2332" s="8"/>
    </row>
    <row r="2333" spans="11:11" x14ac:dyDescent="0.25">
      <c r="K2333" s="8"/>
    </row>
    <row r="2334" spans="11:11" x14ac:dyDescent="0.25">
      <c r="K2334" s="8"/>
    </row>
    <row r="2335" spans="11:11" x14ac:dyDescent="0.25">
      <c r="K2335" s="8"/>
    </row>
    <row r="2336" spans="11:11" x14ac:dyDescent="0.25">
      <c r="K2336" s="8"/>
    </row>
    <row r="2337" spans="11:11" x14ac:dyDescent="0.25">
      <c r="K2337" s="8"/>
    </row>
    <row r="2338" spans="11:11" x14ac:dyDescent="0.25">
      <c r="K2338" s="8"/>
    </row>
    <row r="2339" spans="11:11" x14ac:dyDescent="0.25">
      <c r="K2339" s="8"/>
    </row>
    <row r="2340" spans="11:11" x14ac:dyDescent="0.25">
      <c r="K2340" s="8"/>
    </row>
    <row r="2341" spans="11:11" x14ac:dyDescent="0.25">
      <c r="K2341" s="8"/>
    </row>
    <row r="2342" spans="11:11" x14ac:dyDescent="0.25">
      <c r="K2342" s="8"/>
    </row>
    <row r="2343" spans="11:11" x14ac:dyDescent="0.25">
      <c r="K2343" s="8"/>
    </row>
    <row r="2344" spans="11:11" x14ac:dyDescent="0.25">
      <c r="K2344" s="8"/>
    </row>
    <row r="2345" spans="11:11" x14ac:dyDescent="0.25">
      <c r="K2345" s="8"/>
    </row>
    <row r="2346" spans="11:11" x14ac:dyDescent="0.25">
      <c r="K2346" s="8"/>
    </row>
    <row r="2347" spans="11:11" x14ac:dyDescent="0.25">
      <c r="K2347" s="8"/>
    </row>
    <row r="2348" spans="11:11" x14ac:dyDescent="0.25">
      <c r="K2348" s="8"/>
    </row>
    <row r="2349" spans="11:11" x14ac:dyDescent="0.25">
      <c r="K2349" s="8"/>
    </row>
    <row r="2350" spans="11:11" x14ac:dyDescent="0.25">
      <c r="K2350" s="8"/>
    </row>
    <row r="2351" spans="11:11" x14ac:dyDescent="0.25">
      <c r="K2351" s="8"/>
    </row>
    <row r="2352" spans="11:11" x14ac:dyDescent="0.25">
      <c r="K2352" s="8"/>
    </row>
    <row r="2353" spans="11:11" x14ac:dyDescent="0.25">
      <c r="K2353" s="8"/>
    </row>
    <row r="2354" spans="11:11" x14ac:dyDescent="0.25">
      <c r="K2354" s="8"/>
    </row>
    <row r="2355" spans="11:11" x14ac:dyDescent="0.25">
      <c r="K2355" s="8"/>
    </row>
    <row r="2356" spans="11:11" x14ac:dyDescent="0.25">
      <c r="K2356" s="8"/>
    </row>
    <row r="2357" spans="11:11" x14ac:dyDescent="0.25">
      <c r="K2357" s="8"/>
    </row>
    <row r="2358" spans="11:11" x14ac:dyDescent="0.25">
      <c r="K2358" s="8"/>
    </row>
    <row r="2359" spans="11:11" x14ac:dyDescent="0.25">
      <c r="K2359" s="8"/>
    </row>
    <row r="2360" spans="11:11" x14ac:dyDescent="0.25">
      <c r="K2360" s="8"/>
    </row>
    <row r="2361" spans="11:11" x14ac:dyDescent="0.25">
      <c r="K2361" s="8"/>
    </row>
    <row r="2362" spans="11:11" x14ac:dyDescent="0.25">
      <c r="K2362" s="8"/>
    </row>
    <row r="2363" spans="11:11" x14ac:dyDescent="0.25">
      <c r="K2363" s="8"/>
    </row>
    <row r="2364" spans="11:11" x14ac:dyDescent="0.25">
      <c r="K2364" s="8"/>
    </row>
    <row r="2365" spans="11:11" x14ac:dyDescent="0.25">
      <c r="K2365" s="8"/>
    </row>
    <row r="2366" spans="11:11" x14ac:dyDescent="0.25">
      <c r="K2366" s="8"/>
    </row>
    <row r="2367" spans="11:11" x14ac:dyDescent="0.25">
      <c r="K2367" s="8"/>
    </row>
    <row r="2368" spans="11:11" x14ac:dyDescent="0.25">
      <c r="K2368" s="8"/>
    </row>
    <row r="2369" spans="11:11" x14ac:dyDescent="0.25">
      <c r="K2369" s="8"/>
    </row>
    <row r="2370" spans="11:11" x14ac:dyDescent="0.25">
      <c r="K2370" s="8"/>
    </row>
    <row r="2371" spans="11:11" x14ac:dyDescent="0.25">
      <c r="K2371" s="8"/>
    </row>
    <row r="2372" spans="11:11" x14ac:dyDescent="0.25">
      <c r="K2372" s="8"/>
    </row>
    <row r="2373" spans="11:11" x14ac:dyDescent="0.25">
      <c r="K2373" s="8"/>
    </row>
    <row r="2374" spans="11:11" x14ac:dyDescent="0.25">
      <c r="K2374" s="8"/>
    </row>
    <row r="2375" spans="11:11" x14ac:dyDescent="0.25">
      <c r="K2375" s="8"/>
    </row>
    <row r="2376" spans="11:11" x14ac:dyDescent="0.25">
      <c r="K2376" s="8"/>
    </row>
    <row r="2377" spans="11:11" x14ac:dyDescent="0.25">
      <c r="K2377" s="8"/>
    </row>
    <row r="2378" spans="11:11" x14ac:dyDescent="0.25">
      <c r="K2378" s="8"/>
    </row>
    <row r="2379" spans="11:11" x14ac:dyDescent="0.25">
      <c r="K2379" s="8"/>
    </row>
    <row r="2380" spans="11:11" x14ac:dyDescent="0.25">
      <c r="K2380" s="8"/>
    </row>
    <row r="2381" spans="11:11" x14ac:dyDescent="0.25">
      <c r="K2381" s="8"/>
    </row>
    <row r="2382" spans="11:11" x14ac:dyDescent="0.25">
      <c r="K2382" s="8"/>
    </row>
    <row r="2383" spans="11:11" x14ac:dyDescent="0.25">
      <c r="K2383" s="8"/>
    </row>
    <row r="2384" spans="11:11" x14ac:dyDescent="0.25">
      <c r="K2384" s="8"/>
    </row>
    <row r="2385" spans="11:11" x14ac:dyDescent="0.25">
      <c r="K2385" s="8"/>
    </row>
    <row r="2386" spans="11:11" x14ac:dyDescent="0.25">
      <c r="K2386" s="8"/>
    </row>
    <row r="2387" spans="11:11" x14ac:dyDescent="0.25">
      <c r="K2387" s="8"/>
    </row>
    <row r="2388" spans="11:11" x14ac:dyDescent="0.25">
      <c r="K2388" s="8"/>
    </row>
    <row r="2389" spans="11:11" x14ac:dyDescent="0.25">
      <c r="K2389" s="8"/>
    </row>
    <row r="2390" spans="11:11" x14ac:dyDescent="0.25">
      <c r="K2390" s="8"/>
    </row>
    <row r="2391" spans="11:11" x14ac:dyDescent="0.25">
      <c r="K2391" s="8"/>
    </row>
    <row r="2392" spans="11:11" x14ac:dyDescent="0.25">
      <c r="K2392" s="8"/>
    </row>
    <row r="2393" spans="11:11" x14ac:dyDescent="0.25">
      <c r="K2393" s="8"/>
    </row>
    <row r="2394" spans="11:11" x14ac:dyDescent="0.25">
      <c r="K2394" s="8"/>
    </row>
    <row r="2395" spans="11:11" x14ac:dyDescent="0.25">
      <c r="K2395" s="8"/>
    </row>
    <row r="2396" spans="11:11" x14ac:dyDescent="0.25">
      <c r="K2396" s="8"/>
    </row>
    <row r="2397" spans="11:11" x14ac:dyDescent="0.25">
      <c r="K2397" s="8"/>
    </row>
    <row r="2398" spans="11:11" x14ac:dyDescent="0.25">
      <c r="K2398" s="8"/>
    </row>
    <row r="2399" spans="11:11" x14ac:dyDescent="0.25">
      <c r="K2399" s="8"/>
    </row>
    <row r="2400" spans="11:11" x14ac:dyDescent="0.25">
      <c r="K2400" s="8"/>
    </row>
    <row r="2401" spans="11:11" x14ac:dyDescent="0.25">
      <c r="K2401" s="8"/>
    </row>
    <row r="2402" spans="11:11" x14ac:dyDescent="0.25">
      <c r="K2402" s="8"/>
    </row>
    <row r="2403" spans="11:11" x14ac:dyDescent="0.25">
      <c r="K2403" s="8"/>
    </row>
    <row r="2404" spans="11:11" x14ac:dyDescent="0.25">
      <c r="K2404" s="8"/>
    </row>
    <row r="2405" spans="11:11" x14ac:dyDescent="0.25">
      <c r="K2405" s="8"/>
    </row>
    <row r="2406" spans="11:11" x14ac:dyDescent="0.25">
      <c r="K2406" s="8"/>
    </row>
    <row r="2407" spans="11:11" x14ac:dyDescent="0.25">
      <c r="K2407" s="8"/>
    </row>
    <row r="2408" spans="11:11" x14ac:dyDescent="0.25">
      <c r="K2408" s="8"/>
    </row>
    <row r="2409" spans="11:11" x14ac:dyDescent="0.25">
      <c r="K2409" s="8"/>
    </row>
    <row r="2410" spans="11:11" x14ac:dyDescent="0.25">
      <c r="K2410" s="8"/>
    </row>
    <row r="2411" spans="11:11" x14ac:dyDescent="0.25">
      <c r="K2411" s="8"/>
    </row>
    <row r="2412" spans="11:11" x14ac:dyDescent="0.25">
      <c r="K2412" s="8"/>
    </row>
    <row r="2413" spans="11:11" x14ac:dyDescent="0.25">
      <c r="K2413" s="8"/>
    </row>
    <row r="2414" spans="11:11" x14ac:dyDescent="0.25">
      <c r="K2414" s="8"/>
    </row>
    <row r="2415" spans="11:11" x14ac:dyDescent="0.25">
      <c r="K2415" s="8"/>
    </row>
    <row r="2416" spans="11:11" x14ac:dyDescent="0.25">
      <c r="K2416" s="8"/>
    </row>
    <row r="2417" spans="11:11" x14ac:dyDescent="0.25">
      <c r="K2417" s="8"/>
    </row>
    <row r="2418" spans="11:11" x14ac:dyDescent="0.25">
      <c r="K2418" s="8"/>
    </row>
    <row r="2419" spans="11:11" x14ac:dyDescent="0.25">
      <c r="K2419" s="8"/>
    </row>
    <row r="2420" spans="11:11" x14ac:dyDescent="0.25">
      <c r="K2420" s="8"/>
    </row>
    <row r="2421" spans="11:11" x14ac:dyDescent="0.25">
      <c r="K2421" s="8"/>
    </row>
    <row r="2422" spans="11:11" x14ac:dyDescent="0.25">
      <c r="K2422" s="8"/>
    </row>
    <row r="2423" spans="11:11" x14ac:dyDescent="0.25">
      <c r="K2423" s="8"/>
    </row>
    <row r="2424" spans="11:11" x14ac:dyDescent="0.25">
      <c r="K2424" s="8"/>
    </row>
    <row r="2425" spans="11:11" x14ac:dyDescent="0.25">
      <c r="K2425" s="8"/>
    </row>
    <row r="2426" spans="11:11" x14ac:dyDescent="0.25">
      <c r="K2426" s="8"/>
    </row>
    <row r="2427" spans="11:11" x14ac:dyDescent="0.25">
      <c r="K2427" s="8"/>
    </row>
    <row r="2428" spans="11:11" x14ac:dyDescent="0.25">
      <c r="K2428" s="8"/>
    </row>
    <row r="2429" spans="11:11" x14ac:dyDescent="0.25">
      <c r="K2429" s="8"/>
    </row>
    <row r="2430" spans="11:11" x14ac:dyDescent="0.25">
      <c r="K2430" s="8"/>
    </row>
    <row r="2431" spans="11:11" x14ac:dyDescent="0.25">
      <c r="K2431" s="8"/>
    </row>
    <row r="2432" spans="11:11" x14ac:dyDescent="0.25">
      <c r="K2432" s="8"/>
    </row>
    <row r="2433" spans="11:11" x14ac:dyDescent="0.25">
      <c r="K2433" s="8"/>
    </row>
    <row r="2434" spans="11:11" x14ac:dyDescent="0.25">
      <c r="K2434" s="8"/>
    </row>
    <row r="2435" spans="11:11" x14ac:dyDescent="0.25">
      <c r="K2435" s="8"/>
    </row>
    <row r="2436" spans="11:11" x14ac:dyDescent="0.25">
      <c r="K2436" s="8"/>
    </row>
    <row r="2437" spans="11:11" x14ac:dyDescent="0.25">
      <c r="K2437" s="8"/>
    </row>
    <row r="2438" spans="11:11" x14ac:dyDescent="0.25">
      <c r="K2438" s="8"/>
    </row>
    <row r="2439" spans="11:11" x14ac:dyDescent="0.25">
      <c r="K2439" s="8"/>
    </row>
    <row r="2440" spans="11:11" x14ac:dyDescent="0.25">
      <c r="K2440" s="8"/>
    </row>
    <row r="2441" spans="11:11" x14ac:dyDescent="0.25">
      <c r="K2441" s="8"/>
    </row>
    <row r="2442" spans="11:11" x14ac:dyDescent="0.25">
      <c r="K2442" s="8"/>
    </row>
    <row r="2443" spans="11:11" x14ac:dyDescent="0.25">
      <c r="K2443" s="8"/>
    </row>
    <row r="2444" spans="11:11" x14ac:dyDescent="0.25">
      <c r="K2444" s="8"/>
    </row>
    <row r="2445" spans="11:11" x14ac:dyDescent="0.25">
      <c r="K2445" s="8"/>
    </row>
    <row r="2446" spans="11:11" x14ac:dyDescent="0.25">
      <c r="K2446" s="8"/>
    </row>
    <row r="2447" spans="11:11" x14ac:dyDescent="0.25">
      <c r="K2447" s="8"/>
    </row>
    <row r="2448" spans="11:11" x14ac:dyDescent="0.25">
      <c r="K2448" s="8"/>
    </row>
    <row r="2449" spans="11:11" x14ac:dyDescent="0.25">
      <c r="K2449" s="8"/>
    </row>
    <row r="2450" spans="11:11" x14ac:dyDescent="0.25">
      <c r="K2450" s="8"/>
    </row>
    <row r="2451" spans="11:11" x14ac:dyDescent="0.25">
      <c r="K2451" s="8"/>
    </row>
    <row r="2452" spans="11:11" x14ac:dyDescent="0.25">
      <c r="K2452" s="8"/>
    </row>
    <row r="2453" spans="11:11" x14ac:dyDescent="0.25">
      <c r="K2453" s="8"/>
    </row>
    <row r="2454" spans="11:11" x14ac:dyDescent="0.25">
      <c r="K2454" s="8"/>
    </row>
    <row r="2455" spans="11:11" x14ac:dyDescent="0.25">
      <c r="K2455" s="8"/>
    </row>
    <row r="2456" spans="11:11" x14ac:dyDescent="0.25">
      <c r="K2456" s="8"/>
    </row>
    <row r="2457" spans="11:11" x14ac:dyDescent="0.25">
      <c r="K2457" s="8"/>
    </row>
    <row r="2458" spans="11:11" x14ac:dyDescent="0.25">
      <c r="K2458" s="8"/>
    </row>
    <row r="2459" spans="11:11" x14ac:dyDescent="0.25">
      <c r="K2459" s="8"/>
    </row>
    <row r="2460" spans="11:11" x14ac:dyDescent="0.25">
      <c r="K2460" s="8"/>
    </row>
    <row r="2461" spans="11:11" x14ac:dyDescent="0.25">
      <c r="K2461" s="8"/>
    </row>
    <row r="2462" spans="11:11" x14ac:dyDescent="0.25">
      <c r="K2462" s="8"/>
    </row>
    <row r="2463" spans="11:11" x14ac:dyDescent="0.25">
      <c r="K2463" s="8"/>
    </row>
    <row r="2464" spans="11:11" x14ac:dyDescent="0.25">
      <c r="K2464" s="8"/>
    </row>
    <row r="2465" spans="11:11" x14ac:dyDescent="0.25">
      <c r="K2465" s="8"/>
    </row>
    <row r="2466" spans="11:11" x14ac:dyDescent="0.25">
      <c r="K2466" s="8"/>
    </row>
    <row r="2467" spans="11:11" x14ac:dyDescent="0.25">
      <c r="K2467" s="8"/>
    </row>
    <row r="2468" spans="11:11" x14ac:dyDescent="0.25">
      <c r="K2468" s="8"/>
    </row>
    <row r="2469" spans="11:11" x14ac:dyDescent="0.25">
      <c r="K2469" s="8"/>
    </row>
    <row r="2470" spans="11:11" x14ac:dyDescent="0.25">
      <c r="K2470" s="8"/>
    </row>
    <row r="2471" spans="11:11" x14ac:dyDescent="0.25">
      <c r="K2471" s="8"/>
    </row>
    <row r="2472" spans="11:11" x14ac:dyDescent="0.25">
      <c r="K2472" s="8"/>
    </row>
    <row r="2473" spans="11:11" x14ac:dyDescent="0.25">
      <c r="K2473" s="8"/>
    </row>
    <row r="2474" spans="11:11" x14ac:dyDescent="0.25">
      <c r="K2474" s="8"/>
    </row>
    <row r="2475" spans="11:11" x14ac:dyDescent="0.25">
      <c r="K2475" s="8"/>
    </row>
    <row r="2476" spans="11:11" x14ac:dyDescent="0.25">
      <c r="K2476" s="8"/>
    </row>
    <row r="2477" spans="11:11" x14ac:dyDescent="0.25">
      <c r="K2477" s="8"/>
    </row>
    <row r="2478" spans="11:11" x14ac:dyDescent="0.25">
      <c r="K2478" s="8"/>
    </row>
    <row r="2479" spans="11:11" x14ac:dyDescent="0.25">
      <c r="K2479" s="8"/>
    </row>
    <row r="2480" spans="11:11" x14ac:dyDescent="0.25">
      <c r="K2480" s="8"/>
    </row>
    <row r="2481" spans="11:11" x14ac:dyDescent="0.25">
      <c r="K2481" s="8"/>
    </row>
    <row r="2482" spans="11:11" x14ac:dyDescent="0.25">
      <c r="K2482" s="8"/>
    </row>
    <row r="2483" spans="11:11" x14ac:dyDescent="0.25">
      <c r="K2483" s="8"/>
    </row>
    <row r="2484" spans="11:11" x14ac:dyDescent="0.25">
      <c r="K2484" s="8"/>
    </row>
    <row r="2485" spans="11:11" x14ac:dyDescent="0.25">
      <c r="K2485" s="8"/>
    </row>
    <row r="2486" spans="11:11" x14ac:dyDescent="0.25">
      <c r="K2486" s="8"/>
    </row>
    <row r="2487" spans="11:11" x14ac:dyDescent="0.25">
      <c r="K2487" s="8"/>
    </row>
    <row r="2488" spans="11:11" x14ac:dyDescent="0.25">
      <c r="K2488" s="8"/>
    </row>
    <row r="2489" spans="11:11" x14ac:dyDescent="0.25">
      <c r="K2489" s="8"/>
    </row>
    <row r="2490" spans="11:11" x14ac:dyDescent="0.25">
      <c r="K2490" s="8"/>
    </row>
    <row r="2491" spans="11:11" x14ac:dyDescent="0.25">
      <c r="K2491" s="8"/>
    </row>
    <row r="2492" spans="11:11" x14ac:dyDescent="0.25">
      <c r="K2492" s="8"/>
    </row>
    <row r="2493" spans="11:11" x14ac:dyDescent="0.25">
      <c r="K2493" s="8"/>
    </row>
    <row r="2494" spans="11:11" x14ac:dyDescent="0.25">
      <c r="K2494" s="8"/>
    </row>
    <row r="2495" spans="11:11" x14ac:dyDescent="0.25">
      <c r="K2495" s="8"/>
    </row>
    <row r="2496" spans="11:11" x14ac:dyDescent="0.25">
      <c r="K2496" s="8"/>
    </row>
    <row r="2497" spans="11:11" x14ac:dyDescent="0.25">
      <c r="K2497" s="8"/>
    </row>
    <row r="2498" spans="11:11" x14ac:dyDescent="0.25">
      <c r="K2498" s="8"/>
    </row>
    <row r="2499" spans="11:11" x14ac:dyDescent="0.25">
      <c r="K2499" s="8"/>
    </row>
    <row r="2500" spans="11:11" x14ac:dyDescent="0.25">
      <c r="K2500" s="8"/>
    </row>
    <row r="2501" spans="11:11" x14ac:dyDescent="0.25">
      <c r="K2501" s="8"/>
    </row>
    <row r="2502" spans="11:11" x14ac:dyDescent="0.25">
      <c r="K2502" s="8"/>
    </row>
    <row r="2503" spans="11:11" x14ac:dyDescent="0.25">
      <c r="K2503" s="8"/>
    </row>
    <row r="2504" spans="11:11" x14ac:dyDescent="0.25">
      <c r="K2504" s="8"/>
    </row>
    <row r="2505" spans="11:11" x14ac:dyDescent="0.25">
      <c r="K2505" s="8"/>
    </row>
    <row r="2506" spans="11:11" x14ac:dyDescent="0.25">
      <c r="K2506" s="8"/>
    </row>
    <row r="2507" spans="11:11" x14ac:dyDescent="0.25">
      <c r="K2507" s="8"/>
    </row>
    <row r="2508" spans="11:11" x14ac:dyDescent="0.25">
      <c r="K2508" s="8"/>
    </row>
    <row r="2509" spans="11:11" x14ac:dyDescent="0.25">
      <c r="K2509" s="8"/>
    </row>
    <row r="2510" spans="11:11" x14ac:dyDescent="0.25">
      <c r="K2510" s="8"/>
    </row>
    <row r="2511" spans="11:11" x14ac:dyDescent="0.25">
      <c r="K2511" s="8"/>
    </row>
    <row r="2512" spans="11:11" x14ac:dyDescent="0.25">
      <c r="K2512" s="8"/>
    </row>
    <row r="2513" spans="11:11" x14ac:dyDescent="0.25">
      <c r="K2513" s="8"/>
    </row>
    <row r="2514" spans="11:11" x14ac:dyDescent="0.25">
      <c r="K2514" s="8"/>
    </row>
    <row r="2515" spans="11:11" x14ac:dyDescent="0.25">
      <c r="K2515" s="8"/>
    </row>
    <row r="2516" spans="11:11" x14ac:dyDescent="0.25">
      <c r="K2516" s="8"/>
    </row>
    <row r="2517" spans="11:11" x14ac:dyDescent="0.25">
      <c r="K2517" s="8"/>
    </row>
    <row r="2518" spans="11:11" x14ac:dyDescent="0.25">
      <c r="K2518" s="8"/>
    </row>
    <row r="2519" spans="11:11" x14ac:dyDescent="0.25">
      <c r="K2519" s="8"/>
    </row>
    <row r="2520" spans="11:11" x14ac:dyDescent="0.25">
      <c r="K2520" s="8"/>
    </row>
    <row r="2521" spans="11:11" x14ac:dyDescent="0.25">
      <c r="K2521" s="8"/>
    </row>
    <row r="2522" spans="11:11" x14ac:dyDescent="0.25">
      <c r="K2522" s="8"/>
    </row>
    <row r="2523" spans="11:11" x14ac:dyDescent="0.25">
      <c r="K2523" s="8"/>
    </row>
    <row r="2524" spans="11:11" x14ac:dyDescent="0.25">
      <c r="K2524" s="8"/>
    </row>
    <row r="2525" spans="11:11" x14ac:dyDescent="0.25">
      <c r="K2525" s="8"/>
    </row>
    <row r="2526" spans="11:11" x14ac:dyDescent="0.25">
      <c r="K2526" s="8"/>
    </row>
    <row r="2527" spans="11:11" x14ac:dyDescent="0.25">
      <c r="K2527" s="8"/>
    </row>
    <row r="2528" spans="11:11" x14ac:dyDescent="0.25">
      <c r="K2528" s="8"/>
    </row>
    <row r="2529" spans="11:11" x14ac:dyDescent="0.25">
      <c r="K2529" s="8"/>
    </row>
    <row r="2530" spans="11:11" x14ac:dyDescent="0.25">
      <c r="K2530" s="8"/>
    </row>
    <row r="2531" spans="11:11" x14ac:dyDescent="0.25">
      <c r="K2531" s="8"/>
    </row>
    <row r="2532" spans="11:11" x14ac:dyDescent="0.25">
      <c r="K2532" s="8"/>
    </row>
    <row r="2533" spans="11:11" x14ac:dyDescent="0.25">
      <c r="K2533" s="8"/>
    </row>
    <row r="2534" spans="11:11" x14ac:dyDescent="0.25">
      <c r="K2534" s="8"/>
    </row>
    <row r="2535" spans="11:11" x14ac:dyDescent="0.25">
      <c r="K2535" s="8"/>
    </row>
    <row r="2536" spans="11:11" x14ac:dyDescent="0.25">
      <c r="K2536" s="8"/>
    </row>
    <row r="2537" spans="11:11" x14ac:dyDescent="0.25">
      <c r="K2537" s="8"/>
    </row>
    <row r="2538" spans="11:11" x14ac:dyDescent="0.25">
      <c r="K2538" s="8"/>
    </row>
    <row r="2539" spans="11:11" x14ac:dyDescent="0.25">
      <c r="K2539" s="8"/>
    </row>
    <row r="2540" spans="11:11" x14ac:dyDescent="0.25">
      <c r="K2540" s="8"/>
    </row>
    <row r="2541" spans="11:11" x14ac:dyDescent="0.25">
      <c r="K2541" s="8"/>
    </row>
    <row r="2542" spans="11:11" x14ac:dyDescent="0.25">
      <c r="K2542" s="8"/>
    </row>
    <row r="2543" spans="11:11" x14ac:dyDescent="0.25">
      <c r="K2543" s="8"/>
    </row>
    <row r="2544" spans="11:11" x14ac:dyDescent="0.25">
      <c r="K2544" s="8"/>
    </row>
    <row r="2545" spans="11:11" x14ac:dyDescent="0.25">
      <c r="K2545" s="8"/>
    </row>
    <row r="2546" spans="11:11" x14ac:dyDescent="0.25">
      <c r="K2546" s="8"/>
    </row>
    <row r="2547" spans="11:11" x14ac:dyDescent="0.25">
      <c r="K2547" s="8"/>
    </row>
    <row r="2548" spans="11:11" x14ac:dyDescent="0.25">
      <c r="K2548" s="8"/>
    </row>
    <row r="2549" spans="11:11" x14ac:dyDescent="0.25">
      <c r="K2549" s="8"/>
    </row>
    <row r="2550" spans="11:11" x14ac:dyDescent="0.25">
      <c r="K2550" s="8"/>
    </row>
    <row r="2551" spans="11:11" x14ac:dyDescent="0.25">
      <c r="K2551" s="8"/>
    </row>
    <row r="2552" spans="11:11" x14ac:dyDescent="0.25">
      <c r="K2552" s="8"/>
    </row>
    <row r="2553" spans="11:11" x14ac:dyDescent="0.25">
      <c r="K2553" s="8"/>
    </row>
    <row r="2554" spans="11:11" x14ac:dyDescent="0.25">
      <c r="K2554" s="8"/>
    </row>
    <row r="2555" spans="11:11" x14ac:dyDescent="0.25">
      <c r="K2555" s="8"/>
    </row>
    <row r="2556" spans="11:11" x14ac:dyDescent="0.25">
      <c r="K2556" s="8"/>
    </row>
    <row r="2557" spans="11:11" x14ac:dyDescent="0.25">
      <c r="K2557" s="8"/>
    </row>
    <row r="2558" spans="11:11" x14ac:dyDescent="0.25">
      <c r="K2558" s="8"/>
    </row>
    <row r="2559" spans="11:11" x14ac:dyDescent="0.25">
      <c r="K2559" s="8"/>
    </row>
    <row r="2560" spans="11:11" x14ac:dyDescent="0.25">
      <c r="K2560" s="8"/>
    </row>
    <row r="2561" spans="11:11" x14ac:dyDescent="0.25">
      <c r="K2561" s="8"/>
    </row>
    <row r="2562" spans="11:11" x14ac:dyDescent="0.25">
      <c r="K2562" s="8"/>
    </row>
    <row r="2563" spans="11:11" x14ac:dyDescent="0.25">
      <c r="K2563" s="8"/>
    </row>
    <row r="2564" spans="11:11" x14ac:dyDescent="0.25">
      <c r="K2564" s="8"/>
    </row>
    <row r="2565" spans="11:11" x14ac:dyDescent="0.25">
      <c r="K2565" s="8"/>
    </row>
    <row r="2566" spans="11:11" x14ac:dyDescent="0.25">
      <c r="K2566" s="8"/>
    </row>
    <row r="2567" spans="11:11" x14ac:dyDescent="0.25">
      <c r="K2567" s="8"/>
    </row>
    <row r="2568" spans="11:11" x14ac:dyDescent="0.25">
      <c r="K2568" s="8"/>
    </row>
    <row r="2569" spans="11:11" x14ac:dyDescent="0.25">
      <c r="K2569" s="8"/>
    </row>
    <row r="2570" spans="11:11" x14ac:dyDescent="0.25">
      <c r="K2570" s="8"/>
    </row>
    <row r="2571" spans="11:11" x14ac:dyDescent="0.25">
      <c r="K2571" s="8"/>
    </row>
    <row r="2572" spans="11:11" x14ac:dyDescent="0.25">
      <c r="K2572" s="8"/>
    </row>
    <row r="2573" spans="11:11" x14ac:dyDescent="0.25">
      <c r="K2573" s="8"/>
    </row>
    <row r="2574" spans="11:11" x14ac:dyDescent="0.25">
      <c r="K2574" s="8"/>
    </row>
    <row r="2575" spans="11:11" x14ac:dyDescent="0.25">
      <c r="K2575" s="8"/>
    </row>
    <row r="2576" spans="11:11" x14ac:dyDescent="0.25">
      <c r="K2576" s="8"/>
    </row>
    <row r="2577" spans="11:11" x14ac:dyDescent="0.25">
      <c r="K2577" s="8"/>
    </row>
    <row r="2578" spans="11:11" x14ac:dyDescent="0.25">
      <c r="K2578" s="8"/>
    </row>
    <row r="2579" spans="11:11" x14ac:dyDescent="0.25">
      <c r="K2579" s="8"/>
    </row>
    <row r="2580" spans="11:11" x14ac:dyDescent="0.25">
      <c r="K2580" s="8"/>
    </row>
    <row r="2581" spans="11:11" x14ac:dyDescent="0.25">
      <c r="K2581" s="8"/>
    </row>
    <row r="2582" spans="11:11" x14ac:dyDescent="0.25">
      <c r="K2582" s="8"/>
    </row>
    <row r="2583" spans="11:11" x14ac:dyDescent="0.25">
      <c r="K2583" s="8"/>
    </row>
    <row r="2584" spans="11:11" x14ac:dyDescent="0.25">
      <c r="K2584" s="8"/>
    </row>
    <row r="2585" spans="11:11" x14ac:dyDescent="0.25">
      <c r="K2585" s="8"/>
    </row>
    <row r="2586" spans="11:11" x14ac:dyDescent="0.25">
      <c r="K2586" s="8"/>
    </row>
    <row r="2587" spans="11:11" x14ac:dyDescent="0.25">
      <c r="K2587" s="8"/>
    </row>
    <row r="2588" spans="11:11" x14ac:dyDescent="0.25">
      <c r="K2588" s="8"/>
    </row>
    <row r="2589" spans="11:11" x14ac:dyDescent="0.25">
      <c r="K2589" s="8"/>
    </row>
    <row r="2590" spans="11:11" x14ac:dyDescent="0.25">
      <c r="K2590" s="8"/>
    </row>
    <row r="2591" spans="11:11" x14ac:dyDescent="0.25">
      <c r="K2591" s="8"/>
    </row>
    <row r="2592" spans="11:11" x14ac:dyDescent="0.25">
      <c r="K2592" s="8"/>
    </row>
    <row r="2593" spans="11:11" x14ac:dyDescent="0.25">
      <c r="K2593" s="8"/>
    </row>
    <row r="2594" spans="11:11" x14ac:dyDescent="0.25">
      <c r="K2594" s="8"/>
    </row>
    <row r="2595" spans="11:11" x14ac:dyDescent="0.25">
      <c r="K2595" s="8"/>
    </row>
    <row r="2596" spans="11:11" x14ac:dyDescent="0.25">
      <c r="K2596" s="8"/>
    </row>
    <row r="2597" spans="11:11" x14ac:dyDescent="0.25">
      <c r="K2597" s="8"/>
    </row>
    <row r="2598" spans="11:11" x14ac:dyDescent="0.25">
      <c r="K2598" s="8"/>
    </row>
    <row r="2599" spans="11:11" x14ac:dyDescent="0.25">
      <c r="K2599" s="8"/>
    </row>
    <row r="2600" spans="11:11" x14ac:dyDescent="0.25">
      <c r="K2600" s="8"/>
    </row>
    <row r="2601" spans="11:11" x14ac:dyDescent="0.25">
      <c r="K2601" s="8"/>
    </row>
    <row r="2602" spans="11:11" x14ac:dyDescent="0.25">
      <c r="K2602" s="8"/>
    </row>
    <row r="2603" spans="11:11" x14ac:dyDescent="0.25">
      <c r="K2603" s="8"/>
    </row>
    <row r="2604" spans="11:11" x14ac:dyDescent="0.25">
      <c r="K2604" s="8"/>
    </row>
    <row r="2605" spans="11:11" x14ac:dyDescent="0.25">
      <c r="K2605" s="8"/>
    </row>
    <row r="2606" spans="11:11" x14ac:dyDescent="0.25">
      <c r="K2606" s="8"/>
    </row>
    <row r="2607" spans="11:11" x14ac:dyDescent="0.25">
      <c r="K2607" s="8"/>
    </row>
    <row r="2608" spans="11:11" x14ac:dyDescent="0.25">
      <c r="K2608" s="8"/>
    </row>
    <row r="2609" spans="11:11" x14ac:dyDescent="0.25">
      <c r="K2609" s="8"/>
    </row>
    <row r="2610" spans="11:11" x14ac:dyDescent="0.25">
      <c r="K2610" s="8"/>
    </row>
    <row r="2611" spans="11:11" x14ac:dyDescent="0.25">
      <c r="K2611" s="8"/>
    </row>
    <row r="2612" spans="11:11" x14ac:dyDescent="0.25">
      <c r="K2612" s="8"/>
    </row>
    <row r="2613" spans="11:11" x14ac:dyDescent="0.25">
      <c r="K2613" s="8"/>
    </row>
    <row r="2614" spans="11:11" x14ac:dyDescent="0.25">
      <c r="K2614" s="8"/>
    </row>
    <row r="2615" spans="11:11" x14ac:dyDescent="0.25">
      <c r="K2615" s="8"/>
    </row>
    <row r="2616" spans="11:11" x14ac:dyDescent="0.25">
      <c r="K2616" s="8"/>
    </row>
    <row r="2617" spans="11:11" x14ac:dyDescent="0.25">
      <c r="K2617" s="8"/>
    </row>
    <row r="2618" spans="11:11" x14ac:dyDescent="0.25">
      <c r="K2618" s="8"/>
    </row>
    <row r="2619" spans="11:11" x14ac:dyDescent="0.25">
      <c r="K2619" s="8"/>
    </row>
    <row r="2620" spans="11:11" x14ac:dyDescent="0.25">
      <c r="K2620" s="8"/>
    </row>
    <row r="2621" spans="11:11" x14ac:dyDescent="0.25">
      <c r="K2621" s="8"/>
    </row>
    <row r="2622" spans="11:11" x14ac:dyDescent="0.25">
      <c r="K2622" s="8"/>
    </row>
    <row r="2623" spans="11:11" x14ac:dyDescent="0.25">
      <c r="K2623" s="8"/>
    </row>
    <row r="2624" spans="11:11" x14ac:dyDescent="0.25">
      <c r="K2624" s="8"/>
    </row>
    <row r="2625" spans="11:11" x14ac:dyDescent="0.25">
      <c r="K2625" s="8"/>
    </row>
    <row r="2626" spans="11:11" x14ac:dyDescent="0.25">
      <c r="K2626" s="8"/>
    </row>
    <row r="2627" spans="11:11" x14ac:dyDescent="0.25">
      <c r="K2627" s="8"/>
    </row>
    <row r="2628" spans="11:11" x14ac:dyDescent="0.25">
      <c r="K2628" s="8"/>
    </row>
    <row r="2629" spans="11:11" x14ac:dyDescent="0.25">
      <c r="K2629" s="8"/>
    </row>
    <row r="2630" spans="11:11" x14ac:dyDescent="0.25">
      <c r="K2630" s="8"/>
    </row>
    <row r="2631" spans="11:11" x14ac:dyDescent="0.25">
      <c r="K2631" s="8"/>
    </row>
    <row r="2632" spans="11:11" x14ac:dyDescent="0.25">
      <c r="K2632" s="8"/>
    </row>
    <row r="2633" spans="11:11" x14ac:dyDescent="0.25">
      <c r="K2633" s="8"/>
    </row>
    <row r="2634" spans="11:11" x14ac:dyDescent="0.25">
      <c r="K2634" s="8"/>
    </row>
    <row r="2635" spans="11:11" x14ac:dyDescent="0.25">
      <c r="K2635" s="8"/>
    </row>
    <row r="2636" spans="11:11" x14ac:dyDescent="0.25">
      <c r="K2636" s="8"/>
    </row>
    <row r="2637" spans="11:11" x14ac:dyDescent="0.25">
      <c r="K2637" s="8"/>
    </row>
    <row r="2638" spans="11:11" x14ac:dyDescent="0.25">
      <c r="K2638" s="8"/>
    </row>
    <row r="2639" spans="11:11" x14ac:dyDescent="0.25">
      <c r="K2639" s="8"/>
    </row>
    <row r="2640" spans="11:11" x14ac:dyDescent="0.25">
      <c r="K2640" s="8"/>
    </row>
    <row r="2641" spans="11:11" x14ac:dyDescent="0.25">
      <c r="K2641" s="8"/>
    </row>
    <row r="2642" spans="11:11" x14ac:dyDescent="0.25">
      <c r="K2642" s="8"/>
    </row>
    <row r="2643" spans="11:11" x14ac:dyDescent="0.25">
      <c r="K2643" s="8"/>
    </row>
    <row r="2644" spans="11:11" x14ac:dyDescent="0.25">
      <c r="K2644" s="8"/>
    </row>
    <row r="2645" spans="11:11" x14ac:dyDescent="0.25">
      <c r="K2645" s="8"/>
    </row>
    <row r="2646" spans="11:11" x14ac:dyDescent="0.25">
      <c r="K2646" s="8"/>
    </row>
    <row r="2647" spans="11:11" x14ac:dyDescent="0.25">
      <c r="K2647" s="8"/>
    </row>
    <row r="2648" spans="11:11" x14ac:dyDescent="0.25">
      <c r="K2648" s="8"/>
    </row>
    <row r="2649" spans="11:11" x14ac:dyDescent="0.25">
      <c r="K2649" s="8"/>
    </row>
    <row r="2650" spans="11:11" x14ac:dyDescent="0.25">
      <c r="K2650" s="8"/>
    </row>
    <row r="2651" spans="11:11" x14ac:dyDescent="0.25">
      <c r="K2651" s="8"/>
    </row>
    <row r="2652" spans="11:11" x14ac:dyDescent="0.25">
      <c r="K2652" s="8"/>
    </row>
    <row r="2653" spans="11:11" x14ac:dyDescent="0.25">
      <c r="K2653" s="8"/>
    </row>
    <row r="2654" spans="11:11" x14ac:dyDescent="0.25">
      <c r="K2654" s="8"/>
    </row>
    <row r="2655" spans="11:11" x14ac:dyDescent="0.25">
      <c r="K2655" s="8"/>
    </row>
    <row r="2656" spans="11:11" x14ac:dyDescent="0.25">
      <c r="K2656" s="8"/>
    </row>
    <row r="2657" spans="11:11" x14ac:dyDescent="0.25">
      <c r="K2657" s="8"/>
    </row>
    <row r="2658" spans="11:11" x14ac:dyDescent="0.25">
      <c r="K2658" s="8"/>
    </row>
    <row r="2659" spans="11:11" x14ac:dyDescent="0.25">
      <c r="K2659" s="8"/>
    </row>
    <row r="2660" spans="11:11" x14ac:dyDescent="0.25">
      <c r="K2660" s="8"/>
    </row>
    <row r="2661" spans="11:11" x14ac:dyDescent="0.25">
      <c r="K2661" s="8"/>
    </row>
    <row r="2662" spans="11:11" x14ac:dyDescent="0.25">
      <c r="K2662" s="8"/>
    </row>
    <row r="2663" spans="11:11" x14ac:dyDescent="0.25">
      <c r="K2663" s="8"/>
    </row>
    <row r="2664" spans="11:11" x14ac:dyDescent="0.25">
      <c r="K2664" s="8"/>
    </row>
    <row r="2665" spans="11:11" x14ac:dyDescent="0.25">
      <c r="K2665" s="8"/>
    </row>
    <row r="2666" spans="11:11" x14ac:dyDescent="0.25">
      <c r="K2666" s="8"/>
    </row>
    <row r="2667" spans="11:11" x14ac:dyDescent="0.25">
      <c r="K2667" s="8"/>
    </row>
    <row r="2668" spans="11:11" x14ac:dyDescent="0.25">
      <c r="K2668" s="8"/>
    </row>
    <row r="2669" spans="11:11" x14ac:dyDescent="0.25">
      <c r="K2669" s="8"/>
    </row>
    <row r="2670" spans="11:11" x14ac:dyDescent="0.25">
      <c r="K2670" s="8"/>
    </row>
    <row r="2671" spans="11:11" x14ac:dyDescent="0.25">
      <c r="K2671" s="8"/>
    </row>
    <row r="2672" spans="11:11" x14ac:dyDescent="0.25">
      <c r="K2672" s="8"/>
    </row>
    <row r="2673" spans="11:11" x14ac:dyDescent="0.25">
      <c r="K2673" s="8"/>
    </row>
    <row r="2674" spans="11:11" x14ac:dyDescent="0.25">
      <c r="K2674" s="8"/>
    </row>
    <row r="2675" spans="11:11" x14ac:dyDescent="0.25">
      <c r="K2675" s="8"/>
    </row>
    <row r="2676" spans="11:11" x14ac:dyDescent="0.25">
      <c r="K2676" s="8"/>
    </row>
    <row r="2677" spans="11:11" x14ac:dyDescent="0.25">
      <c r="K2677" s="8"/>
    </row>
    <row r="2678" spans="11:11" x14ac:dyDescent="0.25">
      <c r="K2678" s="8"/>
    </row>
    <row r="2679" spans="11:11" x14ac:dyDescent="0.25">
      <c r="K2679" s="8"/>
    </row>
    <row r="2680" spans="11:11" x14ac:dyDescent="0.25">
      <c r="K2680" s="8"/>
    </row>
    <row r="2681" spans="11:11" x14ac:dyDescent="0.25">
      <c r="K2681" s="8"/>
    </row>
    <row r="2682" spans="11:11" x14ac:dyDescent="0.25">
      <c r="K2682" s="8"/>
    </row>
    <row r="2683" spans="11:11" x14ac:dyDescent="0.25">
      <c r="K2683" s="8"/>
    </row>
    <row r="2684" spans="11:11" x14ac:dyDescent="0.25">
      <c r="K2684" s="8"/>
    </row>
    <row r="2685" spans="11:11" x14ac:dyDescent="0.25">
      <c r="K2685" s="8"/>
    </row>
    <row r="2686" spans="11:11" x14ac:dyDescent="0.25">
      <c r="K2686" s="8"/>
    </row>
    <row r="2687" spans="11:11" x14ac:dyDescent="0.25">
      <c r="K2687" s="8"/>
    </row>
    <row r="2688" spans="11:11" x14ac:dyDescent="0.25">
      <c r="K2688" s="8"/>
    </row>
    <row r="2689" spans="11:11" x14ac:dyDescent="0.25">
      <c r="K2689" s="8"/>
    </row>
    <row r="2690" spans="11:11" x14ac:dyDescent="0.25">
      <c r="K2690" s="8"/>
    </row>
    <row r="2691" spans="11:11" x14ac:dyDescent="0.25">
      <c r="K2691" s="8"/>
    </row>
    <row r="2692" spans="11:11" x14ac:dyDescent="0.25">
      <c r="K2692" s="8"/>
    </row>
    <row r="2693" spans="11:11" x14ac:dyDescent="0.25">
      <c r="K2693" s="8"/>
    </row>
    <row r="2694" spans="11:11" x14ac:dyDescent="0.25">
      <c r="K2694" s="8"/>
    </row>
    <row r="2695" spans="11:11" x14ac:dyDescent="0.25">
      <c r="K2695" s="8"/>
    </row>
    <row r="2696" spans="11:11" x14ac:dyDescent="0.25">
      <c r="K2696" s="8"/>
    </row>
    <row r="2697" spans="11:11" x14ac:dyDescent="0.25">
      <c r="K2697" s="8"/>
    </row>
    <row r="2698" spans="11:11" x14ac:dyDescent="0.25">
      <c r="K2698" s="8"/>
    </row>
    <row r="2699" spans="11:11" x14ac:dyDescent="0.25">
      <c r="K2699" s="8"/>
    </row>
    <row r="2700" spans="11:11" x14ac:dyDescent="0.25">
      <c r="K2700" s="8"/>
    </row>
    <row r="2701" spans="11:11" x14ac:dyDescent="0.25">
      <c r="K2701" s="8"/>
    </row>
    <row r="2702" spans="11:11" x14ac:dyDescent="0.25">
      <c r="K2702" s="8"/>
    </row>
    <row r="2703" spans="11:11" x14ac:dyDescent="0.25">
      <c r="K2703" s="8"/>
    </row>
    <row r="2704" spans="11:11" x14ac:dyDescent="0.25">
      <c r="K2704" s="8"/>
    </row>
    <row r="2705" spans="11:11" x14ac:dyDescent="0.25">
      <c r="K2705" s="8"/>
    </row>
    <row r="2706" spans="11:11" x14ac:dyDescent="0.25">
      <c r="K2706" s="8"/>
    </row>
    <row r="2707" spans="11:11" x14ac:dyDescent="0.25">
      <c r="K2707" s="8"/>
    </row>
    <row r="2708" spans="11:11" x14ac:dyDescent="0.25">
      <c r="K2708" s="8"/>
    </row>
    <row r="2709" spans="11:11" x14ac:dyDescent="0.25">
      <c r="K2709" s="8"/>
    </row>
    <row r="2710" spans="11:11" x14ac:dyDescent="0.25">
      <c r="K2710" s="8"/>
    </row>
    <row r="2711" spans="11:11" x14ac:dyDescent="0.25">
      <c r="K2711" s="8"/>
    </row>
    <row r="2712" spans="11:11" x14ac:dyDescent="0.25">
      <c r="K2712" s="8"/>
    </row>
    <row r="2713" spans="11:11" x14ac:dyDescent="0.25">
      <c r="K2713" s="8"/>
    </row>
    <row r="2714" spans="11:11" x14ac:dyDescent="0.25">
      <c r="K2714" s="8"/>
    </row>
    <row r="2715" spans="11:11" x14ac:dyDescent="0.25">
      <c r="K2715" s="8"/>
    </row>
    <row r="2716" spans="11:11" x14ac:dyDescent="0.25">
      <c r="K2716" s="8"/>
    </row>
    <row r="2717" spans="11:11" x14ac:dyDescent="0.25">
      <c r="K2717" s="8"/>
    </row>
    <row r="2718" spans="11:11" x14ac:dyDescent="0.25">
      <c r="K2718" s="8"/>
    </row>
    <row r="2719" spans="11:11" x14ac:dyDescent="0.25">
      <c r="K2719" s="8"/>
    </row>
    <row r="2720" spans="11:11" x14ac:dyDescent="0.25">
      <c r="K2720" s="8"/>
    </row>
    <row r="2721" spans="11:11" x14ac:dyDescent="0.25">
      <c r="K2721" s="8"/>
    </row>
    <row r="2722" spans="11:11" x14ac:dyDescent="0.25">
      <c r="K2722" s="8"/>
    </row>
    <row r="2723" spans="11:11" x14ac:dyDescent="0.25">
      <c r="K2723" s="8"/>
    </row>
    <row r="2724" spans="11:11" x14ac:dyDescent="0.25">
      <c r="K2724" s="8"/>
    </row>
    <row r="2725" spans="11:11" x14ac:dyDescent="0.25">
      <c r="K2725" s="8"/>
    </row>
    <row r="2726" spans="11:11" x14ac:dyDescent="0.25">
      <c r="K2726" s="8"/>
    </row>
    <row r="2727" spans="11:11" x14ac:dyDescent="0.25">
      <c r="K2727" s="8"/>
    </row>
    <row r="2728" spans="11:11" x14ac:dyDescent="0.25">
      <c r="K2728" s="8"/>
    </row>
    <row r="2729" spans="11:11" x14ac:dyDescent="0.25">
      <c r="K2729" s="8"/>
    </row>
    <row r="2730" spans="11:11" x14ac:dyDescent="0.25">
      <c r="K2730" s="8"/>
    </row>
    <row r="2731" spans="11:11" x14ac:dyDescent="0.25">
      <c r="K2731" s="8"/>
    </row>
    <row r="2732" spans="11:11" x14ac:dyDescent="0.25">
      <c r="K2732" s="8"/>
    </row>
    <row r="2733" spans="11:11" x14ac:dyDescent="0.25">
      <c r="K2733" s="8"/>
    </row>
    <row r="2734" spans="11:11" x14ac:dyDescent="0.25">
      <c r="K2734" s="8"/>
    </row>
    <row r="2735" spans="11:11" x14ac:dyDescent="0.25">
      <c r="K2735" s="8"/>
    </row>
    <row r="2736" spans="11:11" x14ac:dyDescent="0.25">
      <c r="K2736" s="8"/>
    </row>
    <row r="2737" spans="11:11" x14ac:dyDescent="0.25">
      <c r="K2737" s="8"/>
    </row>
    <row r="2738" spans="11:11" x14ac:dyDescent="0.25">
      <c r="K2738" s="8"/>
    </row>
    <row r="2739" spans="11:11" x14ac:dyDescent="0.25">
      <c r="K2739" s="8"/>
    </row>
    <row r="2740" spans="11:11" x14ac:dyDescent="0.25">
      <c r="K2740" s="8"/>
    </row>
    <row r="2741" spans="11:11" x14ac:dyDescent="0.25">
      <c r="K2741" s="8"/>
    </row>
    <row r="2742" spans="11:11" x14ac:dyDescent="0.25">
      <c r="K2742" s="8"/>
    </row>
    <row r="2743" spans="11:11" x14ac:dyDescent="0.25">
      <c r="K2743" s="8"/>
    </row>
    <row r="2744" spans="11:11" x14ac:dyDescent="0.25">
      <c r="K2744" s="8"/>
    </row>
    <row r="2745" spans="11:11" x14ac:dyDescent="0.25">
      <c r="K2745" s="8"/>
    </row>
    <row r="2746" spans="11:11" x14ac:dyDescent="0.25">
      <c r="K2746" s="8"/>
    </row>
    <row r="2747" spans="11:11" x14ac:dyDescent="0.25">
      <c r="K2747" s="8"/>
    </row>
    <row r="2748" spans="11:11" x14ac:dyDescent="0.25">
      <c r="K2748" s="8"/>
    </row>
    <row r="2749" spans="11:11" x14ac:dyDescent="0.25">
      <c r="K2749" s="8"/>
    </row>
    <row r="2750" spans="11:11" x14ac:dyDescent="0.25">
      <c r="K2750" s="8"/>
    </row>
    <row r="2751" spans="11:11" x14ac:dyDescent="0.25">
      <c r="K2751" s="8"/>
    </row>
    <row r="2752" spans="11:11" x14ac:dyDescent="0.25">
      <c r="K2752" s="8"/>
    </row>
    <row r="2753" spans="11:11" x14ac:dyDescent="0.25">
      <c r="K2753" s="8"/>
    </row>
    <row r="2754" spans="11:11" x14ac:dyDescent="0.25">
      <c r="K2754" s="8"/>
    </row>
    <row r="2755" spans="11:11" x14ac:dyDescent="0.25">
      <c r="K2755" s="8"/>
    </row>
    <row r="2756" spans="11:11" x14ac:dyDescent="0.25">
      <c r="K2756" s="8"/>
    </row>
    <row r="2757" spans="11:11" x14ac:dyDescent="0.25">
      <c r="K2757" s="8"/>
    </row>
    <row r="2758" spans="11:11" x14ac:dyDescent="0.25">
      <c r="K2758" s="8"/>
    </row>
    <row r="2759" spans="11:11" x14ac:dyDescent="0.25">
      <c r="K2759" s="8"/>
    </row>
    <row r="2760" spans="11:11" x14ac:dyDescent="0.25">
      <c r="K2760" s="8"/>
    </row>
    <row r="2761" spans="11:11" x14ac:dyDescent="0.25">
      <c r="K2761" s="8"/>
    </row>
    <row r="2762" spans="11:11" x14ac:dyDescent="0.25">
      <c r="K2762" s="8"/>
    </row>
    <row r="2763" spans="11:11" x14ac:dyDescent="0.25">
      <c r="K2763" s="8"/>
    </row>
    <row r="2764" spans="11:11" x14ac:dyDescent="0.25">
      <c r="K2764" s="8"/>
    </row>
    <row r="2765" spans="11:11" x14ac:dyDescent="0.25">
      <c r="K2765" s="8"/>
    </row>
    <row r="2766" spans="11:11" x14ac:dyDescent="0.25">
      <c r="K2766" s="8"/>
    </row>
    <row r="2767" spans="11:11" x14ac:dyDescent="0.25">
      <c r="K2767" s="8"/>
    </row>
    <row r="2768" spans="11:11" x14ac:dyDescent="0.25">
      <c r="K2768" s="8"/>
    </row>
    <row r="2769" spans="11:11" x14ac:dyDescent="0.25">
      <c r="K2769" s="8"/>
    </row>
    <row r="2770" spans="11:11" x14ac:dyDescent="0.25">
      <c r="K2770" s="8"/>
    </row>
    <row r="2771" spans="11:11" x14ac:dyDescent="0.25">
      <c r="K2771" s="8"/>
    </row>
    <row r="2772" spans="11:11" x14ac:dyDescent="0.25">
      <c r="K2772" s="8"/>
    </row>
    <row r="2773" spans="11:11" x14ac:dyDescent="0.25">
      <c r="K2773" s="8"/>
    </row>
    <row r="2774" spans="11:11" x14ac:dyDescent="0.25">
      <c r="K2774" s="8"/>
    </row>
    <row r="2775" spans="11:11" x14ac:dyDescent="0.25">
      <c r="K2775" s="8"/>
    </row>
    <row r="2776" spans="11:11" x14ac:dyDescent="0.25">
      <c r="K2776" s="8"/>
    </row>
    <row r="2777" spans="11:11" x14ac:dyDescent="0.25">
      <c r="K2777" s="8"/>
    </row>
    <row r="2778" spans="11:11" x14ac:dyDescent="0.25">
      <c r="K2778" s="8"/>
    </row>
    <row r="2779" spans="11:11" x14ac:dyDescent="0.25">
      <c r="K2779" s="8"/>
    </row>
    <row r="2780" spans="11:11" x14ac:dyDescent="0.25">
      <c r="K2780" s="8"/>
    </row>
    <row r="2781" spans="11:11" x14ac:dyDescent="0.25">
      <c r="K2781" s="8"/>
    </row>
    <row r="2782" spans="11:11" x14ac:dyDescent="0.25">
      <c r="K2782" s="8"/>
    </row>
    <row r="2783" spans="11:11" x14ac:dyDescent="0.25">
      <c r="K2783" s="8"/>
    </row>
    <row r="2784" spans="11:11" x14ac:dyDescent="0.25">
      <c r="K2784" s="8"/>
    </row>
    <row r="2785" spans="11:11" x14ac:dyDescent="0.25">
      <c r="K2785" s="8"/>
    </row>
    <row r="2786" spans="11:11" x14ac:dyDescent="0.25">
      <c r="K2786" s="8"/>
    </row>
    <row r="2787" spans="11:11" x14ac:dyDescent="0.25">
      <c r="K2787" s="8"/>
    </row>
    <row r="2788" spans="11:11" x14ac:dyDescent="0.25">
      <c r="K2788" s="8"/>
    </row>
    <row r="2789" spans="11:11" x14ac:dyDescent="0.25">
      <c r="K2789" s="8"/>
    </row>
    <row r="2790" spans="11:11" x14ac:dyDescent="0.25">
      <c r="K2790" s="8"/>
    </row>
    <row r="2791" spans="11:11" x14ac:dyDescent="0.25">
      <c r="K2791" s="8"/>
    </row>
    <row r="2792" spans="11:11" x14ac:dyDescent="0.25">
      <c r="K2792" s="8"/>
    </row>
    <row r="2793" spans="11:11" x14ac:dyDescent="0.25">
      <c r="K2793" s="8"/>
    </row>
    <row r="2794" spans="11:11" x14ac:dyDescent="0.25">
      <c r="K2794" s="8"/>
    </row>
    <row r="2795" spans="11:11" x14ac:dyDescent="0.25">
      <c r="K2795" s="8"/>
    </row>
    <row r="2796" spans="11:11" x14ac:dyDescent="0.25">
      <c r="K2796" s="8"/>
    </row>
    <row r="2797" spans="11:11" x14ac:dyDescent="0.25">
      <c r="K2797" s="8"/>
    </row>
    <row r="2798" spans="11:11" x14ac:dyDescent="0.25">
      <c r="K2798" s="8"/>
    </row>
    <row r="2799" spans="11:11" x14ac:dyDescent="0.25">
      <c r="K2799" s="8"/>
    </row>
    <row r="2800" spans="11:11" x14ac:dyDescent="0.25">
      <c r="K2800" s="8"/>
    </row>
    <row r="2801" spans="11:11" x14ac:dyDescent="0.25">
      <c r="K2801" s="8"/>
    </row>
    <row r="2802" spans="11:11" x14ac:dyDescent="0.25">
      <c r="K2802" s="8"/>
    </row>
    <row r="2803" spans="11:11" x14ac:dyDescent="0.25">
      <c r="K2803" s="8"/>
    </row>
    <row r="2804" spans="11:11" x14ac:dyDescent="0.25">
      <c r="K2804" s="8"/>
    </row>
    <row r="2805" spans="11:11" x14ac:dyDescent="0.25">
      <c r="K2805" s="8"/>
    </row>
    <row r="2806" spans="11:11" x14ac:dyDescent="0.25">
      <c r="K2806" s="8"/>
    </row>
    <row r="2807" spans="11:11" x14ac:dyDescent="0.25">
      <c r="K2807" s="8"/>
    </row>
    <row r="2808" spans="11:11" x14ac:dyDescent="0.25">
      <c r="K2808" s="8"/>
    </row>
    <row r="2809" spans="11:11" x14ac:dyDescent="0.25">
      <c r="K2809" s="8"/>
    </row>
    <row r="2810" spans="11:11" x14ac:dyDescent="0.25">
      <c r="K2810" s="8"/>
    </row>
    <row r="2811" spans="11:11" x14ac:dyDescent="0.25">
      <c r="K2811" s="8"/>
    </row>
    <row r="2812" spans="11:11" x14ac:dyDescent="0.25">
      <c r="K2812" s="8"/>
    </row>
    <row r="2813" spans="11:11" x14ac:dyDescent="0.25">
      <c r="K2813" s="8"/>
    </row>
    <row r="2814" spans="11:11" x14ac:dyDescent="0.25">
      <c r="K2814" s="8"/>
    </row>
    <row r="2815" spans="11:11" x14ac:dyDescent="0.25">
      <c r="K2815" s="8"/>
    </row>
    <row r="2816" spans="11:11" x14ac:dyDescent="0.25">
      <c r="K2816" s="8"/>
    </row>
    <row r="2817" spans="11:11" x14ac:dyDescent="0.25">
      <c r="K2817" s="8"/>
    </row>
    <row r="2818" spans="11:11" x14ac:dyDescent="0.25">
      <c r="K2818" s="8"/>
    </row>
    <row r="2819" spans="11:11" x14ac:dyDescent="0.25">
      <c r="K2819" s="8"/>
    </row>
    <row r="2820" spans="11:11" x14ac:dyDescent="0.25">
      <c r="K2820" s="8"/>
    </row>
    <row r="2821" spans="11:11" x14ac:dyDescent="0.25">
      <c r="K2821" s="8"/>
    </row>
    <row r="2822" spans="11:11" x14ac:dyDescent="0.25">
      <c r="K2822" s="8"/>
    </row>
    <row r="2823" spans="11:11" x14ac:dyDescent="0.25">
      <c r="K2823" s="8"/>
    </row>
    <row r="2824" spans="11:11" x14ac:dyDescent="0.25">
      <c r="K2824" s="8"/>
    </row>
    <row r="2825" spans="11:11" x14ac:dyDescent="0.25">
      <c r="K2825" s="8"/>
    </row>
    <row r="2826" spans="11:11" x14ac:dyDescent="0.25">
      <c r="K2826" s="8"/>
    </row>
    <row r="2827" spans="11:11" x14ac:dyDescent="0.25">
      <c r="K2827" s="8"/>
    </row>
    <row r="2828" spans="11:11" x14ac:dyDescent="0.25">
      <c r="K2828" s="8"/>
    </row>
    <row r="2829" spans="11:11" x14ac:dyDescent="0.25">
      <c r="K2829" s="8"/>
    </row>
    <row r="2830" spans="11:11" x14ac:dyDescent="0.25">
      <c r="K2830" s="8"/>
    </row>
    <row r="2831" spans="11:11" x14ac:dyDescent="0.25">
      <c r="K2831" s="8"/>
    </row>
    <row r="2832" spans="11:11" x14ac:dyDescent="0.25">
      <c r="K2832" s="8"/>
    </row>
    <row r="2833" spans="11:11" x14ac:dyDescent="0.25">
      <c r="K2833" s="8"/>
    </row>
    <row r="2834" spans="11:11" x14ac:dyDescent="0.25">
      <c r="K2834" s="8"/>
    </row>
    <row r="2835" spans="11:11" x14ac:dyDescent="0.25">
      <c r="K2835" s="8"/>
    </row>
    <row r="2836" spans="11:11" x14ac:dyDescent="0.25">
      <c r="K2836" s="8"/>
    </row>
    <row r="2837" spans="11:11" x14ac:dyDescent="0.25">
      <c r="K2837" s="8"/>
    </row>
    <row r="2838" spans="11:11" x14ac:dyDescent="0.25">
      <c r="K2838" s="8"/>
    </row>
    <row r="2839" spans="11:11" x14ac:dyDescent="0.25">
      <c r="K2839" s="8"/>
    </row>
    <row r="2840" spans="11:11" x14ac:dyDescent="0.25">
      <c r="K2840" s="8"/>
    </row>
    <row r="2841" spans="11:11" x14ac:dyDescent="0.25">
      <c r="K2841" s="8"/>
    </row>
    <row r="2842" spans="11:11" x14ac:dyDescent="0.25">
      <c r="K2842" s="8"/>
    </row>
    <row r="2843" spans="11:11" x14ac:dyDescent="0.25">
      <c r="K2843" s="8"/>
    </row>
    <row r="2844" spans="11:11" x14ac:dyDescent="0.25">
      <c r="K2844" s="8"/>
    </row>
    <row r="2845" spans="11:11" x14ac:dyDescent="0.25">
      <c r="K2845" s="8"/>
    </row>
    <row r="2846" spans="11:11" x14ac:dyDescent="0.25">
      <c r="K2846" s="8"/>
    </row>
    <row r="2847" spans="11:11" x14ac:dyDescent="0.25">
      <c r="K2847" s="8"/>
    </row>
    <row r="2848" spans="11:11" x14ac:dyDescent="0.25">
      <c r="K2848" s="8"/>
    </row>
    <row r="2849" spans="11:11" x14ac:dyDescent="0.25">
      <c r="K2849" s="8"/>
    </row>
    <row r="2850" spans="11:11" x14ac:dyDescent="0.25">
      <c r="K2850" s="8"/>
    </row>
    <row r="2851" spans="11:11" x14ac:dyDescent="0.25">
      <c r="K2851" s="8"/>
    </row>
    <row r="2852" spans="11:11" x14ac:dyDescent="0.25">
      <c r="K2852" s="8"/>
    </row>
    <row r="2853" spans="11:11" x14ac:dyDescent="0.25">
      <c r="K2853" s="8"/>
    </row>
    <row r="2854" spans="11:11" x14ac:dyDescent="0.25">
      <c r="K2854" s="8"/>
    </row>
    <row r="2855" spans="11:11" x14ac:dyDescent="0.25">
      <c r="K2855" s="8"/>
    </row>
    <row r="2856" spans="11:11" x14ac:dyDescent="0.25">
      <c r="K2856" s="8"/>
    </row>
    <row r="2857" spans="11:11" x14ac:dyDescent="0.25">
      <c r="K2857" s="8"/>
    </row>
    <row r="2858" spans="11:11" x14ac:dyDescent="0.25">
      <c r="K2858" s="8"/>
    </row>
    <row r="2859" spans="11:11" x14ac:dyDescent="0.25">
      <c r="K2859" s="8"/>
    </row>
    <row r="2860" spans="11:11" x14ac:dyDescent="0.25">
      <c r="K2860" s="8"/>
    </row>
    <row r="2861" spans="11:11" x14ac:dyDescent="0.25">
      <c r="K2861" s="8"/>
    </row>
    <row r="2862" spans="11:11" x14ac:dyDescent="0.25">
      <c r="K2862" s="8"/>
    </row>
    <row r="2863" spans="11:11" x14ac:dyDescent="0.25">
      <c r="K2863" s="8"/>
    </row>
    <row r="2864" spans="11:11" x14ac:dyDescent="0.25">
      <c r="K2864" s="8"/>
    </row>
    <row r="2865" spans="11:11" x14ac:dyDescent="0.25">
      <c r="K2865" s="8"/>
    </row>
    <row r="2866" spans="11:11" x14ac:dyDescent="0.25">
      <c r="K2866" s="8"/>
    </row>
    <row r="2867" spans="11:11" x14ac:dyDescent="0.25">
      <c r="K2867" s="8"/>
    </row>
    <row r="2868" spans="11:11" x14ac:dyDescent="0.25">
      <c r="K2868" s="8"/>
    </row>
    <row r="2869" spans="11:11" x14ac:dyDescent="0.25">
      <c r="K2869" s="8"/>
    </row>
    <row r="2870" spans="11:11" x14ac:dyDescent="0.25">
      <c r="K2870" s="8"/>
    </row>
    <row r="2871" spans="11:11" x14ac:dyDescent="0.25">
      <c r="K2871" s="8"/>
    </row>
    <row r="2872" spans="11:11" x14ac:dyDescent="0.25">
      <c r="K2872" s="8"/>
    </row>
    <row r="2873" spans="11:11" x14ac:dyDescent="0.25">
      <c r="K2873" s="8"/>
    </row>
    <row r="2874" spans="11:11" x14ac:dyDescent="0.25">
      <c r="K2874" s="8"/>
    </row>
    <row r="2875" spans="11:11" x14ac:dyDescent="0.25">
      <c r="K2875" s="8"/>
    </row>
    <row r="2876" spans="11:11" x14ac:dyDescent="0.25">
      <c r="K2876" s="8"/>
    </row>
    <row r="2877" spans="11:11" x14ac:dyDescent="0.25">
      <c r="K2877" s="8"/>
    </row>
    <row r="2878" spans="11:11" x14ac:dyDescent="0.25">
      <c r="K2878" s="8"/>
    </row>
    <row r="2879" spans="11:11" x14ac:dyDescent="0.25">
      <c r="K2879" s="8"/>
    </row>
    <row r="2880" spans="11:11" x14ac:dyDescent="0.25">
      <c r="K2880" s="8"/>
    </row>
    <row r="2881" spans="11:11" x14ac:dyDescent="0.25">
      <c r="K2881" s="8"/>
    </row>
    <row r="2882" spans="11:11" x14ac:dyDescent="0.25">
      <c r="K2882" s="8"/>
    </row>
    <row r="2883" spans="11:11" x14ac:dyDescent="0.25">
      <c r="K2883" s="8"/>
    </row>
    <row r="2884" spans="11:11" x14ac:dyDescent="0.25">
      <c r="K2884" s="8"/>
    </row>
    <row r="2885" spans="11:11" x14ac:dyDescent="0.25">
      <c r="K2885" s="8"/>
    </row>
    <row r="2886" spans="11:11" x14ac:dyDescent="0.25">
      <c r="K2886" s="8"/>
    </row>
    <row r="2887" spans="11:11" x14ac:dyDescent="0.25">
      <c r="K2887" s="8"/>
    </row>
    <row r="2888" spans="11:11" x14ac:dyDescent="0.25">
      <c r="K2888" s="8"/>
    </row>
    <row r="2889" spans="11:11" x14ac:dyDescent="0.25">
      <c r="K2889" s="8"/>
    </row>
    <row r="2890" spans="11:11" x14ac:dyDescent="0.25">
      <c r="K2890" s="8"/>
    </row>
    <row r="2891" spans="11:11" x14ac:dyDescent="0.25">
      <c r="K2891" s="8"/>
    </row>
    <row r="2892" spans="11:11" x14ac:dyDescent="0.25">
      <c r="K2892" s="8"/>
    </row>
    <row r="2893" spans="11:11" x14ac:dyDescent="0.25">
      <c r="K2893" s="8"/>
    </row>
    <row r="2894" spans="11:11" x14ac:dyDescent="0.25">
      <c r="K2894" s="8"/>
    </row>
    <row r="2895" spans="11:11" x14ac:dyDescent="0.25">
      <c r="K2895" s="8"/>
    </row>
    <row r="2896" spans="11:11" x14ac:dyDescent="0.25">
      <c r="K2896" s="8"/>
    </row>
    <row r="2897" spans="11:11" x14ac:dyDescent="0.25">
      <c r="K2897" s="8"/>
    </row>
    <row r="2898" spans="11:11" x14ac:dyDescent="0.25">
      <c r="K2898" s="8"/>
    </row>
    <row r="2899" spans="11:11" x14ac:dyDescent="0.25">
      <c r="K2899" s="8"/>
    </row>
    <row r="2900" spans="11:11" x14ac:dyDescent="0.25">
      <c r="K2900" s="8"/>
    </row>
    <row r="2901" spans="11:11" x14ac:dyDescent="0.25">
      <c r="K2901" s="8"/>
    </row>
    <row r="2902" spans="11:11" x14ac:dyDescent="0.25">
      <c r="K2902" s="8"/>
    </row>
    <row r="2903" spans="11:11" x14ac:dyDescent="0.25">
      <c r="K2903" s="8"/>
    </row>
    <row r="2904" spans="11:11" x14ac:dyDescent="0.25">
      <c r="K2904" s="8"/>
    </row>
    <row r="2905" spans="11:11" x14ac:dyDescent="0.25">
      <c r="K2905" s="8"/>
    </row>
    <row r="2906" spans="11:11" x14ac:dyDescent="0.25">
      <c r="K2906" s="8"/>
    </row>
    <row r="2907" spans="11:11" x14ac:dyDescent="0.25">
      <c r="K2907" s="8"/>
    </row>
    <row r="2908" spans="11:11" x14ac:dyDescent="0.25">
      <c r="K2908" s="8"/>
    </row>
    <row r="2909" spans="11:11" x14ac:dyDescent="0.25">
      <c r="K2909" s="8"/>
    </row>
    <row r="2910" spans="11:11" x14ac:dyDescent="0.25">
      <c r="K2910" s="8"/>
    </row>
    <row r="2911" spans="11:11" x14ac:dyDescent="0.25">
      <c r="K2911" s="8"/>
    </row>
    <row r="2912" spans="11:11" x14ac:dyDescent="0.25">
      <c r="K2912" s="8"/>
    </row>
    <row r="2913" spans="11:11" x14ac:dyDescent="0.25">
      <c r="K2913" s="8"/>
    </row>
    <row r="2914" spans="11:11" x14ac:dyDescent="0.25">
      <c r="K2914" s="8"/>
    </row>
    <row r="2915" spans="11:11" x14ac:dyDescent="0.25">
      <c r="K2915" s="8"/>
    </row>
    <row r="2916" spans="11:11" x14ac:dyDescent="0.25">
      <c r="K2916" s="8"/>
    </row>
    <row r="2917" spans="11:11" x14ac:dyDescent="0.25">
      <c r="K2917" s="8"/>
    </row>
    <row r="2918" spans="11:11" x14ac:dyDescent="0.25">
      <c r="K2918" s="8"/>
    </row>
    <row r="2919" spans="11:11" x14ac:dyDescent="0.25">
      <c r="K2919" s="8"/>
    </row>
    <row r="2920" spans="11:11" x14ac:dyDescent="0.25">
      <c r="K2920" s="8"/>
    </row>
    <row r="2921" spans="11:11" x14ac:dyDescent="0.25">
      <c r="K2921" s="8"/>
    </row>
    <row r="2922" spans="11:11" x14ac:dyDescent="0.25">
      <c r="K2922" s="8"/>
    </row>
    <row r="2923" spans="11:11" x14ac:dyDescent="0.25">
      <c r="K2923" s="8"/>
    </row>
    <row r="2924" spans="11:11" x14ac:dyDescent="0.25">
      <c r="K2924" s="8"/>
    </row>
    <row r="2925" spans="11:11" x14ac:dyDescent="0.25">
      <c r="K2925" s="8"/>
    </row>
    <row r="2926" spans="11:11" x14ac:dyDescent="0.25">
      <c r="K2926" s="8"/>
    </row>
    <row r="2927" spans="11:11" x14ac:dyDescent="0.25">
      <c r="K2927" s="8"/>
    </row>
    <row r="2928" spans="11:11" x14ac:dyDescent="0.25">
      <c r="K2928" s="8"/>
    </row>
    <row r="2929" spans="11:11" x14ac:dyDescent="0.25">
      <c r="K2929" s="8"/>
    </row>
    <row r="2930" spans="11:11" x14ac:dyDescent="0.25">
      <c r="K2930" s="8"/>
    </row>
    <row r="2931" spans="11:11" x14ac:dyDescent="0.25">
      <c r="K2931" s="8"/>
    </row>
    <row r="2932" spans="11:11" x14ac:dyDescent="0.25">
      <c r="K2932" s="8"/>
    </row>
    <row r="2933" spans="11:11" x14ac:dyDescent="0.25">
      <c r="K2933" s="8"/>
    </row>
    <row r="2934" spans="11:11" x14ac:dyDescent="0.25">
      <c r="K2934" s="8"/>
    </row>
    <row r="2935" spans="11:11" x14ac:dyDescent="0.25">
      <c r="K2935" s="8"/>
    </row>
    <row r="2936" spans="11:11" x14ac:dyDescent="0.25">
      <c r="K2936" s="8"/>
    </row>
    <row r="2937" spans="11:11" x14ac:dyDescent="0.25">
      <c r="K2937" s="8"/>
    </row>
    <row r="2938" spans="11:11" x14ac:dyDescent="0.25">
      <c r="K2938" s="8"/>
    </row>
    <row r="2939" spans="11:11" x14ac:dyDescent="0.25">
      <c r="K2939" s="8"/>
    </row>
    <row r="2940" spans="11:11" x14ac:dyDescent="0.25">
      <c r="K2940" s="8"/>
    </row>
    <row r="2941" spans="11:11" x14ac:dyDescent="0.25">
      <c r="K2941" s="8"/>
    </row>
    <row r="2942" spans="11:11" x14ac:dyDescent="0.25">
      <c r="K2942" s="8"/>
    </row>
    <row r="2943" spans="11:11" x14ac:dyDescent="0.25">
      <c r="K2943" s="8"/>
    </row>
    <row r="2944" spans="11:11" x14ac:dyDescent="0.25">
      <c r="K2944" s="8"/>
    </row>
    <row r="2945" spans="11:11" x14ac:dyDescent="0.25">
      <c r="K2945" s="8"/>
    </row>
    <row r="2946" spans="11:11" x14ac:dyDescent="0.25">
      <c r="K2946" s="8"/>
    </row>
    <row r="2947" spans="11:11" x14ac:dyDescent="0.25">
      <c r="K2947" s="8"/>
    </row>
    <row r="2948" spans="11:11" x14ac:dyDescent="0.25">
      <c r="K2948" s="8"/>
    </row>
    <row r="2949" spans="11:11" x14ac:dyDescent="0.25">
      <c r="K2949" s="8"/>
    </row>
    <row r="2950" spans="11:11" x14ac:dyDescent="0.25">
      <c r="K2950" s="8"/>
    </row>
    <row r="2951" spans="11:11" x14ac:dyDescent="0.25">
      <c r="K2951" s="8"/>
    </row>
    <row r="2952" spans="11:11" x14ac:dyDescent="0.25">
      <c r="K2952" s="8"/>
    </row>
    <row r="2953" spans="11:11" x14ac:dyDescent="0.25">
      <c r="K2953" s="8"/>
    </row>
    <row r="2954" spans="11:11" x14ac:dyDescent="0.25">
      <c r="K2954" s="8"/>
    </row>
    <row r="2955" spans="11:11" x14ac:dyDescent="0.25">
      <c r="K2955" s="8"/>
    </row>
    <row r="2956" spans="11:11" x14ac:dyDescent="0.25">
      <c r="K2956" s="8"/>
    </row>
    <row r="2957" spans="11:11" x14ac:dyDescent="0.25">
      <c r="K2957" s="8"/>
    </row>
    <row r="2958" spans="11:11" x14ac:dyDescent="0.25">
      <c r="K2958" s="8"/>
    </row>
    <row r="2959" spans="11:11" x14ac:dyDescent="0.25">
      <c r="K2959" s="8"/>
    </row>
    <row r="2960" spans="11:11" x14ac:dyDescent="0.25">
      <c r="K2960" s="8"/>
    </row>
    <row r="2961" spans="11:11" x14ac:dyDescent="0.25">
      <c r="K2961" s="8"/>
    </row>
    <row r="2962" spans="11:11" x14ac:dyDescent="0.25">
      <c r="K2962" s="8"/>
    </row>
    <row r="2963" spans="11:11" x14ac:dyDescent="0.25">
      <c r="K2963" s="8"/>
    </row>
    <row r="2964" spans="11:11" x14ac:dyDescent="0.25">
      <c r="K2964" s="8"/>
    </row>
    <row r="2965" spans="11:11" x14ac:dyDescent="0.25">
      <c r="K2965" s="8"/>
    </row>
    <row r="2966" spans="11:11" x14ac:dyDescent="0.25">
      <c r="K2966" s="8"/>
    </row>
    <row r="2967" spans="11:11" x14ac:dyDescent="0.25">
      <c r="K2967" s="8"/>
    </row>
    <row r="2968" spans="11:11" x14ac:dyDescent="0.25">
      <c r="K2968" s="8"/>
    </row>
    <row r="2969" spans="11:11" x14ac:dyDescent="0.25">
      <c r="K2969" s="8"/>
    </row>
    <row r="2970" spans="11:11" x14ac:dyDescent="0.25">
      <c r="K2970" s="8"/>
    </row>
    <row r="2971" spans="11:11" x14ac:dyDescent="0.25">
      <c r="K2971" s="8"/>
    </row>
    <row r="2972" spans="11:11" x14ac:dyDescent="0.25">
      <c r="K2972" s="8"/>
    </row>
    <row r="2973" spans="11:11" x14ac:dyDescent="0.25">
      <c r="K2973" s="8"/>
    </row>
    <row r="2974" spans="11:11" x14ac:dyDescent="0.25">
      <c r="K2974" s="8"/>
    </row>
    <row r="2975" spans="11:11" x14ac:dyDescent="0.25">
      <c r="K2975" s="8"/>
    </row>
    <row r="2976" spans="11:11" x14ac:dyDescent="0.25">
      <c r="K2976" s="8"/>
    </row>
    <row r="2977" spans="11:11" x14ac:dyDescent="0.25">
      <c r="K2977" s="8"/>
    </row>
    <row r="2978" spans="11:11" x14ac:dyDescent="0.25">
      <c r="K2978" s="8"/>
    </row>
    <row r="2979" spans="11:11" x14ac:dyDescent="0.25">
      <c r="K2979" s="8"/>
    </row>
    <row r="2980" spans="11:11" x14ac:dyDescent="0.25">
      <c r="K2980" s="8"/>
    </row>
    <row r="2981" spans="11:11" x14ac:dyDescent="0.25">
      <c r="K2981" s="8"/>
    </row>
    <row r="2982" spans="11:11" x14ac:dyDescent="0.25">
      <c r="K2982" s="8"/>
    </row>
    <row r="2983" spans="11:11" x14ac:dyDescent="0.25">
      <c r="K2983" s="8"/>
    </row>
    <row r="2984" spans="11:11" x14ac:dyDescent="0.25">
      <c r="K2984" s="8"/>
    </row>
    <row r="2985" spans="11:11" x14ac:dyDescent="0.25">
      <c r="K2985" s="8"/>
    </row>
    <row r="2986" spans="11:11" x14ac:dyDescent="0.25">
      <c r="K2986" s="8"/>
    </row>
    <row r="2987" spans="11:11" x14ac:dyDescent="0.25">
      <c r="K2987" s="8"/>
    </row>
    <row r="2988" spans="11:11" x14ac:dyDescent="0.25">
      <c r="K2988" s="8"/>
    </row>
    <row r="2989" spans="11:11" x14ac:dyDescent="0.25">
      <c r="K2989" s="8"/>
    </row>
    <row r="2990" spans="11:11" x14ac:dyDescent="0.25">
      <c r="K2990" s="8"/>
    </row>
    <row r="2991" spans="11:11" x14ac:dyDescent="0.25">
      <c r="K2991" s="8"/>
    </row>
    <row r="2992" spans="11:11" x14ac:dyDescent="0.25">
      <c r="K2992" s="8"/>
    </row>
    <row r="2993" spans="11:11" x14ac:dyDescent="0.25">
      <c r="K2993" s="8"/>
    </row>
    <row r="2994" spans="11:11" x14ac:dyDescent="0.25">
      <c r="K2994" s="8"/>
    </row>
    <row r="2995" spans="11:11" x14ac:dyDescent="0.25">
      <c r="K2995" s="8"/>
    </row>
    <row r="2996" spans="11:11" x14ac:dyDescent="0.25">
      <c r="K2996" s="8"/>
    </row>
    <row r="2997" spans="11:11" x14ac:dyDescent="0.25">
      <c r="K2997" s="8"/>
    </row>
    <row r="2998" spans="11:11" x14ac:dyDescent="0.25">
      <c r="K2998" s="8"/>
    </row>
    <row r="2999" spans="11:11" x14ac:dyDescent="0.25">
      <c r="K2999" s="8"/>
    </row>
    <row r="3000" spans="11:11" x14ac:dyDescent="0.25">
      <c r="K3000" s="8"/>
    </row>
    <row r="3001" spans="11:11" x14ac:dyDescent="0.25">
      <c r="K3001" s="8"/>
    </row>
    <row r="3002" spans="11:11" x14ac:dyDescent="0.25">
      <c r="K3002" s="8"/>
    </row>
    <row r="3003" spans="11:11" x14ac:dyDescent="0.25">
      <c r="K3003" s="8"/>
    </row>
    <row r="3004" spans="11:11" x14ac:dyDescent="0.25">
      <c r="K3004" s="8"/>
    </row>
    <row r="3005" spans="11:11" x14ac:dyDescent="0.25">
      <c r="K3005" s="8"/>
    </row>
    <row r="3006" spans="11:11" x14ac:dyDescent="0.25">
      <c r="K3006" s="8"/>
    </row>
    <row r="3007" spans="11:11" x14ac:dyDescent="0.25">
      <c r="K3007" s="8"/>
    </row>
    <row r="3008" spans="11:11" x14ac:dyDescent="0.25">
      <c r="K3008" s="8"/>
    </row>
    <row r="3009" spans="11:11" x14ac:dyDescent="0.25">
      <c r="K3009" s="8"/>
    </row>
    <row r="3010" spans="11:11" x14ac:dyDescent="0.25">
      <c r="K3010" s="8"/>
    </row>
    <row r="3011" spans="11:11" x14ac:dyDescent="0.25">
      <c r="K3011" s="8"/>
    </row>
    <row r="3012" spans="11:11" x14ac:dyDescent="0.25">
      <c r="K3012" s="8"/>
    </row>
    <row r="3013" spans="11:11" x14ac:dyDescent="0.25">
      <c r="K3013" s="8"/>
    </row>
    <row r="3014" spans="11:11" x14ac:dyDescent="0.25">
      <c r="K3014" s="8"/>
    </row>
    <row r="3015" spans="11:11" x14ac:dyDescent="0.25">
      <c r="K3015" s="8"/>
    </row>
    <row r="3016" spans="11:11" x14ac:dyDescent="0.25">
      <c r="K3016" s="8"/>
    </row>
    <row r="3017" spans="11:11" x14ac:dyDescent="0.25">
      <c r="K3017" s="8"/>
    </row>
    <row r="3018" spans="11:11" x14ac:dyDescent="0.25">
      <c r="K3018" s="8"/>
    </row>
    <row r="3019" spans="11:11" x14ac:dyDescent="0.25">
      <c r="K3019" s="8"/>
    </row>
    <row r="3020" spans="11:11" x14ac:dyDescent="0.25">
      <c r="K3020" s="8"/>
    </row>
    <row r="3021" spans="11:11" x14ac:dyDescent="0.25">
      <c r="K3021" s="8"/>
    </row>
    <row r="3022" spans="11:11" x14ac:dyDescent="0.25">
      <c r="K3022" s="8"/>
    </row>
    <row r="3023" spans="11:11" x14ac:dyDescent="0.25">
      <c r="K3023" s="8"/>
    </row>
    <row r="3024" spans="11:11" x14ac:dyDescent="0.25">
      <c r="K3024" s="8"/>
    </row>
    <row r="3025" spans="11:11" x14ac:dyDescent="0.25">
      <c r="K3025" s="8"/>
    </row>
    <row r="3026" spans="11:11" x14ac:dyDescent="0.25">
      <c r="K3026" s="8"/>
    </row>
    <row r="3027" spans="11:11" x14ac:dyDescent="0.25">
      <c r="K3027" s="8"/>
    </row>
    <row r="3028" spans="11:11" x14ac:dyDescent="0.25">
      <c r="K3028" s="8"/>
    </row>
    <row r="3029" spans="11:11" x14ac:dyDescent="0.25">
      <c r="K3029" s="8"/>
    </row>
    <row r="3030" spans="11:11" x14ac:dyDescent="0.25">
      <c r="K3030" s="8"/>
    </row>
    <row r="3031" spans="11:11" x14ac:dyDescent="0.25">
      <c r="K3031" s="8"/>
    </row>
    <row r="3032" spans="11:11" x14ac:dyDescent="0.25">
      <c r="K3032" s="8"/>
    </row>
    <row r="3033" spans="11:11" x14ac:dyDescent="0.25">
      <c r="K3033" s="8"/>
    </row>
    <row r="3034" spans="11:11" x14ac:dyDescent="0.25">
      <c r="K3034" s="8"/>
    </row>
    <row r="3035" spans="11:11" x14ac:dyDescent="0.25">
      <c r="K3035" s="8"/>
    </row>
    <row r="3036" spans="11:11" x14ac:dyDescent="0.25">
      <c r="K3036" s="8"/>
    </row>
    <row r="3037" spans="11:11" x14ac:dyDescent="0.25">
      <c r="K3037" s="8"/>
    </row>
    <row r="3038" spans="11:11" x14ac:dyDescent="0.25">
      <c r="K3038" s="8"/>
    </row>
    <row r="3039" spans="11:11" x14ac:dyDescent="0.25">
      <c r="K3039" s="8"/>
    </row>
    <row r="3040" spans="11:11" x14ac:dyDescent="0.25">
      <c r="K3040" s="8"/>
    </row>
    <row r="3041" spans="11:11" x14ac:dyDescent="0.25">
      <c r="K3041" s="8"/>
    </row>
    <row r="3042" spans="11:11" x14ac:dyDescent="0.25">
      <c r="K3042" s="8"/>
    </row>
    <row r="3043" spans="11:11" x14ac:dyDescent="0.25">
      <c r="K3043" s="8"/>
    </row>
    <row r="3044" spans="11:11" x14ac:dyDescent="0.25">
      <c r="K3044" s="8"/>
    </row>
    <row r="3045" spans="11:11" x14ac:dyDescent="0.25">
      <c r="K3045" s="8"/>
    </row>
    <row r="3046" spans="11:11" x14ac:dyDescent="0.25">
      <c r="K3046" s="8"/>
    </row>
    <row r="3047" spans="11:11" x14ac:dyDescent="0.25">
      <c r="K3047" s="8"/>
    </row>
    <row r="3048" spans="11:11" x14ac:dyDescent="0.25">
      <c r="K3048" s="8"/>
    </row>
    <row r="3049" spans="11:11" x14ac:dyDescent="0.25">
      <c r="K3049" s="8"/>
    </row>
    <row r="3050" spans="11:11" x14ac:dyDescent="0.25">
      <c r="K3050" s="8"/>
    </row>
    <row r="3051" spans="11:11" x14ac:dyDescent="0.25">
      <c r="K3051" s="8"/>
    </row>
    <row r="3052" spans="11:11" x14ac:dyDescent="0.25">
      <c r="K3052" s="8"/>
    </row>
    <row r="3053" spans="11:11" x14ac:dyDescent="0.25">
      <c r="K3053" s="8"/>
    </row>
    <row r="3054" spans="11:11" x14ac:dyDescent="0.25">
      <c r="K3054" s="8"/>
    </row>
    <row r="3055" spans="11:11" x14ac:dyDescent="0.25">
      <c r="K3055" s="8"/>
    </row>
    <row r="3056" spans="11:11" x14ac:dyDescent="0.25">
      <c r="K3056" s="8"/>
    </row>
    <row r="3057" spans="11:11" x14ac:dyDescent="0.25">
      <c r="K3057" s="8"/>
    </row>
    <row r="3058" spans="11:11" x14ac:dyDescent="0.25">
      <c r="K3058" s="8"/>
    </row>
    <row r="3059" spans="11:11" x14ac:dyDescent="0.25">
      <c r="K3059" s="8"/>
    </row>
    <row r="3060" spans="11:11" x14ac:dyDescent="0.25">
      <c r="K3060" s="8"/>
    </row>
    <row r="3061" spans="11:11" x14ac:dyDescent="0.25">
      <c r="K3061" s="8"/>
    </row>
    <row r="3062" spans="11:11" x14ac:dyDescent="0.25">
      <c r="K3062" s="8"/>
    </row>
    <row r="3063" spans="11:11" x14ac:dyDescent="0.25">
      <c r="K3063" s="8"/>
    </row>
    <row r="3064" spans="11:11" x14ac:dyDescent="0.25">
      <c r="K3064" s="8"/>
    </row>
    <row r="3065" spans="11:11" x14ac:dyDescent="0.25">
      <c r="K3065" s="8"/>
    </row>
    <row r="3066" spans="11:11" x14ac:dyDescent="0.25">
      <c r="K3066" s="8"/>
    </row>
    <row r="3067" spans="11:11" x14ac:dyDescent="0.25">
      <c r="K3067" s="8"/>
    </row>
    <row r="3068" spans="11:11" x14ac:dyDescent="0.25">
      <c r="K3068" s="8"/>
    </row>
    <row r="3069" spans="11:11" x14ac:dyDescent="0.25">
      <c r="K3069" s="8"/>
    </row>
    <row r="3070" spans="11:11" x14ac:dyDescent="0.25">
      <c r="K3070" s="8"/>
    </row>
    <row r="3071" spans="11:11" x14ac:dyDescent="0.25">
      <c r="K3071" s="8"/>
    </row>
    <row r="3072" spans="11:11" x14ac:dyDescent="0.25">
      <c r="K3072" s="8"/>
    </row>
    <row r="3073" spans="11:11" x14ac:dyDescent="0.25">
      <c r="K3073" s="8"/>
    </row>
    <row r="3074" spans="11:11" x14ac:dyDescent="0.25">
      <c r="K3074" s="8"/>
    </row>
    <row r="3075" spans="11:11" x14ac:dyDescent="0.25">
      <c r="K3075" s="8"/>
    </row>
    <row r="3076" spans="11:11" x14ac:dyDescent="0.25">
      <c r="K3076" s="8"/>
    </row>
    <row r="3077" spans="11:11" x14ac:dyDescent="0.25">
      <c r="K3077" s="8"/>
    </row>
    <row r="3078" spans="11:11" x14ac:dyDescent="0.25">
      <c r="K3078" s="8"/>
    </row>
    <row r="3079" spans="11:11" x14ac:dyDescent="0.25">
      <c r="K3079" s="8"/>
    </row>
    <row r="3080" spans="11:11" x14ac:dyDescent="0.25">
      <c r="K3080" s="8"/>
    </row>
    <row r="3081" spans="11:11" x14ac:dyDescent="0.25">
      <c r="K3081" s="8"/>
    </row>
    <row r="3082" spans="11:11" x14ac:dyDescent="0.25">
      <c r="K3082" s="8"/>
    </row>
    <row r="3083" spans="11:11" x14ac:dyDescent="0.25">
      <c r="K3083" s="8"/>
    </row>
    <row r="3084" spans="11:11" x14ac:dyDescent="0.25">
      <c r="K3084" s="8"/>
    </row>
    <row r="3085" spans="11:11" x14ac:dyDescent="0.25">
      <c r="K3085" s="8"/>
    </row>
    <row r="3086" spans="11:11" x14ac:dyDescent="0.25">
      <c r="K3086" s="8"/>
    </row>
    <row r="3087" spans="11:11" x14ac:dyDescent="0.25">
      <c r="K3087" s="8"/>
    </row>
    <row r="3088" spans="11:11" x14ac:dyDescent="0.25">
      <c r="K3088" s="8"/>
    </row>
    <row r="3089" spans="11:11" x14ac:dyDescent="0.25">
      <c r="K3089" s="8"/>
    </row>
    <row r="3090" spans="11:11" x14ac:dyDescent="0.25">
      <c r="K3090" s="8"/>
    </row>
    <row r="3091" spans="11:11" x14ac:dyDescent="0.25">
      <c r="K3091" s="8"/>
    </row>
    <row r="3092" spans="11:11" x14ac:dyDescent="0.25">
      <c r="K3092" s="8"/>
    </row>
    <row r="3093" spans="11:11" x14ac:dyDescent="0.25">
      <c r="K3093" s="8"/>
    </row>
    <row r="3094" spans="11:11" x14ac:dyDescent="0.25">
      <c r="K3094" s="8"/>
    </row>
    <row r="3095" spans="11:11" x14ac:dyDescent="0.25">
      <c r="K3095" s="8"/>
    </row>
    <row r="3096" spans="11:11" x14ac:dyDescent="0.25">
      <c r="K3096" s="8"/>
    </row>
    <row r="3097" spans="11:11" x14ac:dyDescent="0.25">
      <c r="K3097" s="8"/>
    </row>
    <row r="3098" spans="11:11" x14ac:dyDescent="0.25">
      <c r="K3098" s="8"/>
    </row>
    <row r="3099" spans="11:11" x14ac:dyDescent="0.25">
      <c r="K3099" s="8"/>
    </row>
    <row r="3100" spans="11:11" x14ac:dyDescent="0.25">
      <c r="K3100" s="8"/>
    </row>
    <row r="3101" spans="11:11" x14ac:dyDescent="0.25">
      <c r="K3101" s="8"/>
    </row>
    <row r="3102" spans="11:11" x14ac:dyDescent="0.25">
      <c r="K3102" s="8"/>
    </row>
    <row r="3103" spans="11:11" x14ac:dyDescent="0.25">
      <c r="K3103" s="8"/>
    </row>
    <row r="3104" spans="11:11" x14ac:dyDescent="0.25">
      <c r="K3104" s="8"/>
    </row>
    <row r="3105" spans="11:11" x14ac:dyDescent="0.25">
      <c r="K3105" s="8"/>
    </row>
    <row r="3106" spans="11:11" x14ac:dyDescent="0.25">
      <c r="K3106" s="8"/>
    </row>
    <row r="3107" spans="11:11" x14ac:dyDescent="0.25">
      <c r="K3107" s="8"/>
    </row>
    <row r="3108" spans="11:11" x14ac:dyDescent="0.25">
      <c r="K3108" s="8"/>
    </row>
    <row r="3109" spans="11:11" x14ac:dyDescent="0.25">
      <c r="K3109" s="8"/>
    </row>
    <row r="3110" spans="11:11" x14ac:dyDescent="0.25">
      <c r="K3110" s="8"/>
    </row>
    <row r="3111" spans="11:11" x14ac:dyDescent="0.25">
      <c r="K3111" s="8"/>
    </row>
    <row r="3112" spans="11:11" x14ac:dyDescent="0.25">
      <c r="K3112" s="8"/>
    </row>
    <row r="3113" spans="11:11" x14ac:dyDescent="0.25">
      <c r="K3113" s="8"/>
    </row>
    <row r="3114" spans="11:11" x14ac:dyDescent="0.25">
      <c r="K3114" s="8"/>
    </row>
    <row r="3115" spans="11:11" x14ac:dyDescent="0.25">
      <c r="K3115" s="8"/>
    </row>
    <row r="3116" spans="11:11" x14ac:dyDescent="0.25">
      <c r="K3116" s="8"/>
    </row>
    <row r="3117" spans="11:11" x14ac:dyDescent="0.25">
      <c r="K3117" s="8"/>
    </row>
    <row r="3118" spans="11:11" x14ac:dyDescent="0.25">
      <c r="K3118" s="8"/>
    </row>
    <row r="3119" spans="11:11" x14ac:dyDescent="0.25">
      <c r="K3119" s="8"/>
    </row>
    <row r="3120" spans="11:11" x14ac:dyDescent="0.25">
      <c r="K3120" s="8"/>
    </row>
    <row r="3121" spans="11:11" x14ac:dyDescent="0.25">
      <c r="K3121" s="8"/>
    </row>
    <row r="3122" spans="11:11" x14ac:dyDescent="0.25">
      <c r="K3122" s="8"/>
    </row>
    <row r="3123" spans="11:11" x14ac:dyDescent="0.25">
      <c r="K3123" s="8"/>
    </row>
    <row r="3124" spans="11:11" x14ac:dyDescent="0.25">
      <c r="K3124" s="8"/>
    </row>
    <row r="3125" spans="11:11" x14ac:dyDescent="0.25">
      <c r="K3125" s="8"/>
    </row>
    <row r="3126" spans="11:11" x14ac:dyDescent="0.25">
      <c r="K3126" s="8"/>
    </row>
    <row r="3127" spans="11:11" x14ac:dyDescent="0.25">
      <c r="K3127" s="8"/>
    </row>
    <row r="3128" spans="11:11" x14ac:dyDescent="0.25">
      <c r="K3128" s="8"/>
    </row>
    <row r="3129" spans="11:11" x14ac:dyDescent="0.25">
      <c r="K3129" s="8"/>
    </row>
    <row r="3130" spans="11:11" x14ac:dyDescent="0.25">
      <c r="K3130" s="8"/>
    </row>
    <row r="3131" spans="11:11" x14ac:dyDescent="0.25">
      <c r="K3131" s="8"/>
    </row>
    <row r="3132" spans="11:11" x14ac:dyDescent="0.25">
      <c r="K3132" s="8"/>
    </row>
    <row r="3133" spans="11:11" x14ac:dyDescent="0.25">
      <c r="K3133" s="8"/>
    </row>
    <row r="3134" spans="11:11" x14ac:dyDescent="0.25">
      <c r="K3134" s="8"/>
    </row>
    <row r="3135" spans="11:11" x14ac:dyDescent="0.25">
      <c r="K3135" s="8"/>
    </row>
    <row r="3136" spans="11:11" x14ac:dyDescent="0.25">
      <c r="K3136" s="8"/>
    </row>
    <row r="3137" spans="11:11" x14ac:dyDescent="0.25">
      <c r="K3137" s="8"/>
    </row>
    <row r="3138" spans="11:11" x14ac:dyDescent="0.25">
      <c r="K3138" s="8"/>
    </row>
    <row r="3139" spans="11:11" x14ac:dyDescent="0.25">
      <c r="K3139" s="8"/>
    </row>
    <row r="3140" spans="11:11" x14ac:dyDescent="0.25">
      <c r="K3140" s="8"/>
    </row>
    <row r="3141" spans="11:11" x14ac:dyDescent="0.25">
      <c r="K3141" s="8"/>
    </row>
    <row r="3142" spans="11:11" x14ac:dyDescent="0.25">
      <c r="K3142" s="8"/>
    </row>
    <row r="3143" spans="11:11" x14ac:dyDescent="0.25">
      <c r="K3143" s="8"/>
    </row>
    <row r="3144" spans="11:11" x14ac:dyDescent="0.25">
      <c r="K3144" s="8"/>
    </row>
    <row r="3145" spans="11:11" x14ac:dyDescent="0.25">
      <c r="K3145" s="8"/>
    </row>
    <row r="3146" spans="11:11" x14ac:dyDescent="0.25">
      <c r="K3146" s="8"/>
    </row>
    <row r="3147" spans="11:11" x14ac:dyDescent="0.25">
      <c r="K3147" s="8"/>
    </row>
    <row r="3148" spans="11:11" x14ac:dyDescent="0.25">
      <c r="K3148" s="8"/>
    </row>
    <row r="3149" spans="11:11" x14ac:dyDescent="0.25">
      <c r="K3149" s="8"/>
    </row>
    <row r="3150" spans="11:11" x14ac:dyDescent="0.25">
      <c r="K3150" s="8"/>
    </row>
    <row r="3151" spans="11:11" x14ac:dyDescent="0.25">
      <c r="K3151" s="8"/>
    </row>
    <row r="3152" spans="11:11" x14ac:dyDescent="0.25">
      <c r="K3152" s="8"/>
    </row>
    <row r="3153" spans="11:11" x14ac:dyDescent="0.25">
      <c r="K3153" s="8"/>
    </row>
    <row r="3154" spans="11:11" x14ac:dyDescent="0.25">
      <c r="K3154" s="8"/>
    </row>
    <row r="3155" spans="11:11" x14ac:dyDescent="0.25">
      <c r="K3155" s="8"/>
    </row>
    <row r="3156" spans="11:11" x14ac:dyDescent="0.25">
      <c r="K3156" s="8"/>
    </row>
    <row r="3157" spans="11:11" x14ac:dyDescent="0.25">
      <c r="K3157" s="8"/>
    </row>
    <row r="3158" spans="11:11" x14ac:dyDescent="0.25">
      <c r="K3158" s="8"/>
    </row>
    <row r="3159" spans="11:11" x14ac:dyDescent="0.25">
      <c r="K3159" s="8"/>
    </row>
    <row r="3160" spans="11:11" x14ac:dyDescent="0.25">
      <c r="K3160" s="8"/>
    </row>
    <row r="3161" spans="11:11" x14ac:dyDescent="0.25">
      <c r="K3161" s="8"/>
    </row>
    <row r="3162" spans="11:11" x14ac:dyDescent="0.25">
      <c r="K3162" s="8"/>
    </row>
    <row r="3163" spans="11:11" x14ac:dyDescent="0.25">
      <c r="K3163" s="8"/>
    </row>
    <row r="3164" spans="11:11" x14ac:dyDescent="0.25">
      <c r="K3164" s="8"/>
    </row>
    <row r="3165" spans="11:11" x14ac:dyDescent="0.25">
      <c r="K3165" s="8"/>
    </row>
    <row r="3166" spans="11:11" x14ac:dyDescent="0.25">
      <c r="K3166" s="8"/>
    </row>
    <row r="3167" spans="11:11" x14ac:dyDescent="0.25">
      <c r="K3167" s="8"/>
    </row>
    <row r="3168" spans="11:11" x14ac:dyDescent="0.25">
      <c r="K3168" s="8"/>
    </row>
    <row r="3169" spans="11:11" x14ac:dyDescent="0.25">
      <c r="K3169" s="8"/>
    </row>
    <row r="3170" spans="11:11" x14ac:dyDescent="0.25">
      <c r="K3170" s="8"/>
    </row>
    <row r="3171" spans="11:11" x14ac:dyDescent="0.25">
      <c r="K3171" s="8"/>
    </row>
    <row r="3172" spans="11:11" x14ac:dyDescent="0.25">
      <c r="K3172" s="8"/>
    </row>
    <row r="3173" spans="11:11" x14ac:dyDescent="0.25">
      <c r="K3173" s="8"/>
    </row>
    <row r="3174" spans="11:11" x14ac:dyDescent="0.25">
      <c r="K3174" s="8"/>
    </row>
    <row r="3175" spans="11:11" x14ac:dyDescent="0.25">
      <c r="K3175" s="8"/>
    </row>
    <row r="3176" spans="11:11" x14ac:dyDescent="0.25">
      <c r="K3176" s="8"/>
    </row>
    <row r="3177" spans="11:11" x14ac:dyDescent="0.25">
      <c r="K3177" s="8"/>
    </row>
    <row r="3178" spans="11:11" x14ac:dyDescent="0.25">
      <c r="K3178" s="8"/>
    </row>
    <row r="3179" spans="11:11" x14ac:dyDescent="0.25">
      <c r="K3179" s="8"/>
    </row>
    <row r="3180" spans="11:11" x14ac:dyDescent="0.25">
      <c r="K3180" s="8"/>
    </row>
    <row r="3181" spans="11:11" x14ac:dyDescent="0.25">
      <c r="K3181" s="8"/>
    </row>
    <row r="3182" spans="11:11" x14ac:dyDescent="0.25">
      <c r="K3182" s="8"/>
    </row>
    <row r="3183" spans="11:11" x14ac:dyDescent="0.25">
      <c r="K3183" s="8"/>
    </row>
    <row r="3184" spans="11:11" x14ac:dyDescent="0.25">
      <c r="K3184" s="8"/>
    </row>
    <row r="3185" spans="11:11" x14ac:dyDescent="0.25">
      <c r="K3185" s="8"/>
    </row>
    <row r="3186" spans="11:11" x14ac:dyDescent="0.25">
      <c r="K3186" s="8"/>
    </row>
    <row r="3187" spans="11:11" x14ac:dyDescent="0.25">
      <c r="K3187" s="8"/>
    </row>
    <row r="3188" spans="11:11" x14ac:dyDescent="0.25">
      <c r="K3188" s="8"/>
    </row>
    <row r="3189" spans="11:11" x14ac:dyDescent="0.25">
      <c r="K3189" s="8"/>
    </row>
    <row r="3190" spans="11:11" x14ac:dyDescent="0.25">
      <c r="K3190" s="8"/>
    </row>
    <row r="3191" spans="11:11" x14ac:dyDescent="0.25">
      <c r="K3191" s="8"/>
    </row>
    <row r="3192" spans="11:11" x14ac:dyDescent="0.25">
      <c r="K3192" s="8"/>
    </row>
    <row r="3193" spans="11:11" x14ac:dyDescent="0.25">
      <c r="K3193" s="8"/>
    </row>
    <row r="3194" spans="11:11" x14ac:dyDescent="0.25">
      <c r="K3194" s="8"/>
    </row>
    <row r="3195" spans="11:11" x14ac:dyDescent="0.25">
      <c r="K3195" s="8"/>
    </row>
    <row r="3196" spans="11:11" x14ac:dyDescent="0.25">
      <c r="K3196" s="8"/>
    </row>
    <row r="3197" spans="11:11" x14ac:dyDescent="0.25">
      <c r="K3197" s="8"/>
    </row>
    <row r="3198" spans="11:11" x14ac:dyDescent="0.25">
      <c r="K3198" s="8"/>
    </row>
    <row r="3199" spans="11:11" x14ac:dyDescent="0.25">
      <c r="K3199" s="8"/>
    </row>
    <row r="3200" spans="11:11" x14ac:dyDescent="0.25">
      <c r="K3200" s="8"/>
    </row>
    <row r="3201" spans="11:11" x14ac:dyDescent="0.25">
      <c r="K3201" s="8"/>
    </row>
    <row r="3202" spans="11:11" x14ac:dyDescent="0.25">
      <c r="K3202" s="8"/>
    </row>
    <row r="3203" spans="11:11" x14ac:dyDescent="0.25">
      <c r="K3203" s="8"/>
    </row>
    <row r="3204" spans="11:11" x14ac:dyDescent="0.25">
      <c r="K3204" s="8"/>
    </row>
    <row r="3205" spans="11:11" x14ac:dyDescent="0.25">
      <c r="K3205" s="8"/>
    </row>
    <row r="3206" spans="11:11" x14ac:dyDescent="0.25">
      <c r="K3206" s="8"/>
    </row>
    <row r="3207" spans="11:11" x14ac:dyDescent="0.25">
      <c r="K3207" s="8"/>
    </row>
    <row r="3208" spans="11:11" x14ac:dyDescent="0.25">
      <c r="K3208" s="8"/>
    </row>
    <row r="3209" spans="11:11" x14ac:dyDescent="0.25">
      <c r="K3209" s="8"/>
    </row>
    <row r="3210" spans="11:11" x14ac:dyDescent="0.25">
      <c r="K3210" s="8"/>
    </row>
    <row r="3211" spans="11:11" x14ac:dyDescent="0.25">
      <c r="K3211" s="8"/>
    </row>
    <row r="3212" spans="11:11" x14ac:dyDescent="0.25">
      <c r="K3212" s="8"/>
    </row>
    <row r="3213" spans="11:11" x14ac:dyDescent="0.25">
      <c r="K3213" s="8"/>
    </row>
    <row r="3214" spans="11:11" x14ac:dyDescent="0.25">
      <c r="K3214" s="8"/>
    </row>
    <row r="3215" spans="11:11" x14ac:dyDescent="0.25">
      <c r="K3215" s="8"/>
    </row>
    <row r="3216" spans="11:11" x14ac:dyDescent="0.25">
      <c r="K3216" s="8"/>
    </row>
    <row r="3217" spans="11:11" x14ac:dyDescent="0.25">
      <c r="K3217" s="8"/>
    </row>
    <row r="3218" spans="11:11" x14ac:dyDescent="0.25">
      <c r="K3218" s="8"/>
    </row>
    <row r="3219" spans="11:11" x14ac:dyDescent="0.25">
      <c r="K3219" s="8"/>
    </row>
    <row r="3220" spans="11:11" x14ac:dyDescent="0.25">
      <c r="K3220" s="8"/>
    </row>
    <row r="3221" spans="11:11" x14ac:dyDescent="0.25">
      <c r="K3221" s="8"/>
    </row>
    <row r="3222" spans="11:11" x14ac:dyDescent="0.25">
      <c r="K3222" s="8"/>
    </row>
    <row r="3223" spans="11:11" x14ac:dyDescent="0.25">
      <c r="K3223" s="8"/>
    </row>
    <row r="3224" spans="11:11" x14ac:dyDescent="0.25">
      <c r="K3224" s="8"/>
    </row>
    <row r="3225" spans="11:11" x14ac:dyDescent="0.25">
      <c r="K3225" s="8"/>
    </row>
    <row r="3226" spans="11:11" x14ac:dyDescent="0.25">
      <c r="K3226" s="8"/>
    </row>
    <row r="3227" spans="11:11" x14ac:dyDescent="0.25">
      <c r="K3227" s="8"/>
    </row>
    <row r="3228" spans="11:11" x14ac:dyDescent="0.25">
      <c r="K3228" s="8"/>
    </row>
    <row r="3229" spans="11:11" x14ac:dyDescent="0.25">
      <c r="K3229" s="8"/>
    </row>
    <row r="3230" spans="11:11" x14ac:dyDescent="0.25">
      <c r="K3230" s="8"/>
    </row>
    <row r="3231" spans="11:11" x14ac:dyDescent="0.25">
      <c r="K3231" s="8"/>
    </row>
    <row r="3232" spans="11:11" x14ac:dyDescent="0.25">
      <c r="K3232" s="8"/>
    </row>
    <row r="3233" spans="11:11" x14ac:dyDescent="0.25">
      <c r="K3233" s="8"/>
    </row>
    <row r="3234" spans="11:11" x14ac:dyDescent="0.25">
      <c r="K3234" s="8"/>
    </row>
    <row r="3235" spans="11:11" x14ac:dyDescent="0.25">
      <c r="K3235" s="8"/>
    </row>
    <row r="3236" spans="11:11" x14ac:dyDescent="0.25">
      <c r="K3236" s="8"/>
    </row>
    <row r="3237" spans="11:11" x14ac:dyDescent="0.25">
      <c r="K3237" s="8"/>
    </row>
    <row r="3238" spans="11:11" x14ac:dyDescent="0.25">
      <c r="K3238" s="8"/>
    </row>
    <row r="3239" spans="11:11" x14ac:dyDescent="0.25">
      <c r="K3239" s="8"/>
    </row>
    <row r="3240" spans="11:11" x14ac:dyDescent="0.25">
      <c r="K3240" s="8"/>
    </row>
    <row r="3241" spans="11:11" x14ac:dyDescent="0.25">
      <c r="K3241" s="8"/>
    </row>
    <row r="3242" spans="11:11" x14ac:dyDescent="0.25">
      <c r="K3242" s="8"/>
    </row>
    <row r="3243" spans="11:11" x14ac:dyDescent="0.25">
      <c r="K3243" s="8"/>
    </row>
    <row r="3244" spans="11:11" x14ac:dyDescent="0.25">
      <c r="K3244" s="8"/>
    </row>
    <row r="3245" spans="11:11" x14ac:dyDescent="0.25">
      <c r="K3245" s="8"/>
    </row>
    <row r="3246" spans="11:11" x14ac:dyDescent="0.25">
      <c r="K3246" s="8"/>
    </row>
    <row r="3247" spans="11:11" x14ac:dyDescent="0.25">
      <c r="K3247" s="8"/>
    </row>
    <row r="3248" spans="11:11" x14ac:dyDescent="0.25">
      <c r="K3248" s="8"/>
    </row>
    <row r="3249" spans="11:11" x14ac:dyDescent="0.25">
      <c r="K3249" s="8"/>
    </row>
    <row r="3250" spans="11:11" x14ac:dyDescent="0.25">
      <c r="K3250" s="8"/>
    </row>
    <row r="3251" spans="11:11" x14ac:dyDescent="0.25">
      <c r="K3251" s="8"/>
    </row>
    <row r="3252" spans="11:11" x14ac:dyDescent="0.25">
      <c r="K3252" s="8"/>
    </row>
    <row r="3253" spans="11:11" x14ac:dyDescent="0.25">
      <c r="K3253" s="8"/>
    </row>
    <row r="3254" spans="11:11" x14ac:dyDescent="0.25">
      <c r="K3254" s="8"/>
    </row>
    <row r="3255" spans="11:11" x14ac:dyDescent="0.25">
      <c r="K3255" s="8"/>
    </row>
    <row r="3256" spans="11:11" x14ac:dyDescent="0.25">
      <c r="K3256" s="8"/>
    </row>
    <row r="3257" spans="11:11" x14ac:dyDescent="0.25">
      <c r="K3257" s="8"/>
    </row>
    <row r="3258" spans="11:11" x14ac:dyDescent="0.25">
      <c r="K3258" s="8"/>
    </row>
    <row r="3259" spans="11:11" x14ac:dyDescent="0.25">
      <c r="K3259" s="8"/>
    </row>
    <row r="3260" spans="11:11" x14ac:dyDescent="0.25">
      <c r="K3260" s="8"/>
    </row>
    <row r="3261" spans="11:11" x14ac:dyDescent="0.25">
      <c r="K3261" s="8"/>
    </row>
    <row r="3262" spans="11:11" x14ac:dyDescent="0.25">
      <c r="K3262" s="8"/>
    </row>
    <row r="3263" spans="11:11" x14ac:dyDescent="0.25">
      <c r="K3263" s="8"/>
    </row>
    <row r="3264" spans="11:11" x14ac:dyDescent="0.25">
      <c r="K3264" s="8"/>
    </row>
    <row r="3265" spans="11:11" x14ac:dyDescent="0.25">
      <c r="K3265" s="8"/>
    </row>
    <row r="3266" spans="11:11" x14ac:dyDescent="0.25">
      <c r="K3266" s="8"/>
    </row>
    <row r="3267" spans="11:11" x14ac:dyDescent="0.25">
      <c r="K3267" s="8"/>
    </row>
    <row r="3268" spans="11:11" x14ac:dyDescent="0.25">
      <c r="K3268" s="8"/>
    </row>
    <row r="3269" spans="11:11" x14ac:dyDescent="0.25">
      <c r="K3269" s="8"/>
    </row>
    <row r="3270" spans="11:11" x14ac:dyDescent="0.25">
      <c r="K3270" s="8"/>
    </row>
    <row r="3271" spans="11:11" x14ac:dyDescent="0.25">
      <c r="K3271" s="8"/>
    </row>
    <row r="3272" spans="11:11" x14ac:dyDescent="0.25">
      <c r="K3272" s="8"/>
    </row>
    <row r="3273" spans="11:11" x14ac:dyDescent="0.25">
      <c r="K3273" s="8"/>
    </row>
    <row r="3274" spans="11:11" x14ac:dyDescent="0.25">
      <c r="K3274" s="8"/>
    </row>
    <row r="3275" spans="11:11" x14ac:dyDescent="0.25">
      <c r="K3275" s="8"/>
    </row>
    <row r="3276" spans="11:11" x14ac:dyDescent="0.25">
      <c r="K3276" s="8"/>
    </row>
    <row r="3277" spans="11:11" x14ac:dyDescent="0.25">
      <c r="K3277" s="8"/>
    </row>
    <row r="3278" spans="11:11" x14ac:dyDescent="0.25">
      <c r="K3278" s="8"/>
    </row>
    <row r="3279" spans="11:11" x14ac:dyDescent="0.25">
      <c r="K3279" s="8"/>
    </row>
    <row r="3280" spans="11:11" x14ac:dyDescent="0.25">
      <c r="K3280" s="8"/>
    </row>
    <row r="3281" spans="11:11" x14ac:dyDescent="0.25">
      <c r="K3281" s="8"/>
    </row>
    <row r="3282" spans="11:11" x14ac:dyDescent="0.25">
      <c r="K3282" s="8"/>
    </row>
    <row r="3283" spans="11:11" x14ac:dyDescent="0.25">
      <c r="K3283" s="8"/>
    </row>
    <row r="3284" spans="11:11" x14ac:dyDescent="0.25">
      <c r="K3284" s="8"/>
    </row>
    <row r="3285" spans="11:11" x14ac:dyDescent="0.25">
      <c r="K3285" s="8"/>
    </row>
    <row r="3286" spans="11:11" x14ac:dyDescent="0.25">
      <c r="K3286" s="8"/>
    </row>
    <row r="3287" spans="11:11" x14ac:dyDescent="0.25">
      <c r="K3287" s="8"/>
    </row>
    <row r="3288" spans="11:11" x14ac:dyDescent="0.25">
      <c r="K3288" s="8"/>
    </row>
    <row r="3289" spans="11:11" x14ac:dyDescent="0.25">
      <c r="K3289" s="8"/>
    </row>
    <row r="3290" spans="11:11" x14ac:dyDescent="0.25">
      <c r="K3290" s="8"/>
    </row>
    <row r="3291" spans="11:11" x14ac:dyDescent="0.25">
      <c r="K3291" s="8"/>
    </row>
    <row r="3292" spans="11:11" x14ac:dyDescent="0.25">
      <c r="K3292" s="8"/>
    </row>
    <row r="3293" spans="11:11" x14ac:dyDescent="0.25">
      <c r="K3293" s="8"/>
    </row>
    <row r="3294" spans="11:11" x14ac:dyDescent="0.25">
      <c r="K3294" s="8"/>
    </row>
    <row r="3295" spans="11:11" x14ac:dyDescent="0.25">
      <c r="K3295" s="8"/>
    </row>
    <row r="3296" spans="11:11" x14ac:dyDescent="0.25">
      <c r="K3296" s="8"/>
    </row>
    <row r="3297" spans="11:11" x14ac:dyDescent="0.25">
      <c r="K3297" s="8"/>
    </row>
    <row r="3298" spans="11:11" x14ac:dyDescent="0.25">
      <c r="K3298" s="8"/>
    </row>
    <row r="3299" spans="11:11" x14ac:dyDescent="0.25">
      <c r="K3299" s="8"/>
    </row>
    <row r="3300" spans="11:11" x14ac:dyDescent="0.25">
      <c r="K3300" s="8"/>
    </row>
    <row r="3301" spans="11:11" x14ac:dyDescent="0.25">
      <c r="K3301" s="8"/>
    </row>
    <row r="3302" spans="11:11" x14ac:dyDescent="0.25">
      <c r="K3302" s="8"/>
    </row>
    <row r="3303" spans="11:11" x14ac:dyDescent="0.25">
      <c r="K3303" s="8"/>
    </row>
    <row r="3304" spans="11:11" x14ac:dyDescent="0.25">
      <c r="K3304" s="8"/>
    </row>
    <row r="3305" spans="11:11" x14ac:dyDescent="0.25">
      <c r="K3305" s="8"/>
    </row>
    <row r="3306" spans="11:11" x14ac:dyDescent="0.25">
      <c r="K3306" s="8"/>
    </row>
    <row r="3307" spans="11:11" x14ac:dyDescent="0.25">
      <c r="K3307" s="8"/>
    </row>
    <row r="3308" spans="11:11" x14ac:dyDescent="0.25">
      <c r="K3308" s="8"/>
    </row>
    <row r="3309" spans="11:11" x14ac:dyDescent="0.25">
      <c r="K3309" s="8"/>
    </row>
    <row r="3310" spans="11:11" x14ac:dyDescent="0.25">
      <c r="K3310" s="8"/>
    </row>
    <row r="3311" spans="11:11" x14ac:dyDescent="0.25">
      <c r="K3311" s="8"/>
    </row>
    <row r="3312" spans="11:11" x14ac:dyDescent="0.25">
      <c r="K3312" s="8"/>
    </row>
    <row r="3313" spans="11:11" x14ac:dyDescent="0.25">
      <c r="K3313" s="8"/>
    </row>
    <row r="3314" spans="11:11" x14ac:dyDescent="0.25">
      <c r="K3314" s="8"/>
    </row>
    <row r="3315" spans="11:11" x14ac:dyDescent="0.25">
      <c r="K3315" s="8"/>
    </row>
    <row r="3316" spans="11:11" x14ac:dyDescent="0.25">
      <c r="K3316" s="8"/>
    </row>
    <row r="3317" spans="11:11" x14ac:dyDescent="0.25">
      <c r="K3317" s="8"/>
    </row>
    <row r="3318" spans="11:11" x14ac:dyDescent="0.25">
      <c r="K3318" s="8"/>
    </row>
    <row r="3319" spans="11:11" x14ac:dyDescent="0.25">
      <c r="K3319" s="8"/>
    </row>
    <row r="3320" spans="11:11" x14ac:dyDescent="0.25">
      <c r="K3320" s="8"/>
    </row>
    <row r="3321" spans="11:11" x14ac:dyDescent="0.25">
      <c r="K3321" s="8"/>
    </row>
    <row r="3322" spans="11:11" x14ac:dyDescent="0.25">
      <c r="K3322" s="8"/>
    </row>
    <row r="3323" spans="11:11" x14ac:dyDescent="0.25">
      <c r="K3323" s="8"/>
    </row>
    <row r="3324" spans="11:11" x14ac:dyDescent="0.25">
      <c r="K3324" s="8"/>
    </row>
    <row r="3325" spans="11:11" x14ac:dyDescent="0.25">
      <c r="K3325" s="8"/>
    </row>
    <row r="3326" spans="11:11" x14ac:dyDescent="0.25">
      <c r="K3326" s="8"/>
    </row>
    <row r="3327" spans="11:11" x14ac:dyDescent="0.25">
      <c r="K3327" s="8"/>
    </row>
    <row r="3328" spans="11:11" x14ac:dyDescent="0.25">
      <c r="K3328" s="8"/>
    </row>
    <row r="3329" spans="11:11" x14ac:dyDescent="0.25">
      <c r="K3329" s="8"/>
    </row>
    <row r="3330" spans="11:11" x14ac:dyDescent="0.25">
      <c r="K3330" s="8"/>
    </row>
    <row r="3331" spans="11:11" x14ac:dyDescent="0.25">
      <c r="K3331" s="8"/>
    </row>
    <row r="3332" spans="11:11" x14ac:dyDescent="0.25">
      <c r="K3332" s="8"/>
    </row>
    <row r="3333" spans="11:11" x14ac:dyDescent="0.25">
      <c r="K3333" s="8"/>
    </row>
    <row r="3334" spans="11:11" x14ac:dyDescent="0.25">
      <c r="K3334" s="8"/>
    </row>
    <row r="3335" spans="11:11" x14ac:dyDescent="0.25">
      <c r="K3335" s="8"/>
    </row>
    <row r="3336" spans="11:11" x14ac:dyDescent="0.25">
      <c r="K3336" s="8"/>
    </row>
    <row r="3337" spans="11:11" x14ac:dyDescent="0.25">
      <c r="K3337" s="8"/>
    </row>
    <row r="3338" spans="11:11" x14ac:dyDescent="0.25">
      <c r="K3338" s="8"/>
    </row>
    <row r="3339" spans="11:11" x14ac:dyDescent="0.25">
      <c r="K3339" s="8"/>
    </row>
    <row r="3340" spans="11:11" x14ac:dyDescent="0.25">
      <c r="K3340" s="8"/>
    </row>
    <row r="3341" spans="11:11" x14ac:dyDescent="0.25">
      <c r="K3341" s="8"/>
    </row>
    <row r="3342" spans="11:11" x14ac:dyDescent="0.25">
      <c r="K3342" s="8"/>
    </row>
    <row r="3343" spans="11:11" x14ac:dyDescent="0.25">
      <c r="K3343" s="8"/>
    </row>
    <row r="3344" spans="11:11" x14ac:dyDescent="0.25">
      <c r="K3344" s="8"/>
    </row>
    <row r="3345" spans="11:11" x14ac:dyDescent="0.25">
      <c r="K3345" s="8"/>
    </row>
    <row r="3346" spans="11:11" x14ac:dyDescent="0.25">
      <c r="K3346" s="8"/>
    </row>
    <row r="3347" spans="11:11" x14ac:dyDescent="0.25">
      <c r="K3347" s="8"/>
    </row>
    <row r="3348" spans="11:11" x14ac:dyDescent="0.25">
      <c r="K3348" s="8"/>
    </row>
    <row r="3349" spans="11:11" x14ac:dyDescent="0.25">
      <c r="K3349" s="8"/>
    </row>
    <row r="3350" spans="11:11" x14ac:dyDescent="0.25">
      <c r="K3350" s="8"/>
    </row>
    <row r="3351" spans="11:11" x14ac:dyDescent="0.25">
      <c r="K3351" s="8"/>
    </row>
    <row r="3352" spans="11:11" x14ac:dyDescent="0.25">
      <c r="K3352" s="8"/>
    </row>
    <row r="3353" spans="11:11" x14ac:dyDescent="0.25">
      <c r="K3353" s="8"/>
    </row>
    <row r="3354" spans="11:11" x14ac:dyDescent="0.25">
      <c r="K3354" s="8"/>
    </row>
    <row r="3355" spans="11:11" x14ac:dyDescent="0.25">
      <c r="K3355" s="8"/>
    </row>
    <row r="3356" spans="11:11" x14ac:dyDescent="0.25">
      <c r="K3356" s="8"/>
    </row>
    <row r="3357" spans="11:11" x14ac:dyDescent="0.25">
      <c r="K3357" s="8"/>
    </row>
    <row r="3358" spans="11:11" x14ac:dyDescent="0.25">
      <c r="K3358" s="8"/>
    </row>
    <row r="3359" spans="11:11" x14ac:dyDescent="0.25">
      <c r="K3359" s="8"/>
    </row>
    <row r="3360" spans="11:11" x14ac:dyDescent="0.25">
      <c r="K3360" s="8"/>
    </row>
    <row r="3361" spans="11:11" x14ac:dyDescent="0.25">
      <c r="K3361" s="8"/>
    </row>
    <row r="3362" spans="11:11" x14ac:dyDescent="0.25">
      <c r="K3362" s="8"/>
    </row>
    <row r="3363" spans="11:11" x14ac:dyDescent="0.25">
      <c r="K3363" s="8"/>
    </row>
    <row r="3364" spans="11:11" x14ac:dyDescent="0.25">
      <c r="K3364" s="8"/>
    </row>
    <row r="3365" spans="11:11" x14ac:dyDescent="0.25">
      <c r="K3365" s="8"/>
    </row>
    <row r="3366" spans="11:11" x14ac:dyDescent="0.25">
      <c r="K3366" s="8"/>
    </row>
    <row r="3367" spans="11:11" x14ac:dyDescent="0.25">
      <c r="K3367" s="8"/>
    </row>
    <row r="3368" spans="11:11" x14ac:dyDescent="0.25">
      <c r="K3368" s="8"/>
    </row>
    <row r="3369" spans="11:11" x14ac:dyDescent="0.25">
      <c r="K3369" s="8"/>
    </row>
    <row r="3370" spans="11:11" x14ac:dyDescent="0.25">
      <c r="K3370" s="8"/>
    </row>
    <row r="3371" spans="11:11" x14ac:dyDescent="0.25">
      <c r="K3371" s="8"/>
    </row>
    <row r="3372" spans="11:11" x14ac:dyDescent="0.25">
      <c r="K3372" s="8"/>
    </row>
    <row r="3373" spans="11:11" x14ac:dyDescent="0.25">
      <c r="K3373" s="8"/>
    </row>
    <row r="3374" spans="11:11" x14ac:dyDescent="0.25">
      <c r="K3374" s="8"/>
    </row>
    <row r="3375" spans="11:11" x14ac:dyDescent="0.25">
      <c r="K3375" s="8"/>
    </row>
    <row r="3376" spans="11:11" x14ac:dyDescent="0.25">
      <c r="K3376" s="8"/>
    </row>
    <row r="3377" spans="11:11" x14ac:dyDescent="0.25">
      <c r="K3377" s="8"/>
    </row>
    <row r="3378" spans="11:11" x14ac:dyDescent="0.25">
      <c r="K3378" s="8"/>
    </row>
    <row r="3379" spans="11:11" x14ac:dyDescent="0.25">
      <c r="K3379" s="8"/>
    </row>
    <row r="3380" spans="11:11" x14ac:dyDescent="0.25">
      <c r="K3380" s="8"/>
    </row>
    <row r="3381" spans="11:11" x14ac:dyDescent="0.25">
      <c r="K3381" s="8"/>
    </row>
    <row r="3382" spans="11:11" x14ac:dyDescent="0.25">
      <c r="K3382" s="8"/>
    </row>
    <row r="3383" spans="11:11" x14ac:dyDescent="0.25">
      <c r="K3383" s="8"/>
    </row>
    <row r="3384" spans="11:11" x14ac:dyDescent="0.25">
      <c r="K3384" s="8"/>
    </row>
    <row r="3385" spans="11:11" x14ac:dyDescent="0.25">
      <c r="K3385" s="8"/>
    </row>
    <row r="3386" spans="11:11" x14ac:dyDescent="0.25">
      <c r="K3386" s="8"/>
    </row>
    <row r="3387" spans="11:11" x14ac:dyDescent="0.25">
      <c r="K3387" s="8"/>
    </row>
    <row r="3388" spans="11:11" x14ac:dyDescent="0.25">
      <c r="K3388" s="8"/>
    </row>
    <row r="3389" spans="11:11" x14ac:dyDescent="0.25">
      <c r="K3389" s="8"/>
    </row>
    <row r="3390" spans="11:11" x14ac:dyDescent="0.25">
      <c r="K3390" s="8"/>
    </row>
    <row r="3391" spans="11:11" x14ac:dyDescent="0.25">
      <c r="K3391" s="8"/>
    </row>
    <row r="3392" spans="11:11" x14ac:dyDescent="0.25">
      <c r="K3392" s="8"/>
    </row>
    <row r="3393" spans="11:11" x14ac:dyDescent="0.25">
      <c r="K3393" s="8"/>
    </row>
    <row r="3394" spans="11:11" x14ac:dyDescent="0.25">
      <c r="K3394" s="8"/>
    </row>
    <row r="3395" spans="11:11" x14ac:dyDescent="0.25">
      <c r="K3395" s="8"/>
    </row>
    <row r="3396" spans="11:11" x14ac:dyDescent="0.25">
      <c r="K3396" s="8"/>
    </row>
    <row r="3397" spans="11:11" x14ac:dyDescent="0.25">
      <c r="K3397" s="8"/>
    </row>
    <row r="3398" spans="11:11" x14ac:dyDescent="0.25">
      <c r="K3398" s="8"/>
    </row>
    <row r="3399" spans="11:11" x14ac:dyDescent="0.25">
      <c r="K3399" s="8"/>
    </row>
    <row r="3400" spans="11:11" x14ac:dyDescent="0.25">
      <c r="K3400" s="8"/>
    </row>
    <row r="3401" spans="11:11" x14ac:dyDescent="0.25">
      <c r="K3401" s="8"/>
    </row>
    <row r="3402" spans="11:11" x14ac:dyDescent="0.25">
      <c r="K3402" s="8"/>
    </row>
    <row r="3403" spans="11:11" x14ac:dyDescent="0.25">
      <c r="K3403" s="8"/>
    </row>
    <row r="3404" spans="11:11" x14ac:dyDescent="0.25">
      <c r="K3404" s="8"/>
    </row>
    <row r="3405" spans="11:11" x14ac:dyDescent="0.25">
      <c r="K3405" s="8"/>
    </row>
    <row r="3406" spans="11:11" x14ac:dyDescent="0.25">
      <c r="K3406" s="8"/>
    </row>
    <row r="3407" spans="11:11" x14ac:dyDescent="0.25">
      <c r="K3407" s="8"/>
    </row>
    <row r="3408" spans="11:11" x14ac:dyDescent="0.25">
      <c r="K3408" s="8"/>
    </row>
    <row r="3409" spans="11:11" x14ac:dyDescent="0.25">
      <c r="K3409" s="8"/>
    </row>
    <row r="3410" spans="11:11" x14ac:dyDescent="0.25">
      <c r="K3410" s="8"/>
    </row>
    <row r="3411" spans="11:11" x14ac:dyDescent="0.25">
      <c r="K3411" s="8"/>
    </row>
    <row r="3412" spans="11:11" x14ac:dyDescent="0.25">
      <c r="K3412" s="8"/>
    </row>
    <row r="3413" spans="11:11" x14ac:dyDescent="0.25">
      <c r="K3413" s="8"/>
    </row>
    <row r="3414" spans="11:11" x14ac:dyDescent="0.25">
      <c r="K3414" s="8"/>
    </row>
    <row r="3415" spans="11:11" x14ac:dyDescent="0.25">
      <c r="K3415" s="8"/>
    </row>
    <row r="3416" spans="11:11" x14ac:dyDescent="0.25">
      <c r="K3416" s="8"/>
    </row>
    <row r="3417" spans="11:11" x14ac:dyDescent="0.25">
      <c r="K3417" s="8"/>
    </row>
    <row r="3418" spans="11:11" x14ac:dyDescent="0.25">
      <c r="K3418" s="8"/>
    </row>
    <row r="3419" spans="11:11" x14ac:dyDescent="0.25">
      <c r="K3419" s="8"/>
    </row>
    <row r="3420" spans="11:11" x14ac:dyDescent="0.25">
      <c r="K3420" s="8"/>
    </row>
    <row r="3421" spans="11:11" x14ac:dyDescent="0.25">
      <c r="K3421" s="8"/>
    </row>
    <row r="3422" spans="11:11" x14ac:dyDescent="0.25">
      <c r="K3422" s="8"/>
    </row>
    <row r="3423" spans="11:11" x14ac:dyDescent="0.25">
      <c r="K3423" s="8"/>
    </row>
    <row r="3424" spans="11:11" x14ac:dyDescent="0.25">
      <c r="K3424" s="8"/>
    </row>
    <row r="3425" spans="11:11" x14ac:dyDescent="0.25">
      <c r="K3425" s="8"/>
    </row>
    <row r="3426" spans="11:11" x14ac:dyDescent="0.25">
      <c r="K3426" s="8"/>
    </row>
    <row r="3427" spans="11:11" x14ac:dyDescent="0.25">
      <c r="K3427" s="8"/>
    </row>
    <row r="3428" spans="11:11" x14ac:dyDescent="0.25">
      <c r="K3428" s="8"/>
    </row>
    <row r="3429" spans="11:11" x14ac:dyDescent="0.25">
      <c r="K3429" s="8"/>
    </row>
  </sheetData>
  <sortState xmlns:xlrd2="http://schemas.microsoft.com/office/spreadsheetml/2017/richdata2" ref="O3:O14">
    <sortCondition ref="O3:O14"/>
  </sortState>
  <dataConsolid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F778A-F1CD-43FC-BB7E-8F11DB134EC4}">
  <dimension ref="A1:V3548"/>
  <sheetViews>
    <sheetView workbookViewId="0">
      <selection activeCell="P23" sqref="P23"/>
    </sheetView>
  </sheetViews>
  <sheetFormatPr defaultRowHeight="15" x14ac:dyDescent="0.25"/>
  <cols>
    <col min="1" max="1" width="11.85546875" style="4" customWidth="1"/>
    <col min="2" max="2" width="10" style="4" customWidth="1"/>
    <col min="3" max="3" width="8.85546875" style="4" bestFit="1" customWidth="1"/>
    <col min="4" max="4" width="19.140625" style="4" bestFit="1" customWidth="1"/>
    <col min="5" max="5" width="12.42578125" style="4" bestFit="1" customWidth="1"/>
    <col min="6" max="6" width="9.28515625" style="4" bestFit="1" customWidth="1"/>
    <col min="7" max="7" width="12.5703125" style="4" bestFit="1" customWidth="1"/>
    <col min="8" max="8" width="12.85546875" style="4" customWidth="1"/>
    <col min="9" max="9" width="10.28515625" style="4" customWidth="1"/>
    <col min="10" max="10" width="10.140625" style="4" bestFit="1" customWidth="1"/>
    <col min="11" max="11" width="8.140625" style="4" bestFit="1" customWidth="1"/>
    <col min="22" max="22" width="10.140625" style="1" bestFit="1" customWidth="1"/>
  </cols>
  <sheetData>
    <row r="1" spans="1:17" x14ac:dyDescent="0.25">
      <c r="A1" s="2" t="s">
        <v>0</v>
      </c>
      <c r="B1" s="2" t="s">
        <v>1</v>
      </c>
      <c r="C1" s="3" t="s">
        <v>2</v>
      </c>
      <c r="D1" s="2" t="s">
        <v>3</v>
      </c>
      <c r="E1" s="2" t="s">
        <v>4</v>
      </c>
      <c r="F1" s="2" t="s">
        <v>5</v>
      </c>
      <c r="G1" s="2" t="s">
        <v>6</v>
      </c>
      <c r="H1" s="2" t="s">
        <v>7</v>
      </c>
      <c r="I1" s="2" t="s">
        <v>8</v>
      </c>
      <c r="J1" s="2" t="s">
        <v>9</v>
      </c>
      <c r="K1" s="3" t="s">
        <v>10</v>
      </c>
    </row>
    <row r="2" spans="1:17" x14ac:dyDescent="0.25">
      <c r="A2" s="4">
        <v>10</v>
      </c>
      <c r="B2" s="4" t="s">
        <v>11</v>
      </c>
      <c r="C2" s="7">
        <v>38.700000000000003</v>
      </c>
      <c r="D2" s="4" t="s">
        <v>12</v>
      </c>
      <c r="E2" s="4" t="s">
        <v>13</v>
      </c>
      <c r="F2" s="4" t="s">
        <v>14</v>
      </c>
      <c r="G2" s="4" t="s">
        <v>15</v>
      </c>
      <c r="H2" s="4">
        <v>5</v>
      </c>
      <c r="I2" s="4">
        <v>3</v>
      </c>
      <c r="J2" s="5">
        <v>45352</v>
      </c>
      <c r="K2" s="6">
        <v>0.42766203703703703</v>
      </c>
      <c r="Q2" s="4"/>
    </row>
    <row r="3" spans="1:17" x14ac:dyDescent="0.25">
      <c r="A3" s="4">
        <v>12</v>
      </c>
      <c r="B3" s="4" t="s">
        <v>11</v>
      </c>
      <c r="C3" s="7">
        <v>38.700000000000003</v>
      </c>
      <c r="D3" s="4" t="s">
        <v>16</v>
      </c>
      <c r="E3" s="4" t="s">
        <v>17</v>
      </c>
      <c r="F3" s="4" t="s">
        <v>14</v>
      </c>
      <c r="G3" s="4" t="s">
        <v>15</v>
      </c>
      <c r="H3" s="4">
        <v>5</v>
      </c>
      <c r="I3" s="4">
        <v>3</v>
      </c>
      <c r="J3" s="5">
        <v>45352</v>
      </c>
      <c r="K3" s="6">
        <v>0.51344907407407403</v>
      </c>
      <c r="Q3" s="4"/>
    </row>
    <row r="4" spans="1:17" x14ac:dyDescent="0.25">
      <c r="A4" s="4">
        <v>12</v>
      </c>
      <c r="B4" s="4" t="s">
        <v>11</v>
      </c>
      <c r="C4" s="7">
        <v>38.700000000000003</v>
      </c>
      <c r="D4" s="4" t="s">
        <v>16</v>
      </c>
      <c r="E4" s="4" t="s">
        <v>17</v>
      </c>
      <c r="F4" s="4" t="s">
        <v>14</v>
      </c>
      <c r="G4" s="4" t="s">
        <v>15</v>
      </c>
      <c r="H4" s="4">
        <v>5</v>
      </c>
      <c r="I4" s="4">
        <v>3</v>
      </c>
      <c r="J4" s="5">
        <v>45352</v>
      </c>
      <c r="K4" s="6">
        <v>0.51409722222222221</v>
      </c>
      <c r="Q4" s="4"/>
    </row>
    <row r="5" spans="1:17" x14ac:dyDescent="0.25">
      <c r="A5" s="4">
        <v>13</v>
      </c>
      <c r="B5" s="4" t="s">
        <v>11</v>
      </c>
      <c r="C5" s="7">
        <v>28.9</v>
      </c>
      <c r="D5" s="4" t="s">
        <v>18</v>
      </c>
      <c r="E5" s="4" t="s">
        <v>17</v>
      </c>
      <c r="F5" s="4" t="s">
        <v>14</v>
      </c>
      <c r="G5" s="4" t="s">
        <v>15</v>
      </c>
      <c r="H5" s="4">
        <v>5</v>
      </c>
      <c r="I5" s="4">
        <v>3</v>
      </c>
      <c r="J5" s="5">
        <v>45352</v>
      </c>
      <c r="K5" s="6">
        <v>0.57399305555555558</v>
      </c>
    </row>
    <row r="6" spans="1:17" x14ac:dyDescent="0.25">
      <c r="A6" s="4">
        <v>13</v>
      </c>
      <c r="B6" s="4" t="s">
        <v>11</v>
      </c>
      <c r="C6" s="7">
        <v>38.700000000000003</v>
      </c>
      <c r="D6" s="4" t="s">
        <v>12</v>
      </c>
      <c r="E6" s="4" t="s">
        <v>17</v>
      </c>
      <c r="F6" s="4" t="s">
        <v>14</v>
      </c>
      <c r="G6" s="4" t="s">
        <v>15</v>
      </c>
      <c r="H6" s="4">
        <v>5</v>
      </c>
      <c r="I6" s="4">
        <v>3</v>
      </c>
      <c r="J6" s="5">
        <v>45352</v>
      </c>
      <c r="K6" s="6">
        <v>0.57516203703703705</v>
      </c>
    </row>
    <row r="7" spans="1:17" x14ac:dyDescent="0.25">
      <c r="A7" s="4">
        <v>15</v>
      </c>
      <c r="B7" s="4" t="s">
        <v>11</v>
      </c>
      <c r="C7" s="7">
        <v>33.799999999999997</v>
      </c>
      <c r="D7" s="4" t="s">
        <v>19</v>
      </c>
      <c r="E7" s="4" t="s">
        <v>17</v>
      </c>
      <c r="F7" s="4" t="s">
        <v>14</v>
      </c>
      <c r="G7" s="4" t="s">
        <v>15</v>
      </c>
      <c r="H7" s="4">
        <v>5</v>
      </c>
      <c r="I7" s="4">
        <v>3</v>
      </c>
      <c r="J7" s="5">
        <v>45352</v>
      </c>
      <c r="K7" s="6">
        <v>0.65262731481481484</v>
      </c>
    </row>
    <row r="8" spans="1:17" x14ac:dyDescent="0.25">
      <c r="A8" s="4">
        <v>16</v>
      </c>
      <c r="B8" s="4" t="s">
        <v>11</v>
      </c>
      <c r="C8" s="7">
        <v>38.700000000000003</v>
      </c>
      <c r="D8" s="4" t="s">
        <v>16</v>
      </c>
      <c r="E8" s="4" t="s">
        <v>17</v>
      </c>
      <c r="F8" s="4" t="s">
        <v>14</v>
      </c>
      <c r="G8" s="4" t="s">
        <v>15</v>
      </c>
      <c r="H8" s="4">
        <v>5</v>
      </c>
      <c r="I8" s="4">
        <v>3</v>
      </c>
      <c r="J8" s="5">
        <v>45352</v>
      </c>
      <c r="K8" s="6">
        <v>0.67988425925925922</v>
      </c>
    </row>
    <row r="9" spans="1:17" x14ac:dyDescent="0.25">
      <c r="A9" s="4">
        <v>18</v>
      </c>
      <c r="B9" s="4" t="s">
        <v>11</v>
      </c>
      <c r="C9" s="7">
        <v>33.799999999999997</v>
      </c>
      <c r="D9" s="4" t="s">
        <v>19</v>
      </c>
      <c r="E9" s="4" t="s">
        <v>20</v>
      </c>
      <c r="F9" s="4" t="s">
        <v>14</v>
      </c>
      <c r="G9" s="4" t="s">
        <v>15</v>
      </c>
      <c r="H9" s="4">
        <v>5</v>
      </c>
      <c r="I9" s="4">
        <v>3</v>
      </c>
      <c r="J9" s="5">
        <v>45352</v>
      </c>
      <c r="K9" s="6">
        <v>0.77711805555555558</v>
      </c>
    </row>
    <row r="10" spans="1:17" x14ac:dyDescent="0.25">
      <c r="A10" s="4">
        <v>19</v>
      </c>
      <c r="B10" s="4" t="s">
        <v>11</v>
      </c>
      <c r="C10" s="7">
        <v>38.700000000000003</v>
      </c>
      <c r="D10" s="4" t="s">
        <v>21</v>
      </c>
      <c r="E10" s="4" t="s">
        <v>20</v>
      </c>
      <c r="F10" s="4" t="s">
        <v>14</v>
      </c>
      <c r="G10" s="4" t="s">
        <v>15</v>
      </c>
      <c r="H10" s="4">
        <v>5</v>
      </c>
      <c r="I10" s="4">
        <v>3</v>
      </c>
      <c r="J10" s="5">
        <v>45352</v>
      </c>
      <c r="K10" s="6">
        <v>0.8069560185185185</v>
      </c>
    </row>
    <row r="11" spans="1:17" x14ac:dyDescent="0.25">
      <c r="A11" s="4">
        <v>19</v>
      </c>
      <c r="B11" s="4" t="s">
        <v>11</v>
      </c>
      <c r="C11" s="7">
        <v>33.799999999999997</v>
      </c>
      <c r="D11" s="4" t="s">
        <v>19</v>
      </c>
      <c r="E11" s="4" t="s">
        <v>20</v>
      </c>
      <c r="F11" s="4" t="s">
        <v>14</v>
      </c>
      <c r="G11" s="4" t="s">
        <v>15</v>
      </c>
      <c r="H11" s="4">
        <v>5</v>
      </c>
      <c r="I11" s="4">
        <v>3</v>
      </c>
      <c r="J11" s="5">
        <v>45352</v>
      </c>
      <c r="K11" s="6">
        <v>0.80781250000000004</v>
      </c>
    </row>
    <row r="12" spans="1:17" x14ac:dyDescent="0.25">
      <c r="A12" s="4">
        <v>19</v>
      </c>
      <c r="B12" s="4" t="s">
        <v>11</v>
      </c>
      <c r="C12" s="7">
        <v>33.799999999999997</v>
      </c>
      <c r="D12" s="4" t="s">
        <v>19</v>
      </c>
      <c r="E12" s="4" t="s">
        <v>20</v>
      </c>
      <c r="F12" s="4" t="s">
        <v>14</v>
      </c>
      <c r="G12" s="4" t="s">
        <v>15</v>
      </c>
      <c r="H12" s="4">
        <v>5</v>
      </c>
      <c r="I12" s="4">
        <v>3</v>
      </c>
      <c r="J12" s="5">
        <v>45352</v>
      </c>
      <c r="K12" s="6">
        <v>0.81200231481481477</v>
      </c>
    </row>
    <row r="13" spans="1:17" x14ac:dyDescent="0.25">
      <c r="A13" s="4">
        <v>10</v>
      </c>
      <c r="B13" s="4" t="s">
        <v>11</v>
      </c>
      <c r="C13" s="7">
        <v>28.9</v>
      </c>
      <c r="D13" s="4" t="s">
        <v>18</v>
      </c>
      <c r="E13" s="4" t="s">
        <v>13</v>
      </c>
      <c r="F13" s="4" t="s">
        <v>22</v>
      </c>
      <c r="G13" s="4" t="s">
        <v>15</v>
      </c>
      <c r="H13" s="4">
        <v>6</v>
      </c>
      <c r="I13" s="4">
        <v>3</v>
      </c>
      <c r="J13" s="5">
        <v>45353</v>
      </c>
      <c r="K13" s="6">
        <v>0.43201388888888886</v>
      </c>
    </row>
    <row r="14" spans="1:17" x14ac:dyDescent="0.25">
      <c r="A14" s="4">
        <v>10</v>
      </c>
      <c r="B14" s="4" t="s">
        <v>11</v>
      </c>
      <c r="C14" s="7">
        <v>33.799999999999997</v>
      </c>
      <c r="D14" s="4" t="s">
        <v>19</v>
      </c>
      <c r="E14" s="4" t="s">
        <v>13</v>
      </c>
      <c r="F14" s="4" t="s">
        <v>22</v>
      </c>
      <c r="G14" s="4" t="s">
        <v>15</v>
      </c>
      <c r="H14" s="4">
        <v>6</v>
      </c>
      <c r="I14" s="4">
        <v>3</v>
      </c>
      <c r="J14" s="5">
        <v>45353</v>
      </c>
      <c r="K14" s="6">
        <v>0.4456134259259259</v>
      </c>
    </row>
    <row r="15" spans="1:17" x14ac:dyDescent="0.25">
      <c r="A15" s="4">
        <v>11</v>
      </c>
      <c r="B15" s="4" t="s">
        <v>11</v>
      </c>
      <c r="C15" s="7">
        <v>33.799999999999997</v>
      </c>
      <c r="D15" s="4" t="s">
        <v>19</v>
      </c>
      <c r="E15" s="4" t="s">
        <v>13</v>
      </c>
      <c r="F15" s="4" t="s">
        <v>22</v>
      </c>
      <c r="G15" s="4" t="s">
        <v>15</v>
      </c>
      <c r="H15" s="4">
        <v>6</v>
      </c>
      <c r="I15" s="4">
        <v>3</v>
      </c>
      <c r="J15" s="5">
        <v>45353</v>
      </c>
      <c r="K15" s="6">
        <v>0.49982638888888886</v>
      </c>
    </row>
    <row r="16" spans="1:17" x14ac:dyDescent="0.25">
      <c r="A16" s="4">
        <v>14</v>
      </c>
      <c r="B16" s="4" t="s">
        <v>11</v>
      </c>
      <c r="C16" s="7">
        <v>28.9</v>
      </c>
      <c r="D16" s="4" t="s">
        <v>18</v>
      </c>
      <c r="E16" s="4" t="s">
        <v>17</v>
      </c>
      <c r="F16" s="4" t="s">
        <v>22</v>
      </c>
      <c r="G16" s="4" t="s">
        <v>15</v>
      </c>
      <c r="H16" s="4">
        <v>6</v>
      </c>
      <c r="I16" s="4">
        <v>3</v>
      </c>
      <c r="J16" s="5">
        <v>45353</v>
      </c>
      <c r="K16" s="6">
        <v>0.61012731481481486</v>
      </c>
    </row>
    <row r="17" spans="1:11" x14ac:dyDescent="0.25">
      <c r="A17" s="4">
        <v>16</v>
      </c>
      <c r="B17" s="4" t="s">
        <v>11</v>
      </c>
      <c r="C17" s="7">
        <v>33.799999999999997</v>
      </c>
      <c r="D17" s="4" t="s">
        <v>19</v>
      </c>
      <c r="E17" s="4" t="s">
        <v>17</v>
      </c>
      <c r="F17" s="4" t="s">
        <v>22</v>
      </c>
      <c r="G17" s="4" t="s">
        <v>15</v>
      </c>
      <c r="H17" s="4">
        <v>6</v>
      </c>
      <c r="I17" s="4">
        <v>3</v>
      </c>
      <c r="J17" s="5">
        <v>45353</v>
      </c>
      <c r="K17" s="6">
        <v>0.69263888888888892</v>
      </c>
    </row>
    <row r="18" spans="1:11" x14ac:dyDescent="0.25">
      <c r="A18" s="4">
        <v>17</v>
      </c>
      <c r="B18" s="4" t="s">
        <v>11</v>
      </c>
      <c r="C18" s="7">
        <v>28.9</v>
      </c>
      <c r="D18" s="4" t="s">
        <v>18</v>
      </c>
      <c r="E18" s="4" t="s">
        <v>20</v>
      </c>
      <c r="F18" s="4" t="s">
        <v>22</v>
      </c>
      <c r="G18" s="4" t="s">
        <v>15</v>
      </c>
      <c r="H18" s="4">
        <v>6</v>
      </c>
      <c r="I18" s="4">
        <v>3</v>
      </c>
      <c r="J18" s="5">
        <v>45353</v>
      </c>
      <c r="K18" s="6">
        <v>0.7325694444444445</v>
      </c>
    </row>
    <row r="19" spans="1:11" x14ac:dyDescent="0.25">
      <c r="A19" s="4">
        <v>10</v>
      </c>
      <c r="B19" s="4" t="s">
        <v>11</v>
      </c>
      <c r="C19" s="7">
        <v>38.700000000000003</v>
      </c>
      <c r="D19" s="4" t="s">
        <v>12</v>
      </c>
      <c r="E19" s="4" t="s">
        <v>13</v>
      </c>
      <c r="F19" s="4" t="s">
        <v>23</v>
      </c>
      <c r="G19" s="4" t="s">
        <v>15</v>
      </c>
      <c r="H19" s="4">
        <v>7</v>
      </c>
      <c r="I19" s="4">
        <v>3</v>
      </c>
      <c r="J19" s="5">
        <v>45354</v>
      </c>
      <c r="K19" s="6">
        <v>0.43562499999999998</v>
      </c>
    </row>
    <row r="20" spans="1:11" x14ac:dyDescent="0.25">
      <c r="A20" s="4">
        <v>11</v>
      </c>
      <c r="B20" s="4" t="s">
        <v>11</v>
      </c>
      <c r="C20" s="7">
        <v>28.9</v>
      </c>
      <c r="D20" s="4" t="s">
        <v>24</v>
      </c>
      <c r="E20" s="4" t="s">
        <v>13</v>
      </c>
      <c r="F20" s="4" t="s">
        <v>23</v>
      </c>
      <c r="G20" s="4" t="s">
        <v>15</v>
      </c>
      <c r="H20" s="4">
        <v>7</v>
      </c>
      <c r="I20" s="4">
        <v>3</v>
      </c>
      <c r="J20" s="5">
        <v>45354</v>
      </c>
      <c r="K20" s="6">
        <v>0.48189814814814813</v>
      </c>
    </row>
    <row r="21" spans="1:11" x14ac:dyDescent="0.25">
      <c r="A21" s="4">
        <v>12</v>
      </c>
      <c r="B21" s="4" t="s">
        <v>11</v>
      </c>
      <c r="C21" s="7">
        <v>28.9</v>
      </c>
      <c r="D21" s="4" t="s">
        <v>18</v>
      </c>
      <c r="E21" s="4" t="s">
        <v>17</v>
      </c>
      <c r="F21" s="4" t="s">
        <v>23</v>
      </c>
      <c r="G21" s="4" t="s">
        <v>15</v>
      </c>
      <c r="H21" s="4">
        <v>7</v>
      </c>
      <c r="I21" s="4">
        <v>3</v>
      </c>
      <c r="J21" s="5">
        <v>45354</v>
      </c>
      <c r="K21" s="6">
        <v>0.51870370370370367</v>
      </c>
    </row>
    <row r="22" spans="1:11" x14ac:dyDescent="0.25">
      <c r="A22" s="4">
        <v>13</v>
      </c>
      <c r="B22" s="4" t="s">
        <v>11</v>
      </c>
      <c r="C22" s="7">
        <v>38.700000000000003</v>
      </c>
      <c r="D22" s="4" t="s">
        <v>16</v>
      </c>
      <c r="E22" s="4" t="s">
        <v>17</v>
      </c>
      <c r="F22" s="4" t="s">
        <v>23</v>
      </c>
      <c r="G22" s="4" t="s">
        <v>15</v>
      </c>
      <c r="H22" s="4">
        <v>7</v>
      </c>
      <c r="I22" s="4">
        <v>3</v>
      </c>
      <c r="J22" s="5">
        <v>45354</v>
      </c>
      <c r="K22" s="6">
        <v>0.54833333333333334</v>
      </c>
    </row>
    <row r="23" spans="1:11" x14ac:dyDescent="0.25">
      <c r="A23" s="4">
        <v>17</v>
      </c>
      <c r="B23" s="4" t="s">
        <v>11</v>
      </c>
      <c r="C23" s="7">
        <v>38.700000000000003</v>
      </c>
      <c r="D23" s="4" t="s">
        <v>21</v>
      </c>
      <c r="E23" s="4" t="s">
        <v>20</v>
      </c>
      <c r="F23" s="4" t="s">
        <v>23</v>
      </c>
      <c r="G23" s="4" t="s">
        <v>15</v>
      </c>
      <c r="H23" s="4">
        <v>7</v>
      </c>
      <c r="I23" s="4">
        <v>3</v>
      </c>
      <c r="J23" s="5">
        <v>45354</v>
      </c>
      <c r="K23" s="6">
        <v>0.71296296296296291</v>
      </c>
    </row>
    <row r="24" spans="1:11" x14ac:dyDescent="0.25">
      <c r="A24" s="4">
        <v>17</v>
      </c>
      <c r="B24" s="4" t="s">
        <v>11</v>
      </c>
      <c r="C24" s="7">
        <v>28.9</v>
      </c>
      <c r="D24" s="4" t="s">
        <v>24</v>
      </c>
      <c r="E24" s="4" t="s">
        <v>20</v>
      </c>
      <c r="F24" s="4" t="s">
        <v>23</v>
      </c>
      <c r="G24" s="4" t="s">
        <v>15</v>
      </c>
      <c r="H24" s="4">
        <v>7</v>
      </c>
      <c r="I24" s="4">
        <v>3</v>
      </c>
      <c r="J24" s="5">
        <v>45354</v>
      </c>
      <c r="K24" s="6">
        <v>0.71440972222222221</v>
      </c>
    </row>
    <row r="25" spans="1:11" x14ac:dyDescent="0.25">
      <c r="A25" s="4">
        <v>18</v>
      </c>
      <c r="B25" s="4" t="s">
        <v>11</v>
      </c>
      <c r="C25" s="7">
        <v>33.799999999999997</v>
      </c>
      <c r="D25" s="4" t="s">
        <v>19</v>
      </c>
      <c r="E25" s="4" t="s">
        <v>20</v>
      </c>
      <c r="F25" s="4" t="s">
        <v>23</v>
      </c>
      <c r="G25" s="4" t="s">
        <v>15</v>
      </c>
      <c r="H25" s="4">
        <v>7</v>
      </c>
      <c r="I25" s="4">
        <v>3</v>
      </c>
      <c r="J25" s="5">
        <v>45354</v>
      </c>
      <c r="K25" s="6">
        <v>0.752349537037037</v>
      </c>
    </row>
    <row r="26" spans="1:11" x14ac:dyDescent="0.25">
      <c r="A26" s="4">
        <v>18</v>
      </c>
      <c r="B26" s="4" t="s">
        <v>11</v>
      </c>
      <c r="C26" s="7">
        <v>33.799999999999997</v>
      </c>
      <c r="D26" s="4" t="s">
        <v>19</v>
      </c>
      <c r="E26" s="4" t="s">
        <v>20</v>
      </c>
      <c r="F26" s="4" t="s">
        <v>23</v>
      </c>
      <c r="G26" s="4" t="s">
        <v>15</v>
      </c>
      <c r="H26" s="4">
        <v>7</v>
      </c>
      <c r="I26" s="4">
        <v>3</v>
      </c>
      <c r="J26" s="5">
        <v>45354</v>
      </c>
      <c r="K26" s="6">
        <v>0.75309027777777782</v>
      </c>
    </row>
    <row r="27" spans="1:11" x14ac:dyDescent="0.25">
      <c r="A27" s="4">
        <v>18</v>
      </c>
      <c r="B27" s="4" t="s">
        <v>11</v>
      </c>
      <c r="C27" s="7">
        <v>38.700000000000003</v>
      </c>
      <c r="D27" s="4" t="s">
        <v>16</v>
      </c>
      <c r="E27" s="4" t="s">
        <v>20</v>
      </c>
      <c r="F27" s="4" t="s">
        <v>23</v>
      </c>
      <c r="G27" s="4" t="s">
        <v>15</v>
      </c>
      <c r="H27" s="4">
        <v>7</v>
      </c>
      <c r="I27" s="4">
        <v>3</v>
      </c>
      <c r="J27" s="5">
        <v>45354</v>
      </c>
      <c r="K27" s="6">
        <v>0.7556018518518518</v>
      </c>
    </row>
    <row r="28" spans="1:11" x14ac:dyDescent="0.25">
      <c r="A28" s="4">
        <v>10</v>
      </c>
      <c r="B28" s="4" t="s">
        <v>11</v>
      </c>
      <c r="C28" s="7">
        <v>38.700000000000003</v>
      </c>
      <c r="D28" s="4" t="s">
        <v>12</v>
      </c>
      <c r="E28" s="4" t="s">
        <v>13</v>
      </c>
      <c r="F28" s="4" t="s">
        <v>25</v>
      </c>
      <c r="G28" s="4" t="s">
        <v>15</v>
      </c>
      <c r="H28" s="4">
        <v>1</v>
      </c>
      <c r="I28" s="4">
        <v>3</v>
      </c>
      <c r="J28" s="5">
        <v>45355</v>
      </c>
      <c r="K28" s="6">
        <v>0.41934027777777777</v>
      </c>
    </row>
    <row r="29" spans="1:11" x14ac:dyDescent="0.25">
      <c r="A29" s="4">
        <v>10</v>
      </c>
      <c r="B29" s="4" t="s">
        <v>11</v>
      </c>
      <c r="C29" s="7">
        <v>38.700000000000003</v>
      </c>
      <c r="D29" s="4" t="s">
        <v>12</v>
      </c>
      <c r="E29" s="4" t="s">
        <v>13</v>
      </c>
      <c r="F29" s="4" t="s">
        <v>25</v>
      </c>
      <c r="G29" s="4" t="s">
        <v>15</v>
      </c>
      <c r="H29" s="4">
        <v>1</v>
      </c>
      <c r="I29" s="4">
        <v>3</v>
      </c>
      <c r="J29" s="5">
        <v>45355</v>
      </c>
      <c r="K29" s="6">
        <v>0.45474537037037038</v>
      </c>
    </row>
    <row r="30" spans="1:11" x14ac:dyDescent="0.25">
      <c r="A30" s="4">
        <v>11</v>
      </c>
      <c r="B30" s="4" t="s">
        <v>11</v>
      </c>
      <c r="C30" s="7">
        <v>33.799999999999997</v>
      </c>
      <c r="D30" s="4" t="s">
        <v>19</v>
      </c>
      <c r="E30" s="4" t="s">
        <v>13</v>
      </c>
      <c r="F30" s="4" t="s">
        <v>25</v>
      </c>
      <c r="G30" s="4" t="s">
        <v>15</v>
      </c>
      <c r="H30" s="4">
        <v>1</v>
      </c>
      <c r="I30" s="4">
        <v>3</v>
      </c>
      <c r="J30" s="5">
        <v>45355</v>
      </c>
      <c r="K30" s="6">
        <v>0.46199074074074076</v>
      </c>
    </row>
    <row r="31" spans="1:11" x14ac:dyDescent="0.25">
      <c r="A31" s="4">
        <v>14</v>
      </c>
      <c r="B31" s="4" t="s">
        <v>11</v>
      </c>
      <c r="C31" s="7">
        <v>24</v>
      </c>
      <c r="D31" s="4" t="s">
        <v>26</v>
      </c>
      <c r="E31" s="4" t="s">
        <v>17</v>
      </c>
      <c r="F31" s="4" t="s">
        <v>25</v>
      </c>
      <c r="G31" s="4" t="s">
        <v>15</v>
      </c>
      <c r="H31" s="4">
        <v>1</v>
      </c>
      <c r="I31" s="4">
        <v>3</v>
      </c>
      <c r="J31" s="5">
        <v>45355</v>
      </c>
      <c r="K31" s="6">
        <v>0.5865393518518518</v>
      </c>
    </row>
    <row r="32" spans="1:11" x14ac:dyDescent="0.25">
      <c r="A32" s="4">
        <v>9</v>
      </c>
      <c r="B32" s="4" t="s">
        <v>11</v>
      </c>
      <c r="C32" s="7">
        <v>38.700000000000003</v>
      </c>
      <c r="D32" s="4" t="s">
        <v>12</v>
      </c>
      <c r="E32" s="4" t="s">
        <v>13</v>
      </c>
      <c r="F32" s="4" t="s">
        <v>27</v>
      </c>
      <c r="G32" s="4" t="s">
        <v>15</v>
      </c>
      <c r="H32" s="4">
        <v>2</v>
      </c>
      <c r="I32" s="4">
        <v>3</v>
      </c>
      <c r="J32" s="5">
        <v>45356</v>
      </c>
      <c r="K32" s="6">
        <v>0.4165740740740741</v>
      </c>
    </row>
    <row r="33" spans="1:11" x14ac:dyDescent="0.25">
      <c r="A33" s="4">
        <v>14</v>
      </c>
      <c r="B33" s="4" t="s">
        <v>11</v>
      </c>
      <c r="C33" s="7">
        <v>38.700000000000003</v>
      </c>
      <c r="D33" s="4" t="s">
        <v>12</v>
      </c>
      <c r="E33" s="4" t="s">
        <v>17</v>
      </c>
      <c r="F33" s="4" t="s">
        <v>27</v>
      </c>
      <c r="G33" s="4" t="s">
        <v>15</v>
      </c>
      <c r="H33" s="4">
        <v>2</v>
      </c>
      <c r="I33" s="4">
        <v>3</v>
      </c>
      <c r="J33" s="5">
        <v>45356</v>
      </c>
      <c r="K33" s="6">
        <v>0.60758101851851853</v>
      </c>
    </row>
    <row r="34" spans="1:11" x14ac:dyDescent="0.25">
      <c r="A34" s="4">
        <v>17</v>
      </c>
      <c r="B34" s="4" t="s">
        <v>11</v>
      </c>
      <c r="C34" s="7">
        <v>38.700000000000003</v>
      </c>
      <c r="D34" s="4" t="s">
        <v>12</v>
      </c>
      <c r="E34" s="4" t="s">
        <v>20</v>
      </c>
      <c r="F34" s="4" t="s">
        <v>27</v>
      </c>
      <c r="G34" s="4" t="s">
        <v>15</v>
      </c>
      <c r="H34" s="4">
        <v>2</v>
      </c>
      <c r="I34" s="4">
        <v>3</v>
      </c>
      <c r="J34" s="5">
        <v>45356</v>
      </c>
      <c r="K34" s="6">
        <v>0.73201388888888885</v>
      </c>
    </row>
    <row r="35" spans="1:11" x14ac:dyDescent="0.25">
      <c r="A35" s="4">
        <v>17</v>
      </c>
      <c r="B35" s="4" t="s">
        <v>11</v>
      </c>
      <c r="C35" s="7">
        <v>38.700000000000003</v>
      </c>
      <c r="D35" s="4" t="s">
        <v>16</v>
      </c>
      <c r="E35" s="4" t="s">
        <v>20</v>
      </c>
      <c r="F35" s="4" t="s">
        <v>27</v>
      </c>
      <c r="G35" s="4" t="s">
        <v>15</v>
      </c>
      <c r="H35" s="4">
        <v>2</v>
      </c>
      <c r="I35" s="4">
        <v>3</v>
      </c>
      <c r="J35" s="5">
        <v>45356</v>
      </c>
      <c r="K35" s="6">
        <v>0.7329282407407407</v>
      </c>
    </row>
    <row r="36" spans="1:11" x14ac:dyDescent="0.25">
      <c r="A36" s="4">
        <v>17</v>
      </c>
      <c r="B36" s="4" t="s">
        <v>11</v>
      </c>
      <c r="C36" s="7">
        <v>38.700000000000003</v>
      </c>
      <c r="D36" s="4" t="s">
        <v>21</v>
      </c>
      <c r="E36" s="4" t="s">
        <v>20</v>
      </c>
      <c r="F36" s="4" t="s">
        <v>27</v>
      </c>
      <c r="G36" s="4" t="s">
        <v>15</v>
      </c>
      <c r="H36" s="4">
        <v>2</v>
      </c>
      <c r="I36" s="4">
        <v>3</v>
      </c>
      <c r="J36" s="5">
        <v>45356</v>
      </c>
      <c r="K36" s="6">
        <v>0.73365740740740737</v>
      </c>
    </row>
    <row r="37" spans="1:11" x14ac:dyDescent="0.25">
      <c r="A37" s="4">
        <v>17</v>
      </c>
      <c r="B37" s="4" t="s">
        <v>11</v>
      </c>
      <c r="C37" s="7">
        <v>38.700000000000003</v>
      </c>
      <c r="D37" s="4" t="s">
        <v>16</v>
      </c>
      <c r="E37" s="4" t="s">
        <v>20</v>
      </c>
      <c r="F37" s="4" t="s">
        <v>27</v>
      </c>
      <c r="G37" s="4" t="s">
        <v>15</v>
      </c>
      <c r="H37" s="4">
        <v>2</v>
      </c>
      <c r="I37" s="4">
        <v>3</v>
      </c>
      <c r="J37" s="5">
        <v>45356</v>
      </c>
      <c r="K37" s="6">
        <v>0.73417824074074078</v>
      </c>
    </row>
    <row r="38" spans="1:11" x14ac:dyDescent="0.25">
      <c r="A38" s="4">
        <v>17</v>
      </c>
      <c r="B38" s="4" t="s">
        <v>11</v>
      </c>
      <c r="C38" s="7">
        <v>38.700000000000003</v>
      </c>
      <c r="D38" s="4" t="s">
        <v>16</v>
      </c>
      <c r="E38" s="4" t="s">
        <v>20</v>
      </c>
      <c r="F38" s="4" t="s">
        <v>27</v>
      </c>
      <c r="G38" s="4" t="s">
        <v>15</v>
      </c>
      <c r="H38" s="4">
        <v>2</v>
      </c>
      <c r="I38" s="4">
        <v>3</v>
      </c>
      <c r="J38" s="5">
        <v>45356</v>
      </c>
      <c r="K38" s="6">
        <v>0.73482638888888885</v>
      </c>
    </row>
    <row r="39" spans="1:11" x14ac:dyDescent="0.25">
      <c r="A39" s="4">
        <v>17</v>
      </c>
      <c r="B39" s="4" t="s">
        <v>11</v>
      </c>
      <c r="C39" s="7">
        <v>28.9</v>
      </c>
      <c r="D39" s="4" t="s">
        <v>24</v>
      </c>
      <c r="E39" s="4" t="s">
        <v>20</v>
      </c>
      <c r="F39" s="4" t="s">
        <v>27</v>
      </c>
      <c r="G39" s="4" t="s">
        <v>15</v>
      </c>
      <c r="H39" s="4">
        <v>2</v>
      </c>
      <c r="I39" s="4">
        <v>3</v>
      </c>
      <c r="J39" s="5">
        <v>45356</v>
      </c>
      <c r="K39" s="6">
        <v>0.74739583333333337</v>
      </c>
    </row>
    <row r="40" spans="1:11" x14ac:dyDescent="0.25">
      <c r="A40" s="4">
        <v>18</v>
      </c>
      <c r="B40" s="4" t="s">
        <v>11</v>
      </c>
      <c r="C40" s="7">
        <v>38.700000000000003</v>
      </c>
      <c r="D40" s="4" t="s">
        <v>16</v>
      </c>
      <c r="E40" s="4" t="s">
        <v>20</v>
      </c>
      <c r="F40" s="4" t="s">
        <v>27</v>
      </c>
      <c r="G40" s="4" t="s">
        <v>15</v>
      </c>
      <c r="H40" s="4">
        <v>2</v>
      </c>
      <c r="I40" s="4">
        <v>3</v>
      </c>
      <c r="J40" s="5">
        <v>45356</v>
      </c>
      <c r="K40" s="6">
        <v>0.75105324074074076</v>
      </c>
    </row>
    <row r="41" spans="1:11" x14ac:dyDescent="0.25">
      <c r="A41" s="4">
        <v>13</v>
      </c>
      <c r="B41" s="4" t="s">
        <v>11</v>
      </c>
      <c r="C41" s="7">
        <v>28.9</v>
      </c>
      <c r="D41" s="4" t="s">
        <v>18</v>
      </c>
      <c r="E41" s="4" t="s">
        <v>17</v>
      </c>
      <c r="F41" s="4" t="s">
        <v>28</v>
      </c>
      <c r="G41" s="4" t="s">
        <v>15</v>
      </c>
      <c r="H41" s="4">
        <v>3</v>
      </c>
      <c r="I41" s="4">
        <v>3</v>
      </c>
      <c r="J41" s="5">
        <v>45357</v>
      </c>
      <c r="K41" s="6">
        <v>0.55841435185185184</v>
      </c>
    </row>
    <row r="42" spans="1:11" x14ac:dyDescent="0.25">
      <c r="A42" s="4">
        <v>13</v>
      </c>
      <c r="B42" s="4" t="s">
        <v>11</v>
      </c>
      <c r="C42" s="7">
        <v>28.9</v>
      </c>
      <c r="D42" s="4" t="s">
        <v>24</v>
      </c>
      <c r="E42" s="4" t="s">
        <v>17</v>
      </c>
      <c r="F42" s="4" t="s">
        <v>28</v>
      </c>
      <c r="G42" s="4" t="s">
        <v>15</v>
      </c>
      <c r="H42" s="4">
        <v>3</v>
      </c>
      <c r="I42" s="4">
        <v>3</v>
      </c>
      <c r="J42" s="5">
        <v>45357</v>
      </c>
      <c r="K42" s="6">
        <v>0.55918981481481478</v>
      </c>
    </row>
    <row r="43" spans="1:11" x14ac:dyDescent="0.25">
      <c r="A43" s="4">
        <v>14</v>
      </c>
      <c r="B43" s="4" t="s">
        <v>11</v>
      </c>
      <c r="C43" s="7">
        <v>38.700000000000003</v>
      </c>
      <c r="D43" s="4" t="s">
        <v>29</v>
      </c>
      <c r="E43" s="4" t="s">
        <v>17</v>
      </c>
      <c r="F43" s="4" t="s">
        <v>28</v>
      </c>
      <c r="G43" s="4" t="s">
        <v>15</v>
      </c>
      <c r="H43" s="4">
        <v>3</v>
      </c>
      <c r="I43" s="4">
        <v>3</v>
      </c>
      <c r="J43" s="5">
        <v>45357</v>
      </c>
      <c r="K43" s="6">
        <v>0.6194560185185185</v>
      </c>
    </row>
    <row r="44" spans="1:11" x14ac:dyDescent="0.25">
      <c r="A44" s="4">
        <v>14</v>
      </c>
      <c r="B44" s="4" t="s">
        <v>11</v>
      </c>
      <c r="C44" s="7">
        <v>38.700000000000003</v>
      </c>
      <c r="D44" s="4" t="s">
        <v>29</v>
      </c>
      <c r="E44" s="4" t="s">
        <v>17</v>
      </c>
      <c r="F44" s="4" t="s">
        <v>28</v>
      </c>
      <c r="G44" s="4" t="s">
        <v>15</v>
      </c>
      <c r="H44" s="4">
        <v>3</v>
      </c>
      <c r="I44" s="4">
        <v>3</v>
      </c>
      <c r="J44" s="5">
        <v>45357</v>
      </c>
      <c r="K44" s="6">
        <v>0.62034722222222227</v>
      </c>
    </row>
    <row r="45" spans="1:11" x14ac:dyDescent="0.25">
      <c r="A45" s="4">
        <v>10</v>
      </c>
      <c r="B45" s="4" t="s">
        <v>11</v>
      </c>
      <c r="C45" s="7">
        <v>38.700000000000003</v>
      </c>
      <c r="D45" s="4" t="s">
        <v>16</v>
      </c>
      <c r="E45" s="4" t="s">
        <v>13</v>
      </c>
      <c r="F45" s="4" t="s">
        <v>30</v>
      </c>
      <c r="G45" s="4" t="s">
        <v>15</v>
      </c>
      <c r="H45" s="4">
        <v>4</v>
      </c>
      <c r="I45" s="4">
        <v>3</v>
      </c>
      <c r="J45" s="5">
        <v>45358</v>
      </c>
      <c r="K45" s="6">
        <v>0.42962962962962964</v>
      </c>
    </row>
    <row r="46" spans="1:11" x14ac:dyDescent="0.25">
      <c r="A46" s="4">
        <v>11</v>
      </c>
      <c r="B46" s="4" t="s">
        <v>11</v>
      </c>
      <c r="C46" s="7">
        <v>38.700000000000003</v>
      </c>
      <c r="D46" s="4" t="s">
        <v>12</v>
      </c>
      <c r="E46" s="4" t="s">
        <v>13</v>
      </c>
      <c r="F46" s="4" t="s">
        <v>30</v>
      </c>
      <c r="G46" s="4" t="s">
        <v>15</v>
      </c>
      <c r="H46" s="4">
        <v>4</v>
      </c>
      <c r="I46" s="4">
        <v>3</v>
      </c>
      <c r="J46" s="5">
        <v>45358</v>
      </c>
      <c r="K46" s="6">
        <v>0.46108796296296295</v>
      </c>
    </row>
    <row r="47" spans="1:11" x14ac:dyDescent="0.25">
      <c r="A47" s="4">
        <v>15</v>
      </c>
      <c r="B47" s="4" t="s">
        <v>11</v>
      </c>
      <c r="C47" s="7">
        <v>28.9</v>
      </c>
      <c r="D47" s="4" t="s">
        <v>18</v>
      </c>
      <c r="E47" s="4" t="s">
        <v>17</v>
      </c>
      <c r="F47" s="4" t="s">
        <v>30</v>
      </c>
      <c r="G47" s="4" t="s">
        <v>15</v>
      </c>
      <c r="H47" s="4">
        <v>4</v>
      </c>
      <c r="I47" s="4">
        <v>3</v>
      </c>
      <c r="J47" s="5">
        <v>45358</v>
      </c>
      <c r="K47" s="6">
        <v>0.65303240740740742</v>
      </c>
    </row>
    <row r="48" spans="1:11" x14ac:dyDescent="0.25">
      <c r="A48" s="4">
        <v>15</v>
      </c>
      <c r="B48" s="4" t="s">
        <v>11</v>
      </c>
      <c r="C48" s="7">
        <v>33.799999999999997</v>
      </c>
      <c r="D48" s="4" t="s">
        <v>19</v>
      </c>
      <c r="E48" s="4" t="s">
        <v>17</v>
      </c>
      <c r="F48" s="4" t="s">
        <v>30</v>
      </c>
      <c r="G48" s="4" t="s">
        <v>15</v>
      </c>
      <c r="H48" s="4">
        <v>4</v>
      </c>
      <c r="I48" s="4">
        <v>3</v>
      </c>
      <c r="J48" s="5">
        <v>45358</v>
      </c>
      <c r="K48" s="6">
        <v>0.65379629629629632</v>
      </c>
    </row>
    <row r="49" spans="1:11" x14ac:dyDescent="0.25">
      <c r="A49" s="4">
        <v>10</v>
      </c>
      <c r="B49" s="4" t="s">
        <v>11</v>
      </c>
      <c r="C49" s="7">
        <v>28.9</v>
      </c>
      <c r="D49" s="4" t="s">
        <v>24</v>
      </c>
      <c r="E49" s="4" t="s">
        <v>13</v>
      </c>
      <c r="F49" s="4" t="s">
        <v>14</v>
      </c>
      <c r="G49" s="4" t="s">
        <v>15</v>
      </c>
      <c r="H49" s="4">
        <v>5</v>
      </c>
      <c r="I49" s="4">
        <v>3</v>
      </c>
      <c r="J49" s="5">
        <v>45359</v>
      </c>
      <c r="K49" s="6">
        <v>0.44075231481481481</v>
      </c>
    </row>
    <row r="50" spans="1:11" x14ac:dyDescent="0.25">
      <c r="A50" s="4">
        <v>12</v>
      </c>
      <c r="B50" s="4" t="s">
        <v>11</v>
      </c>
      <c r="C50" s="7">
        <v>38.700000000000003</v>
      </c>
      <c r="D50" s="4" t="s">
        <v>29</v>
      </c>
      <c r="E50" s="4" t="s">
        <v>17</v>
      </c>
      <c r="F50" s="4" t="s">
        <v>14</v>
      </c>
      <c r="G50" s="4" t="s">
        <v>15</v>
      </c>
      <c r="H50" s="4">
        <v>5</v>
      </c>
      <c r="I50" s="4">
        <v>3</v>
      </c>
      <c r="J50" s="5">
        <v>45359</v>
      </c>
      <c r="K50" s="6">
        <v>0.51560185185185181</v>
      </c>
    </row>
    <row r="51" spans="1:11" x14ac:dyDescent="0.25">
      <c r="A51" s="4">
        <v>13</v>
      </c>
      <c r="B51" s="4" t="s">
        <v>11</v>
      </c>
      <c r="C51" s="7">
        <v>28.9</v>
      </c>
      <c r="D51" s="4" t="s">
        <v>18</v>
      </c>
      <c r="E51" s="4" t="s">
        <v>17</v>
      </c>
      <c r="F51" s="4" t="s">
        <v>14</v>
      </c>
      <c r="G51" s="4" t="s">
        <v>15</v>
      </c>
      <c r="H51" s="4">
        <v>5</v>
      </c>
      <c r="I51" s="4">
        <v>3</v>
      </c>
      <c r="J51" s="5">
        <v>45359</v>
      </c>
      <c r="K51" s="6">
        <v>0.57849537037037035</v>
      </c>
    </row>
    <row r="52" spans="1:11" x14ac:dyDescent="0.25">
      <c r="A52" s="4">
        <v>14</v>
      </c>
      <c r="B52" s="4" t="s">
        <v>11</v>
      </c>
      <c r="C52" s="7">
        <v>28.9</v>
      </c>
      <c r="D52" s="4" t="s">
        <v>18</v>
      </c>
      <c r="E52" s="4" t="s">
        <v>17</v>
      </c>
      <c r="F52" s="4" t="s">
        <v>14</v>
      </c>
      <c r="G52" s="4" t="s">
        <v>15</v>
      </c>
      <c r="H52" s="4">
        <v>5</v>
      </c>
      <c r="I52" s="4">
        <v>3</v>
      </c>
      <c r="J52" s="5">
        <v>45359</v>
      </c>
      <c r="K52" s="6">
        <v>0.61402777777777773</v>
      </c>
    </row>
    <row r="53" spans="1:11" x14ac:dyDescent="0.25">
      <c r="A53" s="4">
        <v>14</v>
      </c>
      <c r="B53" s="4" t="s">
        <v>11</v>
      </c>
      <c r="C53" s="7">
        <v>28.9</v>
      </c>
      <c r="D53" s="4" t="s">
        <v>18</v>
      </c>
      <c r="E53" s="4" t="s">
        <v>17</v>
      </c>
      <c r="F53" s="4" t="s">
        <v>14</v>
      </c>
      <c r="G53" s="4" t="s">
        <v>15</v>
      </c>
      <c r="H53" s="4">
        <v>5</v>
      </c>
      <c r="I53" s="4">
        <v>3</v>
      </c>
      <c r="J53" s="5">
        <v>45359</v>
      </c>
      <c r="K53" s="6">
        <v>0.61471064814814813</v>
      </c>
    </row>
    <row r="54" spans="1:11" x14ac:dyDescent="0.25">
      <c r="A54" s="4">
        <v>14</v>
      </c>
      <c r="B54" s="4" t="s">
        <v>11</v>
      </c>
      <c r="C54" s="7">
        <v>33.799999999999997</v>
      </c>
      <c r="D54" s="4" t="s">
        <v>19</v>
      </c>
      <c r="E54" s="4" t="s">
        <v>17</v>
      </c>
      <c r="F54" s="4" t="s">
        <v>14</v>
      </c>
      <c r="G54" s="4" t="s">
        <v>15</v>
      </c>
      <c r="H54" s="4">
        <v>5</v>
      </c>
      <c r="I54" s="4">
        <v>3</v>
      </c>
      <c r="J54" s="5">
        <v>45359</v>
      </c>
      <c r="K54" s="6">
        <v>0.61540509259259257</v>
      </c>
    </row>
    <row r="55" spans="1:11" x14ac:dyDescent="0.25">
      <c r="A55" s="4">
        <v>18</v>
      </c>
      <c r="B55" s="4" t="s">
        <v>11</v>
      </c>
      <c r="C55" s="7">
        <v>38.700000000000003</v>
      </c>
      <c r="D55" s="4" t="s">
        <v>12</v>
      </c>
      <c r="E55" s="4" t="s">
        <v>20</v>
      </c>
      <c r="F55" s="4" t="s">
        <v>14</v>
      </c>
      <c r="G55" s="4" t="s">
        <v>15</v>
      </c>
      <c r="H55" s="4">
        <v>5</v>
      </c>
      <c r="I55" s="4">
        <v>3</v>
      </c>
      <c r="J55" s="5">
        <v>45359</v>
      </c>
      <c r="K55" s="6">
        <v>0.79017361111111106</v>
      </c>
    </row>
    <row r="56" spans="1:11" x14ac:dyDescent="0.25">
      <c r="A56" s="4">
        <v>18</v>
      </c>
      <c r="B56" s="4" t="s">
        <v>11</v>
      </c>
      <c r="C56" s="7">
        <v>38.700000000000003</v>
      </c>
      <c r="D56" s="4" t="s">
        <v>12</v>
      </c>
      <c r="E56" s="4" t="s">
        <v>20</v>
      </c>
      <c r="F56" s="4" t="s">
        <v>14</v>
      </c>
      <c r="G56" s="4" t="s">
        <v>15</v>
      </c>
      <c r="H56" s="4">
        <v>5</v>
      </c>
      <c r="I56" s="4">
        <v>3</v>
      </c>
      <c r="J56" s="5">
        <v>45359</v>
      </c>
      <c r="K56" s="6">
        <v>0.79125000000000001</v>
      </c>
    </row>
    <row r="57" spans="1:11" x14ac:dyDescent="0.25">
      <c r="A57" s="4">
        <v>12</v>
      </c>
      <c r="B57" s="4" t="s">
        <v>11</v>
      </c>
      <c r="C57" s="7">
        <v>24</v>
      </c>
      <c r="D57" s="4" t="s">
        <v>26</v>
      </c>
      <c r="E57" s="4" t="s">
        <v>17</v>
      </c>
      <c r="F57" s="4" t="s">
        <v>22</v>
      </c>
      <c r="G57" s="4" t="s">
        <v>15</v>
      </c>
      <c r="H57" s="4">
        <v>6</v>
      </c>
      <c r="I57" s="4">
        <v>3</v>
      </c>
      <c r="J57" s="5">
        <v>45360</v>
      </c>
      <c r="K57" s="6">
        <v>0.50364583333333335</v>
      </c>
    </row>
    <row r="58" spans="1:11" x14ac:dyDescent="0.25">
      <c r="A58" s="4">
        <v>12</v>
      </c>
      <c r="B58" s="4" t="s">
        <v>11</v>
      </c>
      <c r="C58" s="7">
        <v>28.9</v>
      </c>
      <c r="D58" s="4" t="s">
        <v>18</v>
      </c>
      <c r="E58" s="4" t="s">
        <v>17</v>
      </c>
      <c r="F58" s="4" t="s">
        <v>22</v>
      </c>
      <c r="G58" s="4" t="s">
        <v>15</v>
      </c>
      <c r="H58" s="4">
        <v>6</v>
      </c>
      <c r="I58" s="4">
        <v>3</v>
      </c>
      <c r="J58" s="5">
        <v>45360</v>
      </c>
      <c r="K58" s="6">
        <v>0.5053009259259259</v>
      </c>
    </row>
    <row r="59" spans="1:11" x14ac:dyDescent="0.25">
      <c r="A59" s="4">
        <v>12</v>
      </c>
      <c r="B59" s="4" t="s">
        <v>11</v>
      </c>
      <c r="C59" s="7">
        <v>38.700000000000003</v>
      </c>
      <c r="D59" s="4" t="s">
        <v>29</v>
      </c>
      <c r="E59" s="4" t="s">
        <v>17</v>
      </c>
      <c r="F59" s="4" t="s">
        <v>22</v>
      </c>
      <c r="G59" s="4" t="s">
        <v>15</v>
      </c>
      <c r="H59" s="4">
        <v>6</v>
      </c>
      <c r="I59" s="4">
        <v>3</v>
      </c>
      <c r="J59" s="5">
        <v>45360</v>
      </c>
      <c r="K59" s="6">
        <v>0.50679398148148147</v>
      </c>
    </row>
    <row r="60" spans="1:11" x14ac:dyDescent="0.25">
      <c r="A60" s="4">
        <v>12</v>
      </c>
      <c r="B60" s="4" t="s">
        <v>11</v>
      </c>
      <c r="C60" s="7">
        <v>28.9</v>
      </c>
      <c r="D60" s="4" t="s">
        <v>18</v>
      </c>
      <c r="E60" s="4" t="s">
        <v>17</v>
      </c>
      <c r="F60" s="4" t="s">
        <v>22</v>
      </c>
      <c r="G60" s="4" t="s">
        <v>15</v>
      </c>
      <c r="H60" s="4">
        <v>6</v>
      </c>
      <c r="I60" s="4">
        <v>3</v>
      </c>
      <c r="J60" s="5">
        <v>45360</v>
      </c>
      <c r="K60" s="6">
        <v>0.50906249999999997</v>
      </c>
    </row>
    <row r="61" spans="1:11" x14ac:dyDescent="0.25">
      <c r="A61" s="4">
        <v>12</v>
      </c>
      <c r="B61" s="4" t="s">
        <v>11</v>
      </c>
      <c r="C61" s="7">
        <v>28.9</v>
      </c>
      <c r="D61" s="4" t="s">
        <v>18</v>
      </c>
      <c r="E61" s="4" t="s">
        <v>17</v>
      </c>
      <c r="F61" s="4" t="s">
        <v>22</v>
      </c>
      <c r="G61" s="4" t="s">
        <v>15</v>
      </c>
      <c r="H61" s="4">
        <v>6</v>
      </c>
      <c r="I61" s="4">
        <v>3</v>
      </c>
      <c r="J61" s="5">
        <v>45360</v>
      </c>
      <c r="K61" s="6">
        <v>0.5100231481481482</v>
      </c>
    </row>
    <row r="62" spans="1:11" x14ac:dyDescent="0.25">
      <c r="A62" s="4">
        <v>13</v>
      </c>
      <c r="B62" s="4" t="s">
        <v>11</v>
      </c>
      <c r="C62" s="7">
        <v>38.700000000000003</v>
      </c>
      <c r="D62" s="4" t="s">
        <v>12</v>
      </c>
      <c r="E62" s="4" t="s">
        <v>17</v>
      </c>
      <c r="F62" s="4" t="s">
        <v>22</v>
      </c>
      <c r="G62" s="4" t="s">
        <v>15</v>
      </c>
      <c r="H62" s="4">
        <v>6</v>
      </c>
      <c r="I62" s="4">
        <v>3</v>
      </c>
      <c r="J62" s="5">
        <v>45360</v>
      </c>
      <c r="K62" s="6">
        <v>0.54817129629629635</v>
      </c>
    </row>
    <row r="63" spans="1:11" x14ac:dyDescent="0.25">
      <c r="A63" s="4">
        <v>13</v>
      </c>
      <c r="B63" s="4" t="s">
        <v>11</v>
      </c>
      <c r="C63" s="7">
        <v>33.799999999999997</v>
      </c>
      <c r="D63" s="4" t="s">
        <v>19</v>
      </c>
      <c r="E63" s="4" t="s">
        <v>17</v>
      </c>
      <c r="F63" s="4" t="s">
        <v>22</v>
      </c>
      <c r="G63" s="4" t="s">
        <v>15</v>
      </c>
      <c r="H63" s="4">
        <v>6</v>
      </c>
      <c r="I63" s="4">
        <v>3</v>
      </c>
      <c r="J63" s="5">
        <v>45360</v>
      </c>
      <c r="K63" s="6">
        <v>0.57020833333333332</v>
      </c>
    </row>
    <row r="64" spans="1:11" x14ac:dyDescent="0.25">
      <c r="A64" s="4">
        <v>13</v>
      </c>
      <c r="B64" s="4" t="s">
        <v>11</v>
      </c>
      <c r="C64" s="7">
        <v>28.9</v>
      </c>
      <c r="D64" s="4" t="s">
        <v>24</v>
      </c>
      <c r="E64" s="4" t="s">
        <v>17</v>
      </c>
      <c r="F64" s="4" t="s">
        <v>22</v>
      </c>
      <c r="G64" s="4" t="s">
        <v>15</v>
      </c>
      <c r="H64" s="4">
        <v>6</v>
      </c>
      <c r="I64" s="4">
        <v>3</v>
      </c>
      <c r="J64" s="5">
        <v>45360</v>
      </c>
      <c r="K64" s="6">
        <v>0.578587962962963</v>
      </c>
    </row>
    <row r="65" spans="1:11" x14ac:dyDescent="0.25">
      <c r="A65" s="4">
        <v>13</v>
      </c>
      <c r="B65" s="4" t="s">
        <v>11</v>
      </c>
      <c r="C65" s="7">
        <v>38.700000000000003</v>
      </c>
      <c r="D65" s="4" t="s">
        <v>29</v>
      </c>
      <c r="E65" s="4" t="s">
        <v>17</v>
      </c>
      <c r="F65" s="4" t="s">
        <v>22</v>
      </c>
      <c r="G65" s="4" t="s">
        <v>15</v>
      </c>
      <c r="H65" s="4">
        <v>6</v>
      </c>
      <c r="I65" s="4">
        <v>3</v>
      </c>
      <c r="J65" s="5">
        <v>45360</v>
      </c>
      <c r="K65" s="6">
        <v>0.57958333333333334</v>
      </c>
    </row>
    <row r="66" spans="1:11" x14ac:dyDescent="0.25">
      <c r="A66" s="4">
        <v>14</v>
      </c>
      <c r="B66" s="4" t="s">
        <v>11</v>
      </c>
      <c r="C66" s="7">
        <v>33.799999999999997</v>
      </c>
      <c r="D66" s="4" t="s">
        <v>19</v>
      </c>
      <c r="E66" s="4" t="s">
        <v>17</v>
      </c>
      <c r="F66" s="4" t="s">
        <v>22</v>
      </c>
      <c r="G66" s="4" t="s">
        <v>15</v>
      </c>
      <c r="H66" s="4">
        <v>6</v>
      </c>
      <c r="I66" s="4">
        <v>3</v>
      </c>
      <c r="J66" s="5">
        <v>45360</v>
      </c>
      <c r="K66" s="6">
        <v>0.58890046296296295</v>
      </c>
    </row>
    <row r="67" spans="1:11" x14ac:dyDescent="0.25">
      <c r="A67" s="4">
        <v>14</v>
      </c>
      <c r="B67" s="4" t="s">
        <v>11</v>
      </c>
      <c r="C67" s="7">
        <v>38.700000000000003</v>
      </c>
      <c r="D67" s="4" t="s">
        <v>16</v>
      </c>
      <c r="E67" s="4" t="s">
        <v>17</v>
      </c>
      <c r="F67" s="4" t="s">
        <v>22</v>
      </c>
      <c r="G67" s="4" t="s">
        <v>15</v>
      </c>
      <c r="H67" s="4">
        <v>6</v>
      </c>
      <c r="I67" s="4">
        <v>3</v>
      </c>
      <c r="J67" s="5">
        <v>45360</v>
      </c>
      <c r="K67" s="6">
        <v>0.60199074074074077</v>
      </c>
    </row>
    <row r="68" spans="1:11" x14ac:dyDescent="0.25">
      <c r="A68" s="4">
        <v>19</v>
      </c>
      <c r="B68" s="4" t="s">
        <v>11</v>
      </c>
      <c r="C68" s="7">
        <v>38.700000000000003</v>
      </c>
      <c r="D68" s="4" t="s">
        <v>29</v>
      </c>
      <c r="E68" s="4" t="s">
        <v>20</v>
      </c>
      <c r="F68" s="4" t="s">
        <v>22</v>
      </c>
      <c r="G68" s="4" t="s">
        <v>15</v>
      </c>
      <c r="H68" s="4">
        <v>6</v>
      </c>
      <c r="I68" s="4">
        <v>3</v>
      </c>
      <c r="J68" s="5">
        <v>45360</v>
      </c>
      <c r="K68" s="6">
        <v>0.80413194444444447</v>
      </c>
    </row>
    <row r="69" spans="1:11" x14ac:dyDescent="0.25">
      <c r="A69" s="4">
        <v>19</v>
      </c>
      <c r="B69" s="4" t="s">
        <v>11</v>
      </c>
      <c r="C69" s="7">
        <v>38.700000000000003</v>
      </c>
      <c r="D69" s="4" t="s">
        <v>16</v>
      </c>
      <c r="E69" s="4" t="s">
        <v>20</v>
      </c>
      <c r="F69" s="4" t="s">
        <v>22</v>
      </c>
      <c r="G69" s="4" t="s">
        <v>15</v>
      </c>
      <c r="H69" s="4">
        <v>6</v>
      </c>
      <c r="I69" s="4">
        <v>3</v>
      </c>
      <c r="J69" s="5">
        <v>45360</v>
      </c>
      <c r="K69" s="6">
        <v>0.80497685185185186</v>
      </c>
    </row>
    <row r="70" spans="1:11" x14ac:dyDescent="0.25">
      <c r="A70" s="4">
        <v>11</v>
      </c>
      <c r="B70" s="4" t="s">
        <v>11</v>
      </c>
      <c r="C70" s="7">
        <v>24</v>
      </c>
      <c r="D70" s="4" t="s">
        <v>26</v>
      </c>
      <c r="E70" s="4" t="s">
        <v>13</v>
      </c>
      <c r="F70" s="4" t="s">
        <v>23</v>
      </c>
      <c r="G70" s="4" t="s">
        <v>15</v>
      </c>
      <c r="H70" s="4">
        <v>7</v>
      </c>
      <c r="I70" s="4">
        <v>3</v>
      </c>
      <c r="J70" s="5">
        <v>45361</v>
      </c>
      <c r="K70" s="6">
        <v>0.47175925925925927</v>
      </c>
    </row>
    <row r="71" spans="1:11" x14ac:dyDescent="0.25">
      <c r="A71" s="4">
        <v>19</v>
      </c>
      <c r="B71" s="4" t="s">
        <v>11</v>
      </c>
      <c r="C71" s="7">
        <v>38.700000000000003</v>
      </c>
      <c r="D71" s="4" t="s">
        <v>12</v>
      </c>
      <c r="E71" s="4" t="s">
        <v>20</v>
      </c>
      <c r="F71" s="4" t="s">
        <v>23</v>
      </c>
      <c r="G71" s="4" t="s">
        <v>15</v>
      </c>
      <c r="H71" s="4">
        <v>7</v>
      </c>
      <c r="I71" s="4">
        <v>3</v>
      </c>
      <c r="J71" s="5">
        <v>45361</v>
      </c>
      <c r="K71" s="6">
        <v>0.81527777777777777</v>
      </c>
    </row>
    <row r="72" spans="1:11" x14ac:dyDescent="0.25">
      <c r="A72" s="4">
        <v>19</v>
      </c>
      <c r="B72" s="4" t="s">
        <v>11</v>
      </c>
      <c r="C72" s="7">
        <v>28.9</v>
      </c>
      <c r="D72" s="4" t="s">
        <v>24</v>
      </c>
      <c r="E72" s="4" t="s">
        <v>20</v>
      </c>
      <c r="F72" s="4" t="s">
        <v>23</v>
      </c>
      <c r="G72" s="4" t="s">
        <v>15</v>
      </c>
      <c r="H72" s="4">
        <v>7</v>
      </c>
      <c r="I72" s="4">
        <v>3</v>
      </c>
      <c r="J72" s="5">
        <v>45361</v>
      </c>
      <c r="K72" s="6">
        <v>0.8165972222222222</v>
      </c>
    </row>
    <row r="73" spans="1:11" x14ac:dyDescent="0.25">
      <c r="A73" s="4">
        <v>11</v>
      </c>
      <c r="B73" s="4" t="s">
        <v>11</v>
      </c>
      <c r="C73" s="7">
        <v>38.700000000000003</v>
      </c>
      <c r="D73" s="4" t="s">
        <v>29</v>
      </c>
      <c r="E73" s="4" t="s">
        <v>13</v>
      </c>
      <c r="F73" s="4" t="s">
        <v>25</v>
      </c>
      <c r="G73" s="4" t="s">
        <v>15</v>
      </c>
      <c r="H73" s="4">
        <v>1</v>
      </c>
      <c r="I73" s="4">
        <v>3</v>
      </c>
      <c r="J73" s="5">
        <v>45362</v>
      </c>
      <c r="K73" s="6">
        <v>0.48122685185185188</v>
      </c>
    </row>
    <row r="74" spans="1:11" x14ac:dyDescent="0.25">
      <c r="A74" s="4">
        <v>16</v>
      </c>
      <c r="B74" s="4" t="s">
        <v>11</v>
      </c>
      <c r="C74" s="7">
        <v>28.9</v>
      </c>
      <c r="D74" s="4" t="s">
        <v>18</v>
      </c>
      <c r="E74" s="4" t="s">
        <v>17</v>
      </c>
      <c r="F74" s="4" t="s">
        <v>25</v>
      </c>
      <c r="G74" s="4" t="s">
        <v>15</v>
      </c>
      <c r="H74" s="4">
        <v>1</v>
      </c>
      <c r="I74" s="4">
        <v>3</v>
      </c>
      <c r="J74" s="5">
        <v>45362</v>
      </c>
      <c r="K74" s="6">
        <v>0.68363425925925925</v>
      </c>
    </row>
    <row r="75" spans="1:11" x14ac:dyDescent="0.25">
      <c r="A75" s="4">
        <v>16</v>
      </c>
      <c r="B75" s="4" t="s">
        <v>11</v>
      </c>
      <c r="C75" s="7">
        <v>38.700000000000003</v>
      </c>
      <c r="D75" s="4" t="s">
        <v>12</v>
      </c>
      <c r="E75" s="4" t="s">
        <v>17</v>
      </c>
      <c r="F75" s="4" t="s">
        <v>25</v>
      </c>
      <c r="G75" s="4" t="s">
        <v>15</v>
      </c>
      <c r="H75" s="4">
        <v>1</v>
      </c>
      <c r="I75" s="4">
        <v>3</v>
      </c>
      <c r="J75" s="5">
        <v>45362</v>
      </c>
      <c r="K75" s="6">
        <v>0.68454861111111109</v>
      </c>
    </row>
    <row r="76" spans="1:11" x14ac:dyDescent="0.25">
      <c r="A76" s="4">
        <v>16</v>
      </c>
      <c r="B76" s="4" t="s">
        <v>11</v>
      </c>
      <c r="C76" s="7">
        <v>28.9</v>
      </c>
      <c r="D76" s="4" t="s">
        <v>24</v>
      </c>
      <c r="E76" s="4" t="s">
        <v>17</v>
      </c>
      <c r="F76" s="4" t="s">
        <v>25</v>
      </c>
      <c r="G76" s="4" t="s">
        <v>15</v>
      </c>
      <c r="H76" s="4">
        <v>1</v>
      </c>
      <c r="I76" s="4">
        <v>3</v>
      </c>
      <c r="J76" s="5">
        <v>45362</v>
      </c>
      <c r="K76" s="6">
        <v>0.70195601851851852</v>
      </c>
    </row>
    <row r="77" spans="1:11" x14ac:dyDescent="0.25">
      <c r="A77" s="4">
        <v>10</v>
      </c>
      <c r="B77" s="4" t="s">
        <v>11</v>
      </c>
      <c r="C77" s="7">
        <v>28.9</v>
      </c>
      <c r="D77" s="4" t="s">
        <v>18</v>
      </c>
      <c r="E77" s="4" t="s">
        <v>13</v>
      </c>
      <c r="F77" s="4" t="s">
        <v>27</v>
      </c>
      <c r="G77" s="4" t="s">
        <v>15</v>
      </c>
      <c r="H77" s="4">
        <v>2</v>
      </c>
      <c r="I77" s="4">
        <v>3</v>
      </c>
      <c r="J77" s="5">
        <v>45363</v>
      </c>
      <c r="K77" s="6">
        <v>0.42747685185185186</v>
      </c>
    </row>
    <row r="78" spans="1:11" x14ac:dyDescent="0.25">
      <c r="A78" s="4">
        <v>10</v>
      </c>
      <c r="B78" s="4" t="s">
        <v>11</v>
      </c>
      <c r="C78" s="7">
        <v>28.9</v>
      </c>
      <c r="D78" s="4" t="s">
        <v>24</v>
      </c>
      <c r="E78" s="4" t="s">
        <v>13</v>
      </c>
      <c r="F78" s="4" t="s">
        <v>27</v>
      </c>
      <c r="G78" s="4" t="s">
        <v>15</v>
      </c>
      <c r="H78" s="4">
        <v>2</v>
      </c>
      <c r="I78" s="4">
        <v>3</v>
      </c>
      <c r="J78" s="5">
        <v>45363</v>
      </c>
      <c r="K78" s="6">
        <v>0.42805555555555558</v>
      </c>
    </row>
    <row r="79" spans="1:11" x14ac:dyDescent="0.25">
      <c r="A79" s="4">
        <v>11</v>
      </c>
      <c r="B79" s="4" t="s">
        <v>11</v>
      </c>
      <c r="C79" s="7">
        <v>38.700000000000003</v>
      </c>
      <c r="D79" s="4" t="s">
        <v>16</v>
      </c>
      <c r="E79" s="4" t="s">
        <v>13</v>
      </c>
      <c r="F79" s="4" t="s">
        <v>27</v>
      </c>
      <c r="G79" s="4" t="s">
        <v>15</v>
      </c>
      <c r="H79" s="4">
        <v>2</v>
      </c>
      <c r="I79" s="4">
        <v>3</v>
      </c>
      <c r="J79" s="5">
        <v>45363</v>
      </c>
      <c r="K79" s="6">
        <v>0.47274305555555557</v>
      </c>
    </row>
    <row r="80" spans="1:11" x14ac:dyDescent="0.25">
      <c r="A80" s="4">
        <v>12</v>
      </c>
      <c r="B80" s="4" t="s">
        <v>11</v>
      </c>
      <c r="C80" s="7">
        <v>33.799999999999997</v>
      </c>
      <c r="D80" s="4" t="s">
        <v>19</v>
      </c>
      <c r="E80" s="4" t="s">
        <v>17</v>
      </c>
      <c r="F80" s="4" t="s">
        <v>27</v>
      </c>
      <c r="G80" s="4" t="s">
        <v>15</v>
      </c>
      <c r="H80" s="4">
        <v>2</v>
      </c>
      <c r="I80" s="4">
        <v>3</v>
      </c>
      <c r="J80" s="5">
        <v>45363</v>
      </c>
      <c r="K80" s="6">
        <v>0.53221064814814811</v>
      </c>
    </row>
    <row r="81" spans="1:11" x14ac:dyDescent="0.25">
      <c r="A81" s="4">
        <v>12</v>
      </c>
      <c r="B81" s="4" t="s">
        <v>11</v>
      </c>
      <c r="C81" s="7">
        <v>28.9</v>
      </c>
      <c r="D81" s="4" t="s">
        <v>18</v>
      </c>
      <c r="E81" s="4" t="s">
        <v>17</v>
      </c>
      <c r="F81" s="4" t="s">
        <v>27</v>
      </c>
      <c r="G81" s="4" t="s">
        <v>15</v>
      </c>
      <c r="H81" s="4">
        <v>2</v>
      </c>
      <c r="I81" s="4">
        <v>3</v>
      </c>
      <c r="J81" s="5">
        <v>45363</v>
      </c>
      <c r="K81" s="6">
        <v>0.53293981481481478</v>
      </c>
    </row>
    <row r="82" spans="1:11" x14ac:dyDescent="0.25">
      <c r="A82" s="4">
        <v>16</v>
      </c>
      <c r="B82" s="4" t="s">
        <v>11</v>
      </c>
      <c r="C82" s="7">
        <v>28.9</v>
      </c>
      <c r="D82" s="4" t="s">
        <v>18</v>
      </c>
      <c r="E82" s="4" t="s">
        <v>17</v>
      </c>
      <c r="F82" s="4" t="s">
        <v>27</v>
      </c>
      <c r="G82" s="4" t="s">
        <v>15</v>
      </c>
      <c r="H82" s="4">
        <v>2</v>
      </c>
      <c r="I82" s="4">
        <v>3</v>
      </c>
      <c r="J82" s="5">
        <v>45363</v>
      </c>
      <c r="K82" s="6">
        <v>0.67758101851851849</v>
      </c>
    </row>
    <row r="83" spans="1:11" x14ac:dyDescent="0.25">
      <c r="A83" s="4">
        <v>11</v>
      </c>
      <c r="B83" s="4" t="s">
        <v>11</v>
      </c>
      <c r="C83" s="7">
        <v>38.700000000000003</v>
      </c>
      <c r="D83" s="4" t="s">
        <v>16</v>
      </c>
      <c r="E83" s="4" t="s">
        <v>13</v>
      </c>
      <c r="F83" s="4" t="s">
        <v>28</v>
      </c>
      <c r="G83" s="4" t="s">
        <v>15</v>
      </c>
      <c r="H83" s="4">
        <v>3</v>
      </c>
      <c r="I83" s="4">
        <v>3</v>
      </c>
      <c r="J83" s="5">
        <v>45364</v>
      </c>
      <c r="K83" s="6">
        <v>0.46299768518518519</v>
      </c>
    </row>
    <row r="84" spans="1:11" x14ac:dyDescent="0.25">
      <c r="A84" s="4">
        <v>11</v>
      </c>
      <c r="B84" s="4" t="s">
        <v>11</v>
      </c>
      <c r="C84" s="7">
        <v>28.9</v>
      </c>
      <c r="D84" s="4" t="s">
        <v>18</v>
      </c>
      <c r="E84" s="4" t="s">
        <v>13</v>
      </c>
      <c r="F84" s="4" t="s">
        <v>28</v>
      </c>
      <c r="G84" s="4" t="s">
        <v>15</v>
      </c>
      <c r="H84" s="4">
        <v>3</v>
      </c>
      <c r="I84" s="4">
        <v>3</v>
      </c>
      <c r="J84" s="5">
        <v>45364</v>
      </c>
      <c r="K84" s="6">
        <v>0.49185185185185187</v>
      </c>
    </row>
    <row r="85" spans="1:11" x14ac:dyDescent="0.25">
      <c r="A85" s="4">
        <v>12</v>
      </c>
      <c r="B85" s="4" t="s">
        <v>11</v>
      </c>
      <c r="C85" s="7">
        <v>28.9</v>
      </c>
      <c r="D85" s="4" t="s">
        <v>18</v>
      </c>
      <c r="E85" s="4" t="s">
        <v>17</v>
      </c>
      <c r="F85" s="4" t="s">
        <v>28</v>
      </c>
      <c r="G85" s="4" t="s">
        <v>15</v>
      </c>
      <c r="H85" s="4">
        <v>3</v>
      </c>
      <c r="I85" s="4">
        <v>3</v>
      </c>
      <c r="J85" s="5">
        <v>45364</v>
      </c>
      <c r="K85" s="6">
        <v>0.51256944444444441</v>
      </c>
    </row>
    <row r="86" spans="1:11" x14ac:dyDescent="0.25">
      <c r="A86" s="4">
        <v>12</v>
      </c>
      <c r="B86" s="4" t="s">
        <v>11</v>
      </c>
      <c r="C86" s="7">
        <v>28.9</v>
      </c>
      <c r="D86" s="4" t="s">
        <v>18</v>
      </c>
      <c r="E86" s="4" t="s">
        <v>17</v>
      </c>
      <c r="F86" s="4" t="s">
        <v>28</v>
      </c>
      <c r="G86" s="4" t="s">
        <v>15</v>
      </c>
      <c r="H86" s="4">
        <v>3</v>
      </c>
      <c r="I86" s="4">
        <v>3</v>
      </c>
      <c r="J86" s="5">
        <v>45364</v>
      </c>
      <c r="K86" s="6">
        <v>0.51325231481481481</v>
      </c>
    </row>
    <row r="87" spans="1:11" x14ac:dyDescent="0.25">
      <c r="A87" s="4">
        <v>14</v>
      </c>
      <c r="B87" s="4" t="s">
        <v>11</v>
      </c>
      <c r="C87" s="7">
        <v>33.799999999999997</v>
      </c>
      <c r="D87" s="4" t="s">
        <v>19</v>
      </c>
      <c r="E87" s="4" t="s">
        <v>17</v>
      </c>
      <c r="F87" s="4" t="s">
        <v>28</v>
      </c>
      <c r="G87" s="4" t="s">
        <v>15</v>
      </c>
      <c r="H87" s="4">
        <v>3</v>
      </c>
      <c r="I87" s="4">
        <v>3</v>
      </c>
      <c r="J87" s="5">
        <v>45364</v>
      </c>
      <c r="K87" s="6">
        <v>0.60185185185185186</v>
      </c>
    </row>
    <row r="88" spans="1:11" x14ac:dyDescent="0.25">
      <c r="A88" s="4">
        <v>15</v>
      </c>
      <c r="B88" s="4" t="s">
        <v>11</v>
      </c>
      <c r="C88" s="7">
        <v>24</v>
      </c>
      <c r="D88" s="4" t="s">
        <v>26</v>
      </c>
      <c r="E88" s="4" t="s">
        <v>17</v>
      </c>
      <c r="F88" s="4" t="s">
        <v>28</v>
      </c>
      <c r="G88" s="4" t="s">
        <v>15</v>
      </c>
      <c r="H88" s="4">
        <v>3</v>
      </c>
      <c r="I88" s="4">
        <v>3</v>
      </c>
      <c r="J88" s="5">
        <v>45364</v>
      </c>
      <c r="K88" s="6">
        <v>0.65303240740740742</v>
      </c>
    </row>
    <row r="89" spans="1:11" x14ac:dyDescent="0.25">
      <c r="A89" s="4">
        <v>15</v>
      </c>
      <c r="B89" s="4" t="s">
        <v>11</v>
      </c>
      <c r="C89" s="7">
        <v>24</v>
      </c>
      <c r="D89" s="4" t="s">
        <v>26</v>
      </c>
      <c r="E89" s="4" t="s">
        <v>17</v>
      </c>
      <c r="F89" s="4" t="s">
        <v>28</v>
      </c>
      <c r="G89" s="4" t="s">
        <v>15</v>
      </c>
      <c r="H89" s="4">
        <v>3</v>
      </c>
      <c r="I89" s="4">
        <v>3</v>
      </c>
      <c r="J89" s="5">
        <v>45364</v>
      </c>
      <c r="K89" s="6">
        <v>0.65370370370370368</v>
      </c>
    </row>
    <row r="90" spans="1:11" x14ac:dyDescent="0.25">
      <c r="A90" s="4">
        <v>16</v>
      </c>
      <c r="B90" s="4" t="s">
        <v>11</v>
      </c>
      <c r="C90" s="7">
        <v>24</v>
      </c>
      <c r="D90" s="4" t="s">
        <v>26</v>
      </c>
      <c r="E90" s="4" t="s">
        <v>17</v>
      </c>
      <c r="F90" s="4" t="s">
        <v>28</v>
      </c>
      <c r="G90" s="4" t="s">
        <v>15</v>
      </c>
      <c r="H90" s="4">
        <v>3</v>
      </c>
      <c r="I90" s="4">
        <v>3</v>
      </c>
      <c r="J90" s="5">
        <v>45364</v>
      </c>
      <c r="K90" s="6">
        <v>0.6994097222222222</v>
      </c>
    </row>
    <row r="91" spans="1:11" x14ac:dyDescent="0.25">
      <c r="A91" s="4">
        <v>10</v>
      </c>
      <c r="B91" s="4" t="s">
        <v>11</v>
      </c>
      <c r="C91" s="7">
        <v>38.700000000000003</v>
      </c>
      <c r="D91" s="4" t="s">
        <v>12</v>
      </c>
      <c r="E91" s="4" t="s">
        <v>13</v>
      </c>
      <c r="F91" s="4" t="s">
        <v>30</v>
      </c>
      <c r="G91" s="4" t="s">
        <v>15</v>
      </c>
      <c r="H91" s="4">
        <v>4</v>
      </c>
      <c r="I91" s="4">
        <v>3</v>
      </c>
      <c r="J91" s="5">
        <v>45365</v>
      </c>
      <c r="K91" s="6">
        <v>0.43649305555555556</v>
      </c>
    </row>
    <row r="92" spans="1:11" x14ac:dyDescent="0.25">
      <c r="A92" s="4">
        <v>10</v>
      </c>
      <c r="B92" s="4" t="s">
        <v>11</v>
      </c>
      <c r="C92" s="7">
        <v>38.700000000000003</v>
      </c>
      <c r="D92" s="4" t="s">
        <v>16</v>
      </c>
      <c r="E92" s="4" t="s">
        <v>13</v>
      </c>
      <c r="F92" s="4" t="s">
        <v>30</v>
      </c>
      <c r="G92" s="4" t="s">
        <v>15</v>
      </c>
      <c r="H92" s="4">
        <v>4</v>
      </c>
      <c r="I92" s="4">
        <v>3</v>
      </c>
      <c r="J92" s="5">
        <v>45365</v>
      </c>
      <c r="K92" s="6">
        <v>0.4371990740740741</v>
      </c>
    </row>
    <row r="93" spans="1:11" x14ac:dyDescent="0.25">
      <c r="A93" s="4">
        <v>13</v>
      </c>
      <c r="B93" s="4" t="s">
        <v>11</v>
      </c>
      <c r="C93" s="7">
        <v>28.9</v>
      </c>
      <c r="D93" s="4" t="s">
        <v>24</v>
      </c>
      <c r="E93" s="4" t="s">
        <v>17</v>
      </c>
      <c r="F93" s="4" t="s">
        <v>30</v>
      </c>
      <c r="G93" s="4" t="s">
        <v>15</v>
      </c>
      <c r="H93" s="4">
        <v>4</v>
      </c>
      <c r="I93" s="4">
        <v>3</v>
      </c>
      <c r="J93" s="5">
        <v>45365</v>
      </c>
      <c r="K93" s="6">
        <v>0.5607523148148148</v>
      </c>
    </row>
    <row r="94" spans="1:11" x14ac:dyDescent="0.25">
      <c r="A94" s="4">
        <v>13</v>
      </c>
      <c r="B94" s="4" t="s">
        <v>11</v>
      </c>
      <c r="C94" s="7">
        <v>28.9</v>
      </c>
      <c r="D94" s="4" t="s">
        <v>18</v>
      </c>
      <c r="E94" s="4" t="s">
        <v>17</v>
      </c>
      <c r="F94" s="4" t="s">
        <v>30</v>
      </c>
      <c r="G94" s="4" t="s">
        <v>15</v>
      </c>
      <c r="H94" s="4">
        <v>4</v>
      </c>
      <c r="I94" s="4">
        <v>3</v>
      </c>
      <c r="J94" s="5">
        <v>45365</v>
      </c>
      <c r="K94" s="6">
        <v>0.56138888888888894</v>
      </c>
    </row>
    <row r="95" spans="1:11" x14ac:dyDescent="0.25">
      <c r="A95" s="4">
        <v>13</v>
      </c>
      <c r="B95" s="4" t="s">
        <v>11</v>
      </c>
      <c r="C95" s="7">
        <v>33.799999999999997</v>
      </c>
      <c r="D95" s="4" t="s">
        <v>19</v>
      </c>
      <c r="E95" s="4" t="s">
        <v>17</v>
      </c>
      <c r="F95" s="4" t="s">
        <v>30</v>
      </c>
      <c r="G95" s="4" t="s">
        <v>15</v>
      </c>
      <c r="H95" s="4">
        <v>4</v>
      </c>
      <c r="I95" s="4">
        <v>3</v>
      </c>
      <c r="J95" s="5">
        <v>45365</v>
      </c>
      <c r="K95" s="6">
        <v>0.57776620370370368</v>
      </c>
    </row>
    <row r="96" spans="1:11" x14ac:dyDescent="0.25">
      <c r="A96" s="4">
        <v>13</v>
      </c>
      <c r="B96" s="4" t="s">
        <v>11</v>
      </c>
      <c r="C96" s="7">
        <v>24</v>
      </c>
      <c r="D96" s="4" t="s">
        <v>26</v>
      </c>
      <c r="E96" s="4" t="s">
        <v>17</v>
      </c>
      <c r="F96" s="4" t="s">
        <v>30</v>
      </c>
      <c r="G96" s="4" t="s">
        <v>15</v>
      </c>
      <c r="H96" s="4">
        <v>4</v>
      </c>
      <c r="I96" s="4">
        <v>3</v>
      </c>
      <c r="J96" s="5">
        <v>45365</v>
      </c>
      <c r="K96" s="6">
        <v>0.5784259259259259</v>
      </c>
    </row>
    <row r="97" spans="1:11" x14ac:dyDescent="0.25">
      <c r="A97" s="4">
        <v>15</v>
      </c>
      <c r="B97" s="4" t="s">
        <v>11</v>
      </c>
      <c r="C97" s="7">
        <v>38.700000000000003</v>
      </c>
      <c r="D97" s="4" t="s">
        <v>12</v>
      </c>
      <c r="E97" s="4" t="s">
        <v>17</v>
      </c>
      <c r="F97" s="4" t="s">
        <v>30</v>
      </c>
      <c r="G97" s="4" t="s">
        <v>15</v>
      </c>
      <c r="H97" s="4">
        <v>4</v>
      </c>
      <c r="I97" s="4">
        <v>3</v>
      </c>
      <c r="J97" s="5">
        <v>45365</v>
      </c>
      <c r="K97" s="6">
        <v>0.63932870370370365</v>
      </c>
    </row>
    <row r="98" spans="1:11" x14ac:dyDescent="0.25">
      <c r="A98" s="4">
        <v>16</v>
      </c>
      <c r="B98" s="4" t="s">
        <v>11</v>
      </c>
      <c r="C98" s="7">
        <v>33.799999999999997</v>
      </c>
      <c r="D98" s="4" t="s">
        <v>19</v>
      </c>
      <c r="E98" s="4" t="s">
        <v>17</v>
      </c>
      <c r="F98" s="4" t="s">
        <v>30</v>
      </c>
      <c r="G98" s="4" t="s">
        <v>15</v>
      </c>
      <c r="H98" s="4">
        <v>4</v>
      </c>
      <c r="I98" s="4">
        <v>3</v>
      </c>
      <c r="J98" s="5">
        <v>45365</v>
      </c>
      <c r="K98" s="6">
        <v>0.66954861111111108</v>
      </c>
    </row>
    <row r="99" spans="1:11" x14ac:dyDescent="0.25">
      <c r="A99" s="4">
        <v>16</v>
      </c>
      <c r="B99" s="4" t="s">
        <v>11</v>
      </c>
      <c r="C99" s="7">
        <v>24</v>
      </c>
      <c r="D99" s="4" t="s">
        <v>26</v>
      </c>
      <c r="E99" s="4" t="s">
        <v>17</v>
      </c>
      <c r="F99" s="4" t="s">
        <v>30</v>
      </c>
      <c r="G99" s="4" t="s">
        <v>15</v>
      </c>
      <c r="H99" s="4">
        <v>4</v>
      </c>
      <c r="I99" s="4">
        <v>3</v>
      </c>
      <c r="J99" s="5">
        <v>45365</v>
      </c>
      <c r="K99" s="6">
        <v>0.70460648148148153</v>
      </c>
    </row>
    <row r="100" spans="1:11" x14ac:dyDescent="0.25">
      <c r="A100" s="4">
        <v>18</v>
      </c>
      <c r="B100" s="4" t="s">
        <v>11</v>
      </c>
      <c r="C100" s="7">
        <v>38.700000000000003</v>
      </c>
      <c r="D100" s="4" t="s">
        <v>16</v>
      </c>
      <c r="E100" s="4" t="s">
        <v>20</v>
      </c>
      <c r="F100" s="4" t="s">
        <v>30</v>
      </c>
      <c r="G100" s="4" t="s">
        <v>15</v>
      </c>
      <c r="H100" s="4">
        <v>4</v>
      </c>
      <c r="I100" s="4">
        <v>3</v>
      </c>
      <c r="J100" s="5">
        <v>45365</v>
      </c>
      <c r="K100" s="6">
        <v>0.79091435185185188</v>
      </c>
    </row>
    <row r="101" spans="1:11" x14ac:dyDescent="0.25">
      <c r="A101" s="4">
        <v>19</v>
      </c>
      <c r="B101" s="4" t="s">
        <v>11</v>
      </c>
      <c r="C101" s="7">
        <v>28.9</v>
      </c>
      <c r="D101" s="4" t="s">
        <v>24</v>
      </c>
      <c r="E101" s="4" t="s">
        <v>20</v>
      </c>
      <c r="F101" s="4" t="s">
        <v>30</v>
      </c>
      <c r="G101" s="4" t="s">
        <v>15</v>
      </c>
      <c r="H101" s="4">
        <v>4</v>
      </c>
      <c r="I101" s="4">
        <v>3</v>
      </c>
      <c r="J101" s="5">
        <v>45365</v>
      </c>
      <c r="K101" s="6">
        <v>0.79175925925925927</v>
      </c>
    </row>
    <row r="102" spans="1:11" x14ac:dyDescent="0.25">
      <c r="A102" s="4">
        <v>10</v>
      </c>
      <c r="B102" s="4" t="s">
        <v>11</v>
      </c>
      <c r="C102" s="7">
        <v>38.700000000000003</v>
      </c>
      <c r="D102" s="4" t="s">
        <v>16</v>
      </c>
      <c r="E102" s="4" t="s">
        <v>13</v>
      </c>
      <c r="F102" s="4" t="s">
        <v>14</v>
      </c>
      <c r="G102" s="4" t="s">
        <v>15</v>
      </c>
      <c r="H102" s="4">
        <v>5</v>
      </c>
      <c r="I102" s="4">
        <v>3</v>
      </c>
      <c r="J102" s="5">
        <v>45366</v>
      </c>
      <c r="K102" s="6">
        <v>0.45349537037037035</v>
      </c>
    </row>
    <row r="103" spans="1:11" x14ac:dyDescent="0.25">
      <c r="A103" s="4">
        <v>18</v>
      </c>
      <c r="B103" s="4" t="s">
        <v>11</v>
      </c>
      <c r="C103" s="7">
        <v>28.9</v>
      </c>
      <c r="D103" s="4" t="s">
        <v>18</v>
      </c>
      <c r="E103" s="4" t="s">
        <v>20</v>
      </c>
      <c r="F103" s="4" t="s">
        <v>14</v>
      </c>
      <c r="G103" s="4" t="s">
        <v>15</v>
      </c>
      <c r="H103" s="4">
        <v>5</v>
      </c>
      <c r="I103" s="4">
        <v>3</v>
      </c>
      <c r="J103" s="5">
        <v>45366</v>
      </c>
      <c r="K103" s="6">
        <v>0.76350694444444445</v>
      </c>
    </row>
    <row r="104" spans="1:11" x14ac:dyDescent="0.25">
      <c r="A104" s="4">
        <v>12</v>
      </c>
      <c r="B104" s="4" t="s">
        <v>11</v>
      </c>
      <c r="C104" s="7">
        <v>33.799999999999997</v>
      </c>
      <c r="D104" s="4" t="s">
        <v>19</v>
      </c>
      <c r="E104" s="4" t="s">
        <v>17</v>
      </c>
      <c r="F104" s="4" t="s">
        <v>22</v>
      </c>
      <c r="G104" s="4" t="s">
        <v>15</v>
      </c>
      <c r="H104" s="4">
        <v>6</v>
      </c>
      <c r="I104" s="4">
        <v>3</v>
      </c>
      <c r="J104" s="5">
        <v>45367</v>
      </c>
      <c r="K104" s="6">
        <v>0.50480324074074079</v>
      </c>
    </row>
    <row r="105" spans="1:11" x14ac:dyDescent="0.25">
      <c r="A105" s="4">
        <v>12</v>
      </c>
      <c r="B105" s="4" t="s">
        <v>11</v>
      </c>
      <c r="C105" s="7">
        <v>28.9</v>
      </c>
      <c r="D105" s="4" t="s">
        <v>18</v>
      </c>
      <c r="E105" s="4" t="s">
        <v>17</v>
      </c>
      <c r="F105" s="4" t="s">
        <v>22</v>
      </c>
      <c r="G105" s="4" t="s">
        <v>15</v>
      </c>
      <c r="H105" s="4">
        <v>6</v>
      </c>
      <c r="I105" s="4">
        <v>3</v>
      </c>
      <c r="J105" s="5">
        <v>45367</v>
      </c>
      <c r="K105" s="6">
        <v>0.50547453703703704</v>
      </c>
    </row>
    <row r="106" spans="1:11" x14ac:dyDescent="0.25">
      <c r="A106" s="4">
        <v>15</v>
      </c>
      <c r="B106" s="4" t="s">
        <v>11</v>
      </c>
      <c r="C106" s="7">
        <v>28.9</v>
      </c>
      <c r="D106" s="4" t="s">
        <v>24</v>
      </c>
      <c r="E106" s="4" t="s">
        <v>17</v>
      </c>
      <c r="F106" s="4" t="s">
        <v>22</v>
      </c>
      <c r="G106" s="4" t="s">
        <v>15</v>
      </c>
      <c r="H106" s="4">
        <v>6</v>
      </c>
      <c r="I106" s="4">
        <v>3</v>
      </c>
      <c r="J106" s="5">
        <v>45367</v>
      </c>
      <c r="K106" s="6">
        <v>0.66548611111111111</v>
      </c>
    </row>
    <row r="107" spans="1:11" x14ac:dyDescent="0.25">
      <c r="A107" s="4">
        <v>16</v>
      </c>
      <c r="B107" s="4" t="s">
        <v>11</v>
      </c>
      <c r="C107" s="7">
        <v>28.9</v>
      </c>
      <c r="D107" s="4" t="s">
        <v>24</v>
      </c>
      <c r="E107" s="4" t="s">
        <v>17</v>
      </c>
      <c r="F107" s="4" t="s">
        <v>22</v>
      </c>
      <c r="G107" s="4" t="s">
        <v>15</v>
      </c>
      <c r="H107" s="4">
        <v>6</v>
      </c>
      <c r="I107" s="4">
        <v>3</v>
      </c>
      <c r="J107" s="5">
        <v>45367</v>
      </c>
      <c r="K107" s="6">
        <v>0.66899305555555555</v>
      </c>
    </row>
    <row r="108" spans="1:11" x14ac:dyDescent="0.25">
      <c r="A108" s="4">
        <v>16</v>
      </c>
      <c r="B108" s="4" t="s">
        <v>11</v>
      </c>
      <c r="C108" s="7">
        <v>28.9</v>
      </c>
      <c r="D108" s="4" t="s">
        <v>24</v>
      </c>
      <c r="E108" s="4" t="s">
        <v>17</v>
      </c>
      <c r="F108" s="4" t="s">
        <v>22</v>
      </c>
      <c r="G108" s="4" t="s">
        <v>15</v>
      </c>
      <c r="H108" s="4">
        <v>6</v>
      </c>
      <c r="I108" s="4">
        <v>3</v>
      </c>
      <c r="J108" s="5">
        <v>45367</v>
      </c>
      <c r="K108" s="6">
        <v>0.66957175925925927</v>
      </c>
    </row>
    <row r="109" spans="1:11" x14ac:dyDescent="0.25">
      <c r="A109" s="4">
        <v>17</v>
      </c>
      <c r="B109" s="4" t="s">
        <v>11</v>
      </c>
      <c r="C109" s="7">
        <v>33.799999999999997</v>
      </c>
      <c r="D109" s="4" t="s">
        <v>19</v>
      </c>
      <c r="E109" s="4" t="s">
        <v>20</v>
      </c>
      <c r="F109" s="4" t="s">
        <v>22</v>
      </c>
      <c r="G109" s="4" t="s">
        <v>15</v>
      </c>
      <c r="H109" s="4">
        <v>6</v>
      </c>
      <c r="I109" s="4">
        <v>3</v>
      </c>
      <c r="J109" s="5">
        <v>45367</v>
      </c>
      <c r="K109" s="6">
        <v>0.74869212962962961</v>
      </c>
    </row>
    <row r="110" spans="1:11" x14ac:dyDescent="0.25">
      <c r="A110" s="4">
        <v>12</v>
      </c>
      <c r="B110" s="4" t="s">
        <v>11</v>
      </c>
      <c r="C110" s="7">
        <v>28.9</v>
      </c>
      <c r="D110" s="4" t="s">
        <v>24</v>
      </c>
      <c r="E110" s="4" t="s">
        <v>17</v>
      </c>
      <c r="F110" s="4" t="s">
        <v>23</v>
      </c>
      <c r="G110" s="4" t="s">
        <v>15</v>
      </c>
      <c r="H110" s="4">
        <v>7</v>
      </c>
      <c r="I110" s="4">
        <v>3</v>
      </c>
      <c r="J110" s="5">
        <v>45368</v>
      </c>
      <c r="K110" s="6">
        <v>0.53849537037037032</v>
      </c>
    </row>
    <row r="111" spans="1:11" x14ac:dyDescent="0.25">
      <c r="A111" s="4">
        <v>11</v>
      </c>
      <c r="B111" s="4" t="s">
        <v>11</v>
      </c>
      <c r="C111" s="7">
        <v>28.9</v>
      </c>
      <c r="D111" s="4" t="s">
        <v>24</v>
      </c>
      <c r="E111" s="4" t="s">
        <v>13</v>
      </c>
      <c r="F111" s="4" t="s">
        <v>25</v>
      </c>
      <c r="G111" s="4" t="s">
        <v>15</v>
      </c>
      <c r="H111" s="4">
        <v>1</v>
      </c>
      <c r="I111" s="4">
        <v>3</v>
      </c>
      <c r="J111" s="5">
        <v>45369</v>
      </c>
      <c r="K111" s="6">
        <v>0.47082175925925923</v>
      </c>
    </row>
    <row r="112" spans="1:11" x14ac:dyDescent="0.25">
      <c r="A112" s="4">
        <v>15</v>
      </c>
      <c r="B112" s="4" t="s">
        <v>11</v>
      </c>
      <c r="C112" s="7">
        <v>28.9</v>
      </c>
      <c r="D112" s="4" t="s">
        <v>18</v>
      </c>
      <c r="E112" s="4" t="s">
        <v>17</v>
      </c>
      <c r="F112" s="4" t="s">
        <v>25</v>
      </c>
      <c r="G112" s="4" t="s">
        <v>15</v>
      </c>
      <c r="H112" s="4">
        <v>1</v>
      </c>
      <c r="I112" s="4">
        <v>3</v>
      </c>
      <c r="J112" s="5">
        <v>45369</v>
      </c>
      <c r="K112" s="6">
        <v>0.64697916666666666</v>
      </c>
    </row>
    <row r="113" spans="1:11" x14ac:dyDescent="0.25">
      <c r="A113" s="4">
        <v>15</v>
      </c>
      <c r="B113" s="4" t="s">
        <v>11</v>
      </c>
      <c r="C113" s="7">
        <v>28.9</v>
      </c>
      <c r="D113" s="4" t="s">
        <v>18</v>
      </c>
      <c r="E113" s="4" t="s">
        <v>17</v>
      </c>
      <c r="F113" s="4" t="s">
        <v>25</v>
      </c>
      <c r="G113" s="4" t="s">
        <v>15</v>
      </c>
      <c r="H113" s="4">
        <v>1</v>
      </c>
      <c r="I113" s="4">
        <v>3</v>
      </c>
      <c r="J113" s="5">
        <v>45369</v>
      </c>
      <c r="K113" s="6">
        <v>0.64766203703703706</v>
      </c>
    </row>
    <row r="114" spans="1:11" x14ac:dyDescent="0.25">
      <c r="A114" s="4">
        <v>15</v>
      </c>
      <c r="B114" s="4" t="s">
        <v>11</v>
      </c>
      <c r="C114" s="7">
        <v>28.9</v>
      </c>
      <c r="D114" s="4" t="s">
        <v>18</v>
      </c>
      <c r="E114" s="4" t="s">
        <v>17</v>
      </c>
      <c r="F114" s="4" t="s">
        <v>25</v>
      </c>
      <c r="G114" s="4" t="s">
        <v>15</v>
      </c>
      <c r="H114" s="4">
        <v>1</v>
      </c>
      <c r="I114" s="4">
        <v>3</v>
      </c>
      <c r="J114" s="5">
        <v>45369</v>
      </c>
      <c r="K114" s="6">
        <v>0.64833333333333332</v>
      </c>
    </row>
    <row r="115" spans="1:11" x14ac:dyDescent="0.25">
      <c r="A115" s="4">
        <v>14</v>
      </c>
      <c r="B115" s="4" t="s">
        <v>11</v>
      </c>
      <c r="C115" s="7">
        <v>38.700000000000003</v>
      </c>
      <c r="D115" s="4" t="s">
        <v>12</v>
      </c>
      <c r="E115" s="4" t="s">
        <v>17</v>
      </c>
      <c r="F115" s="4" t="s">
        <v>27</v>
      </c>
      <c r="G115" s="4" t="s">
        <v>15</v>
      </c>
      <c r="H115" s="4">
        <v>2</v>
      </c>
      <c r="I115" s="4">
        <v>3</v>
      </c>
      <c r="J115" s="5">
        <v>45370</v>
      </c>
      <c r="K115" s="6">
        <v>0.58496527777777774</v>
      </c>
    </row>
    <row r="116" spans="1:11" x14ac:dyDescent="0.25">
      <c r="A116" s="4">
        <v>14</v>
      </c>
      <c r="B116" s="4" t="s">
        <v>11</v>
      </c>
      <c r="C116" s="7">
        <v>38.700000000000003</v>
      </c>
      <c r="D116" s="4" t="s">
        <v>12</v>
      </c>
      <c r="E116" s="4" t="s">
        <v>17</v>
      </c>
      <c r="F116" s="4" t="s">
        <v>27</v>
      </c>
      <c r="G116" s="4" t="s">
        <v>15</v>
      </c>
      <c r="H116" s="4">
        <v>2</v>
      </c>
      <c r="I116" s="4">
        <v>3</v>
      </c>
      <c r="J116" s="5">
        <v>45370</v>
      </c>
      <c r="K116" s="6">
        <v>0.5856365740740741</v>
      </c>
    </row>
    <row r="117" spans="1:11" x14ac:dyDescent="0.25">
      <c r="A117" s="4">
        <v>15</v>
      </c>
      <c r="B117" s="4" t="s">
        <v>11</v>
      </c>
      <c r="C117" s="7">
        <v>38.700000000000003</v>
      </c>
      <c r="D117" s="4" t="s">
        <v>16</v>
      </c>
      <c r="E117" s="4" t="s">
        <v>17</v>
      </c>
      <c r="F117" s="4" t="s">
        <v>27</v>
      </c>
      <c r="G117" s="4" t="s">
        <v>15</v>
      </c>
      <c r="H117" s="4">
        <v>2</v>
      </c>
      <c r="I117" s="4">
        <v>3</v>
      </c>
      <c r="J117" s="5">
        <v>45370</v>
      </c>
      <c r="K117" s="6">
        <v>0.6281944444444445</v>
      </c>
    </row>
    <row r="118" spans="1:11" x14ac:dyDescent="0.25">
      <c r="A118" s="4">
        <v>16</v>
      </c>
      <c r="B118" s="4" t="s">
        <v>11</v>
      </c>
      <c r="C118" s="7">
        <v>33.799999999999997</v>
      </c>
      <c r="D118" s="4" t="s">
        <v>19</v>
      </c>
      <c r="E118" s="4" t="s">
        <v>17</v>
      </c>
      <c r="F118" s="4" t="s">
        <v>27</v>
      </c>
      <c r="G118" s="4" t="s">
        <v>15</v>
      </c>
      <c r="H118" s="4">
        <v>2</v>
      </c>
      <c r="I118" s="4">
        <v>3</v>
      </c>
      <c r="J118" s="5">
        <v>45370</v>
      </c>
      <c r="K118" s="6">
        <v>0.70402777777777781</v>
      </c>
    </row>
    <row r="119" spans="1:11" x14ac:dyDescent="0.25">
      <c r="A119" s="4">
        <v>11</v>
      </c>
      <c r="B119" s="4" t="s">
        <v>11</v>
      </c>
      <c r="C119" s="7">
        <v>28.9</v>
      </c>
      <c r="D119" s="4" t="s">
        <v>24</v>
      </c>
      <c r="E119" s="4" t="s">
        <v>13</v>
      </c>
      <c r="F119" s="4" t="s">
        <v>28</v>
      </c>
      <c r="G119" s="4" t="s">
        <v>15</v>
      </c>
      <c r="H119" s="4">
        <v>3</v>
      </c>
      <c r="I119" s="4">
        <v>3</v>
      </c>
      <c r="J119" s="5">
        <v>45371</v>
      </c>
      <c r="K119" s="6">
        <v>0.48699074074074072</v>
      </c>
    </row>
    <row r="120" spans="1:11" x14ac:dyDescent="0.25">
      <c r="A120" s="4">
        <v>12</v>
      </c>
      <c r="B120" s="4" t="s">
        <v>11</v>
      </c>
      <c r="C120" s="7">
        <v>28.9</v>
      </c>
      <c r="D120" s="4" t="s">
        <v>24</v>
      </c>
      <c r="E120" s="4" t="s">
        <v>17</v>
      </c>
      <c r="F120" s="4" t="s">
        <v>28</v>
      </c>
      <c r="G120" s="4" t="s">
        <v>15</v>
      </c>
      <c r="H120" s="4">
        <v>3</v>
      </c>
      <c r="I120" s="4">
        <v>3</v>
      </c>
      <c r="J120" s="5">
        <v>45371</v>
      </c>
      <c r="K120" s="6">
        <v>0.5213888888888889</v>
      </c>
    </row>
    <row r="121" spans="1:11" x14ac:dyDescent="0.25">
      <c r="A121" s="4">
        <v>13</v>
      </c>
      <c r="B121" s="4" t="s">
        <v>11</v>
      </c>
      <c r="C121" s="7">
        <v>38.700000000000003</v>
      </c>
      <c r="D121" s="4" t="s">
        <v>29</v>
      </c>
      <c r="E121" s="4" t="s">
        <v>17</v>
      </c>
      <c r="F121" s="4" t="s">
        <v>28</v>
      </c>
      <c r="G121" s="4" t="s">
        <v>15</v>
      </c>
      <c r="H121" s="4">
        <v>3</v>
      </c>
      <c r="I121" s="4">
        <v>3</v>
      </c>
      <c r="J121" s="5">
        <v>45371</v>
      </c>
      <c r="K121" s="6">
        <v>0.5533217592592593</v>
      </c>
    </row>
    <row r="122" spans="1:11" x14ac:dyDescent="0.25">
      <c r="A122" s="4">
        <v>16</v>
      </c>
      <c r="B122" s="4" t="s">
        <v>11</v>
      </c>
      <c r="C122" s="7">
        <v>38.700000000000003</v>
      </c>
      <c r="D122" s="4" t="s">
        <v>21</v>
      </c>
      <c r="E122" s="4" t="s">
        <v>17</v>
      </c>
      <c r="F122" s="4" t="s">
        <v>28</v>
      </c>
      <c r="G122" s="4" t="s">
        <v>15</v>
      </c>
      <c r="H122" s="4">
        <v>3</v>
      </c>
      <c r="I122" s="4">
        <v>3</v>
      </c>
      <c r="J122" s="5">
        <v>45371</v>
      </c>
      <c r="K122" s="6">
        <v>0.69627314814814811</v>
      </c>
    </row>
    <row r="123" spans="1:11" x14ac:dyDescent="0.25">
      <c r="A123" s="4">
        <v>17</v>
      </c>
      <c r="B123" s="4" t="s">
        <v>11</v>
      </c>
      <c r="C123" s="7">
        <v>38.700000000000003</v>
      </c>
      <c r="D123" s="4" t="s">
        <v>12</v>
      </c>
      <c r="E123" s="4" t="s">
        <v>20</v>
      </c>
      <c r="F123" s="4" t="s">
        <v>28</v>
      </c>
      <c r="G123" s="4" t="s">
        <v>15</v>
      </c>
      <c r="H123" s="4">
        <v>3</v>
      </c>
      <c r="I123" s="4">
        <v>3</v>
      </c>
      <c r="J123" s="5">
        <v>45371</v>
      </c>
      <c r="K123" s="6">
        <v>0.74337962962962967</v>
      </c>
    </row>
    <row r="124" spans="1:11" x14ac:dyDescent="0.25">
      <c r="A124" s="4">
        <v>12</v>
      </c>
      <c r="B124" s="4" t="s">
        <v>11</v>
      </c>
      <c r="C124" s="7">
        <v>28.9</v>
      </c>
      <c r="D124" s="4" t="s">
        <v>24</v>
      </c>
      <c r="E124" s="4" t="s">
        <v>17</v>
      </c>
      <c r="F124" s="4" t="s">
        <v>30</v>
      </c>
      <c r="G124" s="4" t="s">
        <v>15</v>
      </c>
      <c r="H124" s="4">
        <v>4</v>
      </c>
      <c r="I124" s="4">
        <v>3</v>
      </c>
      <c r="J124" s="5">
        <v>45372</v>
      </c>
      <c r="K124" s="6">
        <v>0.51746527777777773</v>
      </c>
    </row>
    <row r="125" spans="1:11" x14ac:dyDescent="0.25">
      <c r="A125" s="4">
        <v>12</v>
      </c>
      <c r="B125" s="4" t="s">
        <v>11</v>
      </c>
      <c r="C125" s="7">
        <v>38.700000000000003</v>
      </c>
      <c r="D125" s="4" t="s">
        <v>29</v>
      </c>
      <c r="E125" s="4" t="s">
        <v>17</v>
      </c>
      <c r="F125" s="4" t="s">
        <v>30</v>
      </c>
      <c r="G125" s="4" t="s">
        <v>15</v>
      </c>
      <c r="H125" s="4">
        <v>4</v>
      </c>
      <c r="I125" s="4">
        <v>3</v>
      </c>
      <c r="J125" s="5">
        <v>45372</v>
      </c>
      <c r="K125" s="6">
        <v>0.51825231481481482</v>
      </c>
    </row>
    <row r="126" spans="1:11" x14ac:dyDescent="0.25">
      <c r="A126" s="4">
        <v>17</v>
      </c>
      <c r="B126" s="4" t="s">
        <v>11</v>
      </c>
      <c r="C126" s="7">
        <v>28.9</v>
      </c>
      <c r="D126" s="4" t="s">
        <v>24</v>
      </c>
      <c r="E126" s="4" t="s">
        <v>20</v>
      </c>
      <c r="F126" s="4" t="s">
        <v>30</v>
      </c>
      <c r="G126" s="4" t="s">
        <v>15</v>
      </c>
      <c r="H126" s="4">
        <v>4</v>
      </c>
      <c r="I126" s="4">
        <v>3</v>
      </c>
      <c r="J126" s="5">
        <v>45372</v>
      </c>
      <c r="K126" s="6">
        <v>0.72362268518518513</v>
      </c>
    </row>
    <row r="127" spans="1:11" x14ac:dyDescent="0.25">
      <c r="A127" s="4">
        <v>19</v>
      </c>
      <c r="B127" s="4" t="s">
        <v>11</v>
      </c>
      <c r="C127" s="7">
        <v>38.700000000000003</v>
      </c>
      <c r="D127" s="4" t="s">
        <v>12</v>
      </c>
      <c r="E127" s="4" t="s">
        <v>20</v>
      </c>
      <c r="F127" s="4" t="s">
        <v>30</v>
      </c>
      <c r="G127" s="4" t="s">
        <v>15</v>
      </c>
      <c r="H127" s="4">
        <v>4</v>
      </c>
      <c r="I127" s="4">
        <v>3</v>
      </c>
      <c r="J127" s="5">
        <v>45372</v>
      </c>
      <c r="K127" s="6">
        <v>0.8059722222222222</v>
      </c>
    </row>
    <row r="128" spans="1:11" x14ac:dyDescent="0.25">
      <c r="A128" s="4">
        <v>10</v>
      </c>
      <c r="B128" s="4" t="s">
        <v>11</v>
      </c>
      <c r="C128" s="7">
        <v>33.799999999999997</v>
      </c>
      <c r="D128" s="4" t="s">
        <v>19</v>
      </c>
      <c r="E128" s="4" t="s">
        <v>13</v>
      </c>
      <c r="F128" s="4" t="s">
        <v>14</v>
      </c>
      <c r="G128" s="4" t="s">
        <v>15</v>
      </c>
      <c r="H128" s="4">
        <v>5</v>
      </c>
      <c r="I128" s="4">
        <v>3</v>
      </c>
      <c r="J128" s="5">
        <v>45373</v>
      </c>
      <c r="K128" s="6">
        <v>0.44158564814814816</v>
      </c>
    </row>
    <row r="129" spans="1:11" x14ac:dyDescent="0.25">
      <c r="A129" s="4">
        <v>13</v>
      </c>
      <c r="B129" s="4" t="s">
        <v>11</v>
      </c>
      <c r="C129" s="7">
        <v>33.799999999999997</v>
      </c>
      <c r="D129" s="4" t="s">
        <v>19</v>
      </c>
      <c r="E129" s="4" t="s">
        <v>17</v>
      </c>
      <c r="F129" s="4" t="s">
        <v>14</v>
      </c>
      <c r="G129" s="4" t="s">
        <v>15</v>
      </c>
      <c r="H129" s="4">
        <v>5</v>
      </c>
      <c r="I129" s="4">
        <v>3</v>
      </c>
      <c r="J129" s="5">
        <v>45373</v>
      </c>
      <c r="K129" s="6">
        <v>0.562037037037037</v>
      </c>
    </row>
    <row r="130" spans="1:11" x14ac:dyDescent="0.25">
      <c r="A130" s="4">
        <v>17</v>
      </c>
      <c r="B130" s="4" t="s">
        <v>11</v>
      </c>
      <c r="C130" s="7">
        <v>28.9</v>
      </c>
      <c r="D130" s="4" t="s">
        <v>18</v>
      </c>
      <c r="E130" s="4" t="s">
        <v>20</v>
      </c>
      <c r="F130" s="4" t="s">
        <v>14</v>
      </c>
      <c r="G130" s="4" t="s">
        <v>15</v>
      </c>
      <c r="H130" s="4">
        <v>5</v>
      </c>
      <c r="I130" s="4">
        <v>3</v>
      </c>
      <c r="J130" s="5">
        <v>45373</v>
      </c>
      <c r="K130" s="6">
        <v>0.72017361111111111</v>
      </c>
    </row>
    <row r="131" spans="1:11" x14ac:dyDescent="0.25">
      <c r="A131" s="4">
        <v>17</v>
      </c>
      <c r="B131" s="4" t="s">
        <v>11</v>
      </c>
      <c r="C131" s="7">
        <v>24</v>
      </c>
      <c r="D131" s="4" t="s">
        <v>26</v>
      </c>
      <c r="E131" s="4" t="s">
        <v>20</v>
      </c>
      <c r="F131" s="4" t="s">
        <v>14</v>
      </c>
      <c r="G131" s="4" t="s">
        <v>15</v>
      </c>
      <c r="H131" s="4">
        <v>5</v>
      </c>
      <c r="I131" s="4">
        <v>3</v>
      </c>
      <c r="J131" s="5">
        <v>45373</v>
      </c>
      <c r="K131" s="6">
        <v>0.72081018518518514</v>
      </c>
    </row>
    <row r="132" spans="1:11" x14ac:dyDescent="0.25">
      <c r="A132" s="4">
        <v>17</v>
      </c>
      <c r="B132" s="4" t="s">
        <v>11</v>
      </c>
      <c r="C132" s="7">
        <v>28.9</v>
      </c>
      <c r="D132" s="4" t="s">
        <v>18</v>
      </c>
      <c r="E132" s="4" t="s">
        <v>20</v>
      </c>
      <c r="F132" s="4" t="s">
        <v>14</v>
      </c>
      <c r="G132" s="4" t="s">
        <v>15</v>
      </c>
      <c r="H132" s="4">
        <v>5</v>
      </c>
      <c r="I132" s="4">
        <v>3</v>
      </c>
      <c r="J132" s="5">
        <v>45373</v>
      </c>
      <c r="K132" s="6">
        <v>0.72278935185185189</v>
      </c>
    </row>
    <row r="133" spans="1:11" x14ac:dyDescent="0.25">
      <c r="A133" s="4">
        <v>10</v>
      </c>
      <c r="B133" s="4" t="s">
        <v>11</v>
      </c>
      <c r="C133" s="7">
        <v>38.700000000000003</v>
      </c>
      <c r="D133" s="4" t="s">
        <v>12</v>
      </c>
      <c r="E133" s="4" t="s">
        <v>13</v>
      </c>
      <c r="F133" s="4" t="s">
        <v>22</v>
      </c>
      <c r="G133" s="4" t="s">
        <v>15</v>
      </c>
      <c r="H133" s="4">
        <v>6</v>
      </c>
      <c r="I133" s="4">
        <v>3</v>
      </c>
      <c r="J133" s="5">
        <v>45374</v>
      </c>
      <c r="K133" s="6">
        <v>0.44721064814814815</v>
      </c>
    </row>
    <row r="134" spans="1:11" x14ac:dyDescent="0.25">
      <c r="A134" s="4">
        <v>10</v>
      </c>
      <c r="B134" s="4" t="s">
        <v>11</v>
      </c>
      <c r="C134" s="7">
        <v>33.799999999999997</v>
      </c>
      <c r="D134" s="4" t="s">
        <v>19</v>
      </c>
      <c r="E134" s="4" t="s">
        <v>13</v>
      </c>
      <c r="F134" s="4" t="s">
        <v>22</v>
      </c>
      <c r="G134" s="4" t="s">
        <v>15</v>
      </c>
      <c r="H134" s="4">
        <v>6</v>
      </c>
      <c r="I134" s="4">
        <v>3</v>
      </c>
      <c r="J134" s="5">
        <v>45374</v>
      </c>
      <c r="K134" s="6">
        <v>0.44799768518518518</v>
      </c>
    </row>
    <row r="135" spans="1:11" x14ac:dyDescent="0.25">
      <c r="A135" s="4">
        <v>13</v>
      </c>
      <c r="B135" s="4" t="s">
        <v>11</v>
      </c>
      <c r="C135" s="7">
        <v>38.700000000000003</v>
      </c>
      <c r="D135" s="4" t="s">
        <v>29</v>
      </c>
      <c r="E135" s="4" t="s">
        <v>17</v>
      </c>
      <c r="F135" s="4" t="s">
        <v>22</v>
      </c>
      <c r="G135" s="4" t="s">
        <v>15</v>
      </c>
      <c r="H135" s="4">
        <v>6</v>
      </c>
      <c r="I135" s="4">
        <v>3</v>
      </c>
      <c r="J135" s="5">
        <v>45374</v>
      </c>
      <c r="K135" s="6">
        <v>0.54869212962962965</v>
      </c>
    </row>
    <row r="136" spans="1:11" x14ac:dyDescent="0.25">
      <c r="A136" s="4">
        <v>13</v>
      </c>
      <c r="B136" s="4" t="s">
        <v>11</v>
      </c>
      <c r="C136" s="7">
        <v>38.700000000000003</v>
      </c>
      <c r="D136" s="4" t="s">
        <v>21</v>
      </c>
      <c r="E136" s="4" t="s">
        <v>17</v>
      </c>
      <c r="F136" s="4" t="s">
        <v>22</v>
      </c>
      <c r="G136" s="4" t="s">
        <v>15</v>
      </c>
      <c r="H136" s="4">
        <v>6</v>
      </c>
      <c r="I136" s="4">
        <v>3</v>
      </c>
      <c r="J136" s="5">
        <v>45374</v>
      </c>
      <c r="K136" s="6">
        <v>0.5494444444444444</v>
      </c>
    </row>
    <row r="137" spans="1:11" x14ac:dyDescent="0.25">
      <c r="A137" s="4">
        <v>14</v>
      </c>
      <c r="B137" s="4" t="s">
        <v>11</v>
      </c>
      <c r="C137" s="7">
        <v>33.799999999999997</v>
      </c>
      <c r="D137" s="4" t="s">
        <v>19</v>
      </c>
      <c r="E137" s="4" t="s">
        <v>17</v>
      </c>
      <c r="F137" s="4" t="s">
        <v>22</v>
      </c>
      <c r="G137" s="4" t="s">
        <v>15</v>
      </c>
      <c r="H137" s="4">
        <v>6</v>
      </c>
      <c r="I137" s="4">
        <v>3</v>
      </c>
      <c r="J137" s="5">
        <v>45374</v>
      </c>
      <c r="K137" s="6">
        <v>0.61436342592592597</v>
      </c>
    </row>
    <row r="138" spans="1:11" x14ac:dyDescent="0.25">
      <c r="A138" s="4">
        <v>15</v>
      </c>
      <c r="B138" s="4" t="s">
        <v>11</v>
      </c>
      <c r="C138" s="7">
        <v>38.700000000000003</v>
      </c>
      <c r="D138" s="4" t="s">
        <v>12</v>
      </c>
      <c r="E138" s="4" t="s">
        <v>17</v>
      </c>
      <c r="F138" s="4" t="s">
        <v>22</v>
      </c>
      <c r="G138" s="4" t="s">
        <v>15</v>
      </c>
      <c r="H138" s="4">
        <v>6</v>
      </c>
      <c r="I138" s="4">
        <v>3</v>
      </c>
      <c r="J138" s="5">
        <v>45374</v>
      </c>
      <c r="K138" s="6">
        <v>0.65785879629629629</v>
      </c>
    </row>
    <row r="139" spans="1:11" x14ac:dyDescent="0.25">
      <c r="A139" s="4">
        <v>15</v>
      </c>
      <c r="B139" s="4" t="s">
        <v>11</v>
      </c>
      <c r="C139" s="7">
        <v>33.799999999999997</v>
      </c>
      <c r="D139" s="4" t="s">
        <v>19</v>
      </c>
      <c r="E139" s="4" t="s">
        <v>17</v>
      </c>
      <c r="F139" s="4" t="s">
        <v>22</v>
      </c>
      <c r="G139" s="4" t="s">
        <v>15</v>
      </c>
      <c r="H139" s="4">
        <v>6</v>
      </c>
      <c r="I139" s="4">
        <v>3</v>
      </c>
      <c r="J139" s="5">
        <v>45374</v>
      </c>
      <c r="K139" s="6">
        <v>0.65940972222222227</v>
      </c>
    </row>
    <row r="140" spans="1:11" x14ac:dyDescent="0.25">
      <c r="A140" s="4">
        <v>16</v>
      </c>
      <c r="B140" s="4" t="s">
        <v>11</v>
      </c>
      <c r="C140" s="7">
        <v>28.9</v>
      </c>
      <c r="D140" s="4" t="s">
        <v>24</v>
      </c>
      <c r="E140" s="4" t="s">
        <v>17</v>
      </c>
      <c r="F140" s="4" t="s">
        <v>22</v>
      </c>
      <c r="G140" s="4" t="s">
        <v>15</v>
      </c>
      <c r="H140" s="4">
        <v>6</v>
      </c>
      <c r="I140" s="4">
        <v>3</v>
      </c>
      <c r="J140" s="5">
        <v>45374</v>
      </c>
      <c r="K140" s="6">
        <v>0.66733796296296299</v>
      </c>
    </row>
    <row r="141" spans="1:11" x14ac:dyDescent="0.25">
      <c r="A141" s="4">
        <v>18</v>
      </c>
      <c r="B141" s="4" t="s">
        <v>11</v>
      </c>
      <c r="C141" s="7">
        <v>38.700000000000003</v>
      </c>
      <c r="D141" s="4" t="s">
        <v>12</v>
      </c>
      <c r="E141" s="4" t="s">
        <v>20</v>
      </c>
      <c r="F141" s="4" t="s">
        <v>23</v>
      </c>
      <c r="G141" s="4" t="s">
        <v>15</v>
      </c>
      <c r="H141" s="4">
        <v>7</v>
      </c>
      <c r="I141" s="4">
        <v>3</v>
      </c>
      <c r="J141" s="5">
        <v>45375</v>
      </c>
      <c r="K141" s="6">
        <v>0.78134259259259264</v>
      </c>
    </row>
    <row r="142" spans="1:11" x14ac:dyDescent="0.25">
      <c r="A142" s="4">
        <v>10</v>
      </c>
      <c r="B142" s="4" t="s">
        <v>11</v>
      </c>
      <c r="C142" s="7">
        <v>38.700000000000003</v>
      </c>
      <c r="D142" s="4" t="s">
        <v>12</v>
      </c>
      <c r="E142" s="4" t="s">
        <v>13</v>
      </c>
      <c r="F142" s="4" t="s">
        <v>25</v>
      </c>
      <c r="G142" s="4" t="s">
        <v>15</v>
      </c>
      <c r="H142" s="4">
        <v>1</v>
      </c>
      <c r="I142" s="4">
        <v>3</v>
      </c>
      <c r="J142" s="5">
        <v>45376</v>
      </c>
      <c r="K142" s="6">
        <v>0.43873842592592593</v>
      </c>
    </row>
    <row r="143" spans="1:11" x14ac:dyDescent="0.25">
      <c r="A143" s="4">
        <v>14</v>
      </c>
      <c r="B143" s="4" t="s">
        <v>11</v>
      </c>
      <c r="C143" s="7">
        <v>38.700000000000003</v>
      </c>
      <c r="D143" s="4" t="s">
        <v>12</v>
      </c>
      <c r="E143" s="4" t="s">
        <v>17</v>
      </c>
      <c r="F143" s="4" t="s">
        <v>25</v>
      </c>
      <c r="G143" s="4" t="s">
        <v>15</v>
      </c>
      <c r="H143" s="4">
        <v>1</v>
      </c>
      <c r="I143" s="4">
        <v>3</v>
      </c>
      <c r="J143" s="5">
        <v>45376</v>
      </c>
      <c r="K143" s="6">
        <v>0.60218749999999999</v>
      </c>
    </row>
    <row r="144" spans="1:11" x14ac:dyDescent="0.25">
      <c r="A144" s="4">
        <v>14</v>
      </c>
      <c r="B144" s="4" t="s">
        <v>11</v>
      </c>
      <c r="C144" s="7">
        <v>38.700000000000003</v>
      </c>
      <c r="D144" s="4" t="s">
        <v>12</v>
      </c>
      <c r="E144" s="4" t="s">
        <v>17</v>
      </c>
      <c r="F144" s="4" t="s">
        <v>25</v>
      </c>
      <c r="G144" s="4" t="s">
        <v>15</v>
      </c>
      <c r="H144" s="4">
        <v>1</v>
      </c>
      <c r="I144" s="4">
        <v>3</v>
      </c>
      <c r="J144" s="5">
        <v>45376</v>
      </c>
      <c r="K144" s="6">
        <v>0.60376157407407405</v>
      </c>
    </row>
    <row r="145" spans="1:11" x14ac:dyDescent="0.25">
      <c r="A145" s="4">
        <v>18</v>
      </c>
      <c r="B145" s="4" t="s">
        <v>11</v>
      </c>
      <c r="C145" s="7">
        <v>33.799999999999997</v>
      </c>
      <c r="D145" s="4" t="s">
        <v>19</v>
      </c>
      <c r="E145" s="4" t="s">
        <v>20</v>
      </c>
      <c r="F145" s="4" t="s">
        <v>25</v>
      </c>
      <c r="G145" s="4" t="s">
        <v>15</v>
      </c>
      <c r="H145" s="4">
        <v>1</v>
      </c>
      <c r="I145" s="4">
        <v>3</v>
      </c>
      <c r="J145" s="5">
        <v>45376</v>
      </c>
      <c r="K145" s="6">
        <v>0.77604166666666663</v>
      </c>
    </row>
    <row r="146" spans="1:11" x14ac:dyDescent="0.25">
      <c r="A146" s="4">
        <v>19</v>
      </c>
      <c r="B146" s="4" t="s">
        <v>11</v>
      </c>
      <c r="C146" s="7">
        <v>38.700000000000003</v>
      </c>
      <c r="D146" s="4" t="s">
        <v>29</v>
      </c>
      <c r="E146" s="4" t="s">
        <v>20</v>
      </c>
      <c r="F146" s="4" t="s">
        <v>25</v>
      </c>
      <c r="G146" s="4" t="s">
        <v>15</v>
      </c>
      <c r="H146" s="4">
        <v>1</v>
      </c>
      <c r="I146" s="4">
        <v>3</v>
      </c>
      <c r="J146" s="5">
        <v>45376</v>
      </c>
      <c r="K146" s="6">
        <v>0.81555555555555559</v>
      </c>
    </row>
    <row r="147" spans="1:11" x14ac:dyDescent="0.25">
      <c r="A147" s="4">
        <v>10</v>
      </c>
      <c r="B147" s="4" t="s">
        <v>11</v>
      </c>
      <c r="C147" s="7">
        <v>38.700000000000003</v>
      </c>
      <c r="D147" s="4" t="s">
        <v>21</v>
      </c>
      <c r="E147" s="4" t="s">
        <v>13</v>
      </c>
      <c r="F147" s="4" t="s">
        <v>27</v>
      </c>
      <c r="G147" s="4" t="s">
        <v>15</v>
      </c>
      <c r="H147" s="4">
        <v>2</v>
      </c>
      <c r="I147" s="4">
        <v>3</v>
      </c>
      <c r="J147" s="5">
        <v>45377</v>
      </c>
      <c r="K147" s="6">
        <v>0.44153935185185184</v>
      </c>
    </row>
    <row r="148" spans="1:11" x14ac:dyDescent="0.25">
      <c r="A148" s="4">
        <v>10</v>
      </c>
      <c r="B148" s="4" t="s">
        <v>11</v>
      </c>
      <c r="C148" s="7">
        <v>38.700000000000003</v>
      </c>
      <c r="D148" s="4" t="s">
        <v>12</v>
      </c>
      <c r="E148" s="4" t="s">
        <v>13</v>
      </c>
      <c r="F148" s="4" t="s">
        <v>27</v>
      </c>
      <c r="G148" s="4" t="s">
        <v>15</v>
      </c>
      <c r="H148" s="4">
        <v>2</v>
      </c>
      <c r="I148" s="4">
        <v>3</v>
      </c>
      <c r="J148" s="5">
        <v>45377</v>
      </c>
      <c r="K148" s="6">
        <v>0.44208333333333333</v>
      </c>
    </row>
    <row r="149" spans="1:11" x14ac:dyDescent="0.25">
      <c r="A149" s="4">
        <v>10</v>
      </c>
      <c r="B149" s="4" t="s">
        <v>11</v>
      </c>
      <c r="C149" s="7">
        <v>38.700000000000003</v>
      </c>
      <c r="D149" s="4" t="s">
        <v>12</v>
      </c>
      <c r="E149" s="4" t="s">
        <v>13</v>
      </c>
      <c r="F149" s="4" t="s">
        <v>27</v>
      </c>
      <c r="G149" s="4" t="s">
        <v>15</v>
      </c>
      <c r="H149" s="4">
        <v>2</v>
      </c>
      <c r="I149" s="4">
        <v>3</v>
      </c>
      <c r="J149" s="5">
        <v>45377</v>
      </c>
      <c r="K149" s="6">
        <v>0.44618055555555558</v>
      </c>
    </row>
    <row r="150" spans="1:11" x14ac:dyDescent="0.25">
      <c r="A150" s="4">
        <v>11</v>
      </c>
      <c r="B150" s="4" t="s">
        <v>11</v>
      </c>
      <c r="C150" s="7">
        <v>28.9</v>
      </c>
      <c r="D150" s="4" t="s">
        <v>24</v>
      </c>
      <c r="E150" s="4" t="s">
        <v>13</v>
      </c>
      <c r="F150" s="4" t="s">
        <v>27</v>
      </c>
      <c r="G150" s="4" t="s">
        <v>15</v>
      </c>
      <c r="H150" s="4">
        <v>2</v>
      </c>
      <c r="I150" s="4">
        <v>3</v>
      </c>
      <c r="J150" s="5">
        <v>45377</v>
      </c>
      <c r="K150" s="6">
        <v>0.46651620370370372</v>
      </c>
    </row>
    <row r="151" spans="1:11" x14ac:dyDescent="0.25">
      <c r="A151" s="4">
        <v>13</v>
      </c>
      <c r="B151" s="4" t="s">
        <v>11</v>
      </c>
      <c r="C151" s="7">
        <v>28.9</v>
      </c>
      <c r="D151" s="4" t="s">
        <v>18</v>
      </c>
      <c r="E151" s="4" t="s">
        <v>17</v>
      </c>
      <c r="F151" s="4" t="s">
        <v>27</v>
      </c>
      <c r="G151" s="4" t="s">
        <v>15</v>
      </c>
      <c r="H151" s="4">
        <v>2</v>
      </c>
      <c r="I151" s="4">
        <v>3</v>
      </c>
      <c r="J151" s="5">
        <v>45377</v>
      </c>
      <c r="K151" s="6">
        <v>0.56657407407407412</v>
      </c>
    </row>
    <row r="152" spans="1:11" x14ac:dyDescent="0.25">
      <c r="A152" s="4">
        <v>13</v>
      </c>
      <c r="B152" s="4" t="s">
        <v>11</v>
      </c>
      <c r="C152" s="7">
        <v>28.9</v>
      </c>
      <c r="D152" s="4" t="s">
        <v>24</v>
      </c>
      <c r="E152" s="4" t="s">
        <v>17</v>
      </c>
      <c r="F152" s="4" t="s">
        <v>27</v>
      </c>
      <c r="G152" s="4" t="s">
        <v>15</v>
      </c>
      <c r="H152" s="4">
        <v>2</v>
      </c>
      <c r="I152" s="4">
        <v>3</v>
      </c>
      <c r="J152" s="5">
        <v>45377</v>
      </c>
      <c r="K152" s="6">
        <v>0.56723379629629633</v>
      </c>
    </row>
    <row r="153" spans="1:11" x14ac:dyDescent="0.25">
      <c r="A153" s="4">
        <v>13</v>
      </c>
      <c r="B153" s="4" t="s">
        <v>11</v>
      </c>
      <c r="C153" s="7">
        <v>28.9</v>
      </c>
      <c r="D153" s="4" t="s">
        <v>24</v>
      </c>
      <c r="E153" s="4" t="s">
        <v>17</v>
      </c>
      <c r="F153" s="4" t="s">
        <v>27</v>
      </c>
      <c r="G153" s="4" t="s">
        <v>15</v>
      </c>
      <c r="H153" s="4">
        <v>2</v>
      </c>
      <c r="I153" s="4">
        <v>3</v>
      </c>
      <c r="J153" s="5">
        <v>45377</v>
      </c>
      <c r="K153" s="6">
        <v>0.5680439814814815</v>
      </c>
    </row>
    <row r="154" spans="1:11" x14ac:dyDescent="0.25">
      <c r="A154" s="4">
        <v>13</v>
      </c>
      <c r="B154" s="4" t="s">
        <v>11</v>
      </c>
      <c r="C154" s="7">
        <v>28.9</v>
      </c>
      <c r="D154" s="4" t="s">
        <v>18</v>
      </c>
      <c r="E154" s="4" t="s">
        <v>17</v>
      </c>
      <c r="F154" s="4" t="s">
        <v>27</v>
      </c>
      <c r="G154" s="4" t="s">
        <v>15</v>
      </c>
      <c r="H154" s="4">
        <v>2</v>
      </c>
      <c r="I154" s="4">
        <v>3</v>
      </c>
      <c r="J154" s="5">
        <v>45377</v>
      </c>
      <c r="K154" s="6">
        <v>0.58186342592592588</v>
      </c>
    </row>
    <row r="155" spans="1:11" x14ac:dyDescent="0.25">
      <c r="A155" s="4">
        <v>15</v>
      </c>
      <c r="B155" s="4" t="s">
        <v>11</v>
      </c>
      <c r="C155" s="7">
        <v>38.700000000000003</v>
      </c>
      <c r="D155" s="4" t="s">
        <v>12</v>
      </c>
      <c r="E155" s="4" t="s">
        <v>17</v>
      </c>
      <c r="F155" s="4" t="s">
        <v>27</v>
      </c>
      <c r="G155" s="4" t="s">
        <v>15</v>
      </c>
      <c r="H155" s="4">
        <v>2</v>
      </c>
      <c r="I155" s="4">
        <v>3</v>
      </c>
      <c r="J155" s="5">
        <v>45377</v>
      </c>
      <c r="K155" s="6">
        <v>0.65835648148148151</v>
      </c>
    </row>
    <row r="156" spans="1:11" x14ac:dyDescent="0.25">
      <c r="A156" s="4">
        <v>18</v>
      </c>
      <c r="B156" s="4" t="s">
        <v>11</v>
      </c>
      <c r="C156" s="7">
        <v>38.700000000000003</v>
      </c>
      <c r="D156" s="4" t="s">
        <v>12</v>
      </c>
      <c r="E156" s="4" t="s">
        <v>20</v>
      </c>
      <c r="F156" s="4" t="s">
        <v>27</v>
      </c>
      <c r="G156" s="4" t="s">
        <v>15</v>
      </c>
      <c r="H156" s="4">
        <v>2</v>
      </c>
      <c r="I156" s="4">
        <v>3</v>
      </c>
      <c r="J156" s="5">
        <v>45377</v>
      </c>
      <c r="K156" s="6">
        <v>0.77335648148148151</v>
      </c>
    </row>
    <row r="157" spans="1:11" x14ac:dyDescent="0.25">
      <c r="A157" s="4">
        <v>18</v>
      </c>
      <c r="B157" s="4" t="s">
        <v>11</v>
      </c>
      <c r="C157" s="7">
        <v>38.700000000000003</v>
      </c>
      <c r="D157" s="4" t="s">
        <v>16</v>
      </c>
      <c r="E157" s="4" t="s">
        <v>20</v>
      </c>
      <c r="F157" s="4" t="s">
        <v>27</v>
      </c>
      <c r="G157" s="4" t="s">
        <v>15</v>
      </c>
      <c r="H157" s="4">
        <v>2</v>
      </c>
      <c r="I157" s="4">
        <v>3</v>
      </c>
      <c r="J157" s="5">
        <v>45377</v>
      </c>
      <c r="K157" s="6">
        <v>0.77423611111111112</v>
      </c>
    </row>
    <row r="158" spans="1:11" x14ac:dyDescent="0.25">
      <c r="A158" s="4">
        <v>11</v>
      </c>
      <c r="B158" s="4" t="s">
        <v>11</v>
      </c>
      <c r="C158" s="7">
        <v>28.9</v>
      </c>
      <c r="D158" s="4" t="s">
        <v>24</v>
      </c>
      <c r="E158" s="4" t="s">
        <v>13</v>
      </c>
      <c r="F158" s="4" t="s">
        <v>28</v>
      </c>
      <c r="G158" s="4" t="s">
        <v>15</v>
      </c>
      <c r="H158" s="4">
        <v>3</v>
      </c>
      <c r="I158" s="4">
        <v>3</v>
      </c>
      <c r="J158" s="5">
        <v>45378</v>
      </c>
      <c r="K158" s="6">
        <v>0.4617013888888889</v>
      </c>
    </row>
    <row r="159" spans="1:11" x14ac:dyDescent="0.25">
      <c r="A159" s="4">
        <v>11</v>
      </c>
      <c r="B159" s="4" t="s">
        <v>11</v>
      </c>
      <c r="C159" s="7">
        <v>33.799999999999997</v>
      </c>
      <c r="D159" s="4" t="s">
        <v>19</v>
      </c>
      <c r="E159" s="4" t="s">
        <v>13</v>
      </c>
      <c r="F159" s="4" t="s">
        <v>28</v>
      </c>
      <c r="G159" s="4" t="s">
        <v>15</v>
      </c>
      <c r="H159" s="4">
        <v>3</v>
      </c>
      <c r="I159" s="4">
        <v>3</v>
      </c>
      <c r="J159" s="5">
        <v>45378</v>
      </c>
      <c r="K159" s="6">
        <v>0.46247685185185183</v>
      </c>
    </row>
    <row r="160" spans="1:11" x14ac:dyDescent="0.25">
      <c r="A160" s="4">
        <v>12</v>
      </c>
      <c r="B160" s="4" t="s">
        <v>11</v>
      </c>
      <c r="C160" s="7">
        <v>33.799999999999997</v>
      </c>
      <c r="D160" s="4" t="s">
        <v>19</v>
      </c>
      <c r="E160" s="4" t="s">
        <v>17</v>
      </c>
      <c r="F160" s="4" t="s">
        <v>28</v>
      </c>
      <c r="G160" s="4" t="s">
        <v>15</v>
      </c>
      <c r="H160" s="4">
        <v>3</v>
      </c>
      <c r="I160" s="4">
        <v>3</v>
      </c>
      <c r="J160" s="5">
        <v>45378</v>
      </c>
      <c r="K160" s="6">
        <v>0.5395833333333333</v>
      </c>
    </row>
    <row r="161" spans="1:11" x14ac:dyDescent="0.25">
      <c r="A161" s="4">
        <v>13</v>
      </c>
      <c r="B161" s="4" t="s">
        <v>11</v>
      </c>
      <c r="C161" s="7">
        <v>38.700000000000003</v>
      </c>
      <c r="D161" s="4" t="s">
        <v>16</v>
      </c>
      <c r="E161" s="4" t="s">
        <v>17</v>
      </c>
      <c r="F161" s="4" t="s">
        <v>28</v>
      </c>
      <c r="G161" s="4" t="s">
        <v>15</v>
      </c>
      <c r="H161" s="4">
        <v>3</v>
      </c>
      <c r="I161" s="4">
        <v>3</v>
      </c>
      <c r="J161" s="5">
        <v>45378</v>
      </c>
      <c r="K161" s="6">
        <v>0.56620370370370365</v>
      </c>
    </row>
    <row r="162" spans="1:11" x14ac:dyDescent="0.25">
      <c r="A162" s="4">
        <v>14</v>
      </c>
      <c r="B162" s="4" t="s">
        <v>11</v>
      </c>
      <c r="C162" s="7">
        <v>38.700000000000003</v>
      </c>
      <c r="D162" s="4" t="s">
        <v>29</v>
      </c>
      <c r="E162" s="4" t="s">
        <v>17</v>
      </c>
      <c r="F162" s="4" t="s">
        <v>28</v>
      </c>
      <c r="G162" s="4" t="s">
        <v>15</v>
      </c>
      <c r="H162" s="4">
        <v>3</v>
      </c>
      <c r="I162" s="4">
        <v>3</v>
      </c>
      <c r="J162" s="5">
        <v>45378</v>
      </c>
      <c r="K162" s="6">
        <v>0.59896990740740741</v>
      </c>
    </row>
    <row r="163" spans="1:11" x14ac:dyDescent="0.25">
      <c r="A163" s="4">
        <v>14</v>
      </c>
      <c r="B163" s="4" t="s">
        <v>11</v>
      </c>
      <c r="C163" s="7">
        <v>28.9</v>
      </c>
      <c r="D163" s="4" t="s">
        <v>18</v>
      </c>
      <c r="E163" s="4" t="s">
        <v>17</v>
      </c>
      <c r="F163" s="4" t="s">
        <v>28</v>
      </c>
      <c r="G163" s="4" t="s">
        <v>15</v>
      </c>
      <c r="H163" s="4">
        <v>3</v>
      </c>
      <c r="I163" s="4">
        <v>3</v>
      </c>
      <c r="J163" s="5">
        <v>45378</v>
      </c>
      <c r="K163" s="6">
        <v>0.59971064814814812</v>
      </c>
    </row>
    <row r="164" spans="1:11" x14ac:dyDescent="0.25">
      <c r="A164" s="4">
        <v>18</v>
      </c>
      <c r="B164" s="4" t="s">
        <v>11</v>
      </c>
      <c r="C164" s="7">
        <v>28.9</v>
      </c>
      <c r="D164" s="4" t="s">
        <v>24</v>
      </c>
      <c r="E164" s="4" t="s">
        <v>20</v>
      </c>
      <c r="F164" s="4" t="s">
        <v>28</v>
      </c>
      <c r="G164" s="4" t="s">
        <v>15</v>
      </c>
      <c r="H164" s="4">
        <v>3</v>
      </c>
      <c r="I164" s="4">
        <v>3</v>
      </c>
      <c r="J164" s="5">
        <v>45378</v>
      </c>
      <c r="K164" s="6">
        <v>0.77096064814814813</v>
      </c>
    </row>
    <row r="165" spans="1:11" x14ac:dyDescent="0.25">
      <c r="A165" s="4">
        <v>14</v>
      </c>
      <c r="B165" s="4" t="s">
        <v>11</v>
      </c>
      <c r="C165" s="7">
        <v>28.9</v>
      </c>
      <c r="D165" s="4" t="s">
        <v>24</v>
      </c>
      <c r="E165" s="4" t="s">
        <v>17</v>
      </c>
      <c r="F165" s="4" t="s">
        <v>30</v>
      </c>
      <c r="G165" s="4" t="s">
        <v>15</v>
      </c>
      <c r="H165" s="4">
        <v>4</v>
      </c>
      <c r="I165" s="4">
        <v>3</v>
      </c>
      <c r="J165" s="5">
        <v>45379</v>
      </c>
      <c r="K165" s="6">
        <v>0.60054398148148147</v>
      </c>
    </row>
    <row r="166" spans="1:11" x14ac:dyDescent="0.25">
      <c r="A166" s="4">
        <v>17</v>
      </c>
      <c r="B166" s="4" t="s">
        <v>11</v>
      </c>
      <c r="C166" s="7">
        <v>28.9</v>
      </c>
      <c r="D166" s="4" t="s">
        <v>24</v>
      </c>
      <c r="E166" s="4" t="s">
        <v>20</v>
      </c>
      <c r="F166" s="4" t="s">
        <v>30</v>
      </c>
      <c r="G166" s="4" t="s">
        <v>15</v>
      </c>
      <c r="H166" s="4">
        <v>4</v>
      </c>
      <c r="I166" s="4">
        <v>3</v>
      </c>
      <c r="J166" s="5">
        <v>45379</v>
      </c>
      <c r="K166" s="6">
        <v>0.72553240740740743</v>
      </c>
    </row>
    <row r="167" spans="1:11" x14ac:dyDescent="0.25">
      <c r="A167" s="4">
        <v>17</v>
      </c>
      <c r="B167" s="4" t="s">
        <v>11</v>
      </c>
      <c r="C167" s="7">
        <v>28.9</v>
      </c>
      <c r="D167" s="4" t="s">
        <v>18</v>
      </c>
      <c r="E167" s="4" t="s">
        <v>20</v>
      </c>
      <c r="F167" s="4" t="s">
        <v>30</v>
      </c>
      <c r="G167" s="4" t="s">
        <v>15</v>
      </c>
      <c r="H167" s="4">
        <v>4</v>
      </c>
      <c r="I167" s="4">
        <v>3</v>
      </c>
      <c r="J167" s="5">
        <v>45379</v>
      </c>
      <c r="K167" s="6">
        <v>0.72714120370370372</v>
      </c>
    </row>
    <row r="168" spans="1:11" x14ac:dyDescent="0.25">
      <c r="A168" s="4">
        <v>17</v>
      </c>
      <c r="B168" s="4" t="s">
        <v>11</v>
      </c>
      <c r="C168" s="7">
        <v>38.700000000000003</v>
      </c>
      <c r="D168" s="4" t="s">
        <v>12</v>
      </c>
      <c r="E168" s="4" t="s">
        <v>20</v>
      </c>
      <c r="F168" s="4" t="s">
        <v>30</v>
      </c>
      <c r="G168" s="4" t="s">
        <v>15</v>
      </c>
      <c r="H168" s="4">
        <v>4</v>
      </c>
      <c r="I168" s="4">
        <v>3</v>
      </c>
      <c r="J168" s="5">
        <v>45379</v>
      </c>
      <c r="K168" s="6">
        <v>0.73106481481481478</v>
      </c>
    </row>
    <row r="169" spans="1:11" x14ac:dyDescent="0.25">
      <c r="A169" s="4">
        <v>10</v>
      </c>
      <c r="B169" s="4" t="s">
        <v>11</v>
      </c>
      <c r="C169" s="7">
        <v>38.700000000000003</v>
      </c>
      <c r="D169" s="4" t="s">
        <v>12</v>
      </c>
      <c r="E169" s="4" t="s">
        <v>13</v>
      </c>
      <c r="F169" s="4" t="s">
        <v>14</v>
      </c>
      <c r="G169" s="4" t="s">
        <v>15</v>
      </c>
      <c r="H169" s="4">
        <v>5</v>
      </c>
      <c r="I169" s="4">
        <v>3</v>
      </c>
      <c r="J169" s="5">
        <v>45380</v>
      </c>
      <c r="K169" s="6">
        <v>0.45577546296296295</v>
      </c>
    </row>
    <row r="170" spans="1:11" x14ac:dyDescent="0.25">
      <c r="A170" s="4">
        <v>12</v>
      </c>
      <c r="B170" s="4" t="s">
        <v>11</v>
      </c>
      <c r="C170" s="7">
        <v>38.700000000000003</v>
      </c>
      <c r="D170" s="4" t="s">
        <v>29</v>
      </c>
      <c r="E170" s="4" t="s">
        <v>17</v>
      </c>
      <c r="F170" s="4" t="s">
        <v>14</v>
      </c>
      <c r="G170" s="4" t="s">
        <v>15</v>
      </c>
      <c r="H170" s="4">
        <v>5</v>
      </c>
      <c r="I170" s="4">
        <v>3</v>
      </c>
      <c r="J170" s="5">
        <v>45380</v>
      </c>
      <c r="K170" s="6">
        <v>0.52380787037037035</v>
      </c>
    </row>
    <row r="171" spans="1:11" x14ac:dyDescent="0.25">
      <c r="A171" s="4">
        <v>12</v>
      </c>
      <c r="B171" s="4" t="s">
        <v>11</v>
      </c>
      <c r="C171" s="7">
        <v>38.700000000000003</v>
      </c>
      <c r="D171" s="4" t="s">
        <v>29</v>
      </c>
      <c r="E171" s="4" t="s">
        <v>17</v>
      </c>
      <c r="F171" s="4" t="s">
        <v>14</v>
      </c>
      <c r="G171" s="4" t="s">
        <v>15</v>
      </c>
      <c r="H171" s="4">
        <v>5</v>
      </c>
      <c r="I171" s="4">
        <v>3</v>
      </c>
      <c r="J171" s="5">
        <v>45380</v>
      </c>
      <c r="K171" s="6">
        <v>0.52884259259259259</v>
      </c>
    </row>
    <row r="172" spans="1:11" x14ac:dyDescent="0.25">
      <c r="A172" s="4">
        <v>11</v>
      </c>
      <c r="B172" s="4" t="s">
        <v>11</v>
      </c>
      <c r="C172" s="7">
        <v>38.700000000000003</v>
      </c>
      <c r="D172" s="4" t="s">
        <v>12</v>
      </c>
      <c r="E172" s="4" t="s">
        <v>13</v>
      </c>
      <c r="F172" s="4" t="s">
        <v>22</v>
      </c>
      <c r="G172" s="4" t="s">
        <v>15</v>
      </c>
      <c r="H172" s="4">
        <v>6</v>
      </c>
      <c r="I172" s="4">
        <v>3</v>
      </c>
      <c r="J172" s="5">
        <v>45381</v>
      </c>
      <c r="K172" s="6">
        <v>0.49952546296296296</v>
      </c>
    </row>
    <row r="173" spans="1:11" x14ac:dyDescent="0.25">
      <c r="A173" s="4">
        <v>16</v>
      </c>
      <c r="B173" s="4" t="s">
        <v>11</v>
      </c>
      <c r="C173" s="7">
        <v>38.700000000000003</v>
      </c>
      <c r="D173" s="4" t="s">
        <v>12</v>
      </c>
      <c r="E173" s="4" t="s">
        <v>17</v>
      </c>
      <c r="F173" s="4" t="s">
        <v>22</v>
      </c>
      <c r="G173" s="4" t="s">
        <v>15</v>
      </c>
      <c r="H173" s="4">
        <v>6</v>
      </c>
      <c r="I173" s="4">
        <v>3</v>
      </c>
      <c r="J173" s="5">
        <v>45381</v>
      </c>
      <c r="K173" s="6">
        <v>0.67535879629629625</v>
      </c>
    </row>
    <row r="174" spans="1:11" x14ac:dyDescent="0.25">
      <c r="A174" s="4">
        <v>16</v>
      </c>
      <c r="B174" s="4" t="s">
        <v>11</v>
      </c>
      <c r="C174" s="7">
        <v>38.700000000000003</v>
      </c>
      <c r="D174" s="4" t="s">
        <v>12</v>
      </c>
      <c r="E174" s="4" t="s">
        <v>17</v>
      </c>
      <c r="F174" s="4" t="s">
        <v>22</v>
      </c>
      <c r="G174" s="4" t="s">
        <v>15</v>
      </c>
      <c r="H174" s="4">
        <v>6</v>
      </c>
      <c r="I174" s="4">
        <v>3</v>
      </c>
      <c r="J174" s="5">
        <v>45381</v>
      </c>
      <c r="K174" s="6">
        <v>0.69212962962962965</v>
      </c>
    </row>
    <row r="175" spans="1:11" x14ac:dyDescent="0.25">
      <c r="A175" s="4">
        <v>16</v>
      </c>
      <c r="B175" s="4" t="s">
        <v>11</v>
      </c>
      <c r="C175" s="7">
        <v>33.799999999999997</v>
      </c>
      <c r="D175" s="4" t="s">
        <v>19</v>
      </c>
      <c r="E175" s="4" t="s">
        <v>17</v>
      </c>
      <c r="F175" s="4" t="s">
        <v>22</v>
      </c>
      <c r="G175" s="4" t="s">
        <v>15</v>
      </c>
      <c r="H175" s="4">
        <v>6</v>
      </c>
      <c r="I175" s="4">
        <v>3</v>
      </c>
      <c r="J175" s="5">
        <v>45381</v>
      </c>
      <c r="K175" s="6">
        <v>0.69302083333333331</v>
      </c>
    </row>
    <row r="176" spans="1:11" x14ac:dyDescent="0.25">
      <c r="A176" s="4">
        <v>10</v>
      </c>
      <c r="B176" s="4" t="s">
        <v>11</v>
      </c>
      <c r="C176" s="7">
        <v>38.700000000000003</v>
      </c>
      <c r="D176" s="4" t="s">
        <v>29</v>
      </c>
      <c r="E176" s="4" t="s">
        <v>13</v>
      </c>
      <c r="F176" s="4" t="s">
        <v>23</v>
      </c>
      <c r="G176" s="4" t="s">
        <v>15</v>
      </c>
      <c r="H176" s="4">
        <v>7</v>
      </c>
      <c r="I176" s="4">
        <v>3</v>
      </c>
      <c r="J176" s="5">
        <v>45382</v>
      </c>
      <c r="K176" s="6">
        <v>0.44449074074074074</v>
      </c>
    </row>
    <row r="177" spans="1:11" x14ac:dyDescent="0.25">
      <c r="A177" s="4">
        <v>10</v>
      </c>
      <c r="B177" s="4" t="s">
        <v>11</v>
      </c>
      <c r="C177" s="7">
        <v>28.9</v>
      </c>
      <c r="D177" s="4" t="s">
        <v>18</v>
      </c>
      <c r="E177" s="4" t="s">
        <v>13</v>
      </c>
      <c r="F177" s="4" t="s">
        <v>25</v>
      </c>
      <c r="G177" s="4" t="s">
        <v>31</v>
      </c>
      <c r="H177" s="4">
        <v>1</v>
      </c>
      <c r="I177" s="4">
        <v>4</v>
      </c>
      <c r="J177" s="5">
        <v>45383</v>
      </c>
      <c r="K177" s="6">
        <v>0.43665509259259261</v>
      </c>
    </row>
    <row r="178" spans="1:11" x14ac:dyDescent="0.25">
      <c r="A178" s="4">
        <v>10</v>
      </c>
      <c r="B178" s="4" t="s">
        <v>11</v>
      </c>
      <c r="C178" s="7">
        <v>33.799999999999997</v>
      </c>
      <c r="D178" s="4" t="s">
        <v>19</v>
      </c>
      <c r="E178" s="4" t="s">
        <v>13</v>
      </c>
      <c r="F178" s="4" t="s">
        <v>25</v>
      </c>
      <c r="G178" s="4" t="s">
        <v>31</v>
      </c>
      <c r="H178" s="4">
        <v>1</v>
      </c>
      <c r="I178" s="4">
        <v>4</v>
      </c>
      <c r="J178" s="5">
        <v>45383</v>
      </c>
      <c r="K178" s="6">
        <v>0.43729166666666669</v>
      </c>
    </row>
    <row r="179" spans="1:11" x14ac:dyDescent="0.25">
      <c r="A179" s="4">
        <v>10</v>
      </c>
      <c r="B179" s="4" t="s">
        <v>11</v>
      </c>
      <c r="C179" s="7">
        <v>33.799999999999997</v>
      </c>
      <c r="D179" s="4" t="s">
        <v>19</v>
      </c>
      <c r="E179" s="4" t="s">
        <v>13</v>
      </c>
      <c r="F179" s="4" t="s">
        <v>25</v>
      </c>
      <c r="G179" s="4" t="s">
        <v>31</v>
      </c>
      <c r="H179" s="4">
        <v>1</v>
      </c>
      <c r="I179" s="4">
        <v>4</v>
      </c>
      <c r="J179" s="5">
        <v>45383</v>
      </c>
      <c r="K179" s="6">
        <v>0.43799768518518517</v>
      </c>
    </row>
    <row r="180" spans="1:11" x14ac:dyDescent="0.25">
      <c r="A180" s="4">
        <v>11</v>
      </c>
      <c r="B180" s="4" t="s">
        <v>11</v>
      </c>
      <c r="C180" s="7">
        <v>33.799999999999997</v>
      </c>
      <c r="D180" s="4" t="s">
        <v>19</v>
      </c>
      <c r="E180" s="4" t="s">
        <v>13</v>
      </c>
      <c r="F180" s="4" t="s">
        <v>25</v>
      </c>
      <c r="G180" s="4" t="s">
        <v>31</v>
      </c>
      <c r="H180" s="4">
        <v>1</v>
      </c>
      <c r="I180" s="4">
        <v>4</v>
      </c>
      <c r="J180" s="5">
        <v>45383</v>
      </c>
      <c r="K180" s="6">
        <v>0.46924768518518517</v>
      </c>
    </row>
    <row r="181" spans="1:11" x14ac:dyDescent="0.25">
      <c r="A181" s="4">
        <v>18</v>
      </c>
      <c r="B181" s="4" t="s">
        <v>11</v>
      </c>
      <c r="C181" s="7">
        <v>33.799999999999997</v>
      </c>
      <c r="D181" s="4" t="s">
        <v>19</v>
      </c>
      <c r="E181" s="4" t="s">
        <v>20</v>
      </c>
      <c r="F181" s="4" t="s">
        <v>25</v>
      </c>
      <c r="G181" s="4" t="s">
        <v>31</v>
      </c>
      <c r="H181" s="4">
        <v>1</v>
      </c>
      <c r="I181" s="4">
        <v>4</v>
      </c>
      <c r="J181" s="5">
        <v>45383</v>
      </c>
      <c r="K181" s="6">
        <v>0.76298611111111114</v>
      </c>
    </row>
    <row r="182" spans="1:11" x14ac:dyDescent="0.25">
      <c r="A182" s="4">
        <v>18</v>
      </c>
      <c r="B182" s="4" t="s">
        <v>11</v>
      </c>
      <c r="C182" s="7">
        <v>38.700000000000003</v>
      </c>
      <c r="D182" s="4" t="s">
        <v>16</v>
      </c>
      <c r="E182" s="4" t="s">
        <v>20</v>
      </c>
      <c r="F182" s="4" t="s">
        <v>25</v>
      </c>
      <c r="G182" s="4" t="s">
        <v>31</v>
      </c>
      <c r="H182" s="4">
        <v>1</v>
      </c>
      <c r="I182" s="4">
        <v>4</v>
      </c>
      <c r="J182" s="5">
        <v>45383</v>
      </c>
      <c r="K182" s="6">
        <v>0.78156250000000005</v>
      </c>
    </row>
    <row r="183" spans="1:11" x14ac:dyDescent="0.25">
      <c r="A183" s="4">
        <v>10</v>
      </c>
      <c r="B183" s="4" t="s">
        <v>11</v>
      </c>
      <c r="C183" s="7">
        <v>38.700000000000003</v>
      </c>
      <c r="D183" s="4" t="s">
        <v>12</v>
      </c>
      <c r="E183" s="4" t="s">
        <v>13</v>
      </c>
      <c r="F183" s="4" t="s">
        <v>27</v>
      </c>
      <c r="G183" s="4" t="s">
        <v>31</v>
      </c>
      <c r="H183" s="4">
        <v>2</v>
      </c>
      <c r="I183" s="4">
        <v>4</v>
      </c>
      <c r="J183" s="5">
        <v>45384</v>
      </c>
      <c r="K183" s="6">
        <v>0.41752314814814817</v>
      </c>
    </row>
    <row r="184" spans="1:11" x14ac:dyDescent="0.25">
      <c r="A184" s="4">
        <v>16</v>
      </c>
      <c r="B184" s="4" t="s">
        <v>11</v>
      </c>
      <c r="C184" s="7">
        <v>28.9</v>
      </c>
      <c r="D184" s="4" t="s">
        <v>18</v>
      </c>
      <c r="E184" s="4" t="s">
        <v>17</v>
      </c>
      <c r="F184" s="4" t="s">
        <v>27</v>
      </c>
      <c r="G184" s="4" t="s">
        <v>31</v>
      </c>
      <c r="H184" s="4">
        <v>2</v>
      </c>
      <c r="I184" s="4">
        <v>4</v>
      </c>
      <c r="J184" s="5">
        <v>45384</v>
      </c>
      <c r="K184" s="6">
        <v>0.67956018518518524</v>
      </c>
    </row>
    <row r="185" spans="1:11" x14ac:dyDescent="0.25">
      <c r="A185" s="4">
        <v>16</v>
      </c>
      <c r="B185" s="4" t="s">
        <v>11</v>
      </c>
      <c r="C185" s="7">
        <v>28.9</v>
      </c>
      <c r="D185" s="4" t="s">
        <v>24</v>
      </c>
      <c r="E185" s="4" t="s">
        <v>17</v>
      </c>
      <c r="F185" s="4" t="s">
        <v>27</v>
      </c>
      <c r="G185" s="4" t="s">
        <v>31</v>
      </c>
      <c r="H185" s="4">
        <v>2</v>
      </c>
      <c r="I185" s="4">
        <v>4</v>
      </c>
      <c r="J185" s="5">
        <v>45384</v>
      </c>
      <c r="K185" s="6">
        <v>0.68018518518518523</v>
      </c>
    </row>
    <row r="186" spans="1:11" x14ac:dyDescent="0.25">
      <c r="A186" s="4">
        <v>10</v>
      </c>
      <c r="B186" s="4" t="s">
        <v>11</v>
      </c>
      <c r="C186" s="7">
        <v>28.9</v>
      </c>
      <c r="D186" s="4" t="s">
        <v>24</v>
      </c>
      <c r="E186" s="4" t="s">
        <v>13</v>
      </c>
      <c r="F186" s="4" t="s">
        <v>28</v>
      </c>
      <c r="G186" s="4" t="s">
        <v>31</v>
      </c>
      <c r="H186" s="4">
        <v>3</v>
      </c>
      <c r="I186" s="4">
        <v>4</v>
      </c>
      <c r="J186" s="5">
        <v>45385</v>
      </c>
      <c r="K186" s="6">
        <v>0.43001157407407409</v>
      </c>
    </row>
    <row r="187" spans="1:11" x14ac:dyDescent="0.25">
      <c r="A187" s="4">
        <v>10</v>
      </c>
      <c r="B187" s="4" t="s">
        <v>11</v>
      </c>
      <c r="C187" s="7">
        <v>28.9</v>
      </c>
      <c r="D187" s="4" t="s">
        <v>18</v>
      </c>
      <c r="E187" s="4" t="s">
        <v>13</v>
      </c>
      <c r="F187" s="4" t="s">
        <v>28</v>
      </c>
      <c r="G187" s="4" t="s">
        <v>31</v>
      </c>
      <c r="H187" s="4">
        <v>3</v>
      </c>
      <c r="I187" s="4">
        <v>4</v>
      </c>
      <c r="J187" s="5">
        <v>45385</v>
      </c>
      <c r="K187" s="6">
        <v>0.43063657407407407</v>
      </c>
    </row>
    <row r="188" spans="1:11" x14ac:dyDescent="0.25">
      <c r="A188" s="4">
        <v>13</v>
      </c>
      <c r="B188" s="4" t="s">
        <v>11</v>
      </c>
      <c r="C188" s="7">
        <v>38.700000000000003</v>
      </c>
      <c r="D188" s="4" t="s">
        <v>29</v>
      </c>
      <c r="E188" s="4" t="s">
        <v>17</v>
      </c>
      <c r="F188" s="4" t="s">
        <v>28</v>
      </c>
      <c r="G188" s="4" t="s">
        <v>31</v>
      </c>
      <c r="H188" s="4">
        <v>3</v>
      </c>
      <c r="I188" s="4">
        <v>4</v>
      </c>
      <c r="J188" s="5">
        <v>45385</v>
      </c>
      <c r="K188" s="6">
        <v>0.55005787037037035</v>
      </c>
    </row>
    <row r="189" spans="1:11" x14ac:dyDescent="0.25">
      <c r="A189" s="4">
        <v>10</v>
      </c>
      <c r="B189" s="4" t="s">
        <v>11</v>
      </c>
      <c r="C189" s="7">
        <v>38.700000000000003</v>
      </c>
      <c r="D189" s="4" t="s">
        <v>12</v>
      </c>
      <c r="E189" s="4" t="s">
        <v>13</v>
      </c>
      <c r="F189" s="4" t="s">
        <v>30</v>
      </c>
      <c r="G189" s="4" t="s">
        <v>31</v>
      </c>
      <c r="H189" s="4">
        <v>4</v>
      </c>
      <c r="I189" s="4">
        <v>4</v>
      </c>
      <c r="J189" s="5">
        <v>45386</v>
      </c>
      <c r="K189" s="6">
        <v>0.44785879629629627</v>
      </c>
    </row>
    <row r="190" spans="1:11" x14ac:dyDescent="0.25">
      <c r="A190" s="4">
        <v>11</v>
      </c>
      <c r="B190" s="4" t="s">
        <v>11</v>
      </c>
      <c r="C190" s="7">
        <v>38.700000000000003</v>
      </c>
      <c r="D190" s="4" t="s">
        <v>12</v>
      </c>
      <c r="E190" s="4" t="s">
        <v>13</v>
      </c>
      <c r="F190" s="4" t="s">
        <v>30</v>
      </c>
      <c r="G190" s="4" t="s">
        <v>31</v>
      </c>
      <c r="H190" s="4">
        <v>4</v>
      </c>
      <c r="I190" s="4">
        <v>4</v>
      </c>
      <c r="J190" s="5">
        <v>45386</v>
      </c>
      <c r="K190" s="6">
        <v>0.47682870370370373</v>
      </c>
    </row>
    <row r="191" spans="1:11" x14ac:dyDescent="0.25">
      <c r="A191" s="4">
        <v>11</v>
      </c>
      <c r="B191" s="4" t="s">
        <v>11</v>
      </c>
      <c r="C191" s="7">
        <v>38.700000000000003</v>
      </c>
      <c r="D191" s="4" t="s">
        <v>29</v>
      </c>
      <c r="E191" s="4" t="s">
        <v>13</v>
      </c>
      <c r="F191" s="4" t="s">
        <v>30</v>
      </c>
      <c r="G191" s="4" t="s">
        <v>31</v>
      </c>
      <c r="H191" s="4">
        <v>4</v>
      </c>
      <c r="I191" s="4">
        <v>4</v>
      </c>
      <c r="J191" s="5">
        <v>45386</v>
      </c>
      <c r="K191" s="6">
        <v>0.47763888888888889</v>
      </c>
    </row>
    <row r="192" spans="1:11" x14ac:dyDescent="0.25">
      <c r="A192" s="4">
        <v>12</v>
      </c>
      <c r="B192" s="4" t="s">
        <v>11</v>
      </c>
      <c r="C192" s="7">
        <v>28.9</v>
      </c>
      <c r="D192" s="4" t="s">
        <v>24</v>
      </c>
      <c r="E192" s="4" t="s">
        <v>17</v>
      </c>
      <c r="F192" s="4" t="s">
        <v>30</v>
      </c>
      <c r="G192" s="4" t="s">
        <v>31</v>
      </c>
      <c r="H192" s="4">
        <v>4</v>
      </c>
      <c r="I192" s="4">
        <v>4</v>
      </c>
      <c r="J192" s="5">
        <v>45386</v>
      </c>
      <c r="K192" s="6">
        <v>0.51599537037037035</v>
      </c>
    </row>
    <row r="193" spans="1:11" x14ac:dyDescent="0.25">
      <c r="A193" s="4">
        <v>10</v>
      </c>
      <c r="B193" s="4" t="s">
        <v>11</v>
      </c>
      <c r="C193" s="7">
        <v>28.9</v>
      </c>
      <c r="D193" s="4" t="s">
        <v>18</v>
      </c>
      <c r="E193" s="4" t="s">
        <v>13</v>
      </c>
      <c r="F193" s="4" t="s">
        <v>14</v>
      </c>
      <c r="G193" s="4" t="s">
        <v>31</v>
      </c>
      <c r="H193" s="4">
        <v>5</v>
      </c>
      <c r="I193" s="4">
        <v>4</v>
      </c>
      <c r="J193" s="5">
        <v>45387</v>
      </c>
      <c r="K193" s="6">
        <v>0.44493055555555555</v>
      </c>
    </row>
    <row r="194" spans="1:11" x14ac:dyDescent="0.25">
      <c r="A194" s="4">
        <v>10</v>
      </c>
      <c r="B194" s="4" t="s">
        <v>11</v>
      </c>
      <c r="C194" s="7">
        <v>28.9</v>
      </c>
      <c r="D194" s="4" t="s">
        <v>18</v>
      </c>
      <c r="E194" s="4" t="s">
        <v>13</v>
      </c>
      <c r="F194" s="4" t="s">
        <v>14</v>
      </c>
      <c r="G194" s="4" t="s">
        <v>31</v>
      </c>
      <c r="H194" s="4">
        <v>5</v>
      </c>
      <c r="I194" s="4">
        <v>4</v>
      </c>
      <c r="J194" s="5">
        <v>45387</v>
      </c>
      <c r="K194" s="6">
        <v>0.44590277777777776</v>
      </c>
    </row>
    <row r="195" spans="1:11" x14ac:dyDescent="0.25">
      <c r="A195" s="4">
        <v>11</v>
      </c>
      <c r="B195" s="4" t="s">
        <v>11</v>
      </c>
      <c r="C195" s="7">
        <v>28.9</v>
      </c>
      <c r="D195" s="4" t="s">
        <v>24</v>
      </c>
      <c r="E195" s="4" t="s">
        <v>13</v>
      </c>
      <c r="F195" s="4" t="s">
        <v>14</v>
      </c>
      <c r="G195" s="4" t="s">
        <v>31</v>
      </c>
      <c r="H195" s="4">
        <v>5</v>
      </c>
      <c r="I195" s="4">
        <v>4</v>
      </c>
      <c r="J195" s="5">
        <v>45387</v>
      </c>
      <c r="K195" s="6">
        <v>0.46266203703703701</v>
      </c>
    </row>
    <row r="196" spans="1:11" x14ac:dyDescent="0.25">
      <c r="A196" s="4">
        <v>12</v>
      </c>
      <c r="B196" s="4" t="s">
        <v>11</v>
      </c>
      <c r="C196" s="7">
        <v>33.799999999999997</v>
      </c>
      <c r="D196" s="4" t="s">
        <v>19</v>
      </c>
      <c r="E196" s="4" t="s">
        <v>17</v>
      </c>
      <c r="F196" s="4" t="s">
        <v>14</v>
      </c>
      <c r="G196" s="4" t="s">
        <v>31</v>
      </c>
      <c r="H196" s="4">
        <v>5</v>
      </c>
      <c r="I196" s="4">
        <v>4</v>
      </c>
      <c r="J196" s="5">
        <v>45387</v>
      </c>
      <c r="K196" s="6">
        <v>0.51003472222222224</v>
      </c>
    </row>
    <row r="197" spans="1:11" x14ac:dyDescent="0.25">
      <c r="A197" s="4">
        <v>14</v>
      </c>
      <c r="B197" s="4" t="s">
        <v>11</v>
      </c>
      <c r="C197" s="7">
        <v>38.700000000000003</v>
      </c>
      <c r="D197" s="4" t="s">
        <v>12</v>
      </c>
      <c r="E197" s="4" t="s">
        <v>17</v>
      </c>
      <c r="F197" s="4" t="s">
        <v>14</v>
      </c>
      <c r="G197" s="4" t="s">
        <v>31</v>
      </c>
      <c r="H197" s="4">
        <v>5</v>
      </c>
      <c r="I197" s="4">
        <v>4</v>
      </c>
      <c r="J197" s="5">
        <v>45387</v>
      </c>
      <c r="K197" s="6">
        <v>0.59976851851851853</v>
      </c>
    </row>
    <row r="198" spans="1:11" x14ac:dyDescent="0.25">
      <c r="A198" s="4">
        <v>14</v>
      </c>
      <c r="B198" s="4" t="s">
        <v>11</v>
      </c>
      <c r="C198" s="7">
        <v>28.9</v>
      </c>
      <c r="D198" s="4" t="s">
        <v>24</v>
      </c>
      <c r="E198" s="4" t="s">
        <v>17</v>
      </c>
      <c r="F198" s="4" t="s">
        <v>14</v>
      </c>
      <c r="G198" s="4" t="s">
        <v>31</v>
      </c>
      <c r="H198" s="4">
        <v>5</v>
      </c>
      <c r="I198" s="4">
        <v>4</v>
      </c>
      <c r="J198" s="5">
        <v>45387</v>
      </c>
      <c r="K198" s="6">
        <v>0.6005787037037037</v>
      </c>
    </row>
    <row r="199" spans="1:11" x14ac:dyDescent="0.25">
      <c r="A199" s="4">
        <v>16</v>
      </c>
      <c r="B199" s="4" t="s">
        <v>11</v>
      </c>
      <c r="C199" s="7">
        <v>24</v>
      </c>
      <c r="D199" s="4" t="s">
        <v>26</v>
      </c>
      <c r="E199" s="4" t="s">
        <v>17</v>
      </c>
      <c r="F199" s="4" t="s">
        <v>14</v>
      </c>
      <c r="G199" s="4" t="s">
        <v>31</v>
      </c>
      <c r="H199" s="4">
        <v>5</v>
      </c>
      <c r="I199" s="4">
        <v>4</v>
      </c>
      <c r="J199" s="5">
        <v>45387</v>
      </c>
      <c r="K199" s="6">
        <v>0.67943287037037037</v>
      </c>
    </row>
    <row r="200" spans="1:11" x14ac:dyDescent="0.25">
      <c r="A200" s="4">
        <v>12</v>
      </c>
      <c r="B200" s="4" t="s">
        <v>11</v>
      </c>
      <c r="C200" s="7">
        <v>33.799999999999997</v>
      </c>
      <c r="D200" s="4" t="s">
        <v>19</v>
      </c>
      <c r="E200" s="4" t="s">
        <v>17</v>
      </c>
      <c r="F200" s="4" t="s">
        <v>22</v>
      </c>
      <c r="G200" s="4" t="s">
        <v>31</v>
      </c>
      <c r="H200" s="4">
        <v>6</v>
      </c>
      <c r="I200" s="4">
        <v>4</v>
      </c>
      <c r="J200" s="5">
        <v>45388</v>
      </c>
      <c r="K200" s="6">
        <v>0.52258101851851857</v>
      </c>
    </row>
    <row r="201" spans="1:11" x14ac:dyDescent="0.25">
      <c r="A201" s="4">
        <v>14</v>
      </c>
      <c r="B201" s="4" t="s">
        <v>11</v>
      </c>
      <c r="C201" s="7">
        <v>38.700000000000003</v>
      </c>
      <c r="D201" s="4" t="s">
        <v>29</v>
      </c>
      <c r="E201" s="4" t="s">
        <v>17</v>
      </c>
      <c r="F201" s="4" t="s">
        <v>22</v>
      </c>
      <c r="G201" s="4" t="s">
        <v>31</v>
      </c>
      <c r="H201" s="4">
        <v>6</v>
      </c>
      <c r="I201" s="4">
        <v>4</v>
      </c>
      <c r="J201" s="5">
        <v>45388</v>
      </c>
      <c r="K201" s="6">
        <v>0.59256944444444448</v>
      </c>
    </row>
    <row r="202" spans="1:11" x14ac:dyDescent="0.25">
      <c r="A202" s="4">
        <v>14</v>
      </c>
      <c r="B202" s="4" t="s">
        <v>11</v>
      </c>
      <c r="C202" s="7">
        <v>28.9</v>
      </c>
      <c r="D202" s="4" t="s">
        <v>18</v>
      </c>
      <c r="E202" s="4" t="s">
        <v>17</v>
      </c>
      <c r="F202" s="4" t="s">
        <v>22</v>
      </c>
      <c r="G202" s="4" t="s">
        <v>31</v>
      </c>
      <c r="H202" s="4">
        <v>6</v>
      </c>
      <c r="I202" s="4">
        <v>4</v>
      </c>
      <c r="J202" s="5">
        <v>45388</v>
      </c>
      <c r="K202" s="6">
        <v>0.59336805555555561</v>
      </c>
    </row>
    <row r="203" spans="1:11" x14ac:dyDescent="0.25">
      <c r="A203" s="4">
        <v>14</v>
      </c>
      <c r="B203" s="4" t="s">
        <v>11</v>
      </c>
      <c r="C203" s="7">
        <v>38.700000000000003</v>
      </c>
      <c r="D203" s="4" t="s">
        <v>12</v>
      </c>
      <c r="E203" s="4" t="s">
        <v>17</v>
      </c>
      <c r="F203" s="4" t="s">
        <v>22</v>
      </c>
      <c r="G203" s="4" t="s">
        <v>31</v>
      </c>
      <c r="H203" s="4">
        <v>6</v>
      </c>
      <c r="I203" s="4">
        <v>4</v>
      </c>
      <c r="J203" s="5">
        <v>45388</v>
      </c>
      <c r="K203" s="6">
        <v>0.61793981481481486</v>
      </c>
    </row>
    <row r="204" spans="1:11" x14ac:dyDescent="0.25">
      <c r="A204" s="4">
        <v>10</v>
      </c>
      <c r="B204" s="4" t="s">
        <v>11</v>
      </c>
      <c r="C204" s="7">
        <v>38.700000000000003</v>
      </c>
      <c r="D204" s="4" t="s">
        <v>12</v>
      </c>
      <c r="E204" s="4" t="s">
        <v>13</v>
      </c>
      <c r="F204" s="4" t="s">
        <v>23</v>
      </c>
      <c r="G204" s="4" t="s">
        <v>31</v>
      </c>
      <c r="H204" s="4">
        <v>7</v>
      </c>
      <c r="I204" s="4">
        <v>4</v>
      </c>
      <c r="J204" s="5">
        <v>45389</v>
      </c>
      <c r="K204" s="6">
        <v>0.42561342592592594</v>
      </c>
    </row>
    <row r="205" spans="1:11" x14ac:dyDescent="0.25">
      <c r="A205" s="4">
        <v>12</v>
      </c>
      <c r="B205" s="4" t="s">
        <v>11</v>
      </c>
      <c r="C205" s="7">
        <v>38.700000000000003</v>
      </c>
      <c r="D205" s="4" t="s">
        <v>29</v>
      </c>
      <c r="E205" s="4" t="s">
        <v>17</v>
      </c>
      <c r="F205" s="4" t="s">
        <v>23</v>
      </c>
      <c r="G205" s="4" t="s">
        <v>31</v>
      </c>
      <c r="H205" s="4">
        <v>7</v>
      </c>
      <c r="I205" s="4">
        <v>4</v>
      </c>
      <c r="J205" s="5">
        <v>45389</v>
      </c>
      <c r="K205" s="6">
        <v>0.53091435185185187</v>
      </c>
    </row>
    <row r="206" spans="1:11" x14ac:dyDescent="0.25">
      <c r="A206" s="4">
        <v>12</v>
      </c>
      <c r="B206" s="4" t="s">
        <v>11</v>
      </c>
      <c r="C206" s="7">
        <v>38.700000000000003</v>
      </c>
      <c r="D206" s="4" t="s">
        <v>29</v>
      </c>
      <c r="E206" s="4" t="s">
        <v>17</v>
      </c>
      <c r="F206" s="4" t="s">
        <v>23</v>
      </c>
      <c r="G206" s="4" t="s">
        <v>31</v>
      </c>
      <c r="H206" s="4">
        <v>7</v>
      </c>
      <c r="I206" s="4">
        <v>4</v>
      </c>
      <c r="J206" s="5">
        <v>45389</v>
      </c>
      <c r="K206" s="6">
        <v>0.53200231481481486</v>
      </c>
    </row>
    <row r="207" spans="1:11" x14ac:dyDescent="0.25">
      <c r="A207" s="4">
        <v>14</v>
      </c>
      <c r="B207" s="4" t="s">
        <v>11</v>
      </c>
      <c r="C207" s="7">
        <v>28.9</v>
      </c>
      <c r="D207" s="4" t="s">
        <v>24</v>
      </c>
      <c r="E207" s="4" t="s">
        <v>17</v>
      </c>
      <c r="F207" s="4" t="s">
        <v>23</v>
      </c>
      <c r="G207" s="4" t="s">
        <v>31</v>
      </c>
      <c r="H207" s="4">
        <v>7</v>
      </c>
      <c r="I207" s="4">
        <v>4</v>
      </c>
      <c r="J207" s="5">
        <v>45389</v>
      </c>
      <c r="K207" s="6">
        <v>0.59472222222222226</v>
      </c>
    </row>
    <row r="208" spans="1:11" x14ac:dyDescent="0.25">
      <c r="A208" s="4">
        <v>14</v>
      </c>
      <c r="B208" s="4" t="s">
        <v>11</v>
      </c>
      <c r="C208" s="7">
        <v>24</v>
      </c>
      <c r="D208" s="4" t="s">
        <v>26</v>
      </c>
      <c r="E208" s="4" t="s">
        <v>17</v>
      </c>
      <c r="F208" s="4" t="s">
        <v>23</v>
      </c>
      <c r="G208" s="4" t="s">
        <v>31</v>
      </c>
      <c r="H208" s="4">
        <v>7</v>
      </c>
      <c r="I208" s="4">
        <v>4</v>
      </c>
      <c r="J208" s="5">
        <v>45389</v>
      </c>
      <c r="K208" s="6">
        <v>0.59548611111111116</v>
      </c>
    </row>
    <row r="209" spans="1:11" x14ac:dyDescent="0.25">
      <c r="A209" s="4">
        <v>18</v>
      </c>
      <c r="B209" s="4" t="s">
        <v>11</v>
      </c>
      <c r="C209" s="7">
        <v>38.700000000000003</v>
      </c>
      <c r="D209" s="4" t="s">
        <v>16</v>
      </c>
      <c r="E209" s="4" t="s">
        <v>20</v>
      </c>
      <c r="F209" s="4" t="s">
        <v>23</v>
      </c>
      <c r="G209" s="4" t="s">
        <v>31</v>
      </c>
      <c r="H209" s="4">
        <v>7</v>
      </c>
      <c r="I209" s="4">
        <v>4</v>
      </c>
      <c r="J209" s="5">
        <v>45389</v>
      </c>
      <c r="K209" s="6">
        <v>0.75087962962962962</v>
      </c>
    </row>
    <row r="210" spans="1:11" x14ac:dyDescent="0.25">
      <c r="A210" s="4">
        <v>18</v>
      </c>
      <c r="B210" s="4" t="s">
        <v>11</v>
      </c>
      <c r="C210" s="7">
        <v>33.799999999999997</v>
      </c>
      <c r="D210" s="4" t="s">
        <v>19</v>
      </c>
      <c r="E210" s="4" t="s">
        <v>20</v>
      </c>
      <c r="F210" s="4" t="s">
        <v>23</v>
      </c>
      <c r="G210" s="4" t="s">
        <v>31</v>
      </c>
      <c r="H210" s="4">
        <v>7</v>
      </c>
      <c r="I210" s="4">
        <v>4</v>
      </c>
      <c r="J210" s="5">
        <v>45389</v>
      </c>
      <c r="K210" s="6">
        <v>0.75142361111111111</v>
      </c>
    </row>
    <row r="211" spans="1:11" x14ac:dyDescent="0.25">
      <c r="A211" s="4">
        <v>10</v>
      </c>
      <c r="B211" s="4" t="s">
        <v>11</v>
      </c>
      <c r="C211" s="7">
        <v>33.799999999999997</v>
      </c>
      <c r="D211" s="4" t="s">
        <v>19</v>
      </c>
      <c r="E211" s="4" t="s">
        <v>13</v>
      </c>
      <c r="F211" s="4" t="s">
        <v>25</v>
      </c>
      <c r="G211" s="4" t="s">
        <v>31</v>
      </c>
      <c r="H211" s="4">
        <v>1</v>
      </c>
      <c r="I211" s="4">
        <v>4</v>
      </c>
      <c r="J211" s="5">
        <v>45390</v>
      </c>
      <c r="K211" s="6">
        <v>0.45718750000000002</v>
      </c>
    </row>
    <row r="212" spans="1:11" x14ac:dyDescent="0.25">
      <c r="A212" s="4">
        <v>10</v>
      </c>
      <c r="B212" s="4" t="s">
        <v>11</v>
      </c>
      <c r="C212" s="7">
        <v>38.700000000000003</v>
      </c>
      <c r="D212" s="4" t="s">
        <v>29</v>
      </c>
      <c r="E212" s="4" t="s">
        <v>13</v>
      </c>
      <c r="F212" s="4" t="s">
        <v>25</v>
      </c>
      <c r="G212" s="4" t="s">
        <v>31</v>
      </c>
      <c r="H212" s="4">
        <v>1</v>
      </c>
      <c r="I212" s="4">
        <v>4</v>
      </c>
      <c r="J212" s="5">
        <v>45390</v>
      </c>
      <c r="K212" s="6">
        <v>0.45795138888888887</v>
      </c>
    </row>
    <row r="213" spans="1:11" x14ac:dyDescent="0.25">
      <c r="A213" s="4">
        <v>11</v>
      </c>
      <c r="B213" s="4" t="s">
        <v>11</v>
      </c>
      <c r="C213" s="7">
        <v>28.9</v>
      </c>
      <c r="D213" s="4" t="s">
        <v>18</v>
      </c>
      <c r="E213" s="4" t="s">
        <v>13</v>
      </c>
      <c r="F213" s="4" t="s">
        <v>25</v>
      </c>
      <c r="G213" s="4" t="s">
        <v>31</v>
      </c>
      <c r="H213" s="4">
        <v>1</v>
      </c>
      <c r="I213" s="4">
        <v>4</v>
      </c>
      <c r="J213" s="5">
        <v>45390</v>
      </c>
      <c r="K213" s="6">
        <v>0.45925925925925926</v>
      </c>
    </row>
    <row r="214" spans="1:11" x14ac:dyDescent="0.25">
      <c r="A214" s="4">
        <v>11</v>
      </c>
      <c r="B214" s="4" t="s">
        <v>11</v>
      </c>
      <c r="C214" s="7">
        <v>38.700000000000003</v>
      </c>
      <c r="D214" s="4" t="s">
        <v>29</v>
      </c>
      <c r="E214" s="4" t="s">
        <v>13</v>
      </c>
      <c r="F214" s="4" t="s">
        <v>25</v>
      </c>
      <c r="G214" s="4" t="s">
        <v>31</v>
      </c>
      <c r="H214" s="4">
        <v>1</v>
      </c>
      <c r="I214" s="4">
        <v>4</v>
      </c>
      <c r="J214" s="5">
        <v>45390</v>
      </c>
      <c r="K214" s="6">
        <v>0.46165509259259258</v>
      </c>
    </row>
    <row r="215" spans="1:11" x14ac:dyDescent="0.25">
      <c r="A215" s="4">
        <v>16</v>
      </c>
      <c r="B215" s="4" t="s">
        <v>11</v>
      </c>
      <c r="C215" s="7">
        <v>38.700000000000003</v>
      </c>
      <c r="D215" s="4" t="s">
        <v>12</v>
      </c>
      <c r="E215" s="4" t="s">
        <v>17</v>
      </c>
      <c r="F215" s="4" t="s">
        <v>25</v>
      </c>
      <c r="G215" s="4" t="s">
        <v>31</v>
      </c>
      <c r="H215" s="4">
        <v>1</v>
      </c>
      <c r="I215" s="4">
        <v>4</v>
      </c>
      <c r="J215" s="5">
        <v>45390</v>
      </c>
      <c r="K215" s="6">
        <v>0.69556712962962963</v>
      </c>
    </row>
    <row r="216" spans="1:11" x14ac:dyDescent="0.25">
      <c r="A216" s="4">
        <v>18</v>
      </c>
      <c r="B216" s="4" t="s">
        <v>11</v>
      </c>
      <c r="C216" s="7">
        <v>28.9</v>
      </c>
      <c r="D216" s="4" t="s">
        <v>18</v>
      </c>
      <c r="E216" s="4" t="s">
        <v>20</v>
      </c>
      <c r="F216" s="4" t="s">
        <v>25</v>
      </c>
      <c r="G216" s="4" t="s">
        <v>31</v>
      </c>
      <c r="H216" s="4">
        <v>1</v>
      </c>
      <c r="I216" s="4">
        <v>4</v>
      </c>
      <c r="J216" s="5">
        <v>45390</v>
      </c>
      <c r="K216" s="6">
        <v>0.76260416666666664</v>
      </c>
    </row>
    <row r="217" spans="1:11" x14ac:dyDescent="0.25">
      <c r="A217" s="4">
        <v>19</v>
      </c>
      <c r="B217" s="4" t="s">
        <v>11</v>
      </c>
      <c r="C217" s="7">
        <v>33.799999999999997</v>
      </c>
      <c r="D217" s="4" t="s">
        <v>19</v>
      </c>
      <c r="E217" s="4" t="s">
        <v>20</v>
      </c>
      <c r="F217" s="4" t="s">
        <v>25</v>
      </c>
      <c r="G217" s="4" t="s">
        <v>31</v>
      </c>
      <c r="H217" s="4">
        <v>1</v>
      </c>
      <c r="I217" s="4">
        <v>4</v>
      </c>
      <c r="J217" s="5">
        <v>45390</v>
      </c>
      <c r="K217" s="6">
        <v>0.8072569444444444</v>
      </c>
    </row>
    <row r="218" spans="1:11" x14ac:dyDescent="0.25">
      <c r="A218" s="4">
        <v>19</v>
      </c>
      <c r="B218" s="4" t="s">
        <v>11</v>
      </c>
      <c r="C218" s="7">
        <v>38.700000000000003</v>
      </c>
      <c r="D218" s="4" t="s">
        <v>29</v>
      </c>
      <c r="E218" s="4" t="s">
        <v>20</v>
      </c>
      <c r="F218" s="4" t="s">
        <v>25</v>
      </c>
      <c r="G218" s="4" t="s">
        <v>31</v>
      </c>
      <c r="H218" s="4">
        <v>1</v>
      </c>
      <c r="I218" s="4">
        <v>4</v>
      </c>
      <c r="J218" s="5">
        <v>45390</v>
      </c>
      <c r="K218" s="6">
        <v>0.80832175925925931</v>
      </c>
    </row>
    <row r="219" spans="1:11" x14ac:dyDescent="0.25">
      <c r="A219" s="4">
        <v>11</v>
      </c>
      <c r="B219" s="4" t="s">
        <v>11</v>
      </c>
      <c r="C219" s="7">
        <v>38.700000000000003</v>
      </c>
      <c r="D219" s="4" t="s">
        <v>12</v>
      </c>
      <c r="E219" s="4" t="s">
        <v>13</v>
      </c>
      <c r="F219" s="4" t="s">
        <v>27</v>
      </c>
      <c r="G219" s="4" t="s">
        <v>31</v>
      </c>
      <c r="H219" s="4">
        <v>2</v>
      </c>
      <c r="I219" s="4">
        <v>4</v>
      </c>
      <c r="J219" s="5">
        <v>45391</v>
      </c>
      <c r="K219" s="6">
        <v>0.48782407407407408</v>
      </c>
    </row>
    <row r="220" spans="1:11" x14ac:dyDescent="0.25">
      <c r="A220" s="4">
        <v>15</v>
      </c>
      <c r="B220" s="4" t="s">
        <v>11</v>
      </c>
      <c r="C220" s="7">
        <v>38.700000000000003</v>
      </c>
      <c r="D220" s="4" t="s">
        <v>16</v>
      </c>
      <c r="E220" s="4" t="s">
        <v>17</v>
      </c>
      <c r="F220" s="4" t="s">
        <v>27</v>
      </c>
      <c r="G220" s="4" t="s">
        <v>31</v>
      </c>
      <c r="H220" s="4">
        <v>2</v>
      </c>
      <c r="I220" s="4">
        <v>4</v>
      </c>
      <c r="J220" s="5">
        <v>45391</v>
      </c>
      <c r="K220" s="6">
        <v>0.63319444444444439</v>
      </c>
    </row>
    <row r="221" spans="1:11" x14ac:dyDescent="0.25">
      <c r="A221" s="4">
        <v>17</v>
      </c>
      <c r="B221" s="4" t="s">
        <v>11</v>
      </c>
      <c r="C221" s="7">
        <v>38.700000000000003</v>
      </c>
      <c r="D221" s="4" t="s">
        <v>16</v>
      </c>
      <c r="E221" s="4" t="s">
        <v>20</v>
      </c>
      <c r="F221" s="4" t="s">
        <v>27</v>
      </c>
      <c r="G221" s="4" t="s">
        <v>31</v>
      </c>
      <c r="H221" s="4">
        <v>2</v>
      </c>
      <c r="I221" s="4">
        <v>4</v>
      </c>
      <c r="J221" s="5">
        <v>45391</v>
      </c>
      <c r="K221" s="6">
        <v>0.7259606481481482</v>
      </c>
    </row>
    <row r="222" spans="1:11" x14ac:dyDescent="0.25">
      <c r="A222" s="4">
        <v>17</v>
      </c>
      <c r="B222" s="4" t="s">
        <v>11</v>
      </c>
      <c r="C222" s="7">
        <v>24</v>
      </c>
      <c r="D222" s="4" t="s">
        <v>26</v>
      </c>
      <c r="E222" s="4" t="s">
        <v>20</v>
      </c>
      <c r="F222" s="4" t="s">
        <v>28</v>
      </c>
      <c r="G222" s="4" t="s">
        <v>31</v>
      </c>
      <c r="H222" s="4">
        <v>3</v>
      </c>
      <c r="I222" s="4">
        <v>4</v>
      </c>
      <c r="J222" s="5">
        <v>45392</v>
      </c>
      <c r="K222" s="6">
        <v>0.74688657407407411</v>
      </c>
    </row>
    <row r="223" spans="1:11" x14ac:dyDescent="0.25">
      <c r="A223" s="4">
        <v>18</v>
      </c>
      <c r="B223" s="4" t="s">
        <v>11</v>
      </c>
      <c r="C223" s="7">
        <v>38.700000000000003</v>
      </c>
      <c r="D223" s="4" t="s">
        <v>29</v>
      </c>
      <c r="E223" s="4" t="s">
        <v>20</v>
      </c>
      <c r="F223" s="4" t="s">
        <v>28</v>
      </c>
      <c r="G223" s="4" t="s">
        <v>31</v>
      </c>
      <c r="H223" s="4">
        <v>3</v>
      </c>
      <c r="I223" s="4">
        <v>4</v>
      </c>
      <c r="J223" s="5">
        <v>45392</v>
      </c>
      <c r="K223" s="6">
        <v>0.76734953703703701</v>
      </c>
    </row>
    <row r="224" spans="1:11" x14ac:dyDescent="0.25">
      <c r="A224" s="4">
        <v>20</v>
      </c>
      <c r="B224" s="4" t="s">
        <v>11</v>
      </c>
      <c r="C224" s="7">
        <v>38.700000000000003</v>
      </c>
      <c r="D224" s="4" t="s">
        <v>12</v>
      </c>
      <c r="E224" s="4" t="s">
        <v>20</v>
      </c>
      <c r="F224" s="4" t="s">
        <v>28</v>
      </c>
      <c r="G224" s="4" t="s">
        <v>31</v>
      </c>
      <c r="H224" s="4">
        <v>3</v>
      </c>
      <c r="I224" s="4">
        <v>4</v>
      </c>
      <c r="J224" s="5">
        <v>45392</v>
      </c>
      <c r="K224" s="6">
        <v>0.83616898148148144</v>
      </c>
    </row>
    <row r="225" spans="1:11" x14ac:dyDescent="0.25">
      <c r="A225" s="4">
        <v>10</v>
      </c>
      <c r="B225" s="4" t="s">
        <v>11</v>
      </c>
      <c r="C225" s="7">
        <v>28.9</v>
      </c>
      <c r="D225" s="4" t="s">
        <v>18</v>
      </c>
      <c r="E225" s="4" t="s">
        <v>13</v>
      </c>
      <c r="F225" s="4" t="s">
        <v>30</v>
      </c>
      <c r="G225" s="4" t="s">
        <v>31</v>
      </c>
      <c r="H225" s="4">
        <v>4</v>
      </c>
      <c r="I225" s="4">
        <v>4</v>
      </c>
      <c r="J225" s="5">
        <v>45393</v>
      </c>
      <c r="K225" s="6">
        <v>0.44540509259259259</v>
      </c>
    </row>
    <row r="226" spans="1:11" x14ac:dyDescent="0.25">
      <c r="A226" s="4">
        <v>10</v>
      </c>
      <c r="B226" s="4" t="s">
        <v>11</v>
      </c>
      <c r="C226" s="7">
        <v>28.9</v>
      </c>
      <c r="D226" s="4" t="s">
        <v>18</v>
      </c>
      <c r="E226" s="4" t="s">
        <v>13</v>
      </c>
      <c r="F226" s="4" t="s">
        <v>30</v>
      </c>
      <c r="G226" s="4" t="s">
        <v>31</v>
      </c>
      <c r="H226" s="4">
        <v>4</v>
      </c>
      <c r="I226" s="4">
        <v>4</v>
      </c>
      <c r="J226" s="5">
        <v>45393</v>
      </c>
      <c r="K226" s="6">
        <v>0.44651620370370371</v>
      </c>
    </row>
    <row r="227" spans="1:11" x14ac:dyDescent="0.25">
      <c r="A227" s="4">
        <v>16</v>
      </c>
      <c r="B227" s="4" t="s">
        <v>11</v>
      </c>
      <c r="C227" s="7">
        <v>38.700000000000003</v>
      </c>
      <c r="D227" s="4" t="s">
        <v>12</v>
      </c>
      <c r="E227" s="4" t="s">
        <v>17</v>
      </c>
      <c r="F227" s="4" t="s">
        <v>30</v>
      </c>
      <c r="G227" s="4" t="s">
        <v>31</v>
      </c>
      <c r="H227" s="4">
        <v>4</v>
      </c>
      <c r="I227" s="4">
        <v>4</v>
      </c>
      <c r="J227" s="5">
        <v>45393</v>
      </c>
      <c r="K227" s="6">
        <v>0.69123842592592588</v>
      </c>
    </row>
    <row r="228" spans="1:11" x14ac:dyDescent="0.25">
      <c r="A228" s="4">
        <v>19</v>
      </c>
      <c r="B228" s="4" t="s">
        <v>11</v>
      </c>
      <c r="C228" s="7">
        <v>38.700000000000003</v>
      </c>
      <c r="D228" s="4" t="s">
        <v>29</v>
      </c>
      <c r="E228" s="4" t="s">
        <v>20</v>
      </c>
      <c r="F228" s="4" t="s">
        <v>30</v>
      </c>
      <c r="G228" s="4" t="s">
        <v>31</v>
      </c>
      <c r="H228" s="4">
        <v>4</v>
      </c>
      <c r="I228" s="4">
        <v>4</v>
      </c>
      <c r="J228" s="5">
        <v>45393</v>
      </c>
      <c r="K228" s="6">
        <v>0.80342592592592588</v>
      </c>
    </row>
    <row r="229" spans="1:11" x14ac:dyDescent="0.25">
      <c r="A229" s="4">
        <v>19</v>
      </c>
      <c r="B229" s="4" t="s">
        <v>11</v>
      </c>
      <c r="C229" s="7">
        <v>33.799999999999997</v>
      </c>
      <c r="D229" s="4" t="s">
        <v>19</v>
      </c>
      <c r="E229" s="4" t="s">
        <v>20</v>
      </c>
      <c r="F229" s="4" t="s">
        <v>30</v>
      </c>
      <c r="G229" s="4" t="s">
        <v>31</v>
      </c>
      <c r="H229" s="4">
        <v>4</v>
      </c>
      <c r="I229" s="4">
        <v>4</v>
      </c>
      <c r="J229" s="5">
        <v>45393</v>
      </c>
      <c r="K229" s="6">
        <v>0.80458333333333332</v>
      </c>
    </row>
    <row r="230" spans="1:11" x14ac:dyDescent="0.25">
      <c r="A230" s="4">
        <v>19</v>
      </c>
      <c r="B230" s="4" t="s">
        <v>11</v>
      </c>
      <c r="C230" s="7">
        <v>38.700000000000003</v>
      </c>
      <c r="D230" s="4" t="s">
        <v>16</v>
      </c>
      <c r="E230" s="4" t="s">
        <v>20</v>
      </c>
      <c r="F230" s="4" t="s">
        <v>14</v>
      </c>
      <c r="G230" s="4" t="s">
        <v>31</v>
      </c>
      <c r="H230" s="4">
        <v>5</v>
      </c>
      <c r="I230" s="4">
        <v>4</v>
      </c>
      <c r="J230" s="5">
        <v>45394</v>
      </c>
      <c r="K230" s="6">
        <v>0.79424768518518518</v>
      </c>
    </row>
    <row r="231" spans="1:11" x14ac:dyDescent="0.25">
      <c r="A231" s="4">
        <v>19</v>
      </c>
      <c r="B231" s="4" t="s">
        <v>11</v>
      </c>
      <c r="C231" s="7">
        <v>28.9</v>
      </c>
      <c r="D231" s="4" t="s">
        <v>24</v>
      </c>
      <c r="E231" s="4" t="s">
        <v>20</v>
      </c>
      <c r="F231" s="4" t="s">
        <v>14</v>
      </c>
      <c r="G231" s="4" t="s">
        <v>31</v>
      </c>
      <c r="H231" s="4">
        <v>5</v>
      </c>
      <c r="I231" s="4">
        <v>4</v>
      </c>
      <c r="J231" s="5">
        <v>45394</v>
      </c>
      <c r="K231" s="6">
        <v>0.81832175925925921</v>
      </c>
    </row>
    <row r="232" spans="1:11" x14ac:dyDescent="0.25">
      <c r="A232" s="4">
        <v>12</v>
      </c>
      <c r="B232" s="4" t="s">
        <v>11</v>
      </c>
      <c r="C232" s="7">
        <v>38.700000000000003</v>
      </c>
      <c r="D232" s="4" t="s">
        <v>12</v>
      </c>
      <c r="E232" s="4" t="s">
        <v>17</v>
      </c>
      <c r="F232" s="4" t="s">
        <v>22</v>
      </c>
      <c r="G232" s="4" t="s">
        <v>31</v>
      </c>
      <c r="H232" s="4">
        <v>6</v>
      </c>
      <c r="I232" s="4">
        <v>4</v>
      </c>
      <c r="J232" s="5">
        <v>45395</v>
      </c>
      <c r="K232" s="6">
        <v>0.52035879629629633</v>
      </c>
    </row>
    <row r="233" spans="1:11" x14ac:dyDescent="0.25">
      <c r="A233" s="4">
        <v>12</v>
      </c>
      <c r="B233" s="4" t="s">
        <v>11</v>
      </c>
      <c r="C233" s="7">
        <v>28.9</v>
      </c>
      <c r="D233" s="4" t="s">
        <v>18</v>
      </c>
      <c r="E233" s="4" t="s">
        <v>17</v>
      </c>
      <c r="F233" s="4" t="s">
        <v>22</v>
      </c>
      <c r="G233" s="4" t="s">
        <v>31</v>
      </c>
      <c r="H233" s="4">
        <v>6</v>
      </c>
      <c r="I233" s="4">
        <v>4</v>
      </c>
      <c r="J233" s="5">
        <v>45395</v>
      </c>
      <c r="K233" s="6">
        <v>0.5298842592592593</v>
      </c>
    </row>
    <row r="234" spans="1:11" x14ac:dyDescent="0.25">
      <c r="A234" s="4">
        <v>16</v>
      </c>
      <c r="B234" s="4" t="s">
        <v>11</v>
      </c>
      <c r="C234" s="7">
        <v>38.700000000000003</v>
      </c>
      <c r="D234" s="4" t="s">
        <v>29</v>
      </c>
      <c r="E234" s="4" t="s">
        <v>17</v>
      </c>
      <c r="F234" s="4" t="s">
        <v>22</v>
      </c>
      <c r="G234" s="4" t="s">
        <v>31</v>
      </c>
      <c r="H234" s="4">
        <v>6</v>
      </c>
      <c r="I234" s="4">
        <v>4</v>
      </c>
      <c r="J234" s="5">
        <v>45395</v>
      </c>
      <c r="K234" s="6">
        <v>0.67920138888888892</v>
      </c>
    </row>
    <row r="235" spans="1:11" x14ac:dyDescent="0.25">
      <c r="A235" s="4">
        <v>16</v>
      </c>
      <c r="B235" s="4" t="s">
        <v>11</v>
      </c>
      <c r="C235" s="7">
        <v>38.700000000000003</v>
      </c>
      <c r="D235" s="4" t="s">
        <v>12</v>
      </c>
      <c r="E235" s="4" t="s">
        <v>17</v>
      </c>
      <c r="F235" s="4" t="s">
        <v>22</v>
      </c>
      <c r="G235" s="4" t="s">
        <v>31</v>
      </c>
      <c r="H235" s="4">
        <v>6</v>
      </c>
      <c r="I235" s="4">
        <v>4</v>
      </c>
      <c r="J235" s="5">
        <v>45395</v>
      </c>
      <c r="K235" s="6">
        <v>0.68031249999999999</v>
      </c>
    </row>
    <row r="236" spans="1:11" x14ac:dyDescent="0.25">
      <c r="A236" s="4">
        <v>17</v>
      </c>
      <c r="B236" s="4" t="s">
        <v>11</v>
      </c>
      <c r="C236" s="7">
        <v>38.700000000000003</v>
      </c>
      <c r="D236" s="4" t="s">
        <v>29</v>
      </c>
      <c r="E236" s="4" t="s">
        <v>20</v>
      </c>
      <c r="F236" s="4" t="s">
        <v>22</v>
      </c>
      <c r="G236" s="4" t="s">
        <v>31</v>
      </c>
      <c r="H236" s="4">
        <v>6</v>
      </c>
      <c r="I236" s="4">
        <v>4</v>
      </c>
      <c r="J236" s="5">
        <v>45395</v>
      </c>
      <c r="K236" s="6">
        <v>0.74405092592592592</v>
      </c>
    </row>
    <row r="237" spans="1:11" x14ac:dyDescent="0.25">
      <c r="A237" s="4">
        <v>17</v>
      </c>
      <c r="B237" s="4" t="s">
        <v>11</v>
      </c>
      <c r="C237" s="7">
        <v>38.700000000000003</v>
      </c>
      <c r="D237" s="4" t="s">
        <v>29</v>
      </c>
      <c r="E237" s="4" t="s">
        <v>20</v>
      </c>
      <c r="F237" s="4" t="s">
        <v>22</v>
      </c>
      <c r="G237" s="4" t="s">
        <v>31</v>
      </c>
      <c r="H237" s="4">
        <v>6</v>
      </c>
      <c r="I237" s="4">
        <v>4</v>
      </c>
      <c r="J237" s="5">
        <v>45395</v>
      </c>
      <c r="K237" s="6">
        <v>0.74535879629629631</v>
      </c>
    </row>
    <row r="238" spans="1:11" x14ac:dyDescent="0.25">
      <c r="A238" s="4">
        <v>12</v>
      </c>
      <c r="B238" s="4" t="s">
        <v>11</v>
      </c>
      <c r="C238" s="7">
        <v>38.700000000000003</v>
      </c>
      <c r="D238" s="4" t="s">
        <v>29</v>
      </c>
      <c r="E238" s="4" t="s">
        <v>17</v>
      </c>
      <c r="F238" s="4" t="s">
        <v>23</v>
      </c>
      <c r="G238" s="4" t="s">
        <v>31</v>
      </c>
      <c r="H238" s="4">
        <v>7</v>
      </c>
      <c r="I238" s="4">
        <v>4</v>
      </c>
      <c r="J238" s="5">
        <v>45396</v>
      </c>
      <c r="K238" s="6">
        <v>0.51711805555555557</v>
      </c>
    </row>
    <row r="239" spans="1:11" x14ac:dyDescent="0.25">
      <c r="A239" s="4">
        <v>13</v>
      </c>
      <c r="B239" s="4" t="s">
        <v>11</v>
      </c>
      <c r="C239" s="7">
        <v>28.9</v>
      </c>
      <c r="D239" s="4" t="s">
        <v>24</v>
      </c>
      <c r="E239" s="4" t="s">
        <v>17</v>
      </c>
      <c r="F239" s="4" t="s">
        <v>23</v>
      </c>
      <c r="G239" s="4" t="s">
        <v>31</v>
      </c>
      <c r="H239" s="4">
        <v>7</v>
      </c>
      <c r="I239" s="4">
        <v>4</v>
      </c>
      <c r="J239" s="5">
        <v>45396</v>
      </c>
      <c r="K239" s="6">
        <v>0.55681712962962959</v>
      </c>
    </row>
    <row r="240" spans="1:11" x14ac:dyDescent="0.25">
      <c r="A240" s="4">
        <v>14</v>
      </c>
      <c r="B240" s="4" t="s">
        <v>11</v>
      </c>
      <c r="C240" s="7">
        <v>28.9</v>
      </c>
      <c r="D240" s="4" t="s">
        <v>18</v>
      </c>
      <c r="E240" s="4" t="s">
        <v>17</v>
      </c>
      <c r="F240" s="4" t="s">
        <v>23</v>
      </c>
      <c r="G240" s="4" t="s">
        <v>31</v>
      </c>
      <c r="H240" s="4">
        <v>7</v>
      </c>
      <c r="I240" s="4">
        <v>4</v>
      </c>
      <c r="J240" s="5">
        <v>45396</v>
      </c>
      <c r="K240" s="6">
        <v>0.59966435185185185</v>
      </c>
    </row>
    <row r="241" spans="1:11" x14ac:dyDescent="0.25">
      <c r="A241" s="4">
        <v>14</v>
      </c>
      <c r="B241" s="4" t="s">
        <v>11</v>
      </c>
      <c r="C241" s="7">
        <v>28.9</v>
      </c>
      <c r="D241" s="4" t="s">
        <v>18</v>
      </c>
      <c r="E241" s="4" t="s">
        <v>17</v>
      </c>
      <c r="F241" s="4" t="s">
        <v>23</v>
      </c>
      <c r="G241" s="4" t="s">
        <v>31</v>
      </c>
      <c r="H241" s="4">
        <v>7</v>
      </c>
      <c r="I241" s="4">
        <v>4</v>
      </c>
      <c r="J241" s="5">
        <v>45396</v>
      </c>
      <c r="K241" s="6">
        <v>0.60030092592592588</v>
      </c>
    </row>
    <row r="242" spans="1:11" x14ac:dyDescent="0.25">
      <c r="A242" s="4">
        <v>14</v>
      </c>
      <c r="B242" s="4" t="s">
        <v>11</v>
      </c>
      <c r="C242" s="7">
        <v>28.9</v>
      </c>
      <c r="D242" s="4" t="s">
        <v>18</v>
      </c>
      <c r="E242" s="4" t="s">
        <v>17</v>
      </c>
      <c r="F242" s="4" t="s">
        <v>23</v>
      </c>
      <c r="G242" s="4" t="s">
        <v>31</v>
      </c>
      <c r="H242" s="4">
        <v>7</v>
      </c>
      <c r="I242" s="4">
        <v>4</v>
      </c>
      <c r="J242" s="5">
        <v>45396</v>
      </c>
      <c r="K242" s="6">
        <v>0.60090277777777779</v>
      </c>
    </row>
    <row r="243" spans="1:11" x14ac:dyDescent="0.25">
      <c r="A243" s="4">
        <v>15</v>
      </c>
      <c r="B243" s="4" t="s">
        <v>11</v>
      </c>
      <c r="C243" s="7">
        <v>38.700000000000003</v>
      </c>
      <c r="D243" s="4" t="s">
        <v>29</v>
      </c>
      <c r="E243" s="4" t="s">
        <v>17</v>
      </c>
      <c r="F243" s="4" t="s">
        <v>23</v>
      </c>
      <c r="G243" s="4" t="s">
        <v>31</v>
      </c>
      <c r="H243" s="4">
        <v>7</v>
      </c>
      <c r="I243" s="4">
        <v>4</v>
      </c>
      <c r="J243" s="5">
        <v>45396</v>
      </c>
      <c r="K243" s="6">
        <v>0.65725694444444449</v>
      </c>
    </row>
    <row r="244" spans="1:11" x14ac:dyDescent="0.25">
      <c r="A244" s="4">
        <v>16</v>
      </c>
      <c r="B244" s="4" t="s">
        <v>11</v>
      </c>
      <c r="C244" s="7">
        <v>28.9</v>
      </c>
      <c r="D244" s="4" t="s">
        <v>24</v>
      </c>
      <c r="E244" s="4" t="s">
        <v>17</v>
      </c>
      <c r="F244" s="4" t="s">
        <v>23</v>
      </c>
      <c r="G244" s="4" t="s">
        <v>31</v>
      </c>
      <c r="H244" s="4">
        <v>7</v>
      </c>
      <c r="I244" s="4">
        <v>4</v>
      </c>
      <c r="J244" s="5">
        <v>45396</v>
      </c>
      <c r="K244" s="6">
        <v>0.70826388888888892</v>
      </c>
    </row>
    <row r="245" spans="1:11" x14ac:dyDescent="0.25">
      <c r="A245" s="4">
        <v>17</v>
      </c>
      <c r="B245" s="4" t="s">
        <v>11</v>
      </c>
      <c r="C245" s="7">
        <v>38.700000000000003</v>
      </c>
      <c r="D245" s="4" t="s">
        <v>12</v>
      </c>
      <c r="E245" s="4" t="s">
        <v>20</v>
      </c>
      <c r="F245" s="4" t="s">
        <v>23</v>
      </c>
      <c r="G245" s="4" t="s">
        <v>31</v>
      </c>
      <c r="H245" s="4">
        <v>7</v>
      </c>
      <c r="I245" s="4">
        <v>4</v>
      </c>
      <c r="J245" s="5">
        <v>45396</v>
      </c>
      <c r="K245" s="6">
        <v>0.70885416666666667</v>
      </c>
    </row>
    <row r="246" spans="1:11" x14ac:dyDescent="0.25">
      <c r="A246" s="4">
        <v>18</v>
      </c>
      <c r="B246" s="4" t="s">
        <v>11</v>
      </c>
      <c r="C246" s="7">
        <v>38.700000000000003</v>
      </c>
      <c r="D246" s="4" t="s">
        <v>29</v>
      </c>
      <c r="E246" s="4" t="s">
        <v>20</v>
      </c>
      <c r="F246" s="4" t="s">
        <v>23</v>
      </c>
      <c r="G246" s="4" t="s">
        <v>31</v>
      </c>
      <c r="H246" s="4">
        <v>7</v>
      </c>
      <c r="I246" s="4">
        <v>4</v>
      </c>
      <c r="J246" s="5">
        <v>45396</v>
      </c>
      <c r="K246" s="6">
        <v>0.77660879629629631</v>
      </c>
    </row>
    <row r="247" spans="1:11" x14ac:dyDescent="0.25">
      <c r="A247" s="4">
        <v>11</v>
      </c>
      <c r="B247" s="4" t="s">
        <v>11</v>
      </c>
      <c r="C247" s="7">
        <v>28.9</v>
      </c>
      <c r="D247" s="4" t="s">
        <v>18</v>
      </c>
      <c r="E247" s="4" t="s">
        <v>13</v>
      </c>
      <c r="F247" s="4" t="s">
        <v>25</v>
      </c>
      <c r="G247" s="4" t="s">
        <v>31</v>
      </c>
      <c r="H247" s="4">
        <v>1</v>
      </c>
      <c r="I247" s="4">
        <v>4</v>
      </c>
      <c r="J247" s="5">
        <v>45397</v>
      </c>
      <c r="K247" s="6">
        <v>0.48986111111111114</v>
      </c>
    </row>
    <row r="248" spans="1:11" x14ac:dyDescent="0.25">
      <c r="A248" s="4">
        <v>17</v>
      </c>
      <c r="B248" s="4" t="s">
        <v>11</v>
      </c>
      <c r="C248" s="7">
        <v>28.9</v>
      </c>
      <c r="D248" s="4" t="s">
        <v>18</v>
      </c>
      <c r="E248" s="4" t="s">
        <v>20</v>
      </c>
      <c r="F248" s="4" t="s">
        <v>25</v>
      </c>
      <c r="G248" s="4" t="s">
        <v>31</v>
      </c>
      <c r="H248" s="4">
        <v>1</v>
      </c>
      <c r="I248" s="4">
        <v>4</v>
      </c>
      <c r="J248" s="5">
        <v>45397</v>
      </c>
      <c r="K248" s="6">
        <v>0.70956018518518515</v>
      </c>
    </row>
    <row r="249" spans="1:11" x14ac:dyDescent="0.25">
      <c r="A249" s="4">
        <v>17</v>
      </c>
      <c r="B249" s="4" t="s">
        <v>11</v>
      </c>
      <c r="C249" s="7">
        <v>33.799999999999997</v>
      </c>
      <c r="D249" s="4" t="s">
        <v>19</v>
      </c>
      <c r="E249" s="4" t="s">
        <v>20</v>
      </c>
      <c r="F249" s="4" t="s">
        <v>25</v>
      </c>
      <c r="G249" s="4" t="s">
        <v>31</v>
      </c>
      <c r="H249" s="4">
        <v>1</v>
      </c>
      <c r="I249" s="4">
        <v>4</v>
      </c>
      <c r="J249" s="5">
        <v>45397</v>
      </c>
      <c r="K249" s="6">
        <v>0.71028935185185182</v>
      </c>
    </row>
    <row r="250" spans="1:11" x14ac:dyDescent="0.25">
      <c r="A250" s="4">
        <v>19</v>
      </c>
      <c r="B250" s="4" t="s">
        <v>11</v>
      </c>
      <c r="C250" s="7">
        <v>33.799999999999997</v>
      </c>
      <c r="D250" s="4" t="s">
        <v>19</v>
      </c>
      <c r="E250" s="4" t="s">
        <v>20</v>
      </c>
      <c r="F250" s="4" t="s">
        <v>25</v>
      </c>
      <c r="G250" s="4" t="s">
        <v>31</v>
      </c>
      <c r="H250" s="4">
        <v>1</v>
      </c>
      <c r="I250" s="4">
        <v>4</v>
      </c>
      <c r="J250" s="5">
        <v>45397</v>
      </c>
      <c r="K250" s="6">
        <v>0.81461805555555555</v>
      </c>
    </row>
    <row r="251" spans="1:11" x14ac:dyDescent="0.25">
      <c r="A251" s="4">
        <v>10</v>
      </c>
      <c r="B251" s="4" t="s">
        <v>11</v>
      </c>
      <c r="C251" s="7">
        <v>33.799999999999997</v>
      </c>
      <c r="D251" s="4" t="s">
        <v>19</v>
      </c>
      <c r="E251" s="4" t="s">
        <v>13</v>
      </c>
      <c r="F251" s="4" t="s">
        <v>27</v>
      </c>
      <c r="G251" s="4" t="s">
        <v>31</v>
      </c>
      <c r="H251" s="4">
        <v>2</v>
      </c>
      <c r="I251" s="4">
        <v>4</v>
      </c>
      <c r="J251" s="5">
        <v>45398</v>
      </c>
      <c r="K251" s="6">
        <v>0.44890046296296299</v>
      </c>
    </row>
    <row r="252" spans="1:11" x14ac:dyDescent="0.25">
      <c r="A252" s="4">
        <v>12</v>
      </c>
      <c r="B252" s="4" t="s">
        <v>11</v>
      </c>
      <c r="C252" s="7">
        <v>38.700000000000003</v>
      </c>
      <c r="D252" s="4" t="s">
        <v>21</v>
      </c>
      <c r="E252" s="4" t="s">
        <v>17</v>
      </c>
      <c r="F252" s="4" t="s">
        <v>27</v>
      </c>
      <c r="G252" s="4" t="s">
        <v>31</v>
      </c>
      <c r="H252" s="4">
        <v>2</v>
      </c>
      <c r="I252" s="4">
        <v>4</v>
      </c>
      <c r="J252" s="5">
        <v>45398</v>
      </c>
      <c r="K252" s="6">
        <v>0.52832175925925928</v>
      </c>
    </row>
    <row r="253" spans="1:11" x14ac:dyDescent="0.25">
      <c r="A253" s="4">
        <v>12</v>
      </c>
      <c r="B253" s="4" t="s">
        <v>11</v>
      </c>
      <c r="C253" s="7">
        <v>28.9</v>
      </c>
      <c r="D253" s="4" t="s">
        <v>24</v>
      </c>
      <c r="E253" s="4" t="s">
        <v>17</v>
      </c>
      <c r="F253" s="4" t="s">
        <v>27</v>
      </c>
      <c r="G253" s="4" t="s">
        <v>31</v>
      </c>
      <c r="H253" s="4">
        <v>2</v>
      </c>
      <c r="I253" s="4">
        <v>4</v>
      </c>
      <c r="J253" s="5">
        <v>45398</v>
      </c>
      <c r="K253" s="6">
        <v>0.53619212962962959</v>
      </c>
    </row>
    <row r="254" spans="1:11" x14ac:dyDescent="0.25">
      <c r="A254" s="4">
        <v>15</v>
      </c>
      <c r="B254" s="4" t="s">
        <v>11</v>
      </c>
      <c r="C254" s="7">
        <v>28.9</v>
      </c>
      <c r="D254" s="4" t="s">
        <v>18</v>
      </c>
      <c r="E254" s="4" t="s">
        <v>17</v>
      </c>
      <c r="F254" s="4" t="s">
        <v>27</v>
      </c>
      <c r="G254" s="4" t="s">
        <v>31</v>
      </c>
      <c r="H254" s="4">
        <v>2</v>
      </c>
      <c r="I254" s="4">
        <v>4</v>
      </c>
      <c r="J254" s="5">
        <v>45398</v>
      </c>
      <c r="K254" s="6">
        <v>0.6272685185185185</v>
      </c>
    </row>
    <row r="255" spans="1:11" x14ac:dyDescent="0.25">
      <c r="A255" s="4">
        <v>17</v>
      </c>
      <c r="B255" s="4" t="s">
        <v>11</v>
      </c>
      <c r="C255" s="7">
        <v>33.799999999999997</v>
      </c>
      <c r="D255" s="4" t="s">
        <v>19</v>
      </c>
      <c r="E255" s="4" t="s">
        <v>20</v>
      </c>
      <c r="F255" s="4" t="s">
        <v>27</v>
      </c>
      <c r="G255" s="4" t="s">
        <v>31</v>
      </c>
      <c r="H255" s="4">
        <v>2</v>
      </c>
      <c r="I255" s="4">
        <v>4</v>
      </c>
      <c r="J255" s="5">
        <v>45398</v>
      </c>
      <c r="K255" s="6">
        <v>0.73754629629629631</v>
      </c>
    </row>
    <row r="256" spans="1:11" x14ac:dyDescent="0.25">
      <c r="A256" s="4">
        <v>17</v>
      </c>
      <c r="B256" s="4" t="s">
        <v>11</v>
      </c>
      <c r="C256" s="7">
        <v>38.700000000000003</v>
      </c>
      <c r="D256" s="4" t="s">
        <v>29</v>
      </c>
      <c r="E256" s="4" t="s">
        <v>20</v>
      </c>
      <c r="F256" s="4" t="s">
        <v>27</v>
      </c>
      <c r="G256" s="4" t="s">
        <v>31</v>
      </c>
      <c r="H256" s="4">
        <v>2</v>
      </c>
      <c r="I256" s="4">
        <v>4</v>
      </c>
      <c r="J256" s="5">
        <v>45398</v>
      </c>
      <c r="K256" s="6">
        <v>0.73844907407407412</v>
      </c>
    </row>
    <row r="257" spans="1:11" x14ac:dyDescent="0.25">
      <c r="A257" s="4">
        <v>18</v>
      </c>
      <c r="B257" s="4" t="s">
        <v>11</v>
      </c>
      <c r="C257" s="7">
        <v>38.700000000000003</v>
      </c>
      <c r="D257" s="4" t="s">
        <v>21</v>
      </c>
      <c r="E257" s="4" t="s">
        <v>20</v>
      </c>
      <c r="F257" s="4" t="s">
        <v>27</v>
      </c>
      <c r="G257" s="4" t="s">
        <v>31</v>
      </c>
      <c r="H257" s="4">
        <v>2</v>
      </c>
      <c r="I257" s="4">
        <v>4</v>
      </c>
      <c r="J257" s="5">
        <v>45398</v>
      </c>
      <c r="K257" s="6">
        <v>0.75630787037037039</v>
      </c>
    </row>
    <row r="258" spans="1:11" x14ac:dyDescent="0.25">
      <c r="A258" s="4">
        <v>13</v>
      </c>
      <c r="B258" s="4" t="s">
        <v>11</v>
      </c>
      <c r="C258" s="7">
        <v>28.9</v>
      </c>
      <c r="D258" s="4" t="s">
        <v>18</v>
      </c>
      <c r="E258" s="4" t="s">
        <v>17</v>
      </c>
      <c r="F258" s="4" t="s">
        <v>28</v>
      </c>
      <c r="G258" s="4" t="s">
        <v>31</v>
      </c>
      <c r="H258" s="4">
        <v>3</v>
      </c>
      <c r="I258" s="4">
        <v>4</v>
      </c>
      <c r="J258" s="5">
        <v>45399</v>
      </c>
      <c r="K258" s="6">
        <v>0.56457175925925929</v>
      </c>
    </row>
    <row r="259" spans="1:11" x14ac:dyDescent="0.25">
      <c r="A259" s="4">
        <v>13</v>
      </c>
      <c r="B259" s="4" t="s">
        <v>11</v>
      </c>
      <c r="C259" s="7">
        <v>24</v>
      </c>
      <c r="D259" s="4" t="s">
        <v>26</v>
      </c>
      <c r="E259" s="4" t="s">
        <v>17</v>
      </c>
      <c r="F259" s="4" t="s">
        <v>28</v>
      </c>
      <c r="G259" s="4" t="s">
        <v>31</v>
      </c>
      <c r="H259" s="4">
        <v>3</v>
      </c>
      <c r="I259" s="4">
        <v>4</v>
      </c>
      <c r="J259" s="5">
        <v>45399</v>
      </c>
      <c r="K259" s="6">
        <v>0.57222222222222219</v>
      </c>
    </row>
    <row r="260" spans="1:11" x14ac:dyDescent="0.25">
      <c r="A260" s="4">
        <v>17</v>
      </c>
      <c r="B260" s="4" t="s">
        <v>11</v>
      </c>
      <c r="C260" s="7">
        <v>38.700000000000003</v>
      </c>
      <c r="D260" s="4" t="s">
        <v>29</v>
      </c>
      <c r="E260" s="4" t="s">
        <v>20</v>
      </c>
      <c r="F260" s="4" t="s">
        <v>28</v>
      </c>
      <c r="G260" s="4" t="s">
        <v>31</v>
      </c>
      <c r="H260" s="4">
        <v>3</v>
      </c>
      <c r="I260" s="4">
        <v>4</v>
      </c>
      <c r="J260" s="5">
        <v>45399</v>
      </c>
      <c r="K260" s="6">
        <v>0.70943287037037039</v>
      </c>
    </row>
    <row r="261" spans="1:11" x14ac:dyDescent="0.25">
      <c r="A261" s="4">
        <v>17</v>
      </c>
      <c r="B261" s="4" t="s">
        <v>11</v>
      </c>
      <c r="C261" s="7">
        <v>38.700000000000003</v>
      </c>
      <c r="D261" s="4" t="s">
        <v>29</v>
      </c>
      <c r="E261" s="4" t="s">
        <v>20</v>
      </c>
      <c r="F261" s="4" t="s">
        <v>28</v>
      </c>
      <c r="G261" s="4" t="s">
        <v>31</v>
      </c>
      <c r="H261" s="4">
        <v>3</v>
      </c>
      <c r="I261" s="4">
        <v>4</v>
      </c>
      <c r="J261" s="5">
        <v>45399</v>
      </c>
      <c r="K261" s="6">
        <v>0.71018518518518514</v>
      </c>
    </row>
    <row r="262" spans="1:11" x14ac:dyDescent="0.25">
      <c r="A262" s="4">
        <v>18</v>
      </c>
      <c r="B262" s="4" t="s">
        <v>11</v>
      </c>
      <c r="C262" s="7">
        <v>28.9</v>
      </c>
      <c r="D262" s="4" t="s">
        <v>24</v>
      </c>
      <c r="E262" s="4" t="s">
        <v>20</v>
      </c>
      <c r="F262" s="4" t="s">
        <v>28</v>
      </c>
      <c r="G262" s="4" t="s">
        <v>31</v>
      </c>
      <c r="H262" s="4">
        <v>3</v>
      </c>
      <c r="I262" s="4">
        <v>4</v>
      </c>
      <c r="J262" s="5">
        <v>45399</v>
      </c>
      <c r="K262" s="6">
        <v>0.75975694444444442</v>
      </c>
    </row>
    <row r="263" spans="1:11" x14ac:dyDescent="0.25">
      <c r="A263" s="4">
        <v>11</v>
      </c>
      <c r="B263" s="4" t="s">
        <v>11</v>
      </c>
      <c r="C263" s="7">
        <v>28.9</v>
      </c>
      <c r="D263" s="4" t="s">
        <v>18</v>
      </c>
      <c r="E263" s="4" t="s">
        <v>13</v>
      </c>
      <c r="F263" s="4" t="s">
        <v>30</v>
      </c>
      <c r="G263" s="4" t="s">
        <v>31</v>
      </c>
      <c r="H263" s="4">
        <v>4</v>
      </c>
      <c r="I263" s="4">
        <v>4</v>
      </c>
      <c r="J263" s="5">
        <v>45400</v>
      </c>
      <c r="K263" s="6">
        <v>0.47153935185185186</v>
      </c>
    </row>
    <row r="264" spans="1:11" x14ac:dyDescent="0.25">
      <c r="A264" s="4">
        <v>11</v>
      </c>
      <c r="B264" s="4" t="s">
        <v>11</v>
      </c>
      <c r="C264" s="7">
        <v>28.9</v>
      </c>
      <c r="D264" s="4" t="s">
        <v>18</v>
      </c>
      <c r="E264" s="4" t="s">
        <v>13</v>
      </c>
      <c r="F264" s="4" t="s">
        <v>30</v>
      </c>
      <c r="G264" s="4" t="s">
        <v>31</v>
      </c>
      <c r="H264" s="4">
        <v>4</v>
      </c>
      <c r="I264" s="4">
        <v>4</v>
      </c>
      <c r="J264" s="5">
        <v>45400</v>
      </c>
      <c r="K264" s="6">
        <v>0.47228009259259257</v>
      </c>
    </row>
    <row r="265" spans="1:11" x14ac:dyDescent="0.25">
      <c r="A265" s="4">
        <v>13</v>
      </c>
      <c r="B265" s="4" t="s">
        <v>11</v>
      </c>
      <c r="C265" s="7">
        <v>33.799999999999997</v>
      </c>
      <c r="D265" s="4" t="s">
        <v>19</v>
      </c>
      <c r="E265" s="4" t="s">
        <v>17</v>
      </c>
      <c r="F265" s="4" t="s">
        <v>30</v>
      </c>
      <c r="G265" s="4" t="s">
        <v>31</v>
      </c>
      <c r="H265" s="4">
        <v>4</v>
      </c>
      <c r="I265" s="4">
        <v>4</v>
      </c>
      <c r="J265" s="5">
        <v>45400</v>
      </c>
      <c r="K265" s="6">
        <v>0.57583333333333331</v>
      </c>
    </row>
    <row r="266" spans="1:11" x14ac:dyDescent="0.25">
      <c r="A266" s="4">
        <v>13</v>
      </c>
      <c r="B266" s="4" t="s">
        <v>11</v>
      </c>
      <c r="C266" s="7">
        <v>28.9</v>
      </c>
      <c r="D266" s="4" t="s">
        <v>24</v>
      </c>
      <c r="E266" s="4" t="s">
        <v>17</v>
      </c>
      <c r="F266" s="4" t="s">
        <v>30</v>
      </c>
      <c r="G266" s="4" t="s">
        <v>31</v>
      </c>
      <c r="H266" s="4">
        <v>4</v>
      </c>
      <c r="I266" s="4">
        <v>4</v>
      </c>
      <c r="J266" s="5">
        <v>45400</v>
      </c>
      <c r="K266" s="6">
        <v>0.57658564814814817</v>
      </c>
    </row>
    <row r="267" spans="1:11" x14ac:dyDescent="0.25">
      <c r="A267" s="4">
        <v>14</v>
      </c>
      <c r="B267" s="4" t="s">
        <v>11</v>
      </c>
      <c r="C267" s="7">
        <v>38.700000000000003</v>
      </c>
      <c r="D267" s="4" t="s">
        <v>29</v>
      </c>
      <c r="E267" s="4" t="s">
        <v>17</v>
      </c>
      <c r="F267" s="4" t="s">
        <v>30</v>
      </c>
      <c r="G267" s="4" t="s">
        <v>31</v>
      </c>
      <c r="H267" s="4">
        <v>4</v>
      </c>
      <c r="I267" s="4">
        <v>4</v>
      </c>
      <c r="J267" s="5">
        <v>45400</v>
      </c>
      <c r="K267" s="6">
        <v>0.6071643518518518</v>
      </c>
    </row>
    <row r="268" spans="1:11" x14ac:dyDescent="0.25">
      <c r="A268" s="4">
        <v>14</v>
      </c>
      <c r="B268" s="4" t="s">
        <v>11</v>
      </c>
      <c r="C268" s="7">
        <v>38.700000000000003</v>
      </c>
      <c r="D268" s="4" t="s">
        <v>12</v>
      </c>
      <c r="E268" s="4" t="s">
        <v>17</v>
      </c>
      <c r="F268" s="4" t="s">
        <v>30</v>
      </c>
      <c r="G268" s="4" t="s">
        <v>31</v>
      </c>
      <c r="H268" s="4">
        <v>4</v>
      </c>
      <c r="I268" s="4">
        <v>4</v>
      </c>
      <c r="J268" s="5">
        <v>45400</v>
      </c>
      <c r="K268" s="6">
        <v>0.60820601851851852</v>
      </c>
    </row>
    <row r="269" spans="1:11" x14ac:dyDescent="0.25">
      <c r="A269" s="4">
        <v>17</v>
      </c>
      <c r="B269" s="4" t="s">
        <v>11</v>
      </c>
      <c r="C269" s="7">
        <v>38.700000000000003</v>
      </c>
      <c r="D269" s="4" t="s">
        <v>12</v>
      </c>
      <c r="E269" s="4" t="s">
        <v>20</v>
      </c>
      <c r="F269" s="4" t="s">
        <v>30</v>
      </c>
      <c r="G269" s="4" t="s">
        <v>31</v>
      </c>
      <c r="H269" s="4">
        <v>4</v>
      </c>
      <c r="I269" s="4">
        <v>4</v>
      </c>
      <c r="J269" s="5">
        <v>45400</v>
      </c>
      <c r="K269" s="6">
        <v>0.73906249999999996</v>
      </c>
    </row>
    <row r="270" spans="1:11" x14ac:dyDescent="0.25">
      <c r="A270" s="4">
        <v>18</v>
      </c>
      <c r="B270" s="4" t="s">
        <v>11</v>
      </c>
      <c r="C270" s="7">
        <v>38.700000000000003</v>
      </c>
      <c r="D270" s="4" t="s">
        <v>29</v>
      </c>
      <c r="E270" s="4" t="s">
        <v>20</v>
      </c>
      <c r="F270" s="4" t="s">
        <v>30</v>
      </c>
      <c r="G270" s="4" t="s">
        <v>31</v>
      </c>
      <c r="H270" s="4">
        <v>4</v>
      </c>
      <c r="I270" s="4">
        <v>4</v>
      </c>
      <c r="J270" s="5">
        <v>45400</v>
      </c>
      <c r="K270" s="6">
        <v>0.7646412037037037</v>
      </c>
    </row>
    <row r="271" spans="1:11" x14ac:dyDescent="0.25">
      <c r="A271" s="4">
        <v>19</v>
      </c>
      <c r="B271" s="4" t="s">
        <v>11</v>
      </c>
      <c r="C271" s="7">
        <v>38.700000000000003</v>
      </c>
      <c r="D271" s="4" t="s">
        <v>16</v>
      </c>
      <c r="E271" s="4" t="s">
        <v>20</v>
      </c>
      <c r="F271" s="4" t="s">
        <v>30</v>
      </c>
      <c r="G271" s="4" t="s">
        <v>31</v>
      </c>
      <c r="H271" s="4">
        <v>4</v>
      </c>
      <c r="I271" s="4">
        <v>4</v>
      </c>
      <c r="J271" s="5">
        <v>45400</v>
      </c>
      <c r="K271" s="6">
        <v>0.81934027777777774</v>
      </c>
    </row>
    <row r="272" spans="1:11" x14ac:dyDescent="0.25">
      <c r="A272" s="4">
        <v>19</v>
      </c>
      <c r="B272" s="4" t="s">
        <v>11</v>
      </c>
      <c r="C272" s="7">
        <v>38.700000000000003</v>
      </c>
      <c r="D272" s="4" t="s">
        <v>16</v>
      </c>
      <c r="E272" s="4" t="s">
        <v>20</v>
      </c>
      <c r="F272" s="4" t="s">
        <v>30</v>
      </c>
      <c r="G272" s="4" t="s">
        <v>31</v>
      </c>
      <c r="H272" s="4">
        <v>4</v>
      </c>
      <c r="I272" s="4">
        <v>4</v>
      </c>
      <c r="J272" s="5">
        <v>45400</v>
      </c>
      <c r="K272" s="6">
        <v>0.82</v>
      </c>
    </row>
    <row r="273" spans="1:11" x14ac:dyDescent="0.25">
      <c r="A273" s="4">
        <v>10</v>
      </c>
      <c r="B273" s="4" t="s">
        <v>11</v>
      </c>
      <c r="C273" s="7">
        <v>38.700000000000003</v>
      </c>
      <c r="D273" s="4" t="s">
        <v>12</v>
      </c>
      <c r="E273" s="4" t="s">
        <v>13</v>
      </c>
      <c r="F273" s="4" t="s">
        <v>14</v>
      </c>
      <c r="G273" s="4" t="s">
        <v>31</v>
      </c>
      <c r="H273" s="4">
        <v>5</v>
      </c>
      <c r="I273" s="4">
        <v>4</v>
      </c>
      <c r="J273" s="5">
        <v>45401</v>
      </c>
      <c r="K273" s="6">
        <v>0.42402777777777778</v>
      </c>
    </row>
    <row r="274" spans="1:11" x14ac:dyDescent="0.25">
      <c r="A274" s="4">
        <v>13</v>
      </c>
      <c r="B274" s="4" t="s">
        <v>11</v>
      </c>
      <c r="C274" s="7">
        <v>33.799999999999997</v>
      </c>
      <c r="D274" s="4" t="s">
        <v>19</v>
      </c>
      <c r="E274" s="4" t="s">
        <v>17</v>
      </c>
      <c r="F274" s="4" t="s">
        <v>14</v>
      </c>
      <c r="G274" s="4" t="s">
        <v>31</v>
      </c>
      <c r="H274" s="4">
        <v>5</v>
      </c>
      <c r="I274" s="4">
        <v>4</v>
      </c>
      <c r="J274" s="5">
        <v>45401</v>
      </c>
      <c r="K274" s="6">
        <v>0.54984953703703698</v>
      </c>
    </row>
    <row r="275" spans="1:11" x14ac:dyDescent="0.25">
      <c r="A275" s="4">
        <v>13</v>
      </c>
      <c r="B275" s="4" t="s">
        <v>11</v>
      </c>
      <c r="C275" s="7">
        <v>38.700000000000003</v>
      </c>
      <c r="D275" s="4" t="s">
        <v>29</v>
      </c>
      <c r="E275" s="4" t="s">
        <v>17</v>
      </c>
      <c r="F275" s="4" t="s">
        <v>14</v>
      </c>
      <c r="G275" s="4" t="s">
        <v>31</v>
      </c>
      <c r="H275" s="4">
        <v>5</v>
      </c>
      <c r="I275" s="4">
        <v>4</v>
      </c>
      <c r="J275" s="5">
        <v>45401</v>
      </c>
      <c r="K275" s="6">
        <v>0.55092592592592593</v>
      </c>
    </row>
    <row r="276" spans="1:11" x14ac:dyDescent="0.25">
      <c r="A276" s="4">
        <v>13</v>
      </c>
      <c r="B276" s="4" t="s">
        <v>11</v>
      </c>
      <c r="C276" s="7">
        <v>38.700000000000003</v>
      </c>
      <c r="D276" s="4" t="s">
        <v>16</v>
      </c>
      <c r="E276" s="4" t="s">
        <v>17</v>
      </c>
      <c r="F276" s="4" t="s">
        <v>14</v>
      </c>
      <c r="G276" s="4" t="s">
        <v>31</v>
      </c>
      <c r="H276" s="4">
        <v>5</v>
      </c>
      <c r="I276" s="4">
        <v>4</v>
      </c>
      <c r="J276" s="5">
        <v>45401</v>
      </c>
      <c r="K276" s="6">
        <v>0.58256944444444447</v>
      </c>
    </row>
    <row r="277" spans="1:11" x14ac:dyDescent="0.25">
      <c r="A277" s="4">
        <v>13</v>
      </c>
      <c r="B277" s="4" t="s">
        <v>11</v>
      </c>
      <c r="C277" s="7">
        <v>38.700000000000003</v>
      </c>
      <c r="D277" s="4" t="s">
        <v>29</v>
      </c>
      <c r="E277" s="4" t="s">
        <v>17</v>
      </c>
      <c r="F277" s="4" t="s">
        <v>14</v>
      </c>
      <c r="G277" s="4" t="s">
        <v>31</v>
      </c>
      <c r="H277" s="4">
        <v>5</v>
      </c>
      <c r="I277" s="4">
        <v>4</v>
      </c>
      <c r="J277" s="5">
        <v>45401</v>
      </c>
      <c r="K277" s="6">
        <v>0.5832060185185185</v>
      </c>
    </row>
    <row r="278" spans="1:11" x14ac:dyDescent="0.25">
      <c r="A278" s="4">
        <v>18</v>
      </c>
      <c r="B278" s="4" t="s">
        <v>11</v>
      </c>
      <c r="C278" s="7">
        <v>38.700000000000003</v>
      </c>
      <c r="D278" s="4" t="s">
        <v>21</v>
      </c>
      <c r="E278" s="4" t="s">
        <v>20</v>
      </c>
      <c r="F278" s="4" t="s">
        <v>14</v>
      </c>
      <c r="G278" s="4" t="s">
        <v>31</v>
      </c>
      <c r="H278" s="4">
        <v>5</v>
      </c>
      <c r="I278" s="4">
        <v>4</v>
      </c>
      <c r="J278" s="5">
        <v>45401</v>
      </c>
      <c r="K278" s="6">
        <v>0.76619212962962968</v>
      </c>
    </row>
    <row r="279" spans="1:11" x14ac:dyDescent="0.25">
      <c r="A279" s="4">
        <v>18</v>
      </c>
      <c r="B279" s="4" t="s">
        <v>11</v>
      </c>
      <c r="C279" s="7">
        <v>33.799999999999997</v>
      </c>
      <c r="D279" s="4" t="s">
        <v>19</v>
      </c>
      <c r="E279" s="4" t="s">
        <v>20</v>
      </c>
      <c r="F279" s="4" t="s">
        <v>14</v>
      </c>
      <c r="G279" s="4" t="s">
        <v>31</v>
      </c>
      <c r="H279" s="4">
        <v>5</v>
      </c>
      <c r="I279" s="4">
        <v>4</v>
      </c>
      <c r="J279" s="5">
        <v>45401</v>
      </c>
      <c r="K279" s="6">
        <v>0.76774305555555555</v>
      </c>
    </row>
    <row r="280" spans="1:11" x14ac:dyDescent="0.25">
      <c r="A280" s="4">
        <v>12</v>
      </c>
      <c r="B280" s="4" t="s">
        <v>11</v>
      </c>
      <c r="C280" s="7">
        <v>33.799999999999997</v>
      </c>
      <c r="D280" s="4" t="s">
        <v>19</v>
      </c>
      <c r="E280" s="4" t="s">
        <v>17</v>
      </c>
      <c r="F280" s="4" t="s">
        <v>22</v>
      </c>
      <c r="G280" s="4" t="s">
        <v>31</v>
      </c>
      <c r="H280" s="4">
        <v>6</v>
      </c>
      <c r="I280" s="4">
        <v>4</v>
      </c>
      <c r="J280" s="5">
        <v>45402</v>
      </c>
      <c r="K280" s="6">
        <v>0.50596064814814812</v>
      </c>
    </row>
    <row r="281" spans="1:11" x14ac:dyDescent="0.25">
      <c r="A281" s="4">
        <v>12</v>
      </c>
      <c r="B281" s="4" t="s">
        <v>11</v>
      </c>
      <c r="C281" s="7">
        <v>33.799999999999997</v>
      </c>
      <c r="D281" s="4" t="s">
        <v>19</v>
      </c>
      <c r="E281" s="4" t="s">
        <v>17</v>
      </c>
      <c r="F281" s="4" t="s">
        <v>22</v>
      </c>
      <c r="G281" s="4" t="s">
        <v>31</v>
      </c>
      <c r="H281" s="4">
        <v>6</v>
      </c>
      <c r="I281" s="4">
        <v>4</v>
      </c>
      <c r="J281" s="5">
        <v>45402</v>
      </c>
      <c r="K281" s="6">
        <v>0.50673611111111116</v>
      </c>
    </row>
    <row r="282" spans="1:11" x14ac:dyDescent="0.25">
      <c r="A282" s="4">
        <v>13</v>
      </c>
      <c r="B282" s="4" t="s">
        <v>11</v>
      </c>
      <c r="C282" s="7">
        <v>28.9</v>
      </c>
      <c r="D282" s="4" t="s">
        <v>18</v>
      </c>
      <c r="E282" s="4" t="s">
        <v>17</v>
      </c>
      <c r="F282" s="4" t="s">
        <v>22</v>
      </c>
      <c r="G282" s="4" t="s">
        <v>31</v>
      </c>
      <c r="H282" s="4">
        <v>6</v>
      </c>
      <c r="I282" s="4">
        <v>4</v>
      </c>
      <c r="J282" s="5">
        <v>45402</v>
      </c>
      <c r="K282" s="6">
        <v>0.54765046296296294</v>
      </c>
    </row>
    <row r="283" spans="1:11" x14ac:dyDescent="0.25">
      <c r="A283" s="4">
        <v>13</v>
      </c>
      <c r="B283" s="4" t="s">
        <v>11</v>
      </c>
      <c r="C283" s="7">
        <v>33.799999999999997</v>
      </c>
      <c r="D283" s="4" t="s">
        <v>19</v>
      </c>
      <c r="E283" s="4" t="s">
        <v>17</v>
      </c>
      <c r="F283" s="4" t="s">
        <v>22</v>
      </c>
      <c r="G283" s="4" t="s">
        <v>31</v>
      </c>
      <c r="H283" s="4">
        <v>6</v>
      </c>
      <c r="I283" s="4">
        <v>4</v>
      </c>
      <c r="J283" s="5">
        <v>45402</v>
      </c>
      <c r="K283" s="6">
        <v>0.5484606481481481</v>
      </c>
    </row>
    <row r="284" spans="1:11" x14ac:dyDescent="0.25">
      <c r="A284" s="4">
        <v>13</v>
      </c>
      <c r="B284" s="4" t="s">
        <v>11</v>
      </c>
      <c r="C284" s="7">
        <v>38.700000000000003</v>
      </c>
      <c r="D284" s="4" t="s">
        <v>16</v>
      </c>
      <c r="E284" s="4" t="s">
        <v>17</v>
      </c>
      <c r="F284" s="4" t="s">
        <v>22</v>
      </c>
      <c r="G284" s="4" t="s">
        <v>31</v>
      </c>
      <c r="H284" s="4">
        <v>6</v>
      </c>
      <c r="I284" s="4">
        <v>4</v>
      </c>
      <c r="J284" s="5">
        <v>45402</v>
      </c>
      <c r="K284" s="6">
        <v>0.54924768518518519</v>
      </c>
    </row>
    <row r="285" spans="1:11" x14ac:dyDescent="0.25">
      <c r="A285" s="4">
        <v>14</v>
      </c>
      <c r="B285" s="4" t="s">
        <v>11</v>
      </c>
      <c r="C285" s="7">
        <v>38.700000000000003</v>
      </c>
      <c r="D285" s="4" t="s">
        <v>29</v>
      </c>
      <c r="E285" s="4" t="s">
        <v>17</v>
      </c>
      <c r="F285" s="4" t="s">
        <v>22</v>
      </c>
      <c r="G285" s="4" t="s">
        <v>31</v>
      </c>
      <c r="H285" s="4">
        <v>6</v>
      </c>
      <c r="I285" s="4">
        <v>4</v>
      </c>
      <c r="J285" s="5">
        <v>45402</v>
      </c>
      <c r="K285" s="6">
        <v>0.61409722222222218</v>
      </c>
    </row>
    <row r="286" spans="1:11" x14ac:dyDescent="0.25">
      <c r="A286" s="4">
        <v>15</v>
      </c>
      <c r="B286" s="4" t="s">
        <v>11</v>
      </c>
      <c r="C286" s="7">
        <v>33.799999999999997</v>
      </c>
      <c r="D286" s="4" t="s">
        <v>19</v>
      </c>
      <c r="E286" s="4" t="s">
        <v>17</v>
      </c>
      <c r="F286" s="4" t="s">
        <v>22</v>
      </c>
      <c r="G286" s="4" t="s">
        <v>31</v>
      </c>
      <c r="H286" s="4">
        <v>6</v>
      </c>
      <c r="I286" s="4">
        <v>4</v>
      </c>
      <c r="J286" s="5">
        <v>45402</v>
      </c>
      <c r="K286" s="6">
        <v>0.63263888888888886</v>
      </c>
    </row>
    <row r="287" spans="1:11" x14ac:dyDescent="0.25">
      <c r="A287" s="4">
        <v>15</v>
      </c>
      <c r="B287" s="4" t="s">
        <v>11</v>
      </c>
      <c r="C287" s="7">
        <v>32.82</v>
      </c>
      <c r="D287" s="4" t="s">
        <v>19</v>
      </c>
      <c r="E287" s="4" t="s">
        <v>17</v>
      </c>
      <c r="F287" s="4" t="s">
        <v>22</v>
      </c>
      <c r="G287" s="4" t="s">
        <v>31</v>
      </c>
      <c r="H287" s="4">
        <v>6</v>
      </c>
      <c r="I287" s="4">
        <v>4</v>
      </c>
      <c r="J287" s="5">
        <v>45402</v>
      </c>
      <c r="K287" s="6">
        <v>0.64074074074074072</v>
      </c>
    </row>
    <row r="288" spans="1:11" x14ac:dyDescent="0.25">
      <c r="A288" s="4">
        <v>15</v>
      </c>
      <c r="B288" s="4" t="s">
        <v>11</v>
      </c>
      <c r="C288" s="7">
        <v>32.82</v>
      </c>
      <c r="D288" s="4" t="s">
        <v>19</v>
      </c>
      <c r="E288" s="4" t="s">
        <v>17</v>
      </c>
      <c r="F288" s="4" t="s">
        <v>22</v>
      </c>
      <c r="G288" s="4" t="s">
        <v>31</v>
      </c>
      <c r="H288" s="4">
        <v>6</v>
      </c>
      <c r="I288" s="4">
        <v>4</v>
      </c>
      <c r="J288" s="5">
        <v>45402</v>
      </c>
      <c r="K288" s="6">
        <v>0.65931712962962963</v>
      </c>
    </row>
    <row r="289" spans="1:11" x14ac:dyDescent="0.25">
      <c r="A289" s="4">
        <v>18</v>
      </c>
      <c r="B289" s="4" t="s">
        <v>11</v>
      </c>
      <c r="C289" s="7">
        <v>37.72</v>
      </c>
      <c r="D289" s="4" t="s">
        <v>29</v>
      </c>
      <c r="E289" s="4" t="s">
        <v>20</v>
      </c>
      <c r="F289" s="4" t="s">
        <v>22</v>
      </c>
      <c r="G289" s="4" t="s">
        <v>31</v>
      </c>
      <c r="H289" s="4">
        <v>6</v>
      </c>
      <c r="I289" s="4">
        <v>4</v>
      </c>
      <c r="J289" s="5">
        <v>45402</v>
      </c>
      <c r="K289" s="6">
        <v>0.76922453703703708</v>
      </c>
    </row>
    <row r="290" spans="1:11" x14ac:dyDescent="0.25">
      <c r="A290" s="4">
        <v>18</v>
      </c>
      <c r="B290" s="4" t="s">
        <v>11</v>
      </c>
      <c r="C290" s="7">
        <v>37.72</v>
      </c>
      <c r="D290" s="4" t="s">
        <v>29</v>
      </c>
      <c r="E290" s="4" t="s">
        <v>20</v>
      </c>
      <c r="F290" s="4" t="s">
        <v>22</v>
      </c>
      <c r="G290" s="4" t="s">
        <v>31</v>
      </c>
      <c r="H290" s="4">
        <v>6</v>
      </c>
      <c r="I290" s="4">
        <v>4</v>
      </c>
      <c r="J290" s="5">
        <v>45402</v>
      </c>
      <c r="K290" s="6">
        <v>0.76997685185185183</v>
      </c>
    </row>
    <row r="291" spans="1:11" x14ac:dyDescent="0.25">
      <c r="A291" s="4">
        <v>19</v>
      </c>
      <c r="B291" s="4" t="s">
        <v>11</v>
      </c>
      <c r="C291" s="7">
        <v>37.72</v>
      </c>
      <c r="D291" s="4" t="s">
        <v>12</v>
      </c>
      <c r="E291" s="4" t="s">
        <v>20</v>
      </c>
      <c r="F291" s="4" t="s">
        <v>22</v>
      </c>
      <c r="G291" s="4" t="s">
        <v>31</v>
      </c>
      <c r="H291" s="4">
        <v>6</v>
      </c>
      <c r="I291" s="4">
        <v>4</v>
      </c>
      <c r="J291" s="5">
        <v>45402</v>
      </c>
      <c r="K291" s="6">
        <v>0.81313657407407403</v>
      </c>
    </row>
    <row r="292" spans="1:11" x14ac:dyDescent="0.25">
      <c r="A292" s="4">
        <v>11</v>
      </c>
      <c r="B292" s="4" t="s">
        <v>11</v>
      </c>
      <c r="C292" s="7">
        <v>37.72</v>
      </c>
      <c r="D292" s="4" t="s">
        <v>12</v>
      </c>
      <c r="E292" s="4" t="s">
        <v>13</v>
      </c>
      <c r="F292" s="4" t="s">
        <v>23</v>
      </c>
      <c r="G292" s="4" t="s">
        <v>31</v>
      </c>
      <c r="H292" s="4">
        <v>7</v>
      </c>
      <c r="I292" s="4">
        <v>4</v>
      </c>
      <c r="J292" s="5">
        <v>45403</v>
      </c>
      <c r="K292" s="6">
        <v>0.4699652777777778</v>
      </c>
    </row>
    <row r="293" spans="1:11" x14ac:dyDescent="0.25">
      <c r="A293" s="4">
        <v>14</v>
      </c>
      <c r="B293" s="4" t="s">
        <v>11</v>
      </c>
      <c r="C293" s="7">
        <v>27.92</v>
      </c>
      <c r="D293" s="4" t="s">
        <v>18</v>
      </c>
      <c r="E293" s="4" t="s">
        <v>17</v>
      </c>
      <c r="F293" s="4" t="s">
        <v>23</v>
      </c>
      <c r="G293" s="4" t="s">
        <v>31</v>
      </c>
      <c r="H293" s="4">
        <v>7</v>
      </c>
      <c r="I293" s="4">
        <v>4</v>
      </c>
      <c r="J293" s="5">
        <v>45403</v>
      </c>
      <c r="K293" s="6">
        <v>0.59417824074074077</v>
      </c>
    </row>
    <row r="294" spans="1:11" x14ac:dyDescent="0.25">
      <c r="A294" s="4">
        <v>11</v>
      </c>
      <c r="B294" s="4" t="s">
        <v>11</v>
      </c>
      <c r="C294" s="7">
        <v>27.92</v>
      </c>
      <c r="D294" s="4" t="s">
        <v>18</v>
      </c>
      <c r="E294" s="4" t="s">
        <v>13</v>
      </c>
      <c r="F294" s="4" t="s">
        <v>25</v>
      </c>
      <c r="G294" s="4" t="s">
        <v>31</v>
      </c>
      <c r="H294" s="4">
        <v>1</v>
      </c>
      <c r="I294" s="4">
        <v>4</v>
      </c>
      <c r="J294" s="5">
        <v>45404</v>
      </c>
      <c r="K294" s="6">
        <v>0.46476851851851853</v>
      </c>
    </row>
    <row r="295" spans="1:11" x14ac:dyDescent="0.25">
      <c r="A295" s="4">
        <v>11</v>
      </c>
      <c r="B295" s="4" t="s">
        <v>11</v>
      </c>
      <c r="C295" s="7">
        <v>32.82</v>
      </c>
      <c r="D295" s="4" t="s">
        <v>19</v>
      </c>
      <c r="E295" s="4" t="s">
        <v>13</v>
      </c>
      <c r="F295" s="4" t="s">
        <v>25</v>
      </c>
      <c r="G295" s="4" t="s">
        <v>31</v>
      </c>
      <c r="H295" s="4">
        <v>1</v>
      </c>
      <c r="I295" s="4">
        <v>4</v>
      </c>
      <c r="J295" s="5">
        <v>45404</v>
      </c>
      <c r="K295" s="6">
        <v>0.47878472222222224</v>
      </c>
    </row>
    <row r="296" spans="1:11" x14ac:dyDescent="0.25">
      <c r="A296" s="4">
        <v>19</v>
      </c>
      <c r="B296" s="4" t="s">
        <v>11</v>
      </c>
      <c r="C296" s="7">
        <v>37.72</v>
      </c>
      <c r="D296" s="4" t="s">
        <v>12</v>
      </c>
      <c r="E296" s="4" t="s">
        <v>20</v>
      </c>
      <c r="F296" s="4" t="s">
        <v>25</v>
      </c>
      <c r="G296" s="4" t="s">
        <v>31</v>
      </c>
      <c r="H296" s="4">
        <v>1</v>
      </c>
      <c r="I296" s="4">
        <v>4</v>
      </c>
      <c r="J296" s="5">
        <v>45404</v>
      </c>
      <c r="K296" s="6">
        <v>0.81879629629629624</v>
      </c>
    </row>
    <row r="297" spans="1:11" x14ac:dyDescent="0.25">
      <c r="A297" s="4">
        <v>14</v>
      </c>
      <c r="B297" s="4" t="s">
        <v>11</v>
      </c>
      <c r="C297" s="7">
        <v>37.72</v>
      </c>
      <c r="D297" s="4" t="s">
        <v>29</v>
      </c>
      <c r="E297" s="4" t="s">
        <v>17</v>
      </c>
      <c r="F297" s="4" t="s">
        <v>27</v>
      </c>
      <c r="G297" s="4" t="s">
        <v>31</v>
      </c>
      <c r="H297" s="4">
        <v>2</v>
      </c>
      <c r="I297" s="4">
        <v>4</v>
      </c>
      <c r="J297" s="5">
        <v>45405</v>
      </c>
      <c r="K297" s="6">
        <v>0.59901620370370368</v>
      </c>
    </row>
    <row r="298" spans="1:11" x14ac:dyDescent="0.25">
      <c r="A298" s="4">
        <v>14</v>
      </c>
      <c r="B298" s="4" t="s">
        <v>11</v>
      </c>
      <c r="C298" s="7">
        <v>32.82</v>
      </c>
      <c r="D298" s="4" t="s">
        <v>19</v>
      </c>
      <c r="E298" s="4" t="s">
        <v>17</v>
      </c>
      <c r="F298" s="4" t="s">
        <v>27</v>
      </c>
      <c r="G298" s="4" t="s">
        <v>31</v>
      </c>
      <c r="H298" s="4">
        <v>2</v>
      </c>
      <c r="I298" s="4">
        <v>4</v>
      </c>
      <c r="J298" s="5">
        <v>45405</v>
      </c>
      <c r="K298" s="6">
        <v>0.59991898148148148</v>
      </c>
    </row>
    <row r="299" spans="1:11" x14ac:dyDescent="0.25">
      <c r="A299" s="4">
        <v>14</v>
      </c>
      <c r="B299" s="4" t="s">
        <v>11</v>
      </c>
      <c r="C299" s="7">
        <v>37.72</v>
      </c>
      <c r="D299" s="4" t="s">
        <v>29</v>
      </c>
      <c r="E299" s="4" t="s">
        <v>17</v>
      </c>
      <c r="F299" s="4" t="s">
        <v>27</v>
      </c>
      <c r="G299" s="4" t="s">
        <v>31</v>
      </c>
      <c r="H299" s="4">
        <v>2</v>
      </c>
      <c r="I299" s="4">
        <v>4</v>
      </c>
      <c r="J299" s="5">
        <v>45405</v>
      </c>
      <c r="K299" s="6">
        <v>0.60065972222222219</v>
      </c>
    </row>
    <row r="300" spans="1:11" x14ac:dyDescent="0.25">
      <c r="A300" s="4">
        <v>19</v>
      </c>
      <c r="B300" s="4" t="s">
        <v>11</v>
      </c>
      <c r="C300" s="7">
        <v>32.82</v>
      </c>
      <c r="D300" s="4" t="s">
        <v>19</v>
      </c>
      <c r="E300" s="4" t="s">
        <v>20</v>
      </c>
      <c r="F300" s="4" t="s">
        <v>27</v>
      </c>
      <c r="G300" s="4" t="s">
        <v>31</v>
      </c>
      <c r="H300" s="4">
        <v>2</v>
      </c>
      <c r="I300" s="4">
        <v>4</v>
      </c>
      <c r="J300" s="5">
        <v>45405</v>
      </c>
      <c r="K300" s="6">
        <v>0.82114583333333335</v>
      </c>
    </row>
    <row r="301" spans="1:11" x14ac:dyDescent="0.25">
      <c r="A301" s="4">
        <v>19</v>
      </c>
      <c r="B301" s="4" t="s">
        <v>11</v>
      </c>
      <c r="C301" s="7">
        <v>32.82</v>
      </c>
      <c r="D301" s="4" t="s">
        <v>19</v>
      </c>
      <c r="E301" s="4" t="s">
        <v>20</v>
      </c>
      <c r="F301" s="4" t="s">
        <v>27</v>
      </c>
      <c r="G301" s="4" t="s">
        <v>31</v>
      </c>
      <c r="H301" s="4">
        <v>2</v>
      </c>
      <c r="I301" s="4">
        <v>4</v>
      </c>
      <c r="J301" s="5">
        <v>45405</v>
      </c>
      <c r="K301" s="6">
        <v>0.82182870370370376</v>
      </c>
    </row>
    <row r="302" spans="1:11" x14ac:dyDescent="0.25">
      <c r="A302" s="4">
        <v>10</v>
      </c>
      <c r="B302" s="4" t="s">
        <v>11</v>
      </c>
      <c r="C302" s="7">
        <v>37.72</v>
      </c>
      <c r="D302" s="4" t="s">
        <v>12</v>
      </c>
      <c r="E302" s="4" t="s">
        <v>13</v>
      </c>
      <c r="F302" s="4" t="s">
        <v>28</v>
      </c>
      <c r="G302" s="4" t="s">
        <v>31</v>
      </c>
      <c r="H302" s="4">
        <v>3</v>
      </c>
      <c r="I302" s="4">
        <v>4</v>
      </c>
      <c r="J302" s="5">
        <v>45406</v>
      </c>
      <c r="K302" s="6">
        <v>0.43030092592592595</v>
      </c>
    </row>
    <row r="303" spans="1:11" x14ac:dyDescent="0.25">
      <c r="A303" s="4">
        <v>10</v>
      </c>
      <c r="B303" s="4" t="s">
        <v>11</v>
      </c>
      <c r="C303" s="7">
        <v>32.82</v>
      </c>
      <c r="D303" s="4" t="s">
        <v>19</v>
      </c>
      <c r="E303" s="4" t="s">
        <v>13</v>
      </c>
      <c r="F303" s="4" t="s">
        <v>28</v>
      </c>
      <c r="G303" s="4" t="s">
        <v>31</v>
      </c>
      <c r="H303" s="4">
        <v>3</v>
      </c>
      <c r="I303" s="4">
        <v>4</v>
      </c>
      <c r="J303" s="5">
        <v>45406</v>
      </c>
      <c r="K303" s="6">
        <v>0.43156250000000002</v>
      </c>
    </row>
    <row r="304" spans="1:11" x14ac:dyDescent="0.25">
      <c r="A304" s="4">
        <v>11</v>
      </c>
      <c r="B304" s="4" t="s">
        <v>11</v>
      </c>
      <c r="C304" s="7">
        <v>32.82</v>
      </c>
      <c r="D304" s="4" t="s">
        <v>19</v>
      </c>
      <c r="E304" s="4" t="s">
        <v>13</v>
      </c>
      <c r="F304" s="4" t="s">
        <v>28</v>
      </c>
      <c r="G304" s="4" t="s">
        <v>31</v>
      </c>
      <c r="H304" s="4">
        <v>3</v>
      </c>
      <c r="I304" s="4">
        <v>4</v>
      </c>
      <c r="J304" s="5">
        <v>45406</v>
      </c>
      <c r="K304" s="6">
        <v>0.47483796296296299</v>
      </c>
    </row>
    <row r="305" spans="1:11" x14ac:dyDescent="0.25">
      <c r="A305" s="4">
        <v>11</v>
      </c>
      <c r="B305" s="4" t="s">
        <v>11</v>
      </c>
      <c r="C305" s="7">
        <v>32.82</v>
      </c>
      <c r="D305" s="4" t="s">
        <v>19</v>
      </c>
      <c r="E305" s="4" t="s">
        <v>13</v>
      </c>
      <c r="F305" s="4" t="s">
        <v>28</v>
      </c>
      <c r="G305" s="4" t="s">
        <v>31</v>
      </c>
      <c r="H305" s="4">
        <v>3</v>
      </c>
      <c r="I305" s="4">
        <v>4</v>
      </c>
      <c r="J305" s="5">
        <v>45406</v>
      </c>
      <c r="K305" s="6">
        <v>0.48155092592592591</v>
      </c>
    </row>
    <row r="306" spans="1:11" x14ac:dyDescent="0.25">
      <c r="A306" s="4">
        <v>12</v>
      </c>
      <c r="B306" s="4" t="s">
        <v>11</v>
      </c>
      <c r="C306" s="7">
        <v>32.82</v>
      </c>
      <c r="D306" s="4" t="s">
        <v>19</v>
      </c>
      <c r="E306" s="4" t="s">
        <v>17</v>
      </c>
      <c r="F306" s="4" t="s">
        <v>28</v>
      </c>
      <c r="G306" s="4" t="s">
        <v>31</v>
      </c>
      <c r="H306" s="4">
        <v>3</v>
      </c>
      <c r="I306" s="4">
        <v>4</v>
      </c>
      <c r="J306" s="5">
        <v>45406</v>
      </c>
      <c r="K306" s="6">
        <v>0.52718750000000003</v>
      </c>
    </row>
    <row r="307" spans="1:11" x14ac:dyDescent="0.25">
      <c r="A307" s="4">
        <v>16</v>
      </c>
      <c r="B307" s="4" t="s">
        <v>11</v>
      </c>
      <c r="C307" s="7">
        <v>32.82</v>
      </c>
      <c r="D307" s="4" t="s">
        <v>19</v>
      </c>
      <c r="E307" s="4" t="s">
        <v>17</v>
      </c>
      <c r="F307" s="4" t="s">
        <v>28</v>
      </c>
      <c r="G307" s="4" t="s">
        <v>31</v>
      </c>
      <c r="H307" s="4">
        <v>3</v>
      </c>
      <c r="I307" s="4">
        <v>4</v>
      </c>
      <c r="J307" s="5">
        <v>45406</v>
      </c>
      <c r="K307" s="6">
        <v>0.69383101851851847</v>
      </c>
    </row>
    <row r="308" spans="1:11" x14ac:dyDescent="0.25">
      <c r="A308" s="4">
        <v>19</v>
      </c>
      <c r="B308" s="4" t="s">
        <v>11</v>
      </c>
      <c r="C308" s="7">
        <v>32.82</v>
      </c>
      <c r="D308" s="4" t="s">
        <v>19</v>
      </c>
      <c r="E308" s="4" t="s">
        <v>20</v>
      </c>
      <c r="F308" s="4" t="s">
        <v>28</v>
      </c>
      <c r="G308" s="4" t="s">
        <v>31</v>
      </c>
      <c r="H308" s="4">
        <v>3</v>
      </c>
      <c r="I308" s="4">
        <v>4</v>
      </c>
      <c r="J308" s="5">
        <v>45406</v>
      </c>
      <c r="K308" s="6">
        <v>0.81931712962962966</v>
      </c>
    </row>
    <row r="309" spans="1:11" x14ac:dyDescent="0.25">
      <c r="A309" s="4">
        <v>19</v>
      </c>
      <c r="B309" s="4" t="s">
        <v>11</v>
      </c>
      <c r="C309" s="7">
        <v>37.72</v>
      </c>
      <c r="D309" s="4" t="s">
        <v>29</v>
      </c>
      <c r="E309" s="4" t="s">
        <v>20</v>
      </c>
      <c r="F309" s="4" t="s">
        <v>28</v>
      </c>
      <c r="G309" s="4" t="s">
        <v>31</v>
      </c>
      <c r="H309" s="4">
        <v>3</v>
      </c>
      <c r="I309" s="4">
        <v>4</v>
      </c>
      <c r="J309" s="5">
        <v>45406</v>
      </c>
      <c r="K309" s="6">
        <v>0.82006944444444441</v>
      </c>
    </row>
    <row r="310" spans="1:11" x14ac:dyDescent="0.25">
      <c r="A310" s="4">
        <v>10</v>
      </c>
      <c r="B310" s="4" t="s">
        <v>11</v>
      </c>
      <c r="C310" s="7">
        <v>27.92</v>
      </c>
      <c r="D310" s="4" t="s">
        <v>18</v>
      </c>
      <c r="E310" s="4" t="s">
        <v>13</v>
      </c>
      <c r="F310" s="4" t="s">
        <v>30</v>
      </c>
      <c r="G310" s="4" t="s">
        <v>31</v>
      </c>
      <c r="H310" s="4">
        <v>4</v>
      </c>
      <c r="I310" s="4">
        <v>4</v>
      </c>
      <c r="J310" s="5">
        <v>45407</v>
      </c>
      <c r="K310" s="6">
        <v>0.44870370370370372</v>
      </c>
    </row>
    <row r="311" spans="1:11" x14ac:dyDescent="0.25">
      <c r="A311" s="4">
        <v>15</v>
      </c>
      <c r="B311" s="4" t="s">
        <v>11</v>
      </c>
      <c r="C311" s="7">
        <v>37.72</v>
      </c>
      <c r="D311" s="4" t="s">
        <v>12</v>
      </c>
      <c r="E311" s="4" t="s">
        <v>17</v>
      </c>
      <c r="F311" s="4" t="s">
        <v>30</v>
      </c>
      <c r="G311" s="4" t="s">
        <v>31</v>
      </c>
      <c r="H311" s="4">
        <v>4</v>
      </c>
      <c r="I311" s="4">
        <v>4</v>
      </c>
      <c r="J311" s="5">
        <v>45407</v>
      </c>
      <c r="K311" s="6">
        <v>0.63780092592592597</v>
      </c>
    </row>
    <row r="312" spans="1:11" x14ac:dyDescent="0.25">
      <c r="A312" s="4">
        <v>17</v>
      </c>
      <c r="B312" s="4" t="s">
        <v>11</v>
      </c>
      <c r="C312" s="7">
        <v>27.92</v>
      </c>
      <c r="D312" s="4" t="s">
        <v>18</v>
      </c>
      <c r="E312" s="4" t="s">
        <v>20</v>
      </c>
      <c r="F312" s="4" t="s">
        <v>30</v>
      </c>
      <c r="G312" s="4" t="s">
        <v>31</v>
      </c>
      <c r="H312" s="4">
        <v>4</v>
      </c>
      <c r="I312" s="4">
        <v>4</v>
      </c>
      <c r="J312" s="5">
        <v>45407</v>
      </c>
      <c r="K312" s="6">
        <v>0.71508101851851846</v>
      </c>
    </row>
    <row r="313" spans="1:11" x14ac:dyDescent="0.25">
      <c r="A313" s="4">
        <v>17</v>
      </c>
      <c r="B313" s="4" t="s">
        <v>11</v>
      </c>
      <c r="C313" s="7">
        <v>27.92</v>
      </c>
      <c r="D313" s="4" t="s">
        <v>18</v>
      </c>
      <c r="E313" s="4" t="s">
        <v>20</v>
      </c>
      <c r="F313" s="4" t="s">
        <v>30</v>
      </c>
      <c r="G313" s="4" t="s">
        <v>31</v>
      </c>
      <c r="H313" s="4">
        <v>4</v>
      </c>
      <c r="I313" s="4">
        <v>4</v>
      </c>
      <c r="J313" s="5">
        <v>45407</v>
      </c>
      <c r="K313" s="6">
        <v>0.71584490740740736</v>
      </c>
    </row>
    <row r="314" spans="1:11" x14ac:dyDescent="0.25">
      <c r="A314" s="4">
        <v>10</v>
      </c>
      <c r="B314" s="4" t="s">
        <v>11</v>
      </c>
      <c r="C314" s="7">
        <v>37.72</v>
      </c>
      <c r="D314" s="4" t="s">
        <v>12</v>
      </c>
      <c r="E314" s="4" t="s">
        <v>13</v>
      </c>
      <c r="F314" s="4" t="s">
        <v>14</v>
      </c>
      <c r="G314" s="4" t="s">
        <v>31</v>
      </c>
      <c r="H314" s="4">
        <v>5</v>
      </c>
      <c r="I314" s="4">
        <v>4</v>
      </c>
      <c r="J314" s="5">
        <v>45408</v>
      </c>
      <c r="K314" s="6">
        <v>0.42557870370370371</v>
      </c>
    </row>
    <row r="315" spans="1:11" x14ac:dyDescent="0.25">
      <c r="A315" s="4">
        <v>12</v>
      </c>
      <c r="B315" s="4" t="s">
        <v>11</v>
      </c>
      <c r="C315" s="7">
        <v>37.72</v>
      </c>
      <c r="D315" s="4" t="s">
        <v>12</v>
      </c>
      <c r="E315" s="4" t="s">
        <v>17</v>
      </c>
      <c r="F315" s="4" t="s">
        <v>14</v>
      </c>
      <c r="G315" s="4" t="s">
        <v>31</v>
      </c>
      <c r="H315" s="4">
        <v>5</v>
      </c>
      <c r="I315" s="4">
        <v>4</v>
      </c>
      <c r="J315" s="5">
        <v>45408</v>
      </c>
      <c r="K315" s="6">
        <v>0.50104166666666672</v>
      </c>
    </row>
    <row r="316" spans="1:11" x14ac:dyDescent="0.25">
      <c r="A316" s="4">
        <v>13</v>
      </c>
      <c r="B316" s="4" t="s">
        <v>11</v>
      </c>
      <c r="C316" s="7">
        <v>37.72</v>
      </c>
      <c r="D316" s="4" t="s">
        <v>29</v>
      </c>
      <c r="E316" s="4" t="s">
        <v>17</v>
      </c>
      <c r="F316" s="4" t="s">
        <v>14</v>
      </c>
      <c r="G316" s="4" t="s">
        <v>31</v>
      </c>
      <c r="H316" s="4">
        <v>5</v>
      </c>
      <c r="I316" s="4">
        <v>4</v>
      </c>
      <c r="J316" s="5">
        <v>45408</v>
      </c>
      <c r="K316" s="6">
        <v>0.56351851851851853</v>
      </c>
    </row>
    <row r="317" spans="1:11" x14ac:dyDescent="0.25">
      <c r="A317" s="4">
        <v>15</v>
      </c>
      <c r="B317" s="4" t="s">
        <v>11</v>
      </c>
      <c r="C317" s="7">
        <v>27.92</v>
      </c>
      <c r="D317" s="4" t="s">
        <v>18</v>
      </c>
      <c r="E317" s="4" t="s">
        <v>17</v>
      </c>
      <c r="F317" s="4" t="s">
        <v>14</v>
      </c>
      <c r="G317" s="4" t="s">
        <v>31</v>
      </c>
      <c r="H317" s="4">
        <v>5</v>
      </c>
      <c r="I317" s="4">
        <v>4</v>
      </c>
      <c r="J317" s="5">
        <v>45408</v>
      </c>
      <c r="K317" s="6">
        <v>0.64762731481481484</v>
      </c>
    </row>
    <row r="318" spans="1:11" x14ac:dyDescent="0.25">
      <c r="A318" s="4">
        <v>15</v>
      </c>
      <c r="B318" s="4" t="s">
        <v>11</v>
      </c>
      <c r="C318" s="7">
        <v>27.92</v>
      </c>
      <c r="D318" s="4" t="s">
        <v>18</v>
      </c>
      <c r="E318" s="4" t="s">
        <v>17</v>
      </c>
      <c r="F318" s="4" t="s">
        <v>14</v>
      </c>
      <c r="G318" s="4" t="s">
        <v>31</v>
      </c>
      <c r="H318" s="4">
        <v>5</v>
      </c>
      <c r="I318" s="4">
        <v>4</v>
      </c>
      <c r="J318" s="5">
        <v>45408</v>
      </c>
      <c r="K318" s="6">
        <v>0.64829861111111109</v>
      </c>
    </row>
    <row r="319" spans="1:11" x14ac:dyDescent="0.25">
      <c r="A319" s="4">
        <v>16</v>
      </c>
      <c r="B319" s="4" t="s">
        <v>11</v>
      </c>
      <c r="C319" s="7">
        <v>27.92</v>
      </c>
      <c r="D319" s="4" t="s">
        <v>24</v>
      </c>
      <c r="E319" s="4" t="s">
        <v>17</v>
      </c>
      <c r="F319" s="4" t="s">
        <v>14</v>
      </c>
      <c r="G319" s="4" t="s">
        <v>31</v>
      </c>
      <c r="H319" s="4">
        <v>5</v>
      </c>
      <c r="I319" s="4">
        <v>4</v>
      </c>
      <c r="J319" s="5">
        <v>45408</v>
      </c>
      <c r="K319" s="6">
        <v>0.68293981481481481</v>
      </c>
    </row>
    <row r="320" spans="1:11" x14ac:dyDescent="0.25">
      <c r="A320" s="4">
        <v>16</v>
      </c>
      <c r="B320" s="4" t="s">
        <v>11</v>
      </c>
      <c r="C320" s="7">
        <v>27.92</v>
      </c>
      <c r="D320" s="4" t="s">
        <v>18</v>
      </c>
      <c r="E320" s="4" t="s">
        <v>17</v>
      </c>
      <c r="F320" s="4" t="s">
        <v>14</v>
      </c>
      <c r="G320" s="4" t="s">
        <v>31</v>
      </c>
      <c r="H320" s="4">
        <v>5</v>
      </c>
      <c r="I320" s="4">
        <v>4</v>
      </c>
      <c r="J320" s="5">
        <v>45408</v>
      </c>
      <c r="K320" s="6">
        <v>0.68371527777777774</v>
      </c>
    </row>
    <row r="321" spans="1:11" x14ac:dyDescent="0.25">
      <c r="A321" s="4">
        <v>19</v>
      </c>
      <c r="B321" s="4" t="s">
        <v>11</v>
      </c>
      <c r="C321" s="7">
        <v>37.72</v>
      </c>
      <c r="D321" s="4" t="s">
        <v>16</v>
      </c>
      <c r="E321" s="4" t="s">
        <v>20</v>
      </c>
      <c r="F321" s="4" t="s">
        <v>14</v>
      </c>
      <c r="G321" s="4" t="s">
        <v>31</v>
      </c>
      <c r="H321" s="4">
        <v>5</v>
      </c>
      <c r="I321" s="4">
        <v>4</v>
      </c>
      <c r="J321" s="5">
        <v>45408</v>
      </c>
      <c r="K321" s="6">
        <v>0.81396990740740738</v>
      </c>
    </row>
    <row r="322" spans="1:11" x14ac:dyDescent="0.25">
      <c r="A322" s="4">
        <v>19</v>
      </c>
      <c r="B322" s="4" t="s">
        <v>11</v>
      </c>
      <c r="C322" s="7">
        <v>37.72</v>
      </c>
      <c r="D322" s="4" t="s">
        <v>21</v>
      </c>
      <c r="E322" s="4" t="s">
        <v>20</v>
      </c>
      <c r="F322" s="4" t="s">
        <v>14</v>
      </c>
      <c r="G322" s="4" t="s">
        <v>31</v>
      </c>
      <c r="H322" s="4">
        <v>5</v>
      </c>
      <c r="I322" s="4">
        <v>4</v>
      </c>
      <c r="J322" s="5">
        <v>45408</v>
      </c>
      <c r="K322" s="6">
        <v>0.8149305555555556</v>
      </c>
    </row>
    <row r="323" spans="1:11" x14ac:dyDescent="0.25">
      <c r="A323" s="4">
        <v>15</v>
      </c>
      <c r="B323" s="4" t="s">
        <v>11</v>
      </c>
      <c r="C323" s="7">
        <v>37.72</v>
      </c>
      <c r="D323" s="4" t="s">
        <v>29</v>
      </c>
      <c r="E323" s="4" t="s">
        <v>17</v>
      </c>
      <c r="F323" s="4" t="s">
        <v>22</v>
      </c>
      <c r="G323" s="4" t="s">
        <v>31</v>
      </c>
      <c r="H323" s="4">
        <v>6</v>
      </c>
      <c r="I323" s="4">
        <v>4</v>
      </c>
      <c r="J323" s="5">
        <v>45409</v>
      </c>
      <c r="K323" s="6">
        <v>0.64375000000000004</v>
      </c>
    </row>
    <row r="324" spans="1:11" x14ac:dyDescent="0.25">
      <c r="A324" s="4">
        <v>10</v>
      </c>
      <c r="B324" s="4" t="s">
        <v>11</v>
      </c>
      <c r="C324" s="7">
        <v>37.72</v>
      </c>
      <c r="D324" s="4" t="s">
        <v>12</v>
      </c>
      <c r="E324" s="4" t="s">
        <v>13</v>
      </c>
      <c r="F324" s="4" t="s">
        <v>23</v>
      </c>
      <c r="G324" s="4" t="s">
        <v>31</v>
      </c>
      <c r="H324" s="4">
        <v>7</v>
      </c>
      <c r="I324" s="4">
        <v>4</v>
      </c>
      <c r="J324" s="5">
        <v>45410</v>
      </c>
      <c r="K324" s="6">
        <v>0.43949074074074074</v>
      </c>
    </row>
    <row r="325" spans="1:11" x14ac:dyDescent="0.25">
      <c r="A325" s="4">
        <v>12</v>
      </c>
      <c r="B325" s="4" t="s">
        <v>11</v>
      </c>
      <c r="C325" s="7">
        <v>37.72</v>
      </c>
      <c r="D325" s="4" t="s">
        <v>29</v>
      </c>
      <c r="E325" s="4" t="s">
        <v>17</v>
      </c>
      <c r="F325" s="4" t="s">
        <v>23</v>
      </c>
      <c r="G325" s="4" t="s">
        <v>31</v>
      </c>
      <c r="H325" s="4">
        <v>7</v>
      </c>
      <c r="I325" s="4">
        <v>4</v>
      </c>
      <c r="J325" s="5">
        <v>45410</v>
      </c>
      <c r="K325" s="6">
        <v>0.52093750000000005</v>
      </c>
    </row>
    <row r="326" spans="1:11" x14ac:dyDescent="0.25">
      <c r="A326" s="4">
        <v>18</v>
      </c>
      <c r="B326" s="4" t="s">
        <v>11</v>
      </c>
      <c r="C326" s="7">
        <v>27.92</v>
      </c>
      <c r="D326" s="4" t="s">
        <v>18</v>
      </c>
      <c r="E326" s="4" t="s">
        <v>20</v>
      </c>
      <c r="F326" s="4" t="s">
        <v>23</v>
      </c>
      <c r="G326" s="4" t="s">
        <v>31</v>
      </c>
      <c r="H326" s="4">
        <v>7</v>
      </c>
      <c r="I326" s="4">
        <v>4</v>
      </c>
      <c r="J326" s="5">
        <v>45410</v>
      </c>
      <c r="K326" s="6">
        <v>0.76884259259259258</v>
      </c>
    </row>
    <row r="327" spans="1:11" x14ac:dyDescent="0.25">
      <c r="A327" s="4">
        <v>18</v>
      </c>
      <c r="B327" s="4" t="s">
        <v>11</v>
      </c>
      <c r="C327" s="7">
        <v>27.92</v>
      </c>
      <c r="D327" s="4" t="s">
        <v>18</v>
      </c>
      <c r="E327" s="4" t="s">
        <v>20</v>
      </c>
      <c r="F327" s="4" t="s">
        <v>23</v>
      </c>
      <c r="G327" s="4" t="s">
        <v>31</v>
      </c>
      <c r="H327" s="4">
        <v>7</v>
      </c>
      <c r="I327" s="4">
        <v>4</v>
      </c>
      <c r="J327" s="5">
        <v>45410</v>
      </c>
      <c r="K327" s="6">
        <v>0.76957175925925925</v>
      </c>
    </row>
    <row r="328" spans="1:11" x14ac:dyDescent="0.25">
      <c r="A328" s="4">
        <v>18</v>
      </c>
      <c r="B328" s="4" t="s">
        <v>11</v>
      </c>
      <c r="C328" s="7">
        <v>37.72</v>
      </c>
      <c r="D328" s="4" t="s">
        <v>12</v>
      </c>
      <c r="E328" s="4" t="s">
        <v>20</v>
      </c>
      <c r="F328" s="4" t="s">
        <v>23</v>
      </c>
      <c r="G328" s="4" t="s">
        <v>31</v>
      </c>
      <c r="H328" s="4">
        <v>7</v>
      </c>
      <c r="I328" s="4">
        <v>4</v>
      </c>
      <c r="J328" s="5">
        <v>45410</v>
      </c>
      <c r="K328" s="6">
        <v>0.77016203703703701</v>
      </c>
    </row>
    <row r="329" spans="1:11" x14ac:dyDescent="0.25">
      <c r="A329" s="4">
        <v>11</v>
      </c>
      <c r="B329" s="4" t="s">
        <v>11</v>
      </c>
      <c r="C329" s="7">
        <v>27.92</v>
      </c>
      <c r="D329" s="4" t="s">
        <v>24</v>
      </c>
      <c r="E329" s="4" t="s">
        <v>13</v>
      </c>
      <c r="F329" s="4" t="s">
        <v>25</v>
      </c>
      <c r="G329" s="4" t="s">
        <v>31</v>
      </c>
      <c r="H329" s="4">
        <v>1</v>
      </c>
      <c r="I329" s="4">
        <v>4</v>
      </c>
      <c r="J329" s="5">
        <v>45411</v>
      </c>
      <c r="K329" s="6">
        <v>0.47674768518518518</v>
      </c>
    </row>
    <row r="330" spans="1:11" x14ac:dyDescent="0.25">
      <c r="A330" s="4">
        <v>13</v>
      </c>
      <c r="B330" s="4" t="s">
        <v>11</v>
      </c>
      <c r="C330" s="7">
        <v>27.92</v>
      </c>
      <c r="D330" s="4" t="s">
        <v>18</v>
      </c>
      <c r="E330" s="4" t="s">
        <v>17</v>
      </c>
      <c r="F330" s="4" t="s">
        <v>25</v>
      </c>
      <c r="G330" s="4" t="s">
        <v>31</v>
      </c>
      <c r="H330" s="4">
        <v>1</v>
      </c>
      <c r="I330" s="4">
        <v>4</v>
      </c>
      <c r="J330" s="5">
        <v>45411</v>
      </c>
      <c r="K330" s="6">
        <v>0.56106481481481485</v>
      </c>
    </row>
    <row r="331" spans="1:11" x14ac:dyDescent="0.25">
      <c r="A331" s="4">
        <v>13</v>
      </c>
      <c r="B331" s="4" t="s">
        <v>11</v>
      </c>
      <c r="C331" s="7">
        <v>27.92</v>
      </c>
      <c r="D331" s="4" t="s">
        <v>24</v>
      </c>
      <c r="E331" s="4" t="s">
        <v>17</v>
      </c>
      <c r="F331" s="4" t="s">
        <v>25</v>
      </c>
      <c r="G331" s="4" t="s">
        <v>31</v>
      </c>
      <c r="H331" s="4">
        <v>1</v>
      </c>
      <c r="I331" s="4">
        <v>4</v>
      </c>
      <c r="J331" s="5">
        <v>45411</v>
      </c>
      <c r="K331" s="6">
        <v>0.56172453703703706</v>
      </c>
    </row>
    <row r="332" spans="1:11" x14ac:dyDescent="0.25">
      <c r="A332" s="4">
        <v>13</v>
      </c>
      <c r="B332" s="4" t="s">
        <v>11</v>
      </c>
      <c r="C332" s="7">
        <v>27.92</v>
      </c>
      <c r="D332" s="4" t="s">
        <v>24</v>
      </c>
      <c r="E332" s="4" t="s">
        <v>17</v>
      </c>
      <c r="F332" s="4" t="s">
        <v>25</v>
      </c>
      <c r="G332" s="4" t="s">
        <v>31</v>
      </c>
      <c r="H332" s="4">
        <v>1</v>
      </c>
      <c r="I332" s="4">
        <v>4</v>
      </c>
      <c r="J332" s="5">
        <v>45411</v>
      </c>
      <c r="K332" s="6">
        <v>0.57887731481481486</v>
      </c>
    </row>
    <row r="333" spans="1:11" x14ac:dyDescent="0.25">
      <c r="A333" s="4">
        <v>13</v>
      </c>
      <c r="B333" s="4" t="s">
        <v>11</v>
      </c>
      <c r="C333" s="7">
        <v>32.82</v>
      </c>
      <c r="D333" s="4" t="s">
        <v>19</v>
      </c>
      <c r="E333" s="4" t="s">
        <v>17</v>
      </c>
      <c r="F333" s="4" t="s">
        <v>25</v>
      </c>
      <c r="G333" s="4" t="s">
        <v>31</v>
      </c>
      <c r="H333" s="4">
        <v>1</v>
      </c>
      <c r="I333" s="4">
        <v>4</v>
      </c>
      <c r="J333" s="5">
        <v>45411</v>
      </c>
      <c r="K333" s="6">
        <v>0.57944444444444443</v>
      </c>
    </row>
    <row r="334" spans="1:11" x14ac:dyDescent="0.25">
      <c r="A334" s="4">
        <v>18</v>
      </c>
      <c r="B334" s="4" t="s">
        <v>11</v>
      </c>
      <c r="C334" s="7">
        <v>37.72</v>
      </c>
      <c r="D334" s="4" t="s">
        <v>29</v>
      </c>
      <c r="E334" s="4" t="s">
        <v>20</v>
      </c>
      <c r="F334" s="4" t="s">
        <v>25</v>
      </c>
      <c r="G334" s="4" t="s">
        <v>31</v>
      </c>
      <c r="H334" s="4">
        <v>1</v>
      </c>
      <c r="I334" s="4">
        <v>4</v>
      </c>
      <c r="J334" s="5">
        <v>45411</v>
      </c>
      <c r="K334" s="6">
        <v>0.77625</v>
      </c>
    </row>
    <row r="335" spans="1:11" x14ac:dyDescent="0.25">
      <c r="A335" s="4">
        <v>19</v>
      </c>
      <c r="B335" s="4" t="s">
        <v>11</v>
      </c>
      <c r="C335" s="7">
        <v>37.72</v>
      </c>
      <c r="D335" s="4" t="s">
        <v>29</v>
      </c>
      <c r="E335" s="4" t="s">
        <v>20</v>
      </c>
      <c r="F335" s="4" t="s">
        <v>25</v>
      </c>
      <c r="G335" s="4" t="s">
        <v>31</v>
      </c>
      <c r="H335" s="4">
        <v>1</v>
      </c>
      <c r="I335" s="4">
        <v>4</v>
      </c>
      <c r="J335" s="5">
        <v>45411</v>
      </c>
      <c r="K335" s="6">
        <v>0.80038194444444444</v>
      </c>
    </row>
    <row r="336" spans="1:11" x14ac:dyDescent="0.25">
      <c r="A336" s="4">
        <v>19</v>
      </c>
      <c r="B336" s="4" t="s">
        <v>11</v>
      </c>
      <c r="C336" s="7">
        <v>37.72</v>
      </c>
      <c r="D336" s="4" t="s">
        <v>29</v>
      </c>
      <c r="E336" s="4" t="s">
        <v>20</v>
      </c>
      <c r="F336" s="4" t="s">
        <v>25</v>
      </c>
      <c r="G336" s="4" t="s">
        <v>31</v>
      </c>
      <c r="H336" s="4">
        <v>1</v>
      </c>
      <c r="I336" s="4">
        <v>4</v>
      </c>
      <c r="J336" s="5">
        <v>45411</v>
      </c>
      <c r="K336" s="6">
        <v>0.80112268518518515</v>
      </c>
    </row>
    <row r="337" spans="1:11" x14ac:dyDescent="0.25">
      <c r="A337" s="4">
        <v>10</v>
      </c>
      <c r="B337" s="4" t="s">
        <v>11</v>
      </c>
      <c r="C337" s="7">
        <v>37.72</v>
      </c>
      <c r="D337" s="4" t="s">
        <v>12</v>
      </c>
      <c r="E337" s="4" t="s">
        <v>13</v>
      </c>
      <c r="F337" s="4" t="s">
        <v>27</v>
      </c>
      <c r="G337" s="4" t="s">
        <v>31</v>
      </c>
      <c r="H337" s="4">
        <v>2</v>
      </c>
      <c r="I337" s="4">
        <v>4</v>
      </c>
      <c r="J337" s="5">
        <v>45412</v>
      </c>
      <c r="K337" s="6">
        <v>0.42825231481481479</v>
      </c>
    </row>
    <row r="338" spans="1:11" x14ac:dyDescent="0.25">
      <c r="A338" s="4">
        <v>10</v>
      </c>
      <c r="B338" s="4" t="s">
        <v>11</v>
      </c>
      <c r="C338" s="7">
        <v>32.82</v>
      </c>
      <c r="D338" s="4" t="s">
        <v>19</v>
      </c>
      <c r="E338" s="4" t="s">
        <v>13</v>
      </c>
      <c r="F338" s="4" t="s">
        <v>27</v>
      </c>
      <c r="G338" s="4" t="s">
        <v>31</v>
      </c>
      <c r="H338" s="4">
        <v>2</v>
      </c>
      <c r="I338" s="4">
        <v>4</v>
      </c>
      <c r="J338" s="5">
        <v>45412</v>
      </c>
      <c r="K338" s="6">
        <v>0.44087962962962962</v>
      </c>
    </row>
    <row r="339" spans="1:11" x14ac:dyDescent="0.25">
      <c r="A339" s="4">
        <v>10</v>
      </c>
      <c r="B339" s="4" t="s">
        <v>11</v>
      </c>
      <c r="C339" s="7">
        <v>32.82</v>
      </c>
      <c r="D339" s="4" t="s">
        <v>19</v>
      </c>
      <c r="E339" s="4" t="s">
        <v>13</v>
      </c>
      <c r="F339" s="4" t="s">
        <v>27</v>
      </c>
      <c r="G339" s="4" t="s">
        <v>31</v>
      </c>
      <c r="H339" s="4">
        <v>2</v>
      </c>
      <c r="I339" s="4">
        <v>4</v>
      </c>
      <c r="J339" s="5">
        <v>45412</v>
      </c>
      <c r="K339" s="6">
        <v>0.4415162037037037</v>
      </c>
    </row>
    <row r="340" spans="1:11" x14ac:dyDescent="0.25">
      <c r="A340" s="4">
        <v>13</v>
      </c>
      <c r="B340" s="4" t="s">
        <v>11</v>
      </c>
      <c r="C340" s="7">
        <v>27.92</v>
      </c>
      <c r="D340" s="4" t="s">
        <v>18</v>
      </c>
      <c r="E340" s="4" t="s">
        <v>17</v>
      </c>
      <c r="F340" s="4" t="s">
        <v>27</v>
      </c>
      <c r="G340" s="4" t="s">
        <v>31</v>
      </c>
      <c r="H340" s="4">
        <v>2</v>
      </c>
      <c r="I340" s="4">
        <v>4</v>
      </c>
      <c r="J340" s="5">
        <v>45412</v>
      </c>
      <c r="K340" s="6">
        <v>0.57074074074074077</v>
      </c>
    </row>
    <row r="341" spans="1:11" x14ac:dyDescent="0.25">
      <c r="A341" s="4">
        <v>13</v>
      </c>
      <c r="B341" s="4" t="s">
        <v>11</v>
      </c>
      <c r="C341" s="7">
        <v>32.82</v>
      </c>
      <c r="D341" s="4" t="s">
        <v>19</v>
      </c>
      <c r="E341" s="4" t="s">
        <v>17</v>
      </c>
      <c r="F341" s="4" t="s">
        <v>27</v>
      </c>
      <c r="G341" s="4" t="s">
        <v>31</v>
      </c>
      <c r="H341" s="4">
        <v>2</v>
      </c>
      <c r="I341" s="4">
        <v>4</v>
      </c>
      <c r="J341" s="5">
        <v>45412</v>
      </c>
      <c r="K341" s="6">
        <v>0.57151620370370371</v>
      </c>
    </row>
    <row r="342" spans="1:11" x14ac:dyDescent="0.25">
      <c r="A342" s="4">
        <v>19</v>
      </c>
      <c r="B342" s="4" t="s">
        <v>11</v>
      </c>
      <c r="C342" s="7">
        <v>37.72</v>
      </c>
      <c r="D342" s="4" t="s">
        <v>29</v>
      </c>
      <c r="E342" s="4" t="s">
        <v>20</v>
      </c>
      <c r="F342" s="4" t="s">
        <v>27</v>
      </c>
      <c r="G342" s="4" t="s">
        <v>31</v>
      </c>
      <c r="H342" s="4">
        <v>2</v>
      </c>
      <c r="I342" s="4">
        <v>4</v>
      </c>
      <c r="J342" s="5">
        <v>45412</v>
      </c>
      <c r="K342" s="6">
        <v>0.80506944444444439</v>
      </c>
    </row>
    <row r="343" spans="1:11" x14ac:dyDescent="0.25">
      <c r="A343" s="4">
        <v>19</v>
      </c>
      <c r="B343" s="4" t="s">
        <v>11</v>
      </c>
      <c r="C343" s="7">
        <v>32.82</v>
      </c>
      <c r="D343" s="4" t="s">
        <v>19</v>
      </c>
      <c r="E343" s="4" t="s">
        <v>20</v>
      </c>
      <c r="F343" s="4" t="s">
        <v>27</v>
      </c>
      <c r="G343" s="4" t="s">
        <v>31</v>
      </c>
      <c r="H343" s="4">
        <v>2</v>
      </c>
      <c r="I343" s="4">
        <v>4</v>
      </c>
      <c r="J343" s="5">
        <v>45412</v>
      </c>
      <c r="K343" s="6">
        <v>0.81254629629629627</v>
      </c>
    </row>
    <row r="344" spans="1:11" x14ac:dyDescent="0.25">
      <c r="A344" s="4">
        <v>19</v>
      </c>
      <c r="B344" s="4" t="s">
        <v>11</v>
      </c>
      <c r="C344" s="7">
        <v>37.72</v>
      </c>
      <c r="D344" s="4" t="s">
        <v>12</v>
      </c>
      <c r="E344" s="4" t="s">
        <v>20</v>
      </c>
      <c r="F344" s="4" t="s">
        <v>27</v>
      </c>
      <c r="G344" s="4" t="s">
        <v>31</v>
      </c>
      <c r="H344" s="4">
        <v>2</v>
      </c>
      <c r="I344" s="4">
        <v>4</v>
      </c>
      <c r="J344" s="5">
        <v>45412</v>
      </c>
      <c r="K344" s="6">
        <v>0.81342592592592589</v>
      </c>
    </row>
    <row r="345" spans="1:11" x14ac:dyDescent="0.25">
      <c r="A345" s="4">
        <v>10</v>
      </c>
      <c r="B345" s="4" t="s">
        <v>11</v>
      </c>
      <c r="C345" s="7">
        <v>27.92</v>
      </c>
      <c r="D345" s="4" t="s">
        <v>18</v>
      </c>
      <c r="E345" s="4" t="s">
        <v>13</v>
      </c>
      <c r="F345" s="4" t="s">
        <v>30</v>
      </c>
      <c r="G345" s="4" t="s">
        <v>32</v>
      </c>
      <c r="H345" s="4">
        <v>4</v>
      </c>
      <c r="I345" s="4">
        <v>5</v>
      </c>
      <c r="J345" s="5">
        <v>45414</v>
      </c>
      <c r="K345" s="6">
        <v>0.44021990740740741</v>
      </c>
    </row>
    <row r="346" spans="1:11" x14ac:dyDescent="0.25">
      <c r="A346" s="4">
        <v>13</v>
      </c>
      <c r="B346" s="4" t="s">
        <v>11</v>
      </c>
      <c r="C346" s="7">
        <v>32.82</v>
      </c>
      <c r="D346" s="4" t="s">
        <v>19</v>
      </c>
      <c r="E346" s="4" t="s">
        <v>17</v>
      </c>
      <c r="F346" s="4" t="s">
        <v>30</v>
      </c>
      <c r="G346" s="4" t="s">
        <v>32</v>
      </c>
      <c r="H346" s="4">
        <v>4</v>
      </c>
      <c r="I346" s="4">
        <v>5</v>
      </c>
      <c r="J346" s="5">
        <v>45414</v>
      </c>
      <c r="K346" s="6">
        <v>0.57614583333333336</v>
      </c>
    </row>
    <row r="347" spans="1:11" x14ac:dyDescent="0.25">
      <c r="A347" s="4">
        <v>18</v>
      </c>
      <c r="B347" s="4" t="s">
        <v>11</v>
      </c>
      <c r="C347" s="7">
        <v>37.72</v>
      </c>
      <c r="D347" s="4" t="s">
        <v>29</v>
      </c>
      <c r="E347" s="4" t="s">
        <v>20</v>
      </c>
      <c r="F347" s="4" t="s">
        <v>30</v>
      </c>
      <c r="G347" s="4" t="s">
        <v>32</v>
      </c>
      <c r="H347" s="4">
        <v>4</v>
      </c>
      <c r="I347" s="4">
        <v>5</v>
      </c>
      <c r="J347" s="5">
        <v>45414</v>
      </c>
      <c r="K347" s="6">
        <v>0.77525462962962965</v>
      </c>
    </row>
    <row r="348" spans="1:11" x14ac:dyDescent="0.25">
      <c r="A348" s="4">
        <v>18</v>
      </c>
      <c r="B348" s="4" t="s">
        <v>11</v>
      </c>
      <c r="C348" s="7">
        <v>32.82</v>
      </c>
      <c r="D348" s="4" t="s">
        <v>19</v>
      </c>
      <c r="E348" s="4" t="s">
        <v>20</v>
      </c>
      <c r="F348" s="4" t="s">
        <v>30</v>
      </c>
      <c r="G348" s="4" t="s">
        <v>32</v>
      </c>
      <c r="H348" s="4">
        <v>4</v>
      </c>
      <c r="I348" s="4">
        <v>5</v>
      </c>
      <c r="J348" s="5">
        <v>45414</v>
      </c>
      <c r="K348" s="6">
        <v>0.77859953703703699</v>
      </c>
    </row>
    <row r="349" spans="1:11" x14ac:dyDescent="0.25">
      <c r="A349" s="4">
        <v>19</v>
      </c>
      <c r="B349" s="4" t="s">
        <v>11</v>
      </c>
      <c r="C349" s="7">
        <v>37.72</v>
      </c>
      <c r="D349" s="4" t="s">
        <v>12</v>
      </c>
      <c r="E349" s="4" t="s">
        <v>20</v>
      </c>
      <c r="F349" s="4" t="s">
        <v>30</v>
      </c>
      <c r="G349" s="4" t="s">
        <v>32</v>
      </c>
      <c r="H349" s="4">
        <v>4</v>
      </c>
      <c r="I349" s="4">
        <v>5</v>
      </c>
      <c r="J349" s="5">
        <v>45414</v>
      </c>
      <c r="K349" s="6">
        <v>0.80454861111111109</v>
      </c>
    </row>
    <row r="350" spans="1:11" x14ac:dyDescent="0.25">
      <c r="A350" s="4">
        <v>19</v>
      </c>
      <c r="B350" s="4" t="s">
        <v>11</v>
      </c>
      <c r="C350" s="7">
        <v>37.72</v>
      </c>
      <c r="D350" s="4" t="s">
        <v>29</v>
      </c>
      <c r="E350" s="4" t="s">
        <v>20</v>
      </c>
      <c r="F350" s="4" t="s">
        <v>30</v>
      </c>
      <c r="G350" s="4" t="s">
        <v>32</v>
      </c>
      <c r="H350" s="4">
        <v>4</v>
      </c>
      <c r="I350" s="4">
        <v>5</v>
      </c>
      <c r="J350" s="5">
        <v>45414</v>
      </c>
      <c r="K350" s="6">
        <v>0.80550925925925931</v>
      </c>
    </row>
    <row r="351" spans="1:11" x14ac:dyDescent="0.25">
      <c r="A351" s="4">
        <v>14</v>
      </c>
      <c r="B351" s="4" t="s">
        <v>11</v>
      </c>
      <c r="C351" s="7">
        <v>37.72</v>
      </c>
      <c r="D351" s="4" t="s">
        <v>12</v>
      </c>
      <c r="E351" s="4" t="s">
        <v>17</v>
      </c>
      <c r="F351" s="4" t="s">
        <v>14</v>
      </c>
      <c r="G351" s="4" t="s">
        <v>32</v>
      </c>
      <c r="H351" s="4">
        <v>5</v>
      </c>
      <c r="I351" s="4">
        <v>5</v>
      </c>
      <c r="J351" s="5">
        <v>45415</v>
      </c>
      <c r="K351" s="6">
        <v>0.60416666666666663</v>
      </c>
    </row>
    <row r="352" spans="1:11" x14ac:dyDescent="0.25">
      <c r="A352" s="4">
        <v>17</v>
      </c>
      <c r="B352" s="4" t="s">
        <v>11</v>
      </c>
      <c r="C352" s="7">
        <v>37.72</v>
      </c>
      <c r="D352" s="4" t="s">
        <v>12</v>
      </c>
      <c r="E352" s="4" t="s">
        <v>20</v>
      </c>
      <c r="F352" s="4" t="s">
        <v>14</v>
      </c>
      <c r="G352" s="4" t="s">
        <v>32</v>
      </c>
      <c r="H352" s="4">
        <v>5</v>
      </c>
      <c r="I352" s="4">
        <v>5</v>
      </c>
      <c r="J352" s="5">
        <v>45415</v>
      </c>
      <c r="K352" s="6">
        <v>0.71069444444444441</v>
      </c>
    </row>
    <row r="353" spans="1:11" x14ac:dyDescent="0.25">
      <c r="A353" s="4">
        <v>10</v>
      </c>
      <c r="B353" s="4" t="s">
        <v>11</v>
      </c>
      <c r="C353" s="7">
        <v>27.92</v>
      </c>
      <c r="D353" s="4" t="s">
        <v>18</v>
      </c>
      <c r="E353" s="4" t="s">
        <v>13</v>
      </c>
      <c r="F353" s="4" t="s">
        <v>25</v>
      </c>
      <c r="G353" s="4" t="s">
        <v>32</v>
      </c>
      <c r="H353" s="4">
        <v>1</v>
      </c>
      <c r="I353" s="4">
        <v>5</v>
      </c>
      <c r="J353" s="5">
        <v>45418</v>
      </c>
      <c r="K353" s="6">
        <v>0.42033564814814817</v>
      </c>
    </row>
    <row r="354" spans="1:11" x14ac:dyDescent="0.25">
      <c r="A354" s="4">
        <v>10</v>
      </c>
      <c r="B354" s="4" t="s">
        <v>11</v>
      </c>
      <c r="C354" s="7">
        <v>37.72</v>
      </c>
      <c r="D354" s="4" t="s">
        <v>29</v>
      </c>
      <c r="E354" s="4" t="s">
        <v>13</v>
      </c>
      <c r="F354" s="4" t="s">
        <v>25</v>
      </c>
      <c r="G354" s="4" t="s">
        <v>32</v>
      </c>
      <c r="H354" s="4">
        <v>1</v>
      </c>
      <c r="I354" s="4">
        <v>5</v>
      </c>
      <c r="J354" s="5">
        <v>45418</v>
      </c>
      <c r="K354" s="6">
        <v>0.4214236111111111</v>
      </c>
    </row>
    <row r="355" spans="1:11" x14ac:dyDescent="0.25">
      <c r="A355" s="4">
        <v>10</v>
      </c>
      <c r="B355" s="4" t="s">
        <v>11</v>
      </c>
      <c r="C355" s="7">
        <v>32.82</v>
      </c>
      <c r="D355" s="4" t="s">
        <v>19</v>
      </c>
      <c r="E355" s="4" t="s">
        <v>13</v>
      </c>
      <c r="F355" s="4" t="s">
        <v>25</v>
      </c>
      <c r="G355" s="4" t="s">
        <v>32</v>
      </c>
      <c r="H355" s="4">
        <v>1</v>
      </c>
      <c r="I355" s="4">
        <v>5</v>
      </c>
      <c r="J355" s="5">
        <v>45418</v>
      </c>
      <c r="K355" s="6">
        <v>0.42228009259259258</v>
      </c>
    </row>
    <row r="356" spans="1:11" x14ac:dyDescent="0.25">
      <c r="A356" s="4">
        <v>10</v>
      </c>
      <c r="B356" s="4" t="s">
        <v>11</v>
      </c>
      <c r="C356" s="7">
        <v>27.92</v>
      </c>
      <c r="D356" s="4" t="s">
        <v>18</v>
      </c>
      <c r="E356" s="4" t="s">
        <v>13</v>
      </c>
      <c r="F356" s="4" t="s">
        <v>25</v>
      </c>
      <c r="G356" s="4" t="s">
        <v>32</v>
      </c>
      <c r="H356" s="4">
        <v>1</v>
      </c>
      <c r="I356" s="4">
        <v>5</v>
      </c>
      <c r="J356" s="5">
        <v>45418</v>
      </c>
      <c r="K356" s="6">
        <v>0.42299768518518521</v>
      </c>
    </row>
    <row r="357" spans="1:11" x14ac:dyDescent="0.25">
      <c r="A357" s="4">
        <v>10</v>
      </c>
      <c r="B357" s="4" t="s">
        <v>11</v>
      </c>
      <c r="C357" s="7">
        <v>27.92</v>
      </c>
      <c r="D357" s="4" t="s">
        <v>24</v>
      </c>
      <c r="E357" s="4" t="s">
        <v>13</v>
      </c>
      <c r="F357" s="4" t="s">
        <v>25</v>
      </c>
      <c r="G357" s="4" t="s">
        <v>32</v>
      </c>
      <c r="H357" s="4">
        <v>1</v>
      </c>
      <c r="I357" s="4">
        <v>5</v>
      </c>
      <c r="J357" s="5">
        <v>45418</v>
      </c>
      <c r="K357" s="6">
        <v>0.44388888888888889</v>
      </c>
    </row>
    <row r="358" spans="1:11" x14ac:dyDescent="0.25">
      <c r="A358" s="4">
        <v>13</v>
      </c>
      <c r="B358" s="4" t="s">
        <v>11</v>
      </c>
      <c r="C358" s="7">
        <v>27.92</v>
      </c>
      <c r="D358" s="4" t="s">
        <v>24</v>
      </c>
      <c r="E358" s="4" t="s">
        <v>17</v>
      </c>
      <c r="F358" s="4" t="s">
        <v>25</v>
      </c>
      <c r="G358" s="4" t="s">
        <v>32</v>
      </c>
      <c r="H358" s="4">
        <v>1</v>
      </c>
      <c r="I358" s="4">
        <v>5</v>
      </c>
      <c r="J358" s="5">
        <v>45418</v>
      </c>
      <c r="K358" s="6">
        <v>0.55428240740740742</v>
      </c>
    </row>
    <row r="359" spans="1:11" x14ac:dyDescent="0.25">
      <c r="A359" s="4">
        <v>13</v>
      </c>
      <c r="B359" s="4" t="s">
        <v>11</v>
      </c>
      <c r="C359" s="7">
        <v>27.92</v>
      </c>
      <c r="D359" s="4" t="s">
        <v>18</v>
      </c>
      <c r="E359" s="4" t="s">
        <v>17</v>
      </c>
      <c r="F359" s="4" t="s">
        <v>25</v>
      </c>
      <c r="G359" s="4" t="s">
        <v>32</v>
      </c>
      <c r="H359" s="4">
        <v>1</v>
      </c>
      <c r="I359" s="4">
        <v>5</v>
      </c>
      <c r="J359" s="5">
        <v>45418</v>
      </c>
      <c r="K359" s="6">
        <v>0.55486111111111114</v>
      </c>
    </row>
    <row r="360" spans="1:11" x14ac:dyDescent="0.25">
      <c r="A360" s="4">
        <v>19</v>
      </c>
      <c r="B360" s="4" t="s">
        <v>11</v>
      </c>
      <c r="C360" s="7">
        <v>37.72</v>
      </c>
      <c r="D360" s="4" t="s">
        <v>29</v>
      </c>
      <c r="E360" s="4" t="s">
        <v>20</v>
      </c>
      <c r="F360" s="4" t="s">
        <v>25</v>
      </c>
      <c r="G360" s="4" t="s">
        <v>32</v>
      </c>
      <c r="H360" s="4">
        <v>1</v>
      </c>
      <c r="I360" s="4">
        <v>5</v>
      </c>
      <c r="J360" s="5">
        <v>45418</v>
      </c>
      <c r="K360" s="6">
        <v>0.80430555555555561</v>
      </c>
    </row>
    <row r="361" spans="1:11" x14ac:dyDescent="0.25">
      <c r="A361" s="4">
        <v>19</v>
      </c>
      <c r="B361" s="4" t="s">
        <v>11</v>
      </c>
      <c r="C361" s="7">
        <v>37.72</v>
      </c>
      <c r="D361" s="4" t="s">
        <v>29</v>
      </c>
      <c r="E361" s="4" t="s">
        <v>20</v>
      </c>
      <c r="F361" s="4" t="s">
        <v>25</v>
      </c>
      <c r="G361" s="4" t="s">
        <v>32</v>
      </c>
      <c r="H361" s="4">
        <v>1</v>
      </c>
      <c r="I361" s="4">
        <v>5</v>
      </c>
      <c r="J361" s="5">
        <v>45418</v>
      </c>
      <c r="K361" s="6">
        <v>0.80542824074074071</v>
      </c>
    </row>
    <row r="362" spans="1:11" x14ac:dyDescent="0.25">
      <c r="A362" s="4">
        <v>10</v>
      </c>
      <c r="B362" s="4" t="s">
        <v>11</v>
      </c>
      <c r="C362" s="7">
        <v>37.72</v>
      </c>
      <c r="D362" s="4" t="s">
        <v>21</v>
      </c>
      <c r="E362" s="4" t="s">
        <v>13</v>
      </c>
      <c r="F362" s="4" t="s">
        <v>27</v>
      </c>
      <c r="G362" s="4" t="s">
        <v>32</v>
      </c>
      <c r="H362" s="4">
        <v>2</v>
      </c>
      <c r="I362" s="4">
        <v>5</v>
      </c>
      <c r="J362" s="5">
        <v>45419</v>
      </c>
      <c r="K362" s="6">
        <v>0.44785879629629627</v>
      </c>
    </row>
    <row r="363" spans="1:11" x14ac:dyDescent="0.25">
      <c r="A363" s="4">
        <v>11</v>
      </c>
      <c r="B363" s="4" t="s">
        <v>11</v>
      </c>
      <c r="C363" s="7">
        <v>27.92</v>
      </c>
      <c r="D363" s="4" t="s">
        <v>24</v>
      </c>
      <c r="E363" s="4" t="s">
        <v>13</v>
      </c>
      <c r="F363" s="4" t="s">
        <v>27</v>
      </c>
      <c r="G363" s="4" t="s">
        <v>32</v>
      </c>
      <c r="H363" s="4">
        <v>2</v>
      </c>
      <c r="I363" s="4">
        <v>5</v>
      </c>
      <c r="J363" s="5">
        <v>45419</v>
      </c>
      <c r="K363" s="6">
        <v>0.47358796296296296</v>
      </c>
    </row>
    <row r="364" spans="1:11" x14ac:dyDescent="0.25">
      <c r="A364" s="4">
        <v>13</v>
      </c>
      <c r="B364" s="4" t="s">
        <v>11</v>
      </c>
      <c r="C364" s="7">
        <v>27.92</v>
      </c>
      <c r="D364" s="4" t="s">
        <v>24</v>
      </c>
      <c r="E364" s="4" t="s">
        <v>17</v>
      </c>
      <c r="F364" s="4" t="s">
        <v>27</v>
      </c>
      <c r="G364" s="4" t="s">
        <v>32</v>
      </c>
      <c r="H364" s="4">
        <v>2</v>
      </c>
      <c r="I364" s="4">
        <v>5</v>
      </c>
      <c r="J364" s="5">
        <v>45419</v>
      </c>
      <c r="K364" s="6">
        <v>0.55803240740740745</v>
      </c>
    </row>
    <row r="365" spans="1:11" x14ac:dyDescent="0.25">
      <c r="A365" s="4">
        <v>16</v>
      </c>
      <c r="B365" s="4" t="s">
        <v>11</v>
      </c>
      <c r="C365" s="7">
        <v>37.72</v>
      </c>
      <c r="D365" s="4" t="s">
        <v>21</v>
      </c>
      <c r="E365" s="4" t="s">
        <v>17</v>
      </c>
      <c r="F365" s="4" t="s">
        <v>27</v>
      </c>
      <c r="G365" s="4" t="s">
        <v>32</v>
      </c>
      <c r="H365" s="4">
        <v>2</v>
      </c>
      <c r="I365" s="4">
        <v>5</v>
      </c>
      <c r="J365" s="5">
        <v>45419</v>
      </c>
      <c r="K365" s="6">
        <v>0.6959143518518518</v>
      </c>
    </row>
    <row r="366" spans="1:11" x14ac:dyDescent="0.25">
      <c r="A366" s="4">
        <v>16</v>
      </c>
      <c r="B366" s="4" t="s">
        <v>11</v>
      </c>
      <c r="C366" s="7">
        <v>27.92</v>
      </c>
      <c r="D366" s="4" t="s">
        <v>18</v>
      </c>
      <c r="E366" s="4" t="s">
        <v>17</v>
      </c>
      <c r="F366" s="4" t="s">
        <v>27</v>
      </c>
      <c r="G366" s="4" t="s">
        <v>32</v>
      </c>
      <c r="H366" s="4">
        <v>2</v>
      </c>
      <c r="I366" s="4">
        <v>5</v>
      </c>
      <c r="J366" s="5">
        <v>45419</v>
      </c>
      <c r="K366" s="6">
        <v>0.70530092592592597</v>
      </c>
    </row>
    <row r="367" spans="1:11" x14ac:dyDescent="0.25">
      <c r="A367" s="4">
        <v>17</v>
      </c>
      <c r="B367" s="4" t="s">
        <v>11</v>
      </c>
      <c r="C367" s="7">
        <v>37.72</v>
      </c>
      <c r="D367" s="4" t="s">
        <v>29</v>
      </c>
      <c r="E367" s="4" t="s">
        <v>20</v>
      </c>
      <c r="F367" s="4" t="s">
        <v>27</v>
      </c>
      <c r="G367" s="4" t="s">
        <v>32</v>
      </c>
      <c r="H367" s="4">
        <v>2</v>
      </c>
      <c r="I367" s="4">
        <v>5</v>
      </c>
      <c r="J367" s="5">
        <v>45419</v>
      </c>
      <c r="K367" s="6">
        <v>0.73456018518518518</v>
      </c>
    </row>
    <row r="368" spans="1:11" x14ac:dyDescent="0.25">
      <c r="A368" s="4">
        <v>17</v>
      </c>
      <c r="B368" s="4" t="s">
        <v>11</v>
      </c>
      <c r="C368" s="7">
        <v>37.72</v>
      </c>
      <c r="D368" s="4" t="s">
        <v>12</v>
      </c>
      <c r="E368" s="4" t="s">
        <v>20</v>
      </c>
      <c r="F368" s="4" t="s">
        <v>27</v>
      </c>
      <c r="G368" s="4" t="s">
        <v>32</v>
      </c>
      <c r="H368" s="4">
        <v>2</v>
      </c>
      <c r="I368" s="4">
        <v>5</v>
      </c>
      <c r="J368" s="5">
        <v>45419</v>
      </c>
      <c r="K368" s="6">
        <v>0.73527777777777781</v>
      </c>
    </row>
    <row r="369" spans="1:11" x14ac:dyDescent="0.25">
      <c r="A369" s="4">
        <v>19</v>
      </c>
      <c r="B369" s="4" t="s">
        <v>11</v>
      </c>
      <c r="C369" s="7">
        <v>37.72</v>
      </c>
      <c r="D369" s="4" t="s">
        <v>29</v>
      </c>
      <c r="E369" s="4" t="s">
        <v>20</v>
      </c>
      <c r="F369" s="4" t="s">
        <v>27</v>
      </c>
      <c r="G369" s="4" t="s">
        <v>32</v>
      </c>
      <c r="H369" s="4">
        <v>2</v>
      </c>
      <c r="I369" s="4">
        <v>5</v>
      </c>
      <c r="J369" s="5">
        <v>45419</v>
      </c>
      <c r="K369" s="6">
        <v>0.80013888888888884</v>
      </c>
    </row>
    <row r="370" spans="1:11" x14ac:dyDescent="0.25">
      <c r="A370" s="4">
        <v>19</v>
      </c>
      <c r="B370" s="4" t="s">
        <v>11</v>
      </c>
      <c r="C370" s="7">
        <v>37.72</v>
      </c>
      <c r="D370" s="4" t="s">
        <v>29</v>
      </c>
      <c r="E370" s="4" t="s">
        <v>20</v>
      </c>
      <c r="F370" s="4" t="s">
        <v>27</v>
      </c>
      <c r="G370" s="4" t="s">
        <v>32</v>
      </c>
      <c r="H370" s="4">
        <v>2</v>
      </c>
      <c r="I370" s="4">
        <v>5</v>
      </c>
      <c r="J370" s="5">
        <v>45419</v>
      </c>
      <c r="K370" s="6">
        <v>0.80083333333333329</v>
      </c>
    </row>
    <row r="371" spans="1:11" x14ac:dyDescent="0.25">
      <c r="A371" s="4">
        <v>10</v>
      </c>
      <c r="B371" s="4" t="s">
        <v>11</v>
      </c>
      <c r="C371" s="7">
        <v>37.72</v>
      </c>
      <c r="D371" s="4" t="s">
        <v>12</v>
      </c>
      <c r="E371" s="4" t="s">
        <v>13</v>
      </c>
      <c r="F371" s="4" t="s">
        <v>28</v>
      </c>
      <c r="G371" s="4" t="s">
        <v>32</v>
      </c>
      <c r="H371" s="4">
        <v>3</v>
      </c>
      <c r="I371" s="4">
        <v>5</v>
      </c>
      <c r="J371" s="5">
        <v>45420</v>
      </c>
      <c r="K371" s="6">
        <v>0.42185185185185187</v>
      </c>
    </row>
    <row r="372" spans="1:11" x14ac:dyDescent="0.25">
      <c r="A372" s="4">
        <v>12</v>
      </c>
      <c r="B372" s="4" t="s">
        <v>11</v>
      </c>
      <c r="C372" s="7">
        <v>37.72</v>
      </c>
      <c r="D372" s="4" t="s">
        <v>29</v>
      </c>
      <c r="E372" s="4" t="s">
        <v>17</v>
      </c>
      <c r="F372" s="4" t="s">
        <v>30</v>
      </c>
      <c r="G372" s="4" t="s">
        <v>32</v>
      </c>
      <c r="H372" s="4">
        <v>4</v>
      </c>
      <c r="I372" s="4">
        <v>5</v>
      </c>
      <c r="J372" s="5">
        <v>45421</v>
      </c>
      <c r="K372" s="6">
        <v>0.53774305555555557</v>
      </c>
    </row>
    <row r="373" spans="1:11" x14ac:dyDescent="0.25">
      <c r="A373" s="4">
        <v>13</v>
      </c>
      <c r="B373" s="4" t="s">
        <v>11</v>
      </c>
      <c r="C373" s="7">
        <v>27.92</v>
      </c>
      <c r="D373" s="4" t="s">
        <v>18</v>
      </c>
      <c r="E373" s="4" t="s">
        <v>17</v>
      </c>
      <c r="F373" s="4" t="s">
        <v>30</v>
      </c>
      <c r="G373" s="4" t="s">
        <v>32</v>
      </c>
      <c r="H373" s="4">
        <v>4</v>
      </c>
      <c r="I373" s="4">
        <v>5</v>
      </c>
      <c r="J373" s="5">
        <v>45421</v>
      </c>
      <c r="K373" s="6">
        <v>0.54442129629629632</v>
      </c>
    </row>
    <row r="374" spans="1:11" x14ac:dyDescent="0.25">
      <c r="A374" s="4">
        <v>13</v>
      </c>
      <c r="B374" s="4" t="s">
        <v>11</v>
      </c>
      <c r="C374" s="7">
        <v>37.72</v>
      </c>
      <c r="D374" s="4" t="s">
        <v>12</v>
      </c>
      <c r="E374" s="4" t="s">
        <v>17</v>
      </c>
      <c r="F374" s="4" t="s">
        <v>30</v>
      </c>
      <c r="G374" s="4" t="s">
        <v>32</v>
      </c>
      <c r="H374" s="4">
        <v>4</v>
      </c>
      <c r="I374" s="4">
        <v>5</v>
      </c>
      <c r="J374" s="5">
        <v>45421</v>
      </c>
      <c r="K374" s="6">
        <v>0.54510416666666661</v>
      </c>
    </row>
    <row r="375" spans="1:11" x14ac:dyDescent="0.25">
      <c r="A375" s="4">
        <v>13</v>
      </c>
      <c r="B375" s="4" t="s">
        <v>11</v>
      </c>
      <c r="C375" s="7">
        <v>37.72</v>
      </c>
      <c r="D375" s="4" t="s">
        <v>12</v>
      </c>
      <c r="E375" s="4" t="s">
        <v>17</v>
      </c>
      <c r="F375" s="4" t="s">
        <v>30</v>
      </c>
      <c r="G375" s="4" t="s">
        <v>32</v>
      </c>
      <c r="H375" s="4">
        <v>4</v>
      </c>
      <c r="I375" s="4">
        <v>5</v>
      </c>
      <c r="J375" s="5">
        <v>45421</v>
      </c>
      <c r="K375" s="6">
        <v>0.54596064814814815</v>
      </c>
    </row>
    <row r="376" spans="1:11" x14ac:dyDescent="0.25">
      <c r="A376" s="4">
        <v>13</v>
      </c>
      <c r="B376" s="4" t="s">
        <v>11</v>
      </c>
      <c r="C376" s="7">
        <v>37.72</v>
      </c>
      <c r="D376" s="4" t="s">
        <v>12</v>
      </c>
      <c r="E376" s="4" t="s">
        <v>17</v>
      </c>
      <c r="F376" s="4" t="s">
        <v>30</v>
      </c>
      <c r="G376" s="4" t="s">
        <v>32</v>
      </c>
      <c r="H376" s="4">
        <v>4</v>
      </c>
      <c r="I376" s="4">
        <v>5</v>
      </c>
      <c r="J376" s="5">
        <v>45421</v>
      </c>
      <c r="K376" s="6">
        <v>0.54671296296296301</v>
      </c>
    </row>
    <row r="377" spans="1:11" x14ac:dyDescent="0.25">
      <c r="A377" s="4">
        <v>16</v>
      </c>
      <c r="B377" s="4" t="s">
        <v>11</v>
      </c>
      <c r="C377" s="7">
        <v>27.92</v>
      </c>
      <c r="D377" s="4" t="s">
        <v>18</v>
      </c>
      <c r="E377" s="4" t="s">
        <v>17</v>
      </c>
      <c r="F377" s="4" t="s">
        <v>30</v>
      </c>
      <c r="G377" s="4" t="s">
        <v>32</v>
      </c>
      <c r="H377" s="4">
        <v>4</v>
      </c>
      <c r="I377" s="4">
        <v>5</v>
      </c>
      <c r="J377" s="5">
        <v>45421</v>
      </c>
      <c r="K377" s="6">
        <v>0.70502314814814815</v>
      </c>
    </row>
    <row r="378" spans="1:11" x14ac:dyDescent="0.25">
      <c r="A378" s="4">
        <v>16</v>
      </c>
      <c r="B378" s="4" t="s">
        <v>11</v>
      </c>
      <c r="C378" s="7">
        <v>27.92</v>
      </c>
      <c r="D378" s="4" t="s">
        <v>18</v>
      </c>
      <c r="E378" s="4" t="s">
        <v>17</v>
      </c>
      <c r="F378" s="4" t="s">
        <v>30</v>
      </c>
      <c r="G378" s="4" t="s">
        <v>32</v>
      </c>
      <c r="H378" s="4">
        <v>4</v>
      </c>
      <c r="I378" s="4">
        <v>5</v>
      </c>
      <c r="J378" s="5">
        <v>45421</v>
      </c>
      <c r="K378" s="6">
        <v>0.70571759259259259</v>
      </c>
    </row>
    <row r="379" spans="1:11" x14ac:dyDescent="0.25">
      <c r="A379" s="4">
        <v>18</v>
      </c>
      <c r="B379" s="4" t="s">
        <v>11</v>
      </c>
      <c r="C379" s="7">
        <v>27.92</v>
      </c>
      <c r="D379" s="4" t="s">
        <v>18</v>
      </c>
      <c r="E379" s="4" t="s">
        <v>20</v>
      </c>
      <c r="F379" s="4" t="s">
        <v>30</v>
      </c>
      <c r="G379" s="4" t="s">
        <v>32</v>
      </c>
      <c r="H379" s="4">
        <v>4</v>
      </c>
      <c r="I379" s="4">
        <v>5</v>
      </c>
      <c r="J379" s="5">
        <v>45421</v>
      </c>
      <c r="K379" s="6">
        <v>0.75103009259259257</v>
      </c>
    </row>
    <row r="380" spans="1:11" x14ac:dyDescent="0.25">
      <c r="A380" s="4">
        <v>18</v>
      </c>
      <c r="B380" s="4" t="s">
        <v>11</v>
      </c>
      <c r="C380" s="7">
        <v>32.82</v>
      </c>
      <c r="D380" s="4" t="s">
        <v>19</v>
      </c>
      <c r="E380" s="4" t="s">
        <v>20</v>
      </c>
      <c r="F380" s="4" t="s">
        <v>30</v>
      </c>
      <c r="G380" s="4" t="s">
        <v>32</v>
      </c>
      <c r="H380" s="4">
        <v>4</v>
      </c>
      <c r="I380" s="4">
        <v>5</v>
      </c>
      <c r="J380" s="5">
        <v>45421</v>
      </c>
      <c r="K380" s="6">
        <v>0.75967592592592592</v>
      </c>
    </row>
    <row r="381" spans="1:11" x14ac:dyDescent="0.25">
      <c r="A381" s="4">
        <v>15</v>
      </c>
      <c r="B381" s="4" t="s">
        <v>11</v>
      </c>
      <c r="C381" s="7">
        <v>37.72</v>
      </c>
      <c r="D381" s="4" t="s">
        <v>12</v>
      </c>
      <c r="E381" s="4" t="s">
        <v>17</v>
      </c>
      <c r="F381" s="4" t="s">
        <v>14</v>
      </c>
      <c r="G381" s="4" t="s">
        <v>32</v>
      </c>
      <c r="H381" s="4">
        <v>5</v>
      </c>
      <c r="I381" s="4">
        <v>5</v>
      </c>
      <c r="J381" s="5">
        <v>45422</v>
      </c>
      <c r="K381" s="6">
        <v>0.65718750000000004</v>
      </c>
    </row>
    <row r="382" spans="1:11" x14ac:dyDescent="0.25">
      <c r="A382" s="4">
        <v>15</v>
      </c>
      <c r="B382" s="4" t="s">
        <v>11</v>
      </c>
      <c r="C382" s="7">
        <v>37.72</v>
      </c>
      <c r="D382" s="4" t="s">
        <v>12</v>
      </c>
      <c r="E382" s="4" t="s">
        <v>17</v>
      </c>
      <c r="F382" s="4" t="s">
        <v>14</v>
      </c>
      <c r="G382" s="4" t="s">
        <v>32</v>
      </c>
      <c r="H382" s="4">
        <v>5</v>
      </c>
      <c r="I382" s="4">
        <v>5</v>
      </c>
      <c r="J382" s="5">
        <v>45422</v>
      </c>
      <c r="K382" s="6">
        <v>0.65800925925925924</v>
      </c>
    </row>
    <row r="383" spans="1:11" x14ac:dyDescent="0.25">
      <c r="A383" s="4">
        <v>11</v>
      </c>
      <c r="B383" s="4" t="s">
        <v>11</v>
      </c>
      <c r="C383" s="7">
        <v>37.72</v>
      </c>
      <c r="D383" s="4" t="s">
        <v>12</v>
      </c>
      <c r="E383" s="4" t="s">
        <v>13</v>
      </c>
      <c r="F383" s="4" t="s">
        <v>22</v>
      </c>
      <c r="G383" s="4" t="s">
        <v>32</v>
      </c>
      <c r="H383" s="4">
        <v>6</v>
      </c>
      <c r="I383" s="4">
        <v>5</v>
      </c>
      <c r="J383" s="5">
        <v>45423</v>
      </c>
      <c r="K383" s="6">
        <v>0.48601851851851852</v>
      </c>
    </row>
    <row r="384" spans="1:11" x14ac:dyDescent="0.25">
      <c r="A384" s="4">
        <v>17</v>
      </c>
      <c r="B384" s="4" t="s">
        <v>11</v>
      </c>
      <c r="C384" s="7">
        <v>32.82</v>
      </c>
      <c r="D384" s="4" t="s">
        <v>19</v>
      </c>
      <c r="E384" s="4" t="s">
        <v>20</v>
      </c>
      <c r="F384" s="4" t="s">
        <v>22</v>
      </c>
      <c r="G384" s="4" t="s">
        <v>32</v>
      </c>
      <c r="H384" s="4">
        <v>6</v>
      </c>
      <c r="I384" s="4">
        <v>5</v>
      </c>
      <c r="J384" s="5">
        <v>45423</v>
      </c>
      <c r="K384" s="6">
        <v>0.72256944444444449</v>
      </c>
    </row>
    <row r="385" spans="1:11" x14ac:dyDescent="0.25">
      <c r="A385" s="4">
        <v>17</v>
      </c>
      <c r="B385" s="4" t="s">
        <v>11</v>
      </c>
      <c r="C385" s="7">
        <v>37.72</v>
      </c>
      <c r="D385" s="4" t="s">
        <v>21</v>
      </c>
      <c r="E385" s="4" t="s">
        <v>20</v>
      </c>
      <c r="F385" s="4" t="s">
        <v>22</v>
      </c>
      <c r="G385" s="4" t="s">
        <v>32</v>
      </c>
      <c r="H385" s="4">
        <v>6</v>
      </c>
      <c r="I385" s="4">
        <v>5</v>
      </c>
      <c r="J385" s="5">
        <v>45423</v>
      </c>
      <c r="K385" s="6">
        <v>0.72356481481481483</v>
      </c>
    </row>
    <row r="386" spans="1:11" x14ac:dyDescent="0.25">
      <c r="A386" s="4">
        <v>17</v>
      </c>
      <c r="B386" s="4" t="s">
        <v>11</v>
      </c>
      <c r="C386" s="7">
        <v>37.72</v>
      </c>
      <c r="D386" s="4" t="s">
        <v>29</v>
      </c>
      <c r="E386" s="4" t="s">
        <v>20</v>
      </c>
      <c r="F386" s="4" t="s">
        <v>22</v>
      </c>
      <c r="G386" s="4" t="s">
        <v>32</v>
      </c>
      <c r="H386" s="4">
        <v>6</v>
      </c>
      <c r="I386" s="4">
        <v>5</v>
      </c>
      <c r="J386" s="5">
        <v>45423</v>
      </c>
      <c r="K386" s="6">
        <v>0.72496527777777775</v>
      </c>
    </row>
    <row r="387" spans="1:11" x14ac:dyDescent="0.25">
      <c r="A387" s="4">
        <v>17</v>
      </c>
      <c r="B387" s="4" t="s">
        <v>11</v>
      </c>
      <c r="C387" s="7">
        <v>32.82</v>
      </c>
      <c r="D387" s="4" t="s">
        <v>19</v>
      </c>
      <c r="E387" s="4" t="s">
        <v>20</v>
      </c>
      <c r="F387" s="4" t="s">
        <v>22</v>
      </c>
      <c r="G387" s="4" t="s">
        <v>32</v>
      </c>
      <c r="H387" s="4">
        <v>6</v>
      </c>
      <c r="I387" s="4">
        <v>5</v>
      </c>
      <c r="J387" s="5">
        <v>45423</v>
      </c>
      <c r="K387" s="6">
        <v>0.72840277777777773</v>
      </c>
    </row>
    <row r="388" spans="1:11" x14ac:dyDescent="0.25">
      <c r="A388" s="4">
        <v>18</v>
      </c>
      <c r="B388" s="4" t="s">
        <v>11</v>
      </c>
      <c r="C388" s="7">
        <v>37.72</v>
      </c>
      <c r="D388" s="4" t="s">
        <v>29</v>
      </c>
      <c r="E388" s="4" t="s">
        <v>20</v>
      </c>
      <c r="F388" s="4" t="s">
        <v>22</v>
      </c>
      <c r="G388" s="4" t="s">
        <v>32</v>
      </c>
      <c r="H388" s="4">
        <v>6</v>
      </c>
      <c r="I388" s="4">
        <v>5</v>
      </c>
      <c r="J388" s="5">
        <v>45423</v>
      </c>
      <c r="K388" s="6">
        <v>0.77476851851851847</v>
      </c>
    </row>
    <row r="389" spans="1:11" x14ac:dyDescent="0.25">
      <c r="A389" s="4">
        <v>19</v>
      </c>
      <c r="B389" s="4" t="s">
        <v>11</v>
      </c>
      <c r="C389" s="7">
        <v>37.72</v>
      </c>
      <c r="D389" s="4" t="s">
        <v>12</v>
      </c>
      <c r="E389" s="4" t="s">
        <v>20</v>
      </c>
      <c r="F389" s="4" t="s">
        <v>22</v>
      </c>
      <c r="G389" s="4" t="s">
        <v>32</v>
      </c>
      <c r="H389" s="4">
        <v>6</v>
      </c>
      <c r="I389" s="4">
        <v>5</v>
      </c>
      <c r="J389" s="5">
        <v>45423</v>
      </c>
      <c r="K389" s="6">
        <v>0.81824074074074071</v>
      </c>
    </row>
    <row r="390" spans="1:11" x14ac:dyDescent="0.25">
      <c r="A390" s="4">
        <v>10</v>
      </c>
      <c r="B390" s="4" t="s">
        <v>11</v>
      </c>
      <c r="C390" s="7">
        <v>37.72</v>
      </c>
      <c r="D390" s="4" t="s">
        <v>12</v>
      </c>
      <c r="E390" s="4" t="s">
        <v>13</v>
      </c>
      <c r="F390" s="4" t="s">
        <v>23</v>
      </c>
      <c r="G390" s="4" t="s">
        <v>32</v>
      </c>
      <c r="H390" s="4">
        <v>7</v>
      </c>
      <c r="I390" s="4">
        <v>5</v>
      </c>
      <c r="J390" s="5">
        <v>45424</v>
      </c>
      <c r="K390" s="6">
        <v>0.43104166666666666</v>
      </c>
    </row>
    <row r="391" spans="1:11" x14ac:dyDescent="0.25">
      <c r="A391" s="4">
        <v>13</v>
      </c>
      <c r="B391" s="4" t="s">
        <v>11</v>
      </c>
      <c r="C391" s="7">
        <v>37.72</v>
      </c>
      <c r="D391" s="4" t="s">
        <v>12</v>
      </c>
      <c r="E391" s="4" t="s">
        <v>17</v>
      </c>
      <c r="F391" s="4" t="s">
        <v>23</v>
      </c>
      <c r="G391" s="4" t="s">
        <v>32</v>
      </c>
      <c r="H391" s="4">
        <v>7</v>
      </c>
      <c r="I391" s="4">
        <v>5</v>
      </c>
      <c r="J391" s="5">
        <v>45424</v>
      </c>
      <c r="K391" s="6">
        <v>0.55836805555555558</v>
      </c>
    </row>
    <row r="392" spans="1:11" x14ac:dyDescent="0.25">
      <c r="A392" s="4">
        <v>13</v>
      </c>
      <c r="B392" s="4" t="s">
        <v>11</v>
      </c>
      <c r="C392" s="7">
        <v>27.92</v>
      </c>
      <c r="D392" s="4" t="s">
        <v>18</v>
      </c>
      <c r="E392" s="4" t="s">
        <v>17</v>
      </c>
      <c r="F392" s="4" t="s">
        <v>23</v>
      </c>
      <c r="G392" s="4" t="s">
        <v>32</v>
      </c>
      <c r="H392" s="4">
        <v>7</v>
      </c>
      <c r="I392" s="4">
        <v>5</v>
      </c>
      <c r="J392" s="5">
        <v>45424</v>
      </c>
      <c r="K392" s="6">
        <v>0.56086805555555552</v>
      </c>
    </row>
    <row r="393" spans="1:11" x14ac:dyDescent="0.25">
      <c r="A393" s="4">
        <v>15</v>
      </c>
      <c r="B393" s="4" t="s">
        <v>11</v>
      </c>
      <c r="C393" s="7">
        <v>37.72</v>
      </c>
      <c r="D393" s="4" t="s">
        <v>12</v>
      </c>
      <c r="E393" s="4" t="s">
        <v>17</v>
      </c>
      <c r="F393" s="4" t="s">
        <v>23</v>
      </c>
      <c r="G393" s="4" t="s">
        <v>32</v>
      </c>
      <c r="H393" s="4">
        <v>7</v>
      </c>
      <c r="I393" s="4">
        <v>5</v>
      </c>
      <c r="J393" s="5">
        <v>45424</v>
      </c>
      <c r="K393" s="6">
        <v>0.63633101851851848</v>
      </c>
    </row>
    <row r="394" spans="1:11" x14ac:dyDescent="0.25">
      <c r="A394" s="4">
        <v>15</v>
      </c>
      <c r="B394" s="4" t="s">
        <v>11</v>
      </c>
      <c r="C394" s="7">
        <v>32.82</v>
      </c>
      <c r="D394" s="4" t="s">
        <v>19</v>
      </c>
      <c r="E394" s="4" t="s">
        <v>17</v>
      </c>
      <c r="F394" s="4" t="s">
        <v>23</v>
      </c>
      <c r="G394" s="4" t="s">
        <v>32</v>
      </c>
      <c r="H394" s="4">
        <v>7</v>
      </c>
      <c r="I394" s="4">
        <v>5</v>
      </c>
      <c r="J394" s="5">
        <v>45424</v>
      </c>
      <c r="K394" s="6">
        <v>0.65141203703703698</v>
      </c>
    </row>
    <row r="395" spans="1:11" x14ac:dyDescent="0.25">
      <c r="A395" s="4">
        <v>15</v>
      </c>
      <c r="B395" s="4" t="s">
        <v>11</v>
      </c>
      <c r="C395" s="7">
        <v>32.82</v>
      </c>
      <c r="D395" s="4" t="s">
        <v>19</v>
      </c>
      <c r="E395" s="4" t="s">
        <v>17</v>
      </c>
      <c r="F395" s="4" t="s">
        <v>23</v>
      </c>
      <c r="G395" s="4" t="s">
        <v>32</v>
      </c>
      <c r="H395" s="4">
        <v>7</v>
      </c>
      <c r="I395" s="4">
        <v>5</v>
      </c>
      <c r="J395" s="5">
        <v>45424</v>
      </c>
      <c r="K395" s="6">
        <v>0.66127314814814819</v>
      </c>
    </row>
    <row r="396" spans="1:11" x14ac:dyDescent="0.25">
      <c r="A396" s="4">
        <v>16</v>
      </c>
      <c r="B396" s="4" t="s">
        <v>11</v>
      </c>
      <c r="C396" s="7">
        <v>32.82</v>
      </c>
      <c r="D396" s="4" t="s">
        <v>19</v>
      </c>
      <c r="E396" s="4" t="s">
        <v>17</v>
      </c>
      <c r="F396" s="4" t="s">
        <v>23</v>
      </c>
      <c r="G396" s="4" t="s">
        <v>32</v>
      </c>
      <c r="H396" s="4">
        <v>7</v>
      </c>
      <c r="I396" s="4">
        <v>5</v>
      </c>
      <c r="J396" s="5">
        <v>45424</v>
      </c>
      <c r="K396" s="6">
        <v>0.66968749999999999</v>
      </c>
    </row>
    <row r="397" spans="1:11" x14ac:dyDescent="0.25">
      <c r="A397" s="4">
        <v>19</v>
      </c>
      <c r="B397" s="4" t="s">
        <v>11</v>
      </c>
      <c r="C397" s="7">
        <v>32.82</v>
      </c>
      <c r="D397" s="4" t="s">
        <v>19</v>
      </c>
      <c r="E397" s="4" t="s">
        <v>20</v>
      </c>
      <c r="F397" s="4" t="s">
        <v>23</v>
      </c>
      <c r="G397" s="4" t="s">
        <v>32</v>
      </c>
      <c r="H397" s="4">
        <v>7</v>
      </c>
      <c r="I397" s="4">
        <v>5</v>
      </c>
      <c r="J397" s="5">
        <v>45424</v>
      </c>
      <c r="K397" s="6">
        <v>0.82048611111111114</v>
      </c>
    </row>
    <row r="398" spans="1:11" x14ac:dyDescent="0.25">
      <c r="A398" s="4">
        <v>11</v>
      </c>
      <c r="B398" s="4" t="s">
        <v>11</v>
      </c>
      <c r="C398" s="7">
        <v>32.82</v>
      </c>
      <c r="D398" s="4" t="s">
        <v>19</v>
      </c>
      <c r="E398" s="4" t="s">
        <v>13</v>
      </c>
      <c r="F398" s="4" t="s">
        <v>25</v>
      </c>
      <c r="G398" s="4" t="s">
        <v>32</v>
      </c>
      <c r="H398" s="4">
        <v>1</v>
      </c>
      <c r="I398" s="4">
        <v>5</v>
      </c>
      <c r="J398" s="5">
        <v>45425</v>
      </c>
      <c r="K398" s="6">
        <v>0.46103009259259259</v>
      </c>
    </row>
    <row r="399" spans="1:11" x14ac:dyDescent="0.25">
      <c r="A399" s="4">
        <v>8</v>
      </c>
      <c r="B399" s="4" t="s">
        <v>11</v>
      </c>
      <c r="C399" s="7">
        <v>27.92</v>
      </c>
      <c r="D399" s="4" t="s">
        <v>18</v>
      </c>
      <c r="E399" s="4" t="s">
        <v>13</v>
      </c>
      <c r="F399" s="4" t="s">
        <v>27</v>
      </c>
      <c r="G399" s="4" t="s">
        <v>32</v>
      </c>
      <c r="H399" s="4">
        <v>2</v>
      </c>
      <c r="I399" s="4">
        <v>5</v>
      </c>
      <c r="J399" s="5">
        <v>45426</v>
      </c>
      <c r="K399" s="6">
        <v>0.35988425925925926</v>
      </c>
    </row>
    <row r="400" spans="1:11" x14ac:dyDescent="0.25">
      <c r="A400" s="4">
        <v>8</v>
      </c>
      <c r="B400" s="4" t="s">
        <v>11</v>
      </c>
      <c r="C400" s="7">
        <v>27.92</v>
      </c>
      <c r="D400" s="4" t="s">
        <v>18</v>
      </c>
      <c r="E400" s="4" t="s">
        <v>13</v>
      </c>
      <c r="F400" s="4" t="s">
        <v>27</v>
      </c>
      <c r="G400" s="4" t="s">
        <v>32</v>
      </c>
      <c r="H400" s="4">
        <v>2</v>
      </c>
      <c r="I400" s="4">
        <v>5</v>
      </c>
      <c r="J400" s="5">
        <v>45426</v>
      </c>
      <c r="K400" s="6">
        <v>0.36070601851851852</v>
      </c>
    </row>
    <row r="401" spans="1:11" x14ac:dyDescent="0.25">
      <c r="A401" s="4">
        <v>8</v>
      </c>
      <c r="B401" s="4" t="s">
        <v>11</v>
      </c>
      <c r="C401" s="7">
        <v>27.92</v>
      </c>
      <c r="D401" s="4" t="s">
        <v>18</v>
      </c>
      <c r="E401" s="4" t="s">
        <v>13</v>
      </c>
      <c r="F401" s="4" t="s">
        <v>27</v>
      </c>
      <c r="G401" s="4" t="s">
        <v>32</v>
      </c>
      <c r="H401" s="4">
        <v>2</v>
      </c>
      <c r="I401" s="4">
        <v>5</v>
      </c>
      <c r="J401" s="5">
        <v>45426</v>
      </c>
      <c r="K401" s="6">
        <v>0.36130787037037038</v>
      </c>
    </row>
    <row r="402" spans="1:11" x14ac:dyDescent="0.25">
      <c r="A402" s="4">
        <v>10</v>
      </c>
      <c r="B402" s="4" t="s">
        <v>11</v>
      </c>
      <c r="C402" s="7">
        <v>37.72</v>
      </c>
      <c r="D402" s="4" t="s">
        <v>29</v>
      </c>
      <c r="E402" s="4" t="s">
        <v>13</v>
      </c>
      <c r="F402" s="4" t="s">
        <v>27</v>
      </c>
      <c r="G402" s="4" t="s">
        <v>32</v>
      </c>
      <c r="H402" s="4">
        <v>2</v>
      </c>
      <c r="I402" s="4">
        <v>5</v>
      </c>
      <c r="J402" s="5">
        <v>45426</v>
      </c>
      <c r="K402" s="6">
        <v>0.43012731481481481</v>
      </c>
    </row>
    <row r="403" spans="1:11" x14ac:dyDescent="0.25">
      <c r="A403" s="4">
        <v>11</v>
      </c>
      <c r="B403" s="4" t="s">
        <v>11</v>
      </c>
      <c r="C403" s="7">
        <v>37.72</v>
      </c>
      <c r="D403" s="4" t="s">
        <v>12</v>
      </c>
      <c r="E403" s="4" t="s">
        <v>13</v>
      </c>
      <c r="F403" s="4" t="s">
        <v>27</v>
      </c>
      <c r="G403" s="4" t="s">
        <v>32</v>
      </c>
      <c r="H403" s="4">
        <v>2</v>
      </c>
      <c r="I403" s="4">
        <v>5</v>
      </c>
      <c r="J403" s="5">
        <v>45426</v>
      </c>
      <c r="K403" s="6">
        <v>0.4808912037037037</v>
      </c>
    </row>
    <row r="404" spans="1:11" x14ac:dyDescent="0.25">
      <c r="A404" s="4">
        <v>11</v>
      </c>
      <c r="B404" s="4" t="s">
        <v>11</v>
      </c>
      <c r="C404" s="7">
        <v>37.72</v>
      </c>
      <c r="D404" s="4" t="s">
        <v>29</v>
      </c>
      <c r="E404" s="4" t="s">
        <v>13</v>
      </c>
      <c r="F404" s="4" t="s">
        <v>27</v>
      </c>
      <c r="G404" s="4" t="s">
        <v>32</v>
      </c>
      <c r="H404" s="4">
        <v>2</v>
      </c>
      <c r="I404" s="4">
        <v>5</v>
      </c>
      <c r="J404" s="5">
        <v>45426</v>
      </c>
      <c r="K404" s="6">
        <v>0.48208333333333331</v>
      </c>
    </row>
    <row r="405" spans="1:11" x14ac:dyDescent="0.25">
      <c r="A405" s="4">
        <v>14</v>
      </c>
      <c r="B405" s="4" t="s">
        <v>11</v>
      </c>
      <c r="C405" s="7">
        <v>37.72</v>
      </c>
      <c r="D405" s="4" t="s">
        <v>29</v>
      </c>
      <c r="E405" s="4" t="s">
        <v>17</v>
      </c>
      <c r="F405" s="4" t="s">
        <v>27</v>
      </c>
      <c r="G405" s="4" t="s">
        <v>32</v>
      </c>
      <c r="H405" s="4">
        <v>2</v>
      </c>
      <c r="I405" s="4">
        <v>5</v>
      </c>
      <c r="J405" s="5">
        <v>45426</v>
      </c>
      <c r="K405" s="6">
        <v>0.58673611111111112</v>
      </c>
    </row>
    <row r="406" spans="1:11" x14ac:dyDescent="0.25">
      <c r="A406" s="4">
        <v>14</v>
      </c>
      <c r="B406" s="4" t="s">
        <v>11</v>
      </c>
      <c r="C406" s="7">
        <v>32.82</v>
      </c>
      <c r="D406" s="4" t="s">
        <v>19</v>
      </c>
      <c r="E406" s="4" t="s">
        <v>17</v>
      </c>
      <c r="F406" s="4" t="s">
        <v>27</v>
      </c>
      <c r="G406" s="4" t="s">
        <v>32</v>
      </c>
      <c r="H406" s="4">
        <v>2</v>
      </c>
      <c r="I406" s="4">
        <v>5</v>
      </c>
      <c r="J406" s="5">
        <v>45426</v>
      </c>
      <c r="K406" s="6">
        <v>0.58750000000000002</v>
      </c>
    </row>
    <row r="407" spans="1:11" x14ac:dyDescent="0.25">
      <c r="A407" s="4">
        <v>15</v>
      </c>
      <c r="B407" s="4" t="s">
        <v>11</v>
      </c>
      <c r="C407" s="7">
        <v>27.92</v>
      </c>
      <c r="D407" s="4" t="s">
        <v>18</v>
      </c>
      <c r="E407" s="4" t="s">
        <v>17</v>
      </c>
      <c r="F407" s="4" t="s">
        <v>27</v>
      </c>
      <c r="G407" s="4" t="s">
        <v>32</v>
      </c>
      <c r="H407" s="4">
        <v>2</v>
      </c>
      <c r="I407" s="4">
        <v>5</v>
      </c>
      <c r="J407" s="5">
        <v>45426</v>
      </c>
      <c r="K407" s="6">
        <v>0.62631944444444443</v>
      </c>
    </row>
    <row r="408" spans="1:11" x14ac:dyDescent="0.25">
      <c r="A408" s="4">
        <v>16</v>
      </c>
      <c r="B408" s="4" t="s">
        <v>11</v>
      </c>
      <c r="C408" s="7">
        <v>32.82</v>
      </c>
      <c r="D408" s="4" t="s">
        <v>19</v>
      </c>
      <c r="E408" s="4" t="s">
        <v>17</v>
      </c>
      <c r="F408" s="4" t="s">
        <v>27</v>
      </c>
      <c r="G408" s="4" t="s">
        <v>32</v>
      </c>
      <c r="H408" s="4">
        <v>2</v>
      </c>
      <c r="I408" s="4">
        <v>5</v>
      </c>
      <c r="J408" s="5">
        <v>45426</v>
      </c>
      <c r="K408" s="6">
        <v>0.70690972222222226</v>
      </c>
    </row>
    <row r="409" spans="1:11" x14ac:dyDescent="0.25">
      <c r="A409" s="4">
        <v>16</v>
      </c>
      <c r="B409" s="4" t="s">
        <v>11</v>
      </c>
      <c r="C409" s="7">
        <v>37.72</v>
      </c>
      <c r="D409" s="4" t="s">
        <v>29</v>
      </c>
      <c r="E409" s="4" t="s">
        <v>17</v>
      </c>
      <c r="F409" s="4" t="s">
        <v>27</v>
      </c>
      <c r="G409" s="4" t="s">
        <v>32</v>
      </c>
      <c r="H409" s="4">
        <v>2</v>
      </c>
      <c r="I409" s="4">
        <v>5</v>
      </c>
      <c r="J409" s="5">
        <v>45426</v>
      </c>
      <c r="K409" s="6">
        <v>0.70775462962962965</v>
      </c>
    </row>
    <row r="410" spans="1:11" x14ac:dyDescent="0.25">
      <c r="A410" s="4">
        <v>22</v>
      </c>
      <c r="B410" s="4" t="s">
        <v>11</v>
      </c>
      <c r="C410" s="7">
        <v>37.72</v>
      </c>
      <c r="D410" s="4" t="s">
        <v>16</v>
      </c>
      <c r="E410" s="4" t="s">
        <v>20</v>
      </c>
      <c r="F410" s="4" t="s">
        <v>27</v>
      </c>
      <c r="G410" s="4" t="s">
        <v>32</v>
      </c>
      <c r="H410" s="4">
        <v>2</v>
      </c>
      <c r="I410" s="4">
        <v>5</v>
      </c>
      <c r="J410" s="5">
        <v>45426</v>
      </c>
      <c r="K410" s="6">
        <v>0.95237268518518514</v>
      </c>
    </row>
    <row r="411" spans="1:11" x14ac:dyDescent="0.25">
      <c r="A411" s="4">
        <v>8</v>
      </c>
      <c r="B411" s="4" t="s">
        <v>11</v>
      </c>
      <c r="C411" s="7">
        <v>37.72</v>
      </c>
      <c r="D411" s="4" t="s">
        <v>12</v>
      </c>
      <c r="E411" s="4" t="s">
        <v>13</v>
      </c>
      <c r="F411" s="4" t="s">
        <v>28</v>
      </c>
      <c r="G411" s="4" t="s">
        <v>32</v>
      </c>
      <c r="H411" s="4">
        <v>3</v>
      </c>
      <c r="I411" s="4">
        <v>5</v>
      </c>
      <c r="J411" s="5">
        <v>45427</v>
      </c>
      <c r="K411" s="6">
        <v>0.36116898148148147</v>
      </c>
    </row>
    <row r="412" spans="1:11" x14ac:dyDescent="0.25">
      <c r="A412" s="4">
        <v>11</v>
      </c>
      <c r="B412" s="4" t="s">
        <v>11</v>
      </c>
      <c r="C412" s="7">
        <v>23.02</v>
      </c>
      <c r="D412" s="4" t="s">
        <v>26</v>
      </c>
      <c r="E412" s="4" t="s">
        <v>13</v>
      </c>
      <c r="F412" s="4" t="s">
        <v>28</v>
      </c>
      <c r="G412" s="4" t="s">
        <v>32</v>
      </c>
      <c r="H412" s="4">
        <v>3</v>
      </c>
      <c r="I412" s="4">
        <v>5</v>
      </c>
      <c r="J412" s="5">
        <v>45427</v>
      </c>
      <c r="K412" s="6">
        <v>0.46827546296296296</v>
      </c>
    </row>
    <row r="413" spans="1:11" x14ac:dyDescent="0.25">
      <c r="A413" s="4">
        <v>11</v>
      </c>
      <c r="B413" s="4" t="s">
        <v>11</v>
      </c>
      <c r="C413" s="7">
        <v>27.92</v>
      </c>
      <c r="D413" s="4" t="s">
        <v>18</v>
      </c>
      <c r="E413" s="4" t="s">
        <v>13</v>
      </c>
      <c r="F413" s="4" t="s">
        <v>28</v>
      </c>
      <c r="G413" s="4" t="s">
        <v>32</v>
      </c>
      <c r="H413" s="4">
        <v>3</v>
      </c>
      <c r="I413" s="4">
        <v>5</v>
      </c>
      <c r="J413" s="5">
        <v>45427</v>
      </c>
      <c r="K413" s="6">
        <v>0.47164351851851855</v>
      </c>
    </row>
    <row r="414" spans="1:11" x14ac:dyDescent="0.25">
      <c r="A414" s="4">
        <v>13</v>
      </c>
      <c r="B414" s="4" t="s">
        <v>11</v>
      </c>
      <c r="C414" s="7">
        <v>27.92</v>
      </c>
      <c r="D414" s="4" t="s">
        <v>18</v>
      </c>
      <c r="E414" s="4" t="s">
        <v>17</v>
      </c>
      <c r="F414" s="4" t="s">
        <v>28</v>
      </c>
      <c r="G414" s="4" t="s">
        <v>32</v>
      </c>
      <c r="H414" s="4">
        <v>3</v>
      </c>
      <c r="I414" s="4">
        <v>5</v>
      </c>
      <c r="J414" s="5">
        <v>45427</v>
      </c>
      <c r="K414" s="6">
        <v>0.56568287037037035</v>
      </c>
    </row>
    <row r="415" spans="1:11" x14ac:dyDescent="0.25">
      <c r="A415" s="4">
        <v>13</v>
      </c>
      <c r="B415" s="4" t="s">
        <v>11</v>
      </c>
      <c r="C415" s="7">
        <v>27.92</v>
      </c>
      <c r="D415" s="4" t="s">
        <v>18</v>
      </c>
      <c r="E415" s="4" t="s">
        <v>17</v>
      </c>
      <c r="F415" s="4" t="s">
        <v>28</v>
      </c>
      <c r="G415" s="4" t="s">
        <v>32</v>
      </c>
      <c r="H415" s="4">
        <v>3</v>
      </c>
      <c r="I415" s="4">
        <v>5</v>
      </c>
      <c r="J415" s="5">
        <v>45427</v>
      </c>
      <c r="K415" s="6">
        <v>0.56630787037037034</v>
      </c>
    </row>
    <row r="416" spans="1:11" x14ac:dyDescent="0.25">
      <c r="A416" s="4">
        <v>13</v>
      </c>
      <c r="B416" s="4" t="s">
        <v>11</v>
      </c>
      <c r="C416" s="7">
        <v>27.92</v>
      </c>
      <c r="D416" s="4" t="s">
        <v>18</v>
      </c>
      <c r="E416" s="4" t="s">
        <v>17</v>
      </c>
      <c r="F416" s="4" t="s">
        <v>28</v>
      </c>
      <c r="G416" s="4" t="s">
        <v>32</v>
      </c>
      <c r="H416" s="4">
        <v>3</v>
      </c>
      <c r="I416" s="4">
        <v>5</v>
      </c>
      <c r="J416" s="5">
        <v>45427</v>
      </c>
      <c r="K416" s="6">
        <v>0.5669791666666667</v>
      </c>
    </row>
    <row r="417" spans="1:11" x14ac:dyDescent="0.25">
      <c r="A417" s="4">
        <v>13</v>
      </c>
      <c r="B417" s="4" t="s">
        <v>11</v>
      </c>
      <c r="C417" s="7">
        <v>32.82</v>
      </c>
      <c r="D417" s="4" t="s">
        <v>19</v>
      </c>
      <c r="E417" s="4" t="s">
        <v>17</v>
      </c>
      <c r="F417" s="4" t="s">
        <v>28</v>
      </c>
      <c r="G417" s="4" t="s">
        <v>32</v>
      </c>
      <c r="H417" s="4">
        <v>3</v>
      </c>
      <c r="I417" s="4">
        <v>5</v>
      </c>
      <c r="J417" s="5">
        <v>45427</v>
      </c>
      <c r="K417" s="6">
        <v>0.58018518518518514</v>
      </c>
    </row>
    <row r="418" spans="1:11" x14ac:dyDescent="0.25">
      <c r="A418" s="4">
        <v>14</v>
      </c>
      <c r="B418" s="4" t="s">
        <v>11</v>
      </c>
      <c r="C418" s="7">
        <v>27.92</v>
      </c>
      <c r="D418" s="4" t="s">
        <v>24</v>
      </c>
      <c r="E418" s="4" t="s">
        <v>17</v>
      </c>
      <c r="F418" s="4" t="s">
        <v>28</v>
      </c>
      <c r="G418" s="4" t="s">
        <v>32</v>
      </c>
      <c r="H418" s="4">
        <v>3</v>
      </c>
      <c r="I418" s="4">
        <v>5</v>
      </c>
      <c r="J418" s="5">
        <v>45427</v>
      </c>
      <c r="K418" s="6">
        <v>0.61032407407407407</v>
      </c>
    </row>
    <row r="419" spans="1:11" x14ac:dyDescent="0.25">
      <c r="A419" s="4">
        <v>14</v>
      </c>
      <c r="B419" s="4" t="s">
        <v>11</v>
      </c>
      <c r="C419" s="7">
        <v>27.92</v>
      </c>
      <c r="D419" s="4" t="s">
        <v>24</v>
      </c>
      <c r="E419" s="4" t="s">
        <v>17</v>
      </c>
      <c r="F419" s="4" t="s">
        <v>28</v>
      </c>
      <c r="G419" s="4" t="s">
        <v>32</v>
      </c>
      <c r="H419" s="4">
        <v>3</v>
      </c>
      <c r="I419" s="4">
        <v>5</v>
      </c>
      <c r="J419" s="5">
        <v>45427</v>
      </c>
      <c r="K419" s="6">
        <v>0.61092592592592587</v>
      </c>
    </row>
    <row r="420" spans="1:11" x14ac:dyDescent="0.25">
      <c r="A420" s="4">
        <v>17</v>
      </c>
      <c r="B420" s="4" t="s">
        <v>11</v>
      </c>
      <c r="C420" s="7">
        <v>23.02</v>
      </c>
      <c r="D420" s="4" t="s">
        <v>26</v>
      </c>
      <c r="E420" s="4" t="s">
        <v>20</v>
      </c>
      <c r="F420" s="4" t="s">
        <v>28</v>
      </c>
      <c r="G420" s="4" t="s">
        <v>32</v>
      </c>
      <c r="H420" s="4">
        <v>3</v>
      </c>
      <c r="I420" s="4">
        <v>5</v>
      </c>
      <c r="J420" s="5">
        <v>45427</v>
      </c>
      <c r="K420" s="6">
        <v>0.72844907407407411</v>
      </c>
    </row>
    <row r="421" spans="1:11" x14ac:dyDescent="0.25">
      <c r="A421" s="4">
        <v>20</v>
      </c>
      <c r="B421" s="4" t="s">
        <v>11</v>
      </c>
      <c r="C421" s="7">
        <v>37.72</v>
      </c>
      <c r="D421" s="4" t="s">
        <v>29</v>
      </c>
      <c r="E421" s="4" t="s">
        <v>20</v>
      </c>
      <c r="F421" s="4" t="s">
        <v>28</v>
      </c>
      <c r="G421" s="4" t="s">
        <v>32</v>
      </c>
      <c r="H421" s="4">
        <v>3</v>
      </c>
      <c r="I421" s="4">
        <v>5</v>
      </c>
      <c r="J421" s="5">
        <v>45427</v>
      </c>
      <c r="K421" s="6">
        <v>0.84761574074074075</v>
      </c>
    </row>
    <row r="422" spans="1:11" x14ac:dyDescent="0.25">
      <c r="A422" s="4">
        <v>10</v>
      </c>
      <c r="B422" s="4" t="s">
        <v>11</v>
      </c>
      <c r="C422" s="7">
        <v>32.82</v>
      </c>
      <c r="D422" s="4" t="s">
        <v>19</v>
      </c>
      <c r="E422" s="4" t="s">
        <v>13</v>
      </c>
      <c r="F422" s="4" t="s">
        <v>30</v>
      </c>
      <c r="G422" s="4" t="s">
        <v>32</v>
      </c>
      <c r="H422" s="4">
        <v>4</v>
      </c>
      <c r="I422" s="4">
        <v>5</v>
      </c>
      <c r="J422" s="5">
        <v>45428</v>
      </c>
      <c r="K422" s="6">
        <v>0.44354166666666667</v>
      </c>
    </row>
    <row r="423" spans="1:11" x14ac:dyDescent="0.25">
      <c r="A423" s="4">
        <v>10</v>
      </c>
      <c r="B423" s="4" t="s">
        <v>11</v>
      </c>
      <c r="C423" s="7">
        <v>32.82</v>
      </c>
      <c r="D423" s="4" t="s">
        <v>19</v>
      </c>
      <c r="E423" s="4" t="s">
        <v>13</v>
      </c>
      <c r="F423" s="4" t="s">
        <v>30</v>
      </c>
      <c r="G423" s="4" t="s">
        <v>32</v>
      </c>
      <c r="H423" s="4">
        <v>4</v>
      </c>
      <c r="I423" s="4">
        <v>5</v>
      </c>
      <c r="J423" s="5">
        <v>45428</v>
      </c>
      <c r="K423" s="6">
        <v>0.4443171296296296</v>
      </c>
    </row>
    <row r="424" spans="1:11" x14ac:dyDescent="0.25">
      <c r="A424" s="4">
        <v>12</v>
      </c>
      <c r="B424" s="4" t="s">
        <v>11</v>
      </c>
      <c r="C424" s="7">
        <v>32.82</v>
      </c>
      <c r="D424" s="4" t="s">
        <v>19</v>
      </c>
      <c r="E424" s="4" t="s">
        <v>17</v>
      </c>
      <c r="F424" s="4" t="s">
        <v>30</v>
      </c>
      <c r="G424" s="4" t="s">
        <v>32</v>
      </c>
      <c r="H424" s="4">
        <v>4</v>
      </c>
      <c r="I424" s="4">
        <v>5</v>
      </c>
      <c r="J424" s="5">
        <v>45428</v>
      </c>
      <c r="K424" s="6">
        <v>0.50972222222222219</v>
      </c>
    </row>
    <row r="425" spans="1:11" x14ac:dyDescent="0.25">
      <c r="A425" s="4">
        <v>15</v>
      </c>
      <c r="B425" s="4" t="s">
        <v>11</v>
      </c>
      <c r="C425" s="7">
        <v>37.72</v>
      </c>
      <c r="D425" s="4" t="s">
        <v>16</v>
      </c>
      <c r="E425" s="4" t="s">
        <v>17</v>
      </c>
      <c r="F425" s="4" t="s">
        <v>30</v>
      </c>
      <c r="G425" s="4" t="s">
        <v>32</v>
      </c>
      <c r="H425" s="4">
        <v>4</v>
      </c>
      <c r="I425" s="4">
        <v>5</v>
      </c>
      <c r="J425" s="5">
        <v>45428</v>
      </c>
      <c r="K425" s="6">
        <v>0.63560185185185181</v>
      </c>
    </row>
    <row r="426" spans="1:11" x14ac:dyDescent="0.25">
      <c r="A426" s="4">
        <v>17</v>
      </c>
      <c r="B426" s="4" t="s">
        <v>11</v>
      </c>
      <c r="C426" s="7">
        <v>37.72</v>
      </c>
      <c r="D426" s="4" t="s">
        <v>12</v>
      </c>
      <c r="E426" s="4" t="s">
        <v>20</v>
      </c>
      <c r="F426" s="4" t="s">
        <v>30</v>
      </c>
      <c r="G426" s="4" t="s">
        <v>32</v>
      </c>
      <c r="H426" s="4">
        <v>4</v>
      </c>
      <c r="I426" s="4">
        <v>5</v>
      </c>
      <c r="J426" s="5">
        <v>45428</v>
      </c>
      <c r="K426" s="6">
        <v>0.73924768518518513</v>
      </c>
    </row>
    <row r="427" spans="1:11" x14ac:dyDescent="0.25">
      <c r="A427" s="4">
        <v>18</v>
      </c>
      <c r="B427" s="4" t="s">
        <v>11</v>
      </c>
      <c r="C427" s="7">
        <v>37.72</v>
      </c>
      <c r="D427" s="4" t="s">
        <v>16</v>
      </c>
      <c r="E427" s="4" t="s">
        <v>20</v>
      </c>
      <c r="F427" s="4" t="s">
        <v>30</v>
      </c>
      <c r="G427" s="4" t="s">
        <v>32</v>
      </c>
      <c r="H427" s="4">
        <v>4</v>
      </c>
      <c r="I427" s="4">
        <v>5</v>
      </c>
      <c r="J427" s="5">
        <v>45428</v>
      </c>
      <c r="K427" s="6">
        <v>0.75898148148148148</v>
      </c>
    </row>
    <row r="428" spans="1:11" x14ac:dyDescent="0.25">
      <c r="A428" s="4">
        <v>18</v>
      </c>
      <c r="B428" s="4" t="s">
        <v>11</v>
      </c>
      <c r="C428" s="7">
        <v>37.72</v>
      </c>
      <c r="D428" s="4" t="s">
        <v>12</v>
      </c>
      <c r="E428" s="4" t="s">
        <v>20</v>
      </c>
      <c r="F428" s="4" t="s">
        <v>30</v>
      </c>
      <c r="G428" s="4" t="s">
        <v>32</v>
      </c>
      <c r="H428" s="4">
        <v>4</v>
      </c>
      <c r="I428" s="4">
        <v>5</v>
      </c>
      <c r="J428" s="5">
        <v>45428</v>
      </c>
      <c r="K428" s="6">
        <v>0.75969907407407411</v>
      </c>
    </row>
    <row r="429" spans="1:11" x14ac:dyDescent="0.25">
      <c r="A429" s="4">
        <v>9</v>
      </c>
      <c r="B429" s="4" t="s">
        <v>11</v>
      </c>
      <c r="C429" s="7">
        <v>27.92</v>
      </c>
      <c r="D429" s="4" t="s">
        <v>18</v>
      </c>
      <c r="E429" s="4" t="s">
        <v>13</v>
      </c>
      <c r="F429" s="4" t="s">
        <v>14</v>
      </c>
      <c r="G429" s="4" t="s">
        <v>32</v>
      </c>
      <c r="H429" s="4">
        <v>5</v>
      </c>
      <c r="I429" s="4">
        <v>5</v>
      </c>
      <c r="J429" s="5">
        <v>45429</v>
      </c>
      <c r="K429" s="6">
        <v>0.37555555555555553</v>
      </c>
    </row>
    <row r="430" spans="1:11" x14ac:dyDescent="0.25">
      <c r="A430" s="4">
        <v>11</v>
      </c>
      <c r="B430" s="4" t="s">
        <v>11</v>
      </c>
      <c r="C430" s="7">
        <v>32.82</v>
      </c>
      <c r="D430" s="4" t="s">
        <v>19</v>
      </c>
      <c r="E430" s="4" t="s">
        <v>13</v>
      </c>
      <c r="F430" s="4" t="s">
        <v>14</v>
      </c>
      <c r="G430" s="4" t="s">
        <v>32</v>
      </c>
      <c r="H430" s="4">
        <v>5</v>
      </c>
      <c r="I430" s="4">
        <v>5</v>
      </c>
      <c r="J430" s="5">
        <v>45429</v>
      </c>
      <c r="K430" s="6">
        <v>0.47947916666666668</v>
      </c>
    </row>
    <row r="431" spans="1:11" x14ac:dyDescent="0.25">
      <c r="A431" s="4">
        <v>19</v>
      </c>
      <c r="B431" s="4" t="s">
        <v>11</v>
      </c>
      <c r="C431" s="7">
        <v>32.82</v>
      </c>
      <c r="D431" s="4" t="s">
        <v>19</v>
      </c>
      <c r="E431" s="4" t="s">
        <v>20</v>
      </c>
      <c r="F431" s="4" t="s">
        <v>14</v>
      </c>
      <c r="G431" s="4" t="s">
        <v>32</v>
      </c>
      <c r="H431" s="4">
        <v>5</v>
      </c>
      <c r="I431" s="4">
        <v>5</v>
      </c>
      <c r="J431" s="5">
        <v>45429</v>
      </c>
      <c r="K431" s="6">
        <v>0.83006944444444442</v>
      </c>
    </row>
    <row r="432" spans="1:11" x14ac:dyDescent="0.25">
      <c r="A432" s="4">
        <v>19</v>
      </c>
      <c r="B432" s="4" t="s">
        <v>11</v>
      </c>
      <c r="C432" s="7">
        <v>37.72</v>
      </c>
      <c r="D432" s="4" t="s">
        <v>29</v>
      </c>
      <c r="E432" s="4" t="s">
        <v>20</v>
      </c>
      <c r="F432" s="4" t="s">
        <v>14</v>
      </c>
      <c r="G432" s="4" t="s">
        <v>32</v>
      </c>
      <c r="H432" s="4">
        <v>5</v>
      </c>
      <c r="I432" s="4">
        <v>5</v>
      </c>
      <c r="J432" s="5">
        <v>45429</v>
      </c>
      <c r="K432" s="6">
        <v>0.83108796296296295</v>
      </c>
    </row>
    <row r="433" spans="1:11" x14ac:dyDescent="0.25">
      <c r="A433" s="4">
        <v>20</v>
      </c>
      <c r="B433" s="4" t="s">
        <v>11</v>
      </c>
      <c r="C433" s="7">
        <v>37.72</v>
      </c>
      <c r="D433" s="4" t="s">
        <v>29</v>
      </c>
      <c r="E433" s="4" t="s">
        <v>20</v>
      </c>
      <c r="F433" s="4" t="s">
        <v>14</v>
      </c>
      <c r="G433" s="4" t="s">
        <v>32</v>
      </c>
      <c r="H433" s="4">
        <v>5</v>
      </c>
      <c r="I433" s="4">
        <v>5</v>
      </c>
      <c r="J433" s="5">
        <v>45429</v>
      </c>
      <c r="K433" s="6">
        <v>0.85962962962962963</v>
      </c>
    </row>
    <row r="434" spans="1:11" x14ac:dyDescent="0.25">
      <c r="A434" s="4">
        <v>22</v>
      </c>
      <c r="B434" s="4" t="s">
        <v>11</v>
      </c>
      <c r="C434" s="7">
        <v>27.92</v>
      </c>
      <c r="D434" s="4" t="s">
        <v>18</v>
      </c>
      <c r="E434" s="4" t="s">
        <v>20</v>
      </c>
      <c r="F434" s="4" t="s">
        <v>14</v>
      </c>
      <c r="G434" s="4" t="s">
        <v>32</v>
      </c>
      <c r="H434" s="4">
        <v>5</v>
      </c>
      <c r="I434" s="4">
        <v>5</v>
      </c>
      <c r="J434" s="5">
        <v>45429</v>
      </c>
      <c r="K434" s="6">
        <v>0.94085648148148149</v>
      </c>
    </row>
    <row r="435" spans="1:11" x14ac:dyDescent="0.25">
      <c r="A435" s="4">
        <v>22</v>
      </c>
      <c r="B435" s="4" t="s">
        <v>11</v>
      </c>
      <c r="C435" s="7">
        <v>37.72</v>
      </c>
      <c r="D435" s="4" t="s">
        <v>12</v>
      </c>
      <c r="E435" s="4" t="s">
        <v>20</v>
      </c>
      <c r="F435" s="4" t="s">
        <v>14</v>
      </c>
      <c r="G435" s="4" t="s">
        <v>32</v>
      </c>
      <c r="H435" s="4">
        <v>5</v>
      </c>
      <c r="I435" s="4">
        <v>5</v>
      </c>
      <c r="J435" s="5">
        <v>45429</v>
      </c>
      <c r="K435" s="6">
        <v>0.94204861111111116</v>
      </c>
    </row>
    <row r="436" spans="1:11" x14ac:dyDescent="0.25">
      <c r="A436" s="4">
        <v>22</v>
      </c>
      <c r="B436" s="4" t="s">
        <v>11</v>
      </c>
      <c r="C436" s="7">
        <v>37.72</v>
      </c>
      <c r="D436" s="4" t="s">
        <v>12</v>
      </c>
      <c r="E436" s="4" t="s">
        <v>20</v>
      </c>
      <c r="F436" s="4" t="s">
        <v>14</v>
      </c>
      <c r="G436" s="4" t="s">
        <v>32</v>
      </c>
      <c r="H436" s="4">
        <v>5</v>
      </c>
      <c r="I436" s="4">
        <v>5</v>
      </c>
      <c r="J436" s="5">
        <v>45429</v>
      </c>
      <c r="K436" s="6">
        <v>0.94284722222222217</v>
      </c>
    </row>
    <row r="437" spans="1:11" x14ac:dyDescent="0.25">
      <c r="A437" s="4">
        <v>8</v>
      </c>
      <c r="B437" s="4" t="s">
        <v>11</v>
      </c>
      <c r="C437" s="7">
        <v>37.72</v>
      </c>
      <c r="D437" s="4" t="s">
        <v>29</v>
      </c>
      <c r="E437" s="4" t="s">
        <v>13</v>
      </c>
      <c r="F437" s="4" t="s">
        <v>22</v>
      </c>
      <c r="G437" s="4" t="s">
        <v>32</v>
      </c>
      <c r="H437" s="4">
        <v>6</v>
      </c>
      <c r="I437" s="4">
        <v>5</v>
      </c>
      <c r="J437" s="5">
        <v>45430</v>
      </c>
      <c r="K437" s="6">
        <v>0.33445601851851853</v>
      </c>
    </row>
    <row r="438" spans="1:11" x14ac:dyDescent="0.25">
      <c r="A438" s="4">
        <v>8</v>
      </c>
      <c r="B438" s="4" t="s">
        <v>11</v>
      </c>
      <c r="C438" s="7">
        <v>37.72</v>
      </c>
      <c r="D438" s="4" t="s">
        <v>29</v>
      </c>
      <c r="E438" s="4" t="s">
        <v>13</v>
      </c>
      <c r="F438" s="4" t="s">
        <v>22</v>
      </c>
      <c r="G438" s="4" t="s">
        <v>32</v>
      </c>
      <c r="H438" s="4">
        <v>6</v>
      </c>
      <c r="I438" s="4">
        <v>5</v>
      </c>
      <c r="J438" s="5">
        <v>45430</v>
      </c>
      <c r="K438" s="6">
        <v>0.3351736111111111</v>
      </c>
    </row>
    <row r="439" spans="1:11" x14ac:dyDescent="0.25">
      <c r="A439" s="4">
        <v>11</v>
      </c>
      <c r="B439" s="4" t="s">
        <v>11</v>
      </c>
      <c r="C439" s="7">
        <v>32.82</v>
      </c>
      <c r="D439" s="4" t="s">
        <v>19</v>
      </c>
      <c r="E439" s="4" t="s">
        <v>13</v>
      </c>
      <c r="F439" s="4" t="s">
        <v>22</v>
      </c>
      <c r="G439" s="4" t="s">
        <v>32</v>
      </c>
      <c r="H439" s="4">
        <v>6</v>
      </c>
      <c r="I439" s="4">
        <v>5</v>
      </c>
      <c r="J439" s="5">
        <v>45430</v>
      </c>
      <c r="K439" s="6">
        <v>0.46939814814814818</v>
      </c>
    </row>
    <row r="440" spans="1:11" x14ac:dyDescent="0.25">
      <c r="A440" s="4">
        <v>16</v>
      </c>
      <c r="B440" s="4" t="s">
        <v>11</v>
      </c>
      <c r="C440" s="7">
        <v>32.82</v>
      </c>
      <c r="D440" s="4" t="s">
        <v>19</v>
      </c>
      <c r="E440" s="4" t="s">
        <v>17</v>
      </c>
      <c r="F440" s="4" t="s">
        <v>22</v>
      </c>
      <c r="G440" s="4" t="s">
        <v>32</v>
      </c>
      <c r="H440" s="4">
        <v>6</v>
      </c>
      <c r="I440" s="4">
        <v>5</v>
      </c>
      <c r="J440" s="5">
        <v>45430</v>
      </c>
      <c r="K440" s="6">
        <v>0.70033564814814819</v>
      </c>
    </row>
    <row r="441" spans="1:11" x14ac:dyDescent="0.25">
      <c r="A441" s="4">
        <v>16</v>
      </c>
      <c r="B441" s="4" t="s">
        <v>11</v>
      </c>
      <c r="C441" s="7">
        <v>32.82</v>
      </c>
      <c r="D441" s="4" t="s">
        <v>19</v>
      </c>
      <c r="E441" s="4" t="s">
        <v>17</v>
      </c>
      <c r="F441" s="4" t="s">
        <v>22</v>
      </c>
      <c r="G441" s="4" t="s">
        <v>32</v>
      </c>
      <c r="H441" s="4">
        <v>6</v>
      </c>
      <c r="I441" s="4">
        <v>5</v>
      </c>
      <c r="J441" s="5">
        <v>45430</v>
      </c>
      <c r="K441" s="6">
        <v>0.70100694444444445</v>
      </c>
    </row>
    <row r="442" spans="1:11" x14ac:dyDescent="0.25">
      <c r="A442" s="4">
        <v>19</v>
      </c>
      <c r="B442" s="4" t="s">
        <v>11</v>
      </c>
      <c r="C442" s="7">
        <v>32.82</v>
      </c>
      <c r="D442" s="4" t="s">
        <v>19</v>
      </c>
      <c r="E442" s="4" t="s">
        <v>20</v>
      </c>
      <c r="F442" s="4" t="s">
        <v>22</v>
      </c>
      <c r="G442" s="4" t="s">
        <v>32</v>
      </c>
      <c r="H442" s="4">
        <v>6</v>
      </c>
      <c r="I442" s="4">
        <v>5</v>
      </c>
      <c r="J442" s="5">
        <v>45430</v>
      </c>
      <c r="K442" s="6">
        <v>0.83245370370370375</v>
      </c>
    </row>
    <row r="443" spans="1:11" x14ac:dyDescent="0.25">
      <c r="A443" s="4">
        <v>20</v>
      </c>
      <c r="B443" s="4" t="s">
        <v>11</v>
      </c>
      <c r="C443" s="7">
        <v>37.72</v>
      </c>
      <c r="D443" s="4" t="s">
        <v>12</v>
      </c>
      <c r="E443" s="4" t="s">
        <v>20</v>
      </c>
      <c r="F443" s="4" t="s">
        <v>22</v>
      </c>
      <c r="G443" s="4" t="s">
        <v>32</v>
      </c>
      <c r="H443" s="4">
        <v>6</v>
      </c>
      <c r="I443" s="4">
        <v>5</v>
      </c>
      <c r="J443" s="5">
        <v>45430</v>
      </c>
      <c r="K443" s="6">
        <v>0.84922453703703704</v>
      </c>
    </row>
    <row r="444" spans="1:11" x14ac:dyDescent="0.25">
      <c r="A444" s="4">
        <v>7</v>
      </c>
      <c r="B444" s="4" t="s">
        <v>11</v>
      </c>
      <c r="C444" s="7">
        <v>27.92</v>
      </c>
      <c r="D444" s="4" t="s">
        <v>18</v>
      </c>
      <c r="E444" s="4" t="s">
        <v>13</v>
      </c>
      <c r="F444" s="4" t="s">
        <v>23</v>
      </c>
      <c r="G444" s="4" t="s">
        <v>32</v>
      </c>
      <c r="H444" s="4">
        <v>7</v>
      </c>
      <c r="I444" s="4">
        <v>5</v>
      </c>
      <c r="J444" s="5">
        <v>45431</v>
      </c>
      <c r="K444" s="6">
        <v>0.33238425925925924</v>
      </c>
    </row>
    <row r="445" spans="1:11" x14ac:dyDescent="0.25">
      <c r="A445" s="4">
        <v>7</v>
      </c>
      <c r="B445" s="4" t="s">
        <v>11</v>
      </c>
      <c r="C445" s="7">
        <v>27.92</v>
      </c>
      <c r="D445" s="4" t="s">
        <v>18</v>
      </c>
      <c r="E445" s="4" t="s">
        <v>13</v>
      </c>
      <c r="F445" s="4" t="s">
        <v>23</v>
      </c>
      <c r="G445" s="4" t="s">
        <v>32</v>
      </c>
      <c r="H445" s="4">
        <v>7</v>
      </c>
      <c r="I445" s="4">
        <v>5</v>
      </c>
      <c r="J445" s="5">
        <v>45431</v>
      </c>
      <c r="K445" s="6">
        <v>0.33302083333333332</v>
      </c>
    </row>
    <row r="446" spans="1:11" x14ac:dyDescent="0.25">
      <c r="A446" s="4">
        <v>8</v>
      </c>
      <c r="B446" s="4" t="s">
        <v>11</v>
      </c>
      <c r="C446" s="7">
        <v>37.72</v>
      </c>
      <c r="D446" s="4" t="s">
        <v>29</v>
      </c>
      <c r="E446" s="4" t="s">
        <v>13</v>
      </c>
      <c r="F446" s="4" t="s">
        <v>23</v>
      </c>
      <c r="G446" s="4" t="s">
        <v>32</v>
      </c>
      <c r="H446" s="4">
        <v>7</v>
      </c>
      <c r="I446" s="4">
        <v>5</v>
      </c>
      <c r="J446" s="5">
        <v>45431</v>
      </c>
      <c r="K446" s="6">
        <v>0.33373842592592595</v>
      </c>
    </row>
    <row r="447" spans="1:11" x14ac:dyDescent="0.25">
      <c r="A447" s="4">
        <v>12</v>
      </c>
      <c r="B447" s="4" t="s">
        <v>11</v>
      </c>
      <c r="C447" s="7">
        <v>32.82</v>
      </c>
      <c r="D447" s="4" t="s">
        <v>19</v>
      </c>
      <c r="E447" s="4" t="s">
        <v>17</v>
      </c>
      <c r="F447" s="4" t="s">
        <v>23</v>
      </c>
      <c r="G447" s="4" t="s">
        <v>32</v>
      </c>
      <c r="H447" s="4">
        <v>7</v>
      </c>
      <c r="I447" s="4">
        <v>5</v>
      </c>
      <c r="J447" s="5">
        <v>45431</v>
      </c>
      <c r="K447" s="6">
        <v>0.5100231481481482</v>
      </c>
    </row>
    <row r="448" spans="1:11" x14ac:dyDescent="0.25">
      <c r="A448" s="4">
        <v>14</v>
      </c>
      <c r="B448" s="4" t="s">
        <v>11</v>
      </c>
      <c r="C448" s="7">
        <v>27.92</v>
      </c>
      <c r="D448" s="4" t="s">
        <v>18</v>
      </c>
      <c r="E448" s="4" t="s">
        <v>17</v>
      </c>
      <c r="F448" s="4" t="s">
        <v>23</v>
      </c>
      <c r="G448" s="4" t="s">
        <v>32</v>
      </c>
      <c r="H448" s="4">
        <v>7</v>
      </c>
      <c r="I448" s="4">
        <v>5</v>
      </c>
      <c r="J448" s="5">
        <v>45431</v>
      </c>
      <c r="K448" s="6">
        <v>0.61365740740740737</v>
      </c>
    </row>
    <row r="449" spans="1:11" x14ac:dyDescent="0.25">
      <c r="A449" s="4">
        <v>15</v>
      </c>
      <c r="B449" s="4" t="s">
        <v>11</v>
      </c>
      <c r="C449" s="7">
        <v>32.82</v>
      </c>
      <c r="D449" s="4" t="s">
        <v>19</v>
      </c>
      <c r="E449" s="4" t="s">
        <v>17</v>
      </c>
      <c r="F449" s="4" t="s">
        <v>23</v>
      </c>
      <c r="G449" s="4" t="s">
        <v>32</v>
      </c>
      <c r="H449" s="4">
        <v>7</v>
      </c>
      <c r="I449" s="4">
        <v>5</v>
      </c>
      <c r="J449" s="5">
        <v>45431</v>
      </c>
      <c r="K449" s="6">
        <v>0.66594907407407411</v>
      </c>
    </row>
    <row r="450" spans="1:11" x14ac:dyDescent="0.25">
      <c r="A450" s="4">
        <v>18</v>
      </c>
      <c r="B450" s="4" t="s">
        <v>11</v>
      </c>
      <c r="C450" s="7">
        <v>32.82</v>
      </c>
      <c r="D450" s="4" t="s">
        <v>19</v>
      </c>
      <c r="E450" s="4" t="s">
        <v>20</v>
      </c>
      <c r="F450" s="4" t="s">
        <v>23</v>
      </c>
      <c r="G450" s="4" t="s">
        <v>32</v>
      </c>
      <c r="H450" s="4">
        <v>7</v>
      </c>
      <c r="I450" s="4">
        <v>5</v>
      </c>
      <c r="J450" s="5">
        <v>45431</v>
      </c>
      <c r="K450" s="6">
        <v>0.75875000000000004</v>
      </c>
    </row>
    <row r="451" spans="1:11" x14ac:dyDescent="0.25">
      <c r="A451" s="4">
        <v>18</v>
      </c>
      <c r="B451" s="4" t="s">
        <v>11</v>
      </c>
      <c r="C451" s="7">
        <v>23.02</v>
      </c>
      <c r="D451" s="4" t="s">
        <v>26</v>
      </c>
      <c r="E451" s="4" t="s">
        <v>20</v>
      </c>
      <c r="F451" s="4" t="s">
        <v>23</v>
      </c>
      <c r="G451" s="4" t="s">
        <v>32</v>
      </c>
      <c r="H451" s="4">
        <v>7</v>
      </c>
      <c r="I451" s="4">
        <v>5</v>
      </c>
      <c r="J451" s="5">
        <v>45431</v>
      </c>
      <c r="K451" s="6">
        <v>0.75957175925925924</v>
      </c>
    </row>
    <row r="452" spans="1:11" x14ac:dyDescent="0.25">
      <c r="A452" s="4">
        <v>18</v>
      </c>
      <c r="B452" s="4" t="s">
        <v>11</v>
      </c>
      <c r="C452" s="7">
        <v>37.72</v>
      </c>
      <c r="D452" s="4" t="s">
        <v>16</v>
      </c>
      <c r="E452" s="4" t="s">
        <v>20</v>
      </c>
      <c r="F452" s="4" t="s">
        <v>23</v>
      </c>
      <c r="G452" s="4" t="s">
        <v>32</v>
      </c>
      <c r="H452" s="4">
        <v>7</v>
      </c>
      <c r="I452" s="4">
        <v>5</v>
      </c>
      <c r="J452" s="5">
        <v>45431</v>
      </c>
      <c r="K452" s="6">
        <v>0.76145833333333335</v>
      </c>
    </row>
    <row r="453" spans="1:11" x14ac:dyDescent="0.25">
      <c r="A453" s="4">
        <v>19</v>
      </c>
      <c r="B453" s="4" t="s">
        <v>11</v>
      </c>
      <c r="C453" s="7">
        <v>37.72</v>
      </c>
      <c r="D453" s="4" t="s">
        <v>29</v>
      </c>
      <c r="E453" s="4" t="s">
        <v>20</v>
      </c>
      <c r="F453" s="4" t="s">
        <v>23</v>
      </c>
      <c r="G453" s="4" t="s">
        <v>32</v>
      </c>
      <c r="H453" s="4">
        <v>7</v>
      </c>
      <c r="I453" s="4">
        <v>5</v>
      </c>
      <c r="J453" s="5">
        <v>45431</v>
      </c>
      <c r="K453" s="6">
        <v>0.82715277777777774</v>
      </c>
    </row>
    <row r="454" spans="1:11" x14ac:dyDescent="0.25">
      <c r="A454" s="4">
        <v>21</v>
      </c>
      <c r="B454" s="4" t="s">
        <v>11</v>
      </c>
      <c r="C454" s="7">
        <v>37.72</v>
      </c>
      <c r="D454" s="4" t="s">
        <v>29</v>
      </c>
      <c r="E454" s="4" t="s">
        <v>20</v>
      </c>
      <c r="F454" s="4" t="s">
        <v>23</v>
      </c>
      <c r="G454" s="4" t="s">
        <v>32</v>
      </c>
      <c r="H454" s="4">
        <v>7</v>
      </c>
      <c r="I454" s="4">
        <v>5</v>
      </c>
      <c r="J454" s="5">
        <v>45431</v>
      </c>
      <c r="K454" s="6">
        <v>0.88589120370370367</v>
      </c>
    </row>
    <row r="455" spans="1:11" x14ac:dyDescent="0.25">
      <c r="A455" s="4">
        <v>21</v>
      </c>
      <c r="B455" s="4" t="s">
        <v>11</v>
      </c>
      <c r="C455" s="7">
        <v>37.72</v>
      </c>
      <c r="D455" s="4" t="s">
        <v>29</v>
      </c>
      <c r="E455" s="4" t="s">
        <v>20</v>
      </c>
      <c r="F455" s="4" t="s">
        <v>23</v>
      </c>
      <c r="G455" s="4" t="s">
        <v>32</v>
      </c>
      <c r="H455" s="4">
        <v>7</v>
      </c>
      <c r="I455" s="4">
        <v>5</v>
      </c>
      <c r="J455" s="5">
        <v>45431</v>
      </c>
      <c r="K455" s="6">
        <v>0.88791666666666669</v>
      </c>
    </row>
    <row r="456" spans="1:11" x14ac:dyDescent="0.25">
      <c r="A456" s="4">
        <v>10</v>
      </c>
      <c r="B456" s="4" t="s">
        <v>11</v>
      </c>
      <c r="C456" s="7">
        <v>32.82</v>
      </c>
      <c r="D456" s="4" t="s">
        <v>19</v>
      </c>
      <c r="E456" s="4" t="s">
        <v>13</v>
      </c>
      <c r="F456" s="4" t="s">
        <v>25</v>
      </c>
      <c r="G456" s="4" t="s">
        <v>32</v>
      </c>
      <c r="H456" s="4">
        <v>1</v>
      </c>
      <c r="I456" s="4">
        <v>5</v>
      </c>
      <c r="J456" s="5">
        <v>45432</v>
      </c>
      <c r="K456" s="6">
        <v>0.42082175925925924</v>
      </c>
    </row>
    <row r="457" spans="1:11" x14ac:dyDescent="0.25">
      <c r="A457" s="4">
        <v>10</v>
      </c>
      <c r="B457" s="4" t="s">
        <v>11</v>
      </c>
      <c r="C457" s="7">
        <v>37.72</v>
      </c>
      <c r="D457" s="4" t="s">
        <v>12</v>
      </c>
      <c r="E457" s="4" t="s">
        <v>13</v>
      </c>
      <c r="F457" s="4" t="s">
        <v>25</v>
      </c>
      <c r="G457" s="4" t="s">
        <v>32</v>
      </c>
      <c r="H457" s="4">
        <v>1</v>
      </c>
      <c r="I457" s="4">
        <v>5</v>
      </c>
      <c r="J457" s="5">
        <v>45432</v>
      </c>
      <c r="K457" s="6">
        <v>0.42906250000000001</v>
      </c>
    </row>
    <row r="458" spans="1:11" x14ac:dyDescent="0.25">
      <c r="A458" s="4">
        <v>10</v>
      </c>
      <c r="B458" s="4" t="s">
        <v>11</v>
      </c>
      <c r="C458" s="7">
        <v>37.72</v>
      </c>
      <c r="D458" s="4" t="s">
        <v>12</v>
      </c>
      <c r="E458" s="4" t="s">
        <v>13</v>
      </c>
      <c r="F458" s="4" t="s">
        <v>25</v>
      </c>
      <c r="G458" s="4" t="s">
        <v>32</v>
      </c>
      <c r="H458" s="4">
        <v>1</v>
      </c>
      <c r="I458" s="4">
        <v>5</v>
      </c>
      <c r="J458" s="5">
        <v>45432</v>
      </c>
      <c r="K458" s="6">
        <v>0.45750000000000002</v>
      </c>
    </row>
    <row r="459" spans="1:11" x14ac:dyDescent="0.25">
      <c r="A459" s="4">
        <v>11</v>
      </c>
      <c r="B459" s="4" t="s">
        <v>11</v>
      </c>
      <c r="C459" s="7">
        <v>27.92</v>
      </c>
      <c r="D459" s="4" t="s">
        <v>18</v>
      </c>
      <c r="E459" s="4" t="s">
        <v>13</v>
      </c>
      <c r="F459" s="4" t="s">
        <v>25</v>
      </c>
      <c r="G459" s="4" t="s">
        <v>32</v>
      </c>
      <c r="H459" s="4">
        <v>1</v>
      </c>
      <c r="I459" s="4">
        <v>5</v>
      </c>
      <c r="J459" s="5">
        <v>45432</v>
      </c>
      <c r="K459" s="6">
        <v>0.46893518518518518</v>
      </c>
    </row>
    <row r="460" spans="1:11" x14ac:dyDescent="0.25">
      <c r="A460" s="4">
        <v>11</v>
      </c>
      <c r="B460" s="4" t="s">
        <v>11</v>
      </c>
      <c r="C460" s="7">
        <v>27.92</v>
      </c>
      <c r="D460" s="4" t="s">
        <v>18</v>
      </c>
      <c r="E460" s="4" t="s">
        <v>13</v>
      </c>
      <c r="F460" s="4" t="s">
        <v>25</v>
      </c>
      <c r="G460" s="4" t="s">
        <v>32</v>
      </c>
      <c r="H460" s="4">
        <v>1</v>
      </c>
      <c r="I460" s="4">
        <v>5</v>
      </c>
      <c r="J460" s="5">
        <v>45432</v>
      </c>
      <c r="K460" s="6">
        <v>0.46966435185185185</v>
      </c>
    </row>
    <row r="461" spans="1:11" x14ac:dyDescent="0.25">
      <c r="A461" s="4">
        <v>13</v>
      </c>
      <c r="B461" s="4" t="s">
        <v>11</v>
      </c>
      <c r="C461" s="7">
        <v>27.92</v>
      </c>
      <c r="D461" s="4" t="s">
        <v>18</v>
      </c>
      <c r="E461" s="4" t="s">
        <v>17</v>
      </c>
      <c r="F461" s="4" t="s">
        <v>25</v>
      </c>
      <c r="G461" s="4" t="s">
        <v>32</v>
      </c>
      <c r="H461" s="4">
        <v>1</v>
      </c>
      <c r="I461" s="4">
        <v>5</v>
      </c>
      <c r="J461" s="5">
        <v>45432</v>
      </c>
      <c r="K461" s="6">
        <v>0.56056712962962962</v>
      </c>
    </row>
    <row r="462" spans="1:11" x14ac:dyDescent="0.25">
      <c r="A462" s="4">
        <v>13</v>
      </c>
      <c r="B462" s="4" t="s">
        <v>11</v>
      </c>
      <c r="C462" s="7">
        <v>27.92</v>
      </c>
      <c r="D462" s="4" t="s">
        <v>18</v>
      </c>
      <c r="E462" s="4" t="s">
        <v>17</v>
      </c>
      <c r="F462" s="4" t="s">
        <v>25</v>
      </c>
      <c r="G462" s="4" t="s">
        <v>32</v>
      </c>
      <c r="H462" s="4">
        <v>1</v>
      </c>
      <c r="I462" s="4">
        <v>5</v>
      </c>
      <c r="J462" s="5">
        <v>45432</v>
      </c>
      <c r="K462" s="6">
        <v>0.56122685185185184</v>
      </c>
    </row>
    <row r="463" spans="1:11" x14ac:dyDescent="0.25">
      <c r="A463" s="4">
        <v>14</v>
      </c>
      <c r="B463" s="4" t="s">
        <v>11</v>
      </c>
      <c r="C463" s="7">
        <v>32.82</v>
      </c>
      <c r="D463" s="4" t="s">
        <v>19</v>
      </c>
      <c r="E463" s="4" t="s">
        <v>17</v>
      </c>
      <c r="F463" s="4" t="s">
        <v>25</v>
      </c>
      <c r="G463" s="4" t="s">
        <v>32</v>
      </c>
      <c r="H463" s="4">
        <v>1</v>
      </c>
      <c r="I463" s="4">
        <v>5</v>
      </c>
      <c r="J463" s="5">
        <v>45432</v>
      </c>
      <c r="K463" s="6">
        <v>0.59258101851851852</v>
      </c>
    </row>
    <row r="464" spans="1:11" x14ac:dyDescent="0.25">
      <c r="A464" s="4">
        <v>14</v>
      </c>
      <c r="B464" s="4" t="s">
        <v>11</v>
      </c>
      <c r="C464" s="7">
        <v>37.72</v>
      </c>
      <c r="D464" s="4" t="s">
        <v>29</v>
      </c>
      <c r="E464" s="4" t="s">
        <v>17</v>
      </c>
      <c r="F464" s="4" t="s">
        <v>25</v>
      </c>
      <c r="G464" s="4" t="s">
        <v>32</v>
      </c>
      <c r="H464" s="4">
        <v>1</v>
      </c>
      <c r="I464" s="4">
        <v>5</v>
      </c>
      <c r="J464" s="5">
        <v>45432</v>
      </c>
      <c r="K464" s="6">
        <v>0.59341435185185187</v>
      </c>
    </row>
    <row r="465" spans="1:11" x14ac:dyDescent="0.25">
      <c r="A465" s="4">
        <v>17</v>
      </c>
      <c r="B465" s="4" t="s">
        <v>11</v>
      </c>
      <c r="C465" s="7">
        <v>37.72</v>
      </c>
      <c r="D465" s="4" t="s">
        <v>12</v>
      </c>
      <c r="E465" s="4" t="s">
        <v>20</v>
      </c>
      <c r="F465" s="4" t="s">
        <v>25</v>
      </c>
      <c r="G465" s="4" t="s">
        <v>32</v>
      </c>
      <c r="H465" s="4">
        <v>1</v>
      </c>
      <c r="I465" s="4">
        <v>5</v>
      </c>
      <c r="J465" s="5">
        <v>45432</v>
      </c>
      <c r="K465" s="6">
        <v>0.71725694444444443</v>
      </c>
    </row>
    <row r="466" spans="1:11" x14ac:dyDescent="0.25">
      <c r="A466" s="4">
        <v>17</v>
      </c>
      <c r="B466" s="4" t="s">
        <v>11</v>
      </c>
      <c r="C466" s="7">
        <v>37.72</v>
      </c>
      <c r="D466" s="4" t="s">
        <v>12</v>
      </c>
      <c r="E466" s="4" t="s">
        <v>20</v>
      </c>
      <c r="F466" s="4" t="s">
        <v>25</v>
      </c>
      <c r="G466" s="4" t="s">
        <v>32</v>
      </c>
      <c r="H466" s="4">
        <v>1</v>
      </c>
      <c r="I466" s="4">
        <v>5</v>
      </c>
      <c r="J466" s="5">
        <v>45432</v>
      </c>
      <c r="K466" s="6">
        <v>0.71800925925925929</v>
      </c>
    </row>
    <row r="467" spans="1:11" x14ac:dyDescent="0.25">
      <c r="A467" s="4">
        <v>20</v>
      </c>
      <c r="B467" s="4" t="s">
        <v>11</v>
      </c>
      <c r="C467" s="7">
        <v>32.82</v>
      </c>
      <c r="D467" s="4" t="s">
        <v>19</v>
      </c>
      <c r="E467" s="4" t="s">
        <v>20</v>
      </c>
      <c r="F467" s="4" t="s">
        <v>25</v>
      </c>
      <c r="G467" s="4" t="s">
        <v>32</v>
      </c>
      <c r="H467" s="4">
        <v>1</v>
      </c>
      <c r="I467" s="4">
        <v>5</v>
      </c>
      <c r="J467" s="5">
        <v>45432</v>
      </c>
      <c r="K467" s="6">
        <v>0.85888888888888892</v>
      </c>
    </row>
    <row r="468" spans="1:11" x14ac:dyDescent="0.25">
      <c r="A468" s="4">
        <v>20</v>
      </c>
      <c r="B468" s="4" t="s">
        <v>11</v>
      </c>
      <c r="C468" s="7">
        <v>37.72</v>
      </c>
      <c r="D468" s="4" t="s">
        <v>21</v>
      </c>
      <c r="E468" s="4" t="s">
        <v>20</v>
      </c>
      <c r="F468" s="4" t="s">
        <v>25</v>
      </c>
      <c r="G468" s="4" t="s">
        <v>32</v>
      </c>
      <c r="H468" s="4">
        <v>1</v>
      </c>
      <c r="I468" s="4">
        <v>5</v>
      </c>
      <c r="J468" s="5">
        <v>45432</v>
      </c>
      <c r="K468" s="6">
        <v>0.85968750000000005</v>
      </c>
    </row>
    <row r="469" spans="1:11" x14ac:dyDescent="0.25">
      <c r="A469" s="4">
        <v>20</v>
      </c>
      <c r="B469" s="4" t="s">
        <v>11</v>
      </c>
      <c r="C469" s="7">
        <v>27.92</v>
      </c>
      <c r="D469" s="4" t="s">
        <v>24</v>
      </c>
      <c r="E469" s="4" t="s">
        <v>20</v>
      </c>
      <c r="F469" s="4" t="s">
        <v>25</v>
      </c>
      <c r="G469" s="4" t="s">
        <v>32</v>
      </c>
      <c r="H469" s="4">
        <v>1</v>
      </c>
      <c r="I469" s="4">
        <v>5</v>
      </c>
      <c r="J469" s="5">
        <v>45432</v>
      </c>
      <c r="K469" s="6">
        <v>0.86587962962962961</v>
      </c>
    </row>
    <row r="470" spans="1:11" x14ac:dyDescent="0.25">
      <c r="A470" s="4">
        <v>21</v>
      </c>
      <c r="B470" s="4" t="s">
        <v>11</v>
      </c>
      <c r="C470" s="7">
        <v>32.82</v>
      </c>
      <c r="D470" s="4" t="s">
        <v>19</v>
      </c>
      <c r="E470" s="4" t="s">
        <v>20</v>
      </c>
      <c r="F470" s="4" t="s">
        <v>25</v>
      </c>
      <c r="G470" s="4" t="s">
        <v>32</v>
      </c>
      <c r="H470" s="4">
        <v>1</v>
      </c>
      <c r="I470" s="4">
        <v>5</v>
      </c>
      <c r="J470" s="5">
        <v>45432</v>
      </c>
      <c r="K470" s="6">
        <v>0.90061342592592597</v>
      </c>
    </row>
    <row r="471" spans="1:11" x14ac:dyDescent="0.25">
      <c r="A471" s="4">
        <v>21</v>
      </c>
      <c r="B471" s="4" t="s">
        <v>11</v>
      </c>
      <c r="C471" s="7">
        <v>32.82</v>
      </c>
      <c r="D471" s="4" t="s">
        <v>19</v>
      </c>
      <c r="E471" s="4" t="s">
        <v>20</v>
      </c>
      <c r="F471" s="4" t="s">
        <v>25</v>
      </c>
      <c r="G471" s="4" t="s">
        <v>32</v>
      </c>
      <c r="H471" s="4">
        <v>1</v>
      </c>
      <c r="I471" s="4">
        <v>5</v>
      </c>
      <c r="J471" s="5">
        <v>45432</v>
      </c>
      <c r="K471" s="6">
        <v>0.90135416666666668</v>
      </c>
    </row>
    <row r="472" spans="1:11" x14ac:dyDescent="0.25">
      <c r="A472" s="4">
        <v>8</v>
      </c>
      <c r="B472" s="4" t="s">
        <v>11</v>
      </c>
      <c r="C472" s="7">
        <v>37.72</v>
      </c>
      <c r="D472" s="4" t="s">
        <v>12</v>
      </c>
      <c r="E472" s="4" t="s">
        <v>13</v>
      </c>
      <c r="F472" s="4" t="s">
        <v>27</v>
      </c>
      <c r="G472" s="4" t="s">
        <v>32</v>
      </c>
      <c r="H472" s="4">
        <v>2</v>
      </c>
      <c r="I472" s="4">
        <v>5</v>
      </c>
      <c r="J472" s="5">
        <v>45433</v>
      </c>
      <c r="K472" s="6">
        <v>0.35252314814814817</v>
      </c>
    </row>
    <row r="473" spans="1:11" x14ac:dyDescent="0.25">
      <c r="A473" s="4">
        <v>16</v>
      </c>
      <c r="B473" s="4" t="s">
        <v>11</v>
      </c>
      <c r="C473" s="7">
        <v>37.72</v>
      </c>
      <c r="D473" s="4" t="s">
        <v>12</v>
      </c>
      <c r="E473" s="4" t="s">
        <v>17</v>
      </c>
      <c r="F473" s="4" t="s">
        <v>27</v>
      </c>
      <c r="G473" s="4" t="s">
        <v>32</v>
      </c>
      <c r="H473" s="4">
        <v>2</v>
      </c>
      <c r="I473" s="4">
        <v>5</v>
      </c>
      <c r="J473" s="5">
        <v>45433</v>
      </c>
      <c r="K473" s="6">
        <v>0.67383101851851857</v>
      </c>
    </row>
    <row r="474" spans="1:11" x14ac:dyDescent="0.25">
      <c r="A474" s="4">
        <v>18</v>
      </c>
      <c r="B474" s="4" t="s">
        <v>11</v>
      </c>
      <c r="C474" s="7">
        <v>23.02</v>
      </c>
      <c r="D474" s="4" t="s">
        <v>26</v>
      </c>
      <c r="E474" s="4" t="s">
        <v>20</v>
      </c>
      <c r="F474" s="4" t="s">
        <v>27</v>
      </c>
      <c r="G474" s="4" t="s">
        <v>32</v>
      </c>
      <c r="H474" s="4">
        <v>2</v>
      </c>
      <c r="I474" s="4">
        <v>5</v>
      </c>
      <c r="J474" s="5">
        <v>45433</v>
      </c>
      <c r="K474" s="6">
        <v>0.75929398148148153</v>
      </c>
    </row>
    <row r="475" spans="1:11" x14ac:dyDescent="0.25">
      <c r="A475" s="4">
        <v>19</v>
      </c>
      <c r="B475" s="4" t="s">
        <v>11</v>
      </c>
      <c r="C475" s="7">
        <v>37.72</v>
      </c>
      <c r="D475" s="4" t="s">
        <v>29</v>
      </c>
      <c r="E475" s="4" t="s">
        <v>20</v>
      </c>
      <c r="F475" s="4" t="s">
        <v>27</v>
      </c>
      <c r="G475" s="4" t="s">
        <v>32</v>
      </c>
      <c r="H475" s="4">
        <v>2</v>
      </c>
      <c r="I475" s="4">
        <v>5</v>
      </c>
      <c r="J475" s="5">
        <v>45433</v>
      </c>
      <c r="K475" s="6">
        <v>0.79940972222222217</v>
      </c>
    </row>
    <row r="476" spans="1:11" x14ac:dyDescent="0.25">
      <c r="A476" s="4">
        <v>20</v>
      </c>
      <c r="B476" s="4" t="s">
        <v>11</v>
      </c>
      <c r="C476" s="7">
        <v>37.72</v>
      </c>
      <c r="D476" s="4" t="s">
        <v>29</v>
      </c>
      <c r="E476" s="4" t="s">
        <v>20</v>
      </c>
      <c r="F476" s="4" t="s">
        <v>27</v>
      </c>
      <c r="G476" s="4" t="s">
        <v>32</v>
      </c>
      <c r="H476" s="4">
        <v>2</v>
      </c>
      <c r="I476" s="4">
        <v>5</v>
      </c>
      <c r="J476" s="5">
        <v>45433</v>
      </c>
      <c r="K476" s="6">
        <v>0.84291666666666665</v>
      </c>
    </row>
    <row r="477" spans="1:11" x14ac:dyDescent="0.25">
      <c r="A477" s="4">
        <v>9</v>
      </c>
      <c r="B477" s="4" t="s">
        <v>11</v>
      </c>
      <c r="C477" s="7">
        <v>37.72</v>
      </c>
      <c r="D477" s="4" t="s">
        <v>29</v>
      </c>
      <c r="E477" s="4" t="s">
        <v>13</v>
      </c>
      <c r="F477" s="4" t="s">
        <v>28</v>
      </c>
      <c r="G477" s="4" t="s">
        <v>32</v>
      </c>
      <c r="H477" s="4">
        <v>3</v>
      </c>
      <c r="I477" s="4">
        <v>5</v>
      </c>
      <c r="J477" s="5">
        <v>45434</v>
      </c>
      <c r="K477" s="6">
        <v>0.39908564814814818</v>
      </c>
    </row>
    <row r="478" spans="1:11" x14ac:dyDescent="0.25">
      <c r="A478" s="4">
        <v>10</v>
      </c>
      <c r="B478" s="4" t="s">
        <v>11</v>
      </c>
      <c r="C478" s="7">
        <v>32.82</v>
      </c>
      <c r="D478" s="4" t="s">
        <v>19</v>
      </c>
      <c r="E478" s="4" t="s">
        <v>13</v>
      </c>
      <c r="F478" s="4" t="s">
        <v>28</v>
      </c>
      <c r="G478" s="4" t="s">
        <v>32</v>
      </c>
      <c r="H478" s="4">
        <v>3</v>
      </c>
      <c r="I478" s="4">
        <v>5</v>
      </c>
      <c r="J478" s="5">
        <v>45434</v>
      </c>
      <c r="K478" s="6">
        <v>0.45123842592592595</v>
      </c>
    </row>
    <row r="479" spans="1:11" x14ac:dyDescent="0.25">
      <c r="A479" s="4">
        <v>11</v>
      </c>
      <c r="B479" s="4" t="s">
        <v>11</v>
      </c>
      <c r="C479" s="7">
        <v>27.92</v>
      </c>
      <c r="D479" s="4" t="s">
        <v>24</v>
      </c>
      <c r="E479" s="4" t="s">
        <v>13</v>
      </c>
      <c r="F479" s="4" t="s">
        <v>28</v>
      </c>
      <c r="G479" s="4" t="s">
        <v>32</v>
      </c>
      <c r="H479" s="4">
        <v>3</v>
      </c>
      <c r="I479" s="4">
        <v>5</v>
      </c>
      <c r="J479" s="5">
        <v>45434</v>
      </c>
      <c r="K479" s="6">
        <v>0.47099537037037037</v>
      </c>
    </row>
    <row r="480" spans="1:11" x14ac:dyDescent="0.25">
      <c r="A480" s="4">
        <v>11</v>
      </c>
      <c r="B480" s="4" t="s">
        <v>11</v>
      </c>
      <c r="C480" s="7">
        <v>32.82</v>
      </c>
      <c r="D480" s="4" t="s">
        <v>19</v>
      </c>
      <c r="E480" s="4" t="s">
        <v>13</v>
      </c>
      <c r="F480" s="4" t="s">
        <v>28</v>
      </c>
      <c r="G480" s="4" t="s">
        <v>32</v>
      </c>
      <c r="H480" s="4">
        <v>3</v>
      </c>
      <c r="I480" s="4">
        <v>5</v>
      </c>
      <c r="J480" s="5">
        <v>45434</v>
      </c>
      <c r="K480" s="6">
        <v>0.48256944444444444</v>
      </c>
    </row>
    <row r="481" spans="1:11" x14ac:dyDescent="0.25">
      <c r="A481" s="4">
        <v>12</v>
      </c>
      <c r="B481" s="4" t="s">
        <v>11</v>
      </c>
      <c r="C481" s="7">
        <v>27.92</v>
      </c>
      <c r="D481" s="4" t="s">
        <v>18</v>
      </c>
      <c r="E481" s="4" t="s">
        <v>17</v>
      </c>
      <c r="F481" s="4" t="s">
        <v>28</v>
      </c>
      <c r="G481" s="4" t="s">
        <v>32</v>
      </c>
      <c r="H481" s="4">
        <v>3</v>
      </c>
      <c r="I481" s="4">
        <v>5</v>
      </c>
      <c r="J481" s="5">
        <v>45434</v>
      </c>
      <c r="K481" s="6">
        <v>0.52071759259259254</v>
      </c>
    </row>
    <row r="482" spans="1:11" x14ac:dyDescent="0.25">
      <c r="A482" s="4">
        <v>12</v>
      </c>
      <c r="B482" s="4" t="s">
        <v>11</v>
      </c>
      <c r="C482" s="7">
        <v>27.92</v>
      </c>
      <c r="D482" s="4" t="s">
        <v>18</v>
      </c>
      <c r="E482" s="4" t="s">
        <v>17</v>
      </c>
      <c r="F482" s="4" t="s">
        <v>28</v>
      </c>
      <c r="G482" s="4" t="s">
        <v>32</v>
      </c>
      <c r="H482" s="4">
        <v>3</v>
      </c>
      <c r="I482" s="4">
        <v>5</v>
      </c>
      <c r="J482" s="5">
        <v>45434</v>
      </c>
      <c r="K482" s="6">
        <v>0.52133101851851849</v>
      </c>
    </row>
    <row r="483" spans="1:11" x14ac:dyDescent="0.25">
      <c r="A483" s="4">
        <v>14</v>
      </c>
      <c r="B483" s="4" t="s">
        <v>11</v>
      </c>
      <c r="C483" s="7">
        <v>32.82</v>
      </c>
      <c r="D483" s="4" t="s">
        <v>19</v>
      </c>
      <c r="E483" s="4" t="s">
        <v>17</v>
      </c>
      <c r="F483" s="4" t="s">
        <v>28</v>
      </c>
      <c r="G483" s="4" t="s">
        <v>32</v>
      </c>
      <c r="H483" s="4">
        <v>3</v>
      </c>
      <c r="I483" s="4">
        <v>5</v>
      </c>
      <c r="J483" s="5">
        <v>45434</v>
      </c>
      <c r="K483" s="6">
        <v>0.58356481481481481</v>
      </c>
    </row>
    <row r="484" spans="1:11" x14ac:dyDescent="0.25">
      <c r="A484" s="4">
        <v>19</v>
      </c>
      <c r="B484" s="4" t="s">
        <v>11</v>
      </c>
      <c r="C484" s="7">
        <v>37.72</v>
      </c>
      <c r="D484" s="4" t="s">
        <v>29</v>
      </c>
      <c r="E484" s="4" t="s">
        <v>20</v>
      </c>
      <c r="F484" s="4" t="s">
        <v>28</v>
      </c>
      <c r="G484" s="4" t="s">
        <v>32</v>
      </c>
      <c r="H484" s="4">
        <v>3</v>
      </c>
      <c r="I484" s="4">
        <v>5</v>
      </c>
      <c r="J484" s="5">
        <v>45434</v>
      </c>
      <c r="K484" s="6">
        <v>0.8090046296296296</v>
      </c>
    </row>
    <row r="485" spans="1:11" x14ac:dyDescent="0.25">
      <c r="A485" s="4">
        <v>19</v>
      </c>
      <c r="B485" s="4" t="s">
        <v>11</v>
      </c>
      <c r="C485" s="7">
        <v>37.72</v>
      </c>
      <c r="D485" s="4" t="s">
        <v>29</v>
      </c>
      <c r="E485" s="4" t="s">
        <v>20</v>
      </c>
      <c r="F485" s="4" t="s">
        <v>28</v>
      </c>
      <c r="G485" s="4" t="s">
        <v>32</v>
      </c>
      <c r="H485" s="4">
        <v>3</v>
      </c>
      <c r="I485" s="4">
        <v>5</v>
      </c>
      <c r="J485" s="5">
        <v>45434</v>
      </c>
      <c r="K485" s="6">
        <v>0.80969907407407404</v>
      </c>
    </row>
    <row r="486" spans="1:11" x14ac:dyDescent="0.25">
      <c r="A486" s="4">
        <v>21</v>
      </c>
      <c r="B486" s="4" t="s">
        <v>11</v>
      </c>
      <c r="C486" s="7">
        <v>37.72</v>
      </c>
      <c r="D486" s="4" t="s">
        <v>16</v>
      </c>
      <c r="E486" s="4" t="s">
        <v>20</v>
      </c>
      <c r="F486" s="4" t="s">
        <v>28</v>
      </c>
      <c r="G486" s="4" t="s">
        <v>32</v>
      </c>
      <c r="H486" s="4">
        <v>3</v>
      </c>
      <c r="I486" s="4">
        <v>5</v>
      </c>
      <c r="J486" s="5">
        <v>45434</v>
      </c>
      <c r="K486" s="6">
        <v>0.89158564814814811</v>
      </c>
    </row>
    <row r="487" spans="1:11" x14ac:dyDescent="0.25">
      <c r="A487" s="4">
        <v>21</v>
      </c>
      <c r="B487" s="4" t="s">
        <v>11</v>
      </c>
      <c r="C487" s="7">
        <v>37.72</v>
      </c>
      <c r="D487" s="4" t="s">
        <v>29</v>
      </c>
      <c r="E487" s="4" t="s">
        <v>20</v>
      </c>
      <c r="F487" s="4" t="s">
        <v>28</v>
      </c>
      <c r="G487" s="4" t="s">
        <v>32</v>
      </c>
      <c r="H487" s="4">
        <v>3</v>
      </c>
      <c r="I487" s="4">
        <v>5</v>
      </c>
      <c r="J487" s="5">
        <v>45434</v>
      </c>
      <c r="K487" s="6">
        <v>0.89223379629629629</v>
      </c>
    </row>
    <row r="488" spans="1:11" x14ac:dyDescent="0.25">
      <c r="A488" s="4">
        <v>10</v>
      </c>
      <c r="B488" s="4" t="s">
        <v>11</v>
      </c>
      <c r="C488" s="7">
        <v>37.72</v>
      </c>
      <c r="D488" s="4" t="s">
        <v>29</v>
      </c>
      <c r="E488" s="4" t="s">
        <v>13</v>
      </c>
      <c r="F488" s="4" t="s">
        <v>30</v>
      </c>
      <c r="G488" s="4" t="s">
        <v>32</v>
      </c>
      <c r="H488" s="4">
        <v>4</v>
      </c>
      <c r="I488" s="4">
        <v>5</v>
      </c>
      <c r="J488" s="5">
        <v>45435</v>
      </c>
      <c r="K488" s="6">
        <v>0.42383101851851851</v>
      </c>
    </row>
    <row r="489" spans="1:11" x14ac:dyDescent="0.25">
      <c r="A489" s="4">
        <v>12</v>
      </c>
      <c r="B489" s="4" t="s">
        <v>11</v>
      </c>
      <c r="C489" s="7">
        <v>23.02</v>
      </c>
      <c r="D489" s="4" t="s">
        <v>26</v>
      </c>
      <c r="E489" s="4" t="s">
        <v>17</v>
      </c>
      <c r="F489" s="4" t="s">
        <v>30</v>
      </c>
      <c r="G489" s="4" t="s">
        <v>32</v>
      </c>
      <c r="H489" s="4">
        <v>4</v>
      </c>
      <c r="I489" s="4">
        <v>5</v>
      </c>
      <c r="J489" s="5">
        <v>45435</v>
      </c>
      <c r="K489" s="6">
        <v>0.51534722222222218</v>
      </c>
    </row>
    <row r="490" spans="1:11" x14ac:dyDescent="0.25">
      <c r="A490" s="4">
        <v>15</v>
      </c>
      <c r="B490" s="4" t="s">
        <v>11</v>
      </c>
      <c r="C490" s="7">
        <v>37.72</v>
      </c>
      <c r="D490" s="4" t="s">
        <v>29</v>
      </c>
      <c r="E490" s="4" t="s">
        <v>17</v>
      </c>
      <c r="F490" s="4" t="s">
        <v>30</v>
      </c>
      <c r="G490" s="4" t="s">
        <v>32</v>
      </c>
      <c r="H490" s="4">
        <v>4</v>
      </c>
      <c r="I490" s="4">
        <v>5</v>
      </c>
      <c r="J490" s="5">
        <v>45435</v>
      </c>
      <c r="K490" s="6">
        <v>0.6633796296296296</v>
      </c>
    </row>
    <row r="491" spans="1:11" x14ac:dyDescent="0.25">
      <c r="A491" s="4">
        <v>15</v>
      </c>
      <c r="B491" s="4" t="s">
        <v>11</v>
      </c>
      <c r="C491" s="7">
        <v>37.72</v>
      </c>
      <c r="D491" s="4" t="s">
        <v>29</v>
      </c>
      <c r="E491" s="4" t="s">
        <v>17</v>
      </c>
      <c r="F491" s="4" t="s">
        <v>30</v>
      </c>
      <c r="G491" s="4" t="s">
        <v>32</v>
      </c>
      <c r="H491" s="4">
        <v>4</v>
      </c>
      <c r="I491" s="4">
        <v>5</v>
      </c>
      <c r="J491" s="5">
        <v>45435</v>
      </c>
      <c r="K491" s="6">
        <v>0.66420138888888891</v>
      </c>
    </row>
    <row r="492" spans="1:11" x14ac:dyDescent="0.25">
      <c r="A492" s="4">
        <v>16</v>
      </c>
      <c r="B492" s="4" t="s">
        <v>11</v>
      </c>
      <c r="C492" s="7">
        <v>37.72</v>
      </c>
      <c r="D492" s="4" t="s">
        <v>29</v>
      </c>
      <c r="E492" s="4" t="s">
        <v>17</v>
      </c>
      <c r="F492" s="4" t="s">
        <v>30</v>
      </c>
      <c r="G492" s="4" t="s">
        <v>32</v>
      </c>
      <c r="H492" s="4">
        <v>4</v>
      </c>
      <c r="I492" s="4">
        <v>5</v>
      </c>
      <c r="J492" s="5">
        <v>45435</v>
      </c>
      <c r="K492" s="6">
        <v>0.67932870370370368</v>
      </c>
    </row>
    <row r="493" spans="1:11" x14ac:dyDescent="0.25">
      <c r="A493" s="4">
        <v>16</v>
      </c>
      <c r="B493" s="4" t="s">
        <v>11</v>
      </c>
      <c r="C493" s="7">
        <v>37.72</v>
      </c>
      <c r="D493" s="4" t="s">
        <v>12</v>
      </c>
      <c r="E493" s="4" t="s">
        <v>17</v>
      </c>
      <c r="F493" s="4" t="s">
        <v>30</v>
      </c>
      <c r="G493" s="4" t="s">
        <v>32</v>
      </c>
      <c r="H493" s="4">
        <v>4</v>
      </c>
      <c r="I493" s="4">
        <v>5</v>
      </c>
      <c r="J493" s="5">
        <v>45435</v>
      </c>
      <c r="K493" s="6">
        <v>0.69513888888888886</v>
      </c>
    </row>
    <row r="494" spans="1:11" x14ac:dyDescent="0.25">
      <c r="A494" s="4">
        <v>17</v>
      </c>
      <c r="B494" s="4" t="s">
        <v>11</v>
      </c>
      <c r="C494" s="7">
        <v>37.72</v>
      </c>
      <c r="D494" s="4" t="s">
        <v>29</v>
      </c>
      <c r="E494" s="4" t="s">
        <v>20</v>
      </c>
      <c r="F494" s="4" t="s">
        <v>30</v>
      </c>
      <c r="G494" s="4" t="s">
        <v>32</v>
      </c>
      <c r="H494" s="4">
        <v>4</v>
      </c>
      <c r="I494" s="4">
        <v>5</v>
      </c>
      <c r="J494" s="5">
        <v>45435</v>
      </c>
      <c r="K494" s="6">
        <v>0.71843749999999995</v>
      </c>
    </row>
    <row r="495" spans="1:11" x14ac:dyDescent="0.25">
      <c r="A495" s="4">
        <v>17</v>
      </c>
      <c r="B495" s="4" t="s">
        <v>11</v>
      </c>
      <c r="C495" s="7">
        <v>37.72</v>
      </c>
      <c r="D495" s="4" t="s">
        <v>12</v>
      </c>
      <c r="E495" s="4" t="s">
        <v>20</v>
      </c>
      <c r="F495" s="4" t="s">
        <v>30</v>
      </c>
      <c r="G495" s="4" t="s">
        <v>32</v>
      </c>
      <c r="H495" s="4">
        <v>4</v>
      </c>
      <c r="I495" s="4">
        <v>5</v>
      </c>
      <c r="J495" s="5">
        <v>45435</v>
      </c>
      <c r="K495" s="6">
        <v>0.71925925925925926</v>
      </c>
    </row>
    <row r="496" spans="1:11" x14ac:dyDescent="0.25">
      <c r="A496" s="4">
        <v>19</v>
      </c>
      <c r="B496" s="4" t="s">
        <v>11</v>
      </c>
      <c r="C496" s="7">
        <v>27.92</v>
      </c>
      <c r="D496" s="4" t="s">
        <v>24</v>
      </c>
      <c r="E496" s="4" t="s">
        <v>20</v>
      </c>
      <c r="F496" s="4" t="s">
        <v>30</v>
      </c>
      <c r="G496" s="4" t="s">
        <v>32</v>
      </c>
      <c r="H496" s="4">
        <v>4</v>
      </c>
      <c r="I496" s="4">
        <v>5</v>
      </c>
      <c r="J496" s="5">
        <v>45435</v>
      </c>
      <c r="K496" s="6">
        <v>0.7943634259259259</v>
      </c>
    </row>
    <row r="497" spans="1:11" x14ac:dyDescent="0.25">
      <c r="A497" s="4">
        <v>19</v>
      </c>
      <c r="B497" s="4" t="s">
        <v>11</v>
      </c>
      <c r="C497" s="7">
        <v>37.72</v>
      </c>
      <c r="D497" s="4" t="s">
        <v>29</v>
      </c>
      <c r="E497" s="4" t="s">
        <v>20</v>
      </c>
      <c r="F497" s="4" t="s">
        <v>30</v>
      </c>
      <c r="G497" s="4" t="s">
        <v>32</v>
      </c>
      <c r="H497" s="4">
        <v>4</v>
      </c>
      <c r="I497" s="4">
        <v>5</v>
      </c>
      <c r="J497" s="5">
        <v>45435</v>
      </c>
      <c r="K497" s="6">
        <v>0.80379629629629634</v>
      </c>
    </row>
    <row r="498" spans="1:11" x14ac:dyDescent="0.25">
      <c r="A498" s="4">
        <v>19</v>
      </c>
      <c r="B498" s="4" t="s">
        <v>11</v>
      </c>
      <c r="C498" s="7">
        <v>37.72</v>
      </c>
      <c r="D498" s="4" t="s">
        <v>29</v>
      </c>
      <c r="E498" s="4" t="s">
        <v>20</v>
      </c>
      <c r="F498" s="4" t="s">
        <v>30</v>
      </c>
      <c r="G498" s="4" t="s">
        <v>32</v>
      </c>
      <c r="H498" s="4">
        <v>4</v>
      </c>
      <c r="I498" s="4">
        <v>5</v>
      </c>
      <c r="J498" s="5">
        <v>45435</v>
      </c>
      <c r="K498" s="6">
        <v>0.8044675925925926</v>
      </c>
    </row>
    <row r="499" spans="1:11" x14ac:dyDescent="0.25">
      <c r="A499" s="4">
        <v>19</v>
      </c>
      <c r="B499" s="4" t="s">
        <v>11</v>
      </c>
      <c r="C499" s="7">
        <v>37.72</v>
      </c>
      <c r="D499" s="4" t="s">
        <v>29</v>
      </c>
      <c r="E499" s="4" t="s">
        <v>20</v>
      </c>
      <c r="F499" s="4" t="s">
        <v>30</v>
      </c>
      <c r="G499" s="4" t="s">
        <v>32</v>
      </c>
      <c r="H499" s="4">
        <v>4</v>
      </c>
      <c r="I499" s="4">
        <v>5</v>
      </c>
      <c r="J499" s="5">
        <v>45435</v>
      </c>
      <c r="K499" s="6">
        <v>0.82119212962962962</v>
      </c>
    </row>
    <row r="500" spans="1:11" x14ac:dyDescent="0.25">
      <c r="A500" s="4">
        <v>20</v>
      </c>
      <c r="B500" s="4" t="s">
        <v>11</v>
      </c>
      <c r="C500" s="7">
        <v>37.72</v>
      </c>
      <c r="D500" s="4" t="s">
        <v>29</v>
      </c>
      <c r="E500" s="4" t="s">
        <v>20</v>
      </c>
      <c r="F500" s="4" t="s">
        <v>30</v>
      </c>
      <c r="G500" s="4" t="s">
        <v>32</v>
      </c>
      <c r="H500" s="4">
        <v>4</v>
      </c>
      <c r="I500" s="4">
        <v>5</v>
      </c>
      <c r="J500" s="5">
        <v>45435</v>
      </c>
      <c r="K500" s="6">
        <v>0.84376157407407404</v>
      </c>
    </row>
    <row r="501" spans="1:11" x14ac:dyDescent="0.25">
      <c r="A501" s="4">
        <v>20</v>
      </c>
      <c r="B501" s="4" t="s">
        <v>11</v>
      </c>
      <c r="C501" s="7">
        <v>37.72</v>
      </c>
      <c r="D501" s="4" t="s">
        <v>12</v>
      </c>
      <c r="E501" s="4" t="s">
        <v>20</v>
      </c>
      <c r="F501" s="4" t="s">
        <v>30</v>
      </c>
      <c r="G501" s="4" t="s">
        <v>32</v>
      </c>
      <c r="H501" s="4">
        <v>4</v>
      </c>
      <c r="I501" s="4">
        <v>5</v>
      </c>
      <c r="J501" s="5">
        <v>45435</v>
      </c>
      <c r="K501" s="6">
        <v>0.84472222222222226</v>
      </c>
    </row>
    <row r="502" spans="1:11" x14ac:dyDescent="0.25">
      <c r="A502" s="4">
        <v>22</v>
      </c>
      <c r="B502" s="4" t="s">
        <v>11</v>
      </c>
      <c r="C502" s="7">
        <v>32.82</v>
      </c>
      <c r="D502" s="4" t="s">
        <v>19</v>
      </c>
      <c r="E502" s="4" t="s">
        <v>20</v>
      </c>
      <c r="F502" s="4" t="s">
        <v>30</v>
      </c>
      <c r="G502" s="4" t="s">
        <v>32</v>
      </c>
      <c r="H502" s="4">
        <v>4</v>
      </c>
      <c r="I502" s="4">
        <v>5</v>
      </c>
      <c r="J502" s="5">
        <v>45435</v>
      </c>
      <c r="K502" s="6">
        <v>0.95011574074074079</v>
      </c>
    </row>
    <row r="503" spans="1:11" x14ac:dyDescent="0.25">
      <c r="A503" s="4">
        <v>11</v>
      </c>
      <c r="B503" s="4" t="s">
        <v>11</v>
      </c>
      <c r="C503" s="7">
        <v>27.92</v>
      </c>
      <c r="D503" s="4" t="s">
        <v>24</v>
      </c>
      <c r="E503" s="4" t="s">
        <v>13</v>
      </c>
      <c r="F503" s="4" t="s">
        <v>14</v>
      </c>
      <c r="G503" s="4" t="s">
        <v>32</v>
      </c>
      <c r="H503" s="4">
        <v>5</v>
      </c>
      <c r="I503" s="4">
        <v>5</v>
      </c>
      <c r="J503" s="5">
        <v>45436</v>
      </c>
      <c r="K503" s="6">
        <v>0.46665509259259258</v>
      </c>
    </row>
    <row r="504" spans="1:11" x14ac:dyDescent="0.25">
      <c r="A504" s="4">
        <v>11</v>
      </c>
      <c r="B504" s="4" t="s">
        <v>11</v>
      </c>
      <c r="C504" s="7">
        <v>27.92</v>
      </c>
      <c r="D504" s="4" t="s">
        <v>18</v>
      </c>
      <c r="E504" s="4" t="s">
        <v>13</v>
      </c>
      <c r="F504" s="4" t="s">
        <v>14</v>
      </c>
      <c r="G504" s="4" t="s">
        <v>32</v>
      </c>
      <c r="H504" s="4">
        <v>5</v>
      </c>
      <c r="I504" s="4">
        <v>5</v>
      </c>
      <c r="J504" s="5">
        <v>45436</v>
      </c>
      <c r="K504" s="6">
        <v>0.46884259259259259</v>
      </c>
    </row>
    <row r="505" spans="1:11" x14ac:dyDescent="0.25">
      <c r="A505" s="4">
        <v>11</v>
      </c>
      <c r="B505" s="4" t="s">
        <v>11</v>
      </c>
      <c r="C505" s="7">
        <v>27.92</v>
      </c>
      <c r="D505" s="4" t="s">
        <v>18</v>
      </c>
      <c r="E505" s="4" t="s">
        <v>13</v>
      </c>
      <c r="F505" s="4" t="s">
        <v>14</v>
      </c>
      <c r="G505" s="4" t="s">
        <v>32</v>
      </c>
      <c r="H505" s="4">
        <v>5</v>
      </c>
      <c r="I505" s="4">
        <v>5</v>
      </c>
      <c r="J505" s="5">
        <v>45436</v>
      </c>
      <c r="K505" s="6">
        <v>0.46959490740740739</v>
      </c>
    </row>
    <row r="506" spans="1:11" x14ac:dyDescent="0.25">
      <c r="A506" s="4">
        <v>16</v>
      </c>
      <c r="B506" s="4" t="s">
        <v>11</v>
      </c>
      <c r="C506" s="7">
        <v>37.72</v>
      </c>
      <c r="D506" s="4" t="s">
        <v>16</v>
      </c>
      <c r="E506" s="4" t="s">
        <v>17</v>
      </c>
      <c r="F506" s="4" t="s">
        <v>14</v>
      </c>
      <c r="G506" s="4" t="s">
        <v>32</v>
      </c>
      <c r="H506" s="4">
        <v>5</v>
      </c>
      <c r="I506" s="4">
        <v>5</v>
      </c>
      <c r="J506" s="5">
        <v>45436</v>
      </c>
      <c r="K506" s="6">
        <v>0.67174768518518524</v>
      </c>
    </row>
    <row r="507" spans="1:11" x14ac:dyDescent="0.25">
      <c r="A507" s="4">
        <v>18</v>
      </c>
      <c r="B507" s="4" t="s">
        <v>11</v>
      </c>
      <c r="C507" s="7">
        <v>27.92</v>
      </c>
      <c r="D507" s="4" t="s">
        <v>24</v>
      </c>
      <c r="E507" s="4" t="s">
        <v>20</v>
      </c>
      <c r="F507" s="4" t="s">
        <v>14</v>
      </c>
      <c r="G507" s="4" t="s">
        <v>32</v>
      </c>
      <c r="H507" s="4">
        <v>5</v>
      </c>
      <c r="I507" s="4">
        <v>5</v>
      </c>
      <c r="J507" s="5">
        <v>45436</v>
      </c>
      <c r="K507" s="6">
        <v>0.76226851851851851</v>
      </c>
    </row>
    <row r="508" spans="1:11" x14ac:dyDescent="0.25">
      <c r="A508" s="4">
        <v>18</v>
      </c>
      <c r="B508" s="4" t="s">
        <v>11</v>
      </c>
      <c r="C508" s="7">
        <v>27.92</v>
      </c>
      <c r="D508" s="4" t="s">
        <v>24</v>
      </c>
      <c r="E508" s="4" t="s">
        <v>20</v>
      </c>
      <c r="F508" s="4" t="s">
        <v>14</v>
      </c>
      <c r="G508" s="4" t="s">
        <v>32</v>
      </c>
      <c r="H508" s="4">
        <v>5</v>
      </c>
      <c r="I508" s="4">
        <v>5</v>
      </c>
      <c r="J508" s="5">
        <v>45436</v>
      </c>
      <c r="K508" s="6">
        <v>0.76291666666666669</v>
      </c>
    </row>
    <row r="509" spans="1:11" x14ac:dyDescent="0.25">
      <c r="A509" s="4">
        <v>22</v>
      </c>
      <c r="B509" s="4" t="s">
        <v>11</v>
      </c>
      <c r="C509" s="7">
        <v>32.82</v>
      </c>
      <c r="D509" s="4" t="s">
        <v>19</v>
      </c>
      <c r="E509" s="4" t="s">
        <v>20</v>
      </c>
      <c r="F509" s="4" t="s">
        <v>14</v>
      </c>
      <c r="G509" s="4" t="s">
        <v>32</v>
      </c>
      <c r="H509" s="4">
        <v>5</v>
      </c>
      <c r="I509" s="4">
        <v>5</v>
      </c>
      <c r="J509" s="5">
        <v>45436</v>
      </c>
      <c r="K509" s="6">
        <v>0.937962962962963</v>
      </c>
    </row>
    <row r="510" spans="1:11" x14ac:dyDescent="0.25">
      <c r="A510" s="4">
        <v>12</v>
      </c>
      <c r="B510" s="4" t="s">
        <v>11</v>
      </c>
      <c r="C510" s="7">
        <v>37.72</v>
      </c>
      <c r="D510" s="4" t="s">
        <v>12</v>
      </c>
      <c r="E510" s="4" t="s">
        <v>17</v>
      </c>
      <c r="F510" s="4" t="s">
        <v>22</v>
      </c>
      <c r="G510" s="4" t="s">
        <v>32</v>
      </c>
      <c r="H510" s="4">
        <v>6</v>
      </c>
      <c r="I510" s="4">
        <v>5</v>
      </c>
      <c r="J510" s="5">
        <v>45437</v>
      </c>
      <c r="K510" s="6">
        <v>0.50964120370370369</v>
      </c>
    </row>
    <row r="511" spans="1:11" x14ac:dyDescent="0.25">
      <c r="A511" s="4">
        <v>12</v>
      </c>
      <c r="B511" s="4" t="s">
        <v>11</v>
      </c>
      <c r="C511" s="7">
        <v>32.82</v>
      </c>
      <c r="D511" s="4" t="s">
        <v>19</v>
      </c>
      <c r="E511" s="4" t="s">
        <v>17</v>
      </c>
      <c r="F511" s="4" t="s">
        <v>22</v>
      </c>
      <c r="G511" s="4" t="s">
        <v>32</v>
      </c>
      <c r="H511" s="4">
        <v>6</v>
      </c>
      <c r="I511" s="4">
        <v>5</v>
      </c>
      <c r="J511" s="5">
        <v>45437</v>
      </c>
      <c r="K511" s="6">
        <v>0.5292824074074074</v>
      </c>
    </row>
    <row r="512" spans="1:11" x14ac:dyDescent="0.25">
      <c r="A512" s="4">
        <v>12</v>
      </c>
      <c r="B512" s="4" t="s">
        <v>11</v>
      </c>
      <c r="C512" s="7">
        <v>32.82</v>
      </c>
      <c r="D512" s="4" t="s">
        <v>19</v>
      </c>
      <c r="E512" s="4" t="s">
        <v>17</v>
      </c>
      <c r="F512" s="4" t="s">
        <v>22</v>
      </c>
      <c r="G512" s="4" t="s">
        <v>32</v>
      </c>
      <c r="H512" s="4">
        <v>6</v>
      </c>
      <c r="I512" s="4">
        <v>5</v>
      </c>
      <c r="J512" s="5">
        <v>45437</v>
      </c>
      <c r="K512" s="6">
        <v>0.53001157407407407</v>
      </c>
    </row>
    <row r="513" spans="1:11" x14ac:dyDescent="0.25">
      <c r="A513" s="4">
        <v>12</v>
      </c>
      <c r="B513" s="4" t="s">
        <v>11</v>
      </c>
      <c r="C513" s="7">
        <v>32.82</v>
      </c>
      <c r="D513" s="4" t="s">
        <v>19</v>
      </c>
      <c r="E513" s="4" t="s">
        <v>17</v>
      </c>
      <c r="F513" s="4" t="s">
        <v>22</v>
      </c>
      <c r="G513" s="4" t="s">
        <v>32</v>
      </c>
      <c r="H513" s="4">
        <v>6</v>
      </c>
      <c r="I513" s="4">
        <v>5</v>
      </c>
      <c r="J513" s="5">
        <v>45437</v>
      </c>
      <c r="K513" s="6">
        <v>0.54041666666666666</v>
      </c>
    </row>
    <row r="514" spans="1:11" x14ac:dyDescent="0.25">
      <c r="A514" s="4">
        <v>16</v>
      </c>
      <c r="B514" s="4" t="s">
        <v>11</v>
      </c>
      <c r="C514" s="7">
        <v>32.82</v>
      </c>
      <c r="D514" s="4" t="s">
        <v>19</v>
      </c>
      <c r="E514" s="4" t="s">
        <v>17</v>
      </c>
      <c r="F514" s="4" t="s">
        <v>22</v>
      </c>
      <c r="G514" s="4" t="s">
        <v>32</v>
      </c>
      <c r="H514" s="4">
        <v>6</v>
      </c>
      <c r="I514" s="4">
        <v>5</v>
      </c>
      <c r="J514" s="5">
        <v>45437</v>
      </c>
      <c r="K514" s="6">
        <v>0.6994097222222222</v>
      </c>
    </row>
    <row r="515" spans="1:11" x14ac:dyDescent="0.25">
      <c r="A515" s="4">
        <v>16</v>
      </c>
      <c r="B515" s="4" t="s">
        <v>11</v>
      </c>
      <c r="C515" s="7">
        <v>27.92</v>
      </c>
      <c r="D515" s="4" t="s">
        <v>18</v>
      </c>
      <c r="E515" s="4" t="s">
        <v>17</v>
      </c>
      <c r="F515" s="4" t="s">
        <v>22</v>
      </c>
      <c r="G515" s="4" t="s">
        <v>32</v>
      </c>
      <c r="H515" s="4">
        <v>6</v>
      </c>
      <c r="I515" s="4">
        <v>5</v>
      </c>
      <c r="J515" s="5">
        <v>45437</v>
      </c>
      <c r="K515" s="6">
        <v>0.70018518518518513</v>
      </c>
    </row>
    <row r="516" spans="1:11" x14ac:dyDescent="0.25">
      <c r="A516" s="4">
        <v>10</v>
      </c>
      <c r="B516" s="4" t="s">
        <v>11</v>
      </c>
      <c r="C516" s="7">
        <v>37.72</v>
      </c>
      <c r="D516" s="4" t="s">
        <v>12</v>
      </c>
      <c r="E516" s="4" t="s">
        <v>13</v>
      </c>
      <c r="F516" s="4" t="s">
        <v>23</v>
      </c>
      <c r="G516" s="4" t="s">
        <v>32</v>
      </c>
      <c r="H516" s="4">
        <v>7</v>
      </c>
      <c r="I516" s="4">
        <v>5</v>
      </c>
      <c r="J516" s="5">
        <v>45438</v>
      </c>
      <c r="K516" s="6">
        <v>0.43057870370370371</v>
      </c>
    </row>
    <row r="517" spans="1:11" x14ac:dyDescent="0.25">
      <c r="A517" s="4">
        <v>14</v>
      </c>
      <c r="B517" s="4" t="s">
        <v>11</v>
      </c>
      <c r="C517" s="7">
        <v>32.82</v>
      </c>
      <c r="D517" s="4" t="s">
        <v>19</v>
      </c>
      <c r="E517" s="4" t="s">
        <v>17</v>
      </c>
      <c r="F517" s="4" t="s">
        <v>23</v>
      </c>
      <c r="G517" s="4" t="s">
        <v>32</v>
      </c>
      <c r="H517" s="4">
        <v>7</v>
      </c>
      <c r="I517" s="4">
        <v>5</v>
      </c>
      <c r="J517" s="5">
        <v>45438</v>
      </c>
      <c r="K517" s="6">
        <v>0.60056712962962966</v>
      </c>
    </row>
    <row r="518" spans="1:11" x14ac:dyDescent="0.25">
      <c r="A518" s="4">
        <v>14</v>
      </c>
      <c r="B518" s="4" t="s">
        <v>11</v>
      </c>
      <c r="C518" s="7">
        <v>27.92</v>
      </c>
      <c r="D518" s="4" t="s">
        <v>24</v>
      </c>
      <c r="E518" s="4" t="s">
        <v>17</v>
      </c>
      <c r="F518" s="4" t="s">
        <v>23</v>
      </c>
      <c r="G518" s="4" t="s">
        <v>32</v>
      </c>
      <c r="H518" s="4">
        <v>7</v>
      </c>
      <c r="I518" s="4">
        <v>5</v>
      </c>
      <c r="J518" s="5">
        <v>45438</v>
      </c>
      <c r="K518" s="6">
        <v>0.60144675925925928</v>
      </c>
    </row>
    <row r="519" spans="1:11" x14ac:dyDescent="0.25">
      <c r="A519" s="4">
        <v>14</v>
      </c>
      <c r="B519" s="4" t="s">
        <v>11</v>
      </c>
      <c r="C519" s="7">
        <v>32.82</v>
      </c>
      <c r="D519" s="4" t="s">
        <v>19</v>
      </c>
      <c r="E519" s="4" t="s">
        <v>17</v>
      </c>
      <c r="F519" s="4" t="s">
        <v>23</v>
      </c>
      <c r="G519" s="4" t="s">
        <v>32</v>
      </c>
      <c r="H519" s="4">
        <v>7</v>
      </c>
      <c r="I519" s="4">
        <v>5</v>
      </c>
      <c r="J519" s="5">
        <v>45438</v>
      </c>
      <c r="K519" s="6">
        <v>0.61178240740740741</v>
      </c>
    </row>
    <row r="520" spans="1:11" x14ac:dyDescent="0.25">
      <c r="A520" s="4">
        <v>17</v>
      </c>
      <c r="B520" s="4" t="s">
        <v>11</v>
      </c>
      <c r="C520" s="7">
        <v>37.72</v>
      </c>
      <c r="D520" s="4" t="s">
        <v>29</v>
      </c>
      <c r="E520" s="4" t="s">
        <v>20</v>
      </c>
      <c r="F520" s="4" t="s">
        <v>23</v>
      </c>
      <c r="G520" s="4" t="s">
        <v>32</v>
      </c>
      <c r="H520" s="4">
        <v>7</v>
      </c>
      <c r="I520" s="4">
        <v>5</v>
      </c>
      <c r="J520" s="5">
        <v>45438</v>
      </c>
      <c r="K520" s="6">
        <v>0.72170138888888891</v>
      </c>
    </row>
    <row r="521" spans="1:11" x14ac:dyDescent="0.25">
      <c r="A521" s="4">
        <v>18</v>
      </c>
      <c r="B521" s="4" t="s">
        <v>11</v>
      </c>
      <c r="C521" s="7">
        <v>37.72</v>
      </c>
      <c r="D521" s="4" t="s">
        <v>16</v>
      </c>
      <c r="E521" s="4" t="s">
        <v>20</v>
      </c>
      <c r="F521" s="4" t="s">
        <v>23</v>
      </c>
      <c r="G521" s="4" t="s">
        <v>32</v>
      </c>
      <c r="H521" s="4">
        <v>7</v>
      </c>
      <c r="I521" s="4">
        <v>5</v>
      </c>
      <c r="J521" s="5">
        <v>45438</v>
      </c>
      <c r="K521" s="6">
        <v>0.75685185185185189</v>
      </c>
    </row>
    <row r="522" spans="1:11" x14ac:dyDescent="0.25">
      <c r="A522" s="4">
        <v>18</v>
      </c>
      <c r="B522" s="4" t="s">
        <v>11</v>
      </c>
      <c r="C522" s="7">
        <v>37.72</v>
      </c>
      <c r="D522" s="4" t="s">
        <v>16</v>
      </c>
      <c r="E522" s="4" t="s">
        <v>20</v>
      </c>
      <c r="F522" s="4" t="s">
        <v>23</v>
      </c>
      <c r="G522" s="4" t="s">
        <v>32</v>
      </c>
      <c r="H522" s="4">
        <v>7</v>
      </c>
      <c r="I522" s="4">
        <v>5</v>
      </c>
      <c r="J522" s="5">
        <v>45438</v>
      </c>
      <c r="K522" s="6">
        <v>0.75766203703703705</v>
      </c>
    </row>
    <row r="523" spans="1:11" x14ac:dyDescent="0.25">
      <c r="A523" s="4">
        <v>18</v>
      </c>
      <c r="B523" s="4" t="s">
        <v>11</v>
      </c>
      <c r="C523" s="7">
        <v>27.92</v>
      </c>
      <c r="D523" s="4" t="s">
        <v>18</v>
      </c>
      <c r="E523" s="4" t="s">
        <v>20</v>
      </c>
      <c r="F523" s="4" t="s">
        <v>23</v>
      </c>
      <c r="G523" s="4" t="s">
        <v>32</v>
      </c>
      <c r="H523" s="4">
        <v>7</v>
      </c>
      <c r="I523" s="4">
        <v>5</v>
      </c>
      <c r="J523" s="5">
        <v>45438</v>
      </c>
      <c r="K523" s="6">
        <v>0.75918981481481485</v>
      </c>
    </row>
    <row r="524" spans="1:11" x14ac:dyDescent="0.25">
      <c r="A524" s="4">
        <v>18</v>
      </c>
      <c r="B524" s="4" t="s">
        <v>11</v>
      </c>
      <c r="C524" s="7">
        <v>37.72</v>
      </c>
      <c r="D524" s="4" t="s">
        <v>12</v>
      </c>
      <c r="E524" s="4" t="s">
        <v>20</v>
      </c>
      <c r="F524" s="4" t="s">
        <v>23</v>
      </c>
      <c r="G524" s="4" t="s">
        <v>32</v>
      </c>
      <c r="H524" s="4">
        <v>7</v>
      </c>
      <c r="I524" s="4">
        <v>5</v>
      </c>
      <c r="J524" s="5">
        <v>45438</v>
      </c>
      <c r="K524" s="6">
        <v>0.77729166666666671</v>
      </c>
    </row>
    <row r="525" spans="1:11" x14ac:dyDescent="0.25">
      <c r="A525" s="4">
        <v>20</v>
      </c>
      <c r="B525" s="4" t="s">
        <v>11</v>
      </c>
      <c r="C525" s="7">
        <v>37.72</v>
      </c>
      <c r="D525" s="4" t="s">
        <v>16</v>
      </c>
      <c r="E525" s="4" t="s">
        <v>20</v>
      </c>
      <c r="F525" s="4" t="s">
        <v>23</v>
      </c>
      <c r="G525" s="4" t="s">
        <v>32</v>
      </c>
      <c r="H525" s="4">
        <v>7</v>
      </c>
      <c r="I525" s="4">
        <v>5</v>
      </c>
      <c r="J525" s="5">
        <v>45438</v>
      </c>
      <c r="K525" s="6">
        <v>0.87446759259259255</v>
      </c>
    </row>
    <row r="526" spans="1:11" x14ac:dyDescent="0.25">
      <c r="A526" s="4">
        <v>21</v>
      </c>
      <c r="B526" s="4" t="s">
        <v>11</v>
      </c>
      <c r="C526" s="7">
        <v>37.72</v>
      </c>
      <c r="D526" s="4" t="s">
        <v>29</v>
      </c>
      <c r="E526" s="4" t="s">
        <v>20</v>
      </c>
      <c r="F526" s="4" t="s">
        <v>23</v>
      </c>
      <c r="G526" s="4" t="s">
        <v>32</v>
      </c>
      <c r="H526" s="4">
        <v>7</v>
      </c>
      <c r="I526" s="4">
        <v>5</v>
      </c>
      <c r="J526" s="5">
        <v>45438</v>
      </c>
      <c r="K526" s="6">
        <v>0.87505787037037042</v>
      </c>
    </row>
    <row r="527" spans="1:11" x14ac:dyDescent="0.25">
      <c r="A527" s="4">
        <v>21</v>
      </c>
      <c r="B527" s="4" t="s">
        <v>11</v>
      </c>
      <c r="C527" s="7">
        <v>27.92</v>
      </c>
      <c r="D527" s="4" t="s">
        <v>24</v>
      </c>
      <c r="E527" s="4" t="s">
        <v>20</v>
      </c>
      <c r="F527" s="4" t="s">
        <v>23</v>
      </c>
      <c r="G527" s="4" t="s">
        <v>32</v>
      </c>
      <c r="H527" s="4">
        <v>7</v>
      </c>
      <c r="I527" s="4">
        <v>5</v>
      </c>
      <c r="J527" s="5">
        <v>45438</v>
      </c>
      <c r="K527" s="6">
        <v>0.8768055555555555</v>
      </c>
    </row>
    <row r="528" spans="1:11" x14ac:dyDescent="0.25">
      <c r="A528" s="4">
        <v>21</v>
      </c>
      <c r="B528" s="4" t="s">
        <v>11</v>
      </c>
      <c r="C528" s="7">
        <v>37.72</v>
      </c>
      <c r="D528" s="4" t="s">
        <v>29</v>
      </c>
      <c r="E528" s="4" t="s">
        <v>20</v>
      </c>
      <c r="F528" s="4" t="s">
        <v>23</v>
      </c>
      <c r="G528" s="4" t="s">
        <v>32</v>
      </c>
      <c r="H528" s="4">
        <v>7</v>
      </c>
      <c r="I528" s="4">
        <v>5</v>
      </c>
      <c r="J528" s="5">
        <v>45438</v>
      </c>
      <c r="K528" s="6">
        <v>0.87767361111111108</v>
      </c>
    </row>
    <row r="529" spans="1:11" x14ac:dyDescent="0.25">
      <c r="A529" s="4">
        <v>21</v>
      </c>
      <c r="B529" s="4" t="s">
        <v>11</v>
      </c>
      <c r="C529" s="7">
        <v>37.72</v>
      </c>
      <c r="D529" s="4" t="s">
        <v>12</v>
      </c>
      <c r="E529" s="4" t="s">
        <v>20</v>
      </c>
      <c r="F529" s="4" t="s">
        <v>23</v>
      </c>
      <c r="G529" s="4" t="s">
        <v>32</v>
      </c>
      <c r="H529" s="4">
        <v>7</v>
      </c>
      <c r="I529" s="4">
        <v>5</v>
      </c>
      <c r="J529" s="5">
        <v>45438</v>
      </c>
      <c r="K529" s="6">
        <v>0.87844907407407402</v>
      </c>
    </row>
    <row r="530" spans="1:11" x14ac:dyDescent="0.25">
      <c r="A530" s="4">
        <v>21</v>
      </c>
      <c r="B530" s="4" t="s">
        <v>11</v>
      </c>
      <c r="C530" s="7">
        <v>37.72</v>
      </c>
      <c r="D530" s="4" t="s">
        <v>29</v>
      </c>
      <c r="E530" s="4" t="s">
        <v>20</v>
      </c>
      <c r="F530" s="4" t="s">
        <v>23</v>
      </c>
      <c r="G530" s="4" t="s">
        <v>32</v>
      </c>
      <c r="H530" s="4">
        <v>7</v>
      </c>
      <c r="I530" s="4">
        <v>5</v>
      </c>
      <c r="J530" s="5">
        <v>45438</v>
      </c>
      <c r="K530" s="6">
        <v>0.87918981481481484</v>
      </c>
    </row>
    <row r="531" spans="1:11" x14ac:dyDescent="0.25">
      <c r="A531" s="4">
        <v>11</v>
      </c>
      <c r="B531" s="4" t="s">
        <v>11</v>
      </c>
      <c r="C531" s="7">
        <v>27.92</v>
      </c>
      <c r="D531" s="4" t="s">
        <v>18</v>
      </c>
      <c r="E531" s="4" t="s">
        <v>13</v>
      </c>
      <c r="F531" s="4" t="s">
        <v>25</v>
      </c>
      <c r="G531" s="4" t="s">
        <v>32</v>
      </c>
      <c r="H531" s="4">
        <v>1</v>
      </c>
      <c r="I531" s="4">
        <v>5</v>
      </c>
      <c r="J531" s="5">
        <v>45439</v>
      </c>
      <c r="K531" s="6">
        <v>0.48258101851851853</v>
      </c>
    </row>
    <row r="532" spans="1:11" x14ac:dyDescent="0.25">
      <c r="A532" s="4">
        <v>14</v>
      </c>
      <c r="B532" s="4" t="s">
        <v>11</v>
      </c>
      <c r="C532" s="7">
        <v>32.82</v>
      </c>
      <c r="D532" s="4" t="s">
        <v>19</v>
      </c>
      <c r="E532" s="4" t="s">
        <v>17</v>
      </c>
      <c r="F532" s="4" t="s">
        <v>25</v>
      </c>
      <c r="G532" s="4" t="s">
        <v>32</v>
      </c>
      <c r="H532" s="4">
        <v>1</v>
      </c>
      <c r="I532" s="4">
        <v>5</v>
      </c>
      <c r="J532" s="5">
        <v>45439</v>
      </c>
      <c r="K532" s="6">
        <v>0.58704861111111106</v>
      </c>
    </row>
    <row r="533" spans="1:11" x14ac:dyDescent="0.25">
      <c r="A533" s="4">
        <v>14</v>
      </c>
      <c r="B533" s="4" t="s">
        <v>11</v>
      </c>
      <c r="C533" s="7">
        <v>37.72</v>
      </c>
      <c r="D533" s="4" t="s">
        <v>21</v>
      </c>
      <c r="E533" s="4" t="s">
        <v>17</v>
      </c>
      <c r="F533" s="4" t="s">
        <v>25</v>
      </c>
      <c r="G533" s="4" t="s">
        <v>32</v>
      </c>
      <c r="H533" s="4">
        <v>1</v>
      </c>
      <c r="I533" s="4">
        <v>5</v>
      </c>
      <c r="J533" s="5">
        <v>45439</v>
      </c>
      <c r="K533" s="6">
        <v>0.58799768518518514</v>
      </c>
    </row>
    <row r="534" spans="1:11" x14ac:dyDescent="0.25">
      <c r="A534" s="4">
        <v>15</v>
      </c>
      <c r="B534" s="4" t="s">
        <v>11</v>
      </c>
      <c r="C534" s="7">
        <v>27.92</v>
      </c>
      <c r="D534" s="4" t="s">
        <v>18</v>
      </c>
      <c r="E534" s="4" t="s">
        <v>17</v>
      </c>
      <c r="F534" s="4" t="s">
        <v>25</v>
      </c>
      <c r="G534" s="4" t="s">
        <v>32</v>
      </c>
      <c r="H534" s="4">
        <v>1</v>
      </c>
      <c r="I534" s="4">
        <v>5</v>
      </c>
      <c r="J534" s="5">
        <v>45439</v>
      </c>
      <c r="K534" s="6">
        <v>0.6330324074074074</v>
      </c>
    </row>
    <row r="535" spans="1:11" x14ac:dyDescent="0.25">
      <c r="A535" s="4">
        <v>15</v>
      </c>
      <c r="B535" s="4" t="s">
        <v>11</v>
      </c>
      <c r="C535" s="7">
        <v>27.92</v>
      </c>
      <c r="D535" s="4" t="s">
        <v>18</v>
      </c>
      <c r="E535" s="4" t="s">
        <v>17</v>
      </c>
      <c r="F535" s="4" t="s">
        <v>25</v>
      </c>
      <c r="G535" s="4" t="s">
        <v>32</v>
      </c>
      <c r="H535" s="4">
        <v>1</v>
      </c>
      <c r="I535" s="4">
        <v>5</v>
      </c>
      <c r="J535" s="5">
        <v>45439</v>
      </c>
      <c r="K535" s="6">
        <v>0.6347800925925926</v>
      </c>
    </row>
    <row r="536" spans="1:11" x14ac:dyDescent="0.25">
      <c r="A536" s="4">
        <v>17</v>
      </c>
      <c r="B536" s="4" t="s">
        <v>11</v>
      </c>
      <c r="C536" s="7">
        <v>37.72</v>
      </c>
      <c r="D536" s="4" t="s">
        <v>12</v>
      </c>
      <c r="E536" s="4" t="s">
        <v>20</v>
      </c>
      <c r="F536" s="4" t="s">
        <v>25</v>
      </c>
      <c r="G536" s="4" t="s">
        <v>32</v>
      </c>
      <c r="H536" s="4">
        <v>1</v>
      </c>
      <c r="I536" s="4">
        <v>5</v>
      </c>
      <c r="J536" s="5">
        <v>45439</v>
      </c>
      <c r="K536" s="6">
        <v>0.74369212962962961</v>
      </c>
    </row>
    <row r="537" spans="1:11" x14ac:dyDescent="0.25">
      <c r="A537" s="4">
        <v>18</v>
      </c>
      <c r="B537" s="4" t="s">
        <v>11</v>
      </c>
      <c r="C537" s="7">
        <v>27.92</v>
      </c>
      <c r="D537" s="4" t="s">
        <v>18</v>
      </c>
      <c r="E537" s="4" t="s">
        <v>20</v>
      </c>
      <c r="F537" s="4" t="s">
        <v>25</v>
      </c>
      <c r="G537" s="4" t="s">
        <v>32</v>
      </c>
      <c r="H537" s="4">
        <v>1</v>
      </c>
      <c r="I537" s="4">
        <v>5</v>
      </c>
      <c r="J537" s="5">
        <v>45439</v>
      </c>
      <c r="K537" s="6">
        <v>0.75057870370370372</v>
      </c>
    </row>
    <row r="538" spans="1:11" x14ac:dyDescent="0.25">
      <c r="A538" s="4">
        <v>19</v>
      </c>
      <c r="B538" s="4" t="s">
        <v>11</v>
      </c>
      <c r="C538" s="7">
        <v>37.72</v>
      </c>
      <c r="D538" s="4" t="s">
        <v>12</v>
      </c>
      <c r="E538" s="4" t="s">
        <v>20</v>
      </c>
      <c r="F538" s="4" t="s">
        <v>25</v>
      </c>
      <c r="G538" s="4" t="s">
        <v>32</v>
      </c>
      <c r="H538" s="4">
        <v>1</v>
      </c>
      <c r="I538" s="4">
        <v>5</v>
      </c>
      <c r="J538" s="5">
        <v>45439</v>
      </c>
      <c r="K538" s="6">
        <v>0.80309027777777775</v>
      </c>
    </row>
    <row r="539" spans="1:11" x14ac:dyDescent="0.25">
      <c r="A539" s="4">
        <v>19</v>
      </c>
      <c r="B539" s="4" t="s">
        <v>11</v>
      </c>
      <c r="C539" s="7">
        <v>37.72</v>
      </c>
      <c r="D539" s="4" t="s">
        <v>12</v>
      </c>
      <c r="E539" s="4" t="s">
        <v>20</v>
      </c>
      <c r="F539" s="4" t="s">
        <v>25</v>
      </c>
      <c r="G539" s="4" t="s">
        <v>32</v>
      </c>
      <c r="H539" s="4">
        <v>1</v>
      </c>
      <c r="I539" s="4">
        <v>5</v>
      </c>
      <c r="J539" s="5">
        <v>45439</v>
      </c>
      <c r="K539" s="6">
        <v>0.80391203703703706</v>
      </c>
    </row>
    <row r="540" spans="1:11" x14ac:dyDescent="0.25">
      <c r="A540" s="4">
        <v>21</v>
      </c>
      <c r="B540" s="4" t="s">
        <v>11</v>
      </c>
      <c r="C540" s="7">
        <v>32.82</v>
      </c>
      <c r="D540" s="4" t="s">
        <v>19</v>
      </c>
      <c r="E540" s="4" t="s">
        <v>20</v>
      </c>
      <c r="F540" s="4" t="s">
        <v>25</v>
      </c>
      <c r="G540" s="4" t="s">
        <v>32</v>
      </c>
      <c r="H540" s="4">
        <v>1</v>
      </c>
      <c r="I540" s="4">
        <v>5</v>
      </c>
      <c r="J540" s="5">
        <v>45439</v>
      </c>
      <c r="K540" s="6">
        <v>0.89521990740740742</v>
      </c>
    </row>
    <row r="541" spans="1:11" x14ac:dyDescent="0.25">
      <c r="A541" s="4">
        <v>21</v>
      </c>
      <c r="B541" s="4" t="s">
        <v>11</v>
      </c>
      <c r="C541" s="7">
        <v>37.72</v>
      </c>
      <c r="D541" s="4" t="s">
        <v>29</v>
      </c>
      <c r="E541" s="4" t="s">
        <v>20</v>
      </c>
      <c r="F541" s="4" t="s">
        <v>25</v>
      </c>
      <c r="G541" s="4" t="s">
        <v>32</v>
      </c>
      <c r="H541" s="4">
        <v>1</v>
      </c>
      <c r="I541" s="4">
        <v>5</v>
      </c>
      <c r="J541" s="5">
        <v>45439</v>
      </c>
      <c r="K541" s="6">
        <v>0.89605324074074078</v>
      </c>
    </row>
    <row r="542" spans="1:11" x14ac:dyDescent="0.25">
      <c r="A542" s="4">
        <v>8</v>
      </c>
      <c r="B542" s="4" t="s">
        <v>11</v>
      </c>
      <c r="C542" s="7">
        <v>32.82</v>
      </c>
      <c r="D542" s="4" t="s">
        <v>19</v>
      </c>
      <c r="E542" s="4" t="s">
        <v>13</v>
      </c>
      <c r="F542" s="4" t="s">
        <v>27</v>
      </c>
      <c r="G542" s="4" t="s">
        <v>32</v>
      </c>
      <c r="H542" s="4">
        <v>2</v>
      </c>
      <c r="I542" s="4">
        <v>5</v>
      </c>
      <c r="J542" s="5">
        <v>45440</v>
      </c>
      <c r="K542" s="6">
        <v>0.35913194444444446</v>
      </c>
    </row>
    <row r="543" spans="1:11" x14ac:dyDescent="0.25">
      <c r="A543" s="4">
        <v>9</v>
      </c>
      <c r="B543" s="4" t="s">
        <v>11</v>
      </c>
      <c r="C543" s="7">
        <v>32.82</v>
      </c>
      <c r="D543" s="4" t="s">
        <v>19</v>
      </c>
      <c r="E543" s="4" t="s">
        <v>13</v>
      </c>
      <c r="F543" s="4" t="s">
        <v>27</v>
      </c>
      <c r="G543" s="4" t="s">
        <v>32</v>
      </c>
      <c r="H543" s="4">
        <v>2</v>
      </c>
      <c r="I543" s="4">
        <v>5</v>
      </c>
      <c r="J543" s="5">
        <v>45440</v>
      </c>
      <c r="K543" s="6">
        <v>0.38900462962962962</v>
      </c>
    </row>
    <row r="544" spans="1:11" x14ac:dyDescent="0.25">
      <c r="A544" s="4">
        <v>11</v>
      </c>
      <c r="B544" s="4" t="s">
        <v>11</v>
      </c>
      <c r="C544" s="7">
        <v>37.72</v>
      </c>
      <c r="D544" s="4" t="s">
        <v>29</v>
      </c>
      <c r="E544" s="4" t="s">
        <v>13</v>
      </c>
      <c r="F544" s="4" t="s">
        <v>27</v>
      </c>
      <c r="G544" s="4" t="s">
        <v>32</v>
      </c>
      <c r="H544" s="4">
        <v>2</v>
      </c>
      <c r="I544" s="4">
        <v>5</v>
      </c>
      <c r="J544" s="5">
        <v>45440</v>
      </c>
      <c r="K544" s="6">
        <v>0.49187500000000001</v>
      </c>
    </row>
    <row r="545" spans="1:11" x14ac:dyDescent="0.25">
      <c r="A545" s="4">
        <v>13</v>
      </c>
      <c r="B545" s="4" t="s">
        <v>11</v>
      </c>
      <c r="C545" s="7">
        <v>37.72</v>
      </c>
      <c r="D545" s="4" t="s">
        <v>29</v>
      </c>
      <c r="E545" s="4" t="s">
        <v>17</v>
      </c>
      <c r="F545" s="4" t="s">
        <v>27</v>
      </c>
      <c r="G545" s="4" t="s">
        <v>32</v>
      </c>
      <c r="H545" s="4">
        <v>2</v>
      </c>
      <c r="I545" s="4">
        <v>5</v>
      </c>
      <c r="J545" s="5">
        <v>45440</v>
      </c>
      <c r="K545" s="6">
        <v>0.55185185185185182</v>
      </c>
    </row>
    <row r="546" spans="1:11" x14ac:dyDescent="0.25">
      <c r="A546" s="4">
        <v>14</v>
      </c>
      <c r="B546" s="4" t="s">
        <v>11</v>
      </c>
      <c r="C546" s="7">
        <v>37.72</v>
      </c>
      <c r="D546" s="4" t="s">
        <v>21</v>
      </c>
      <c r="E546" s="4" t="s">
        <v>17</v>
      </c>
      <c r="F546" s="4" t="s">
        <v>27</v>
      </c>
      <c r="G546" s="4" t="s">
        <v>32</v>
      </c>
      <c r="H546" s="4">
        <v>2</v>
      </c>
      <c r="I546" s="4">
        <v>5</v>
      </c>
      <c r="J546" s="5">
        <v>45440</v>
      </c>
      <c r="K546" s="6">
        <v>0.59089120370370374</v>
      </c>
    </row>
    <row r="547" spans="1:11" x14ac:dyDescent="0.25">
      <c r="A547" s="4">
        <v>16</v>
      </c>
      <c r="B547" s="4" t="s">
        <v>11</v>
      </c>
      <c r="C547" s="7">
        <v>27.92</v>
      </c>
      <c r="D547" s="4" t="s">
        <v>24</v>
      </c>
      <c r="E547" s="4" t="s">
        <v>17</v>
      </c>
      <c r="F547" s="4" t="s">
        <v>27</v>
      </c>
      <c r="G547" s="4" t="s">
        <v>32</v>
      </c>
      <c r="H547" s="4">
        <v>2</v>
      </c>
      <c r="I547" s="4">
        <v>5</v>
      </c>
      <c r="J547" s="5">
        <v>45440</v>
      </c>
      <c r="K547" s="6">
        <v>0.68447916666666664</v>
      </c>
    </row>
    <row r="548" spans="1:11" x14ac:dyDescent="0.25">
      <c r="A548" s="4">
        <v>19</v>
      </c>
      <c r="B548" s="4" t="s">
        <v>11</v>
      </c>
      <c r="C548" s="7">
        <v>27.92</v>
      </c>
      <c r="D548" s="4" t="s">
        <v>18</v>
      </c>
      <c r="E548" s="4" t="s">
        <v>20</v>
      </c>
      <c r="F548" s="4" t="s">
        <v>27</v>
      </c>
      <c r="G548" s="4" t="s">
        <v>32</v>
      </c>
      <c r="H548" s="4">
        <v>2</v>
      </c>
      <c r="I548" s="4">
        <v>5</v>
      </c>
      <c r="J548" s="5">
        <v>45440</v>
      </c>
      <c r="K548" s="6">
        <v>0.79825231481481485</v>
      </c>
    </row>
    <row r="549" spans="1:11" x14ac:dyDescent="0.25">
      <c r="A549" s="4">
        <v>19</v>
      </c>
      <c r="B549" s="4" t="s">
        <v>11</v>
      </c>
      <c r="C549" s="7">
        <v>37.72</v>
      </c>
      <c r="D549" s="4" t="s">
        <v>12</v>
      </c>
      <c r="E549" s="4" t="s">
        <v>20</v>
      </c>
      <c r="F549" s="4" t="s">
        <v>27</v>
      </c>
      <c r="G549" s="4" t="s">
        <v>32</v>
      </c>
      <c r="H549" s="4">
        <v>2</v>
      </c>
      <c r="I549" s="4">
        <v>5</v>
      </c>
      <c r="J549" s="5">
        <v>45440</v>
      </c>
      <c r="K549" s="6">
        <v>0.79896990740740736</v>
      </c>
    </row>
    <row r="550" spans="1:11" x14ac:dyDescent="0.25">
      <c r="A550" s="4">
        <v>20</v>
      </c>
      <c r="B550" s="4" t="s">
        <v>11</v>
      </c>
      <c r="C550" s="7">
        <v>32.82</v>
      </c>
      <c r="D550" s="4" t="s">
        <v>19</v>
      </c>
      <c r="E550" s="4" t="s">
        <v>20</v>
      </c>
      <c r="F550" s="4" t="s">
        <v>27</v>
      </c>
      <c r="G550" s="4" t="s">
        <v>32</v>
      </c>
      <c r="H550" s="4">
        <v>2</v>
      </c>
      <c r="I550" s="4">
        <v>5</v>
      </c>
      <c r="J550" s="5">
        <v>45440</v>
      </c>
      <c r="K550" s="6">
        <v>0.85037037037037033</v>
      </c>
    </row>
    <row r="551" spans="1:11" x14ac:dyDescent="0.25">
      <c r="A551" s="4">
        <v>20</v>
      </c>
      <c r="B551" s="4" t="s">
        <v>11</v>
      </c>
      <c r="C551" s="7">
        <v>27.92</v>
      </c>
      <c r="D551" s="4" t="s">
        <v>18</v>
      </c>
      <c r="E551" s="4" t="s">
        <v>20</v>
      </c>
      <c r="F551" s="4" t="s">
        <v>27</v>
      </c>
      <c r="G551" s="4" t="s">
        <v>32</v>
      </c>
      <c r="H551" s="4">
        <v>2</v>
      </c>
      <c r="I551" s="4">
        <v>5</v>
      </c>
      <c r="J551" s="5">
        <v>45440</v>
      </c>
      <c r="K551" s="6">
        <v>0.86827546296296299</v>
      </c>
    </row>
    <row r="552" spans="1:11" x14ac:dyDescent="0.25">
      <c r="A552" s="4">
        <v>9</v>
      </c>
      <c r="B552" s="4" t="s">
        <v>11</v>
      </c>
      <c r="C552" s="7">
        <v>37.72</v>
      </c>
      <c r="D552" s="4" t="s">
        <v>12</v>
      </c>
      <c r="E552" s="4" t="s">
        <v>13</v>
      </c>
      <c r="F552" s="4" t="s">
        <v>28</v>
      </c>
      <c r="G552" s="4" t="s">
        <v>32</v>
      </c>
      <c r="H552" s="4">
        <v>3</v>
      </c>
      <c r="I552" s="4">
        <v>5</v>
      </c>
      <c r="J552" s="5">
        <v>45441</v>
      </c>
      <c r="K552" s="6">
        <v>0.38521990740740741</v>
      </c>
    </row>
    <row r="553" spans="1:11" x14ac:dyDescent="0.25">
      <c r="A553" s="4">
        <v>11</v>
      </c>
      <c r="B553" s="4" t="s">
        <v>11</v>
      </c>
      <c r="C553" s="7">
        <v>37.72</v>
      </c>
      <c r="D553" s="4" t="s">
        <v>16</v>
      </c>
      <c r="E553" s="4" t="s">
        <v>13</v>
      </c>
      <c r="F553" s="4" t="s">
        <v>28</v>
      </c>
      <c r="G553" s="4" t="s">
        <v>32</v>
      </c>
      <c r="H553" s="4">
        <v>3</v>
      </c>
      <c r="I553" s="4">
        <v>5</v>
      </c>
      <c r="J553" s="5">
        <v>45441</v>
      </c>
      <c r="K553" s="6">
        <v>0.46807870370370369</v>
      </c>
    </row>
    <row r="554" spans="1:11" x14ac:dyDescent="0.25">
      <c r="A554" s="4">
        <v>15</v>
      </c>
      <c r="B554" s="4" t="s">
        <v>11</v>
      </c>
      <c r="C554" s="7">
        <v>27.92</v>
      </c>
      <c r="D554" s="4" t="s">
        <v>18</v>
      </c>
      <c r="E554" s="4" t="s">
        <v>17</v>
      </c>
      <c r="F554" s="4" t="s">
        <v>28</v>
      </c>
      <c r="G554" s="4" t="s">
        <v>32</v>
      </c>
      <c r="H554" s="4">
        <v>3</v>
      </c>
      <c r="I554" s="4">
        <v>5</v>
      </c>
      <c r="J554" s="5">
        <v>45441</v>
      </c>
      <c r="K554" s="6">
        <v>0.63249999999999995</v>
      </c>
    </row>
    <row r="555" spans="1:11" x14ac:dyDescent="0.25">
      <c r="A555" s="4">
        <v>15</v>
      </c>
      <c r="B555" s="4" t="s">
        <v>11</v>
      </c>
      <c r="C555" s="7">
        <v>37.72</v>
      </c>
      <c r="D555" s="4" t="s">
        <v>12</v>
      </c>
      <c r="E555" s="4" t="s">
        <v>17</v>
      </c>
      <c r="F555" s="4" t="s">
        <v>28</v>
      </c>
      <c r="G555" s="4" t="s">
        <v>32</v>
      </c>
      <c r="H555" s="4">
        <v>3</v>
      </c>
      <c r="I555" s="4">
        <v>5</v>
      </c>
      <c r="J555" s="5">
        <v>45441</v>
      </c>
      <c r="K555" s="6">
        <v>0.6409259259259259</v>
      </c>
    </row>
    <row r="556" spans="1:11" x14ac:dyDescent="0.25">
      <c r="A556" s="4">
        <v>15</v>
      </c>
      <c r="B556" s="4" t="s">
        <v>11</v>
      </c>
      <c r="C556" s="7">
        <v>37.72</v>
      </c>
      <c r="D556" s="4" t="s">
        <v>29</v>
      </c>
      <c r="E556" s="4" t="s">
        <v>17</v>
      </c>
      <c r="F556" s="4" t="s">
        <v>28</v>
      </c>
      <c r="G556" s="4" t="s">
        <v>32</v>
      </c>
      <c r="H556" s="4">
        <v>3</v>
      </c>
      <c r="I556" s="4">
        <v>5</v>
      </c>
      <c r="J556" s="5">
        <v>45441</v>
      </c>
      <c r="K556" s="6">
        <v>0.65638888888888891</v>
      </c>
    </row>
    <row r="557" spans="1:11" x14ac:dyDescent="0.25">
      <c r="A557" s="4">
        <v>16</v>
      </c>
      <c r="B557" s="4" t="s">
        <v>11</v>
      </c>
      <c r="C557" s="7">
        <v>37.72</v>
      </c>
      <c r="D557" s="4" t="s">
        <v>12</v>
      </c>
      <c r="E557" s="4" t="s">
        <v>17</v>
      </c>
      <c r="F557" s="4" t="s">
        <v>28</v>
      </c>
      <c r="G557" s="4" t="s">
        <v>32</v>
      </c>
      <c r="H557" s="4">
        <v>3</v>
      </c>
      <c r="I557" s="4">
        <v>5</v>
      </c>
      <c r="J557" s="5">
        <v>45441</v>
      </c>
      <c r="K557" s="6">
        <v>0.69795138888888886</v>
      </c>
    </row>
    <row r="558" spans="1:11" x14ac:dyDescent="0.25">
      <c r="A558" s="4">
        <v>18</v>
      </c>
      <c r="B558" s="4" t="s">
        <v>11</v>
      </c>
      <c r="C558" s="7">
        <v>27.92</v>
      </c>
      <c r="D558" s="4" t="s">
        <v>24</v>
      </c>
      <c r="E558" s="4" t="s">
        <v>20</v>
      </c>
      <c r="F558" s="4" t="s">
        <v>28</v>
      </c>
      <c r="G558" s="4" t="s">
        <v>32</v>
      </c>
      <c r="H558" s="4">
        <v>3</v>
      </c>
      <c r="I558" s="4">
        <v>5</v>
      </c>
      <c r="J558" s="5">
        <v>45441</v>
      </c>
      <c r="K558" s="6">
        <v>0.76670138888888884</v>
      </c>
    </row>
    <row r="559" spans="1:11" x14ac:dyDescent="0.25">
      <c r="A559" s="4">
        <v>18</v>
      </c>
      <c r="B559" s="4" t="s">
        <v>11</v>
      </c>
      <c r="C559" s="7">
        <v>37.72</v>
      </c>
      <c r="D559" s="4" t="s">
        <v>12</v>
      </c>
      <c r="E559" s="4" t="s">
        <v>20</v>
      </c>
      <c r="F559" s="4" t="s">
        <v>28</v>
      </c>
      <c r="G559" s="4" t="s">
        <v>32</v>
      </c>
      <c r="H559" s="4">
        <v>3</v>
      </c>
      <c r="I559" s="4">
        <v>5</v>
      </c>
      <c r="J559" s="5">
        <v>45441</v>
      </c>
      <c r="K559" s="6">
        <v>0.76734953703703701</v>
      </c>
    </row>
    <row r="560" spans="1:11" x14ac:dyDescent="0.25">
      <c r="A560" s="4">
        <v>20</v>
      </c>
      <c r="B560" s="4" t="s">
        <v>11</v>
      </c>
      <c r="C560" s="7">
        <v>37.72</v>
      </c>
      <c r="D560" s="4" t="s">
        <v>16</v>
      </c>
      <c r="E560" s="4" t="s">
        <v>20</v>
      </c>
      <c r="F560" s="4" t="s">
        <v>28</v>
      </c>
      <c r="G560" s="4" t="s">
        <v>32</v>
      </c>
      <c r="H560" s="4">
        <v>3</v>
      </c>
      <c r="I560" s="4">
        <v>5</v>
      </c>
      <c r="J560" s="5">
        <v>45441</v>
      </c>
      <c r="K560" s="6">
        <v>0.85465277777777782</v>
      </c>
    </row>
    <row r="561" spans="1:11" x14ac:dyDescent="0.25">
      <c r="A561" s="4">
        <v>20</v>
      </c>
      <c r="B561" s="4" t="s">
        <v>11</v>
      </c>
      <c r="C561" s="7">
        <v>37.72</v>
      </c>
      <c r="D561" s="4" t="s">
        <v>21</v>
      </c>
      <c r="E561" s="4" t="s">
        <v>20</v>
      </c>
      <c r="F561" s="4" t="s">
        <v>28</v>
      </c>
      <c r="G561" s="4" t="s">
        <v>32</v>
      </c>
      <c r="H561" s="4">
        <v>3</v>
      </c>
      <c r="I561" s="4">
        <v>5</v>
      </c>
      <c r="J561" s="5">
        <v>45441</v>
      </c>
      <c r="K561" s="6">
        <v>0.8559606481481481</v>
      </c>
    </row>
    <row r="562" spans="1:11" x14ac:dyDescent="0.25">
      <c r="A562" s="4">
        <v>8</v>
      </c>
      <c r="B562" s="4" t="s">
        <v>11</v>
      </c>
      <c r="C562" s="7">
        <v>37.72</v>
      </c>
      <c r="D562" s="4" t="s">
        <v>29</v>
      </c>
      <c r="E562" s="4" t="s">
        <v>13</v>
      </c>
      <c r="F562" s="4" t="s">
        <v>30</v>
      </c>
      <c r="G562" s="4" t="s">
        <v>32</v>
      </c>
      <c r="H562" s="4">
        <v>4</v>
      </c>
      <c r="I562" s="4">
        <v>5</v>
      </c>
      <c r="J562" s="5">
        <v>45442</v>
      </c>
      <c r="K562" s="6">
        <v>0.35354166666666664</v>
      </c>
    </row>
    <row r="563" spans="1:11" x14ac:dyDescent="0.25">
      <c r="A563" s="4">
        <v>8</v>
      </c>
      <c r="B563" s="4" t="s">
        <v>11</v>
      </c>
      <c r="C563" s="7">
        <v>37.72</v>
      </c>
      <c r="D563" s="4" t="s">
        <v>12</v>
      </c>
      <c r="E563" s="4" t="s">
        <v>13</v>
      </c>
      <c r="F563" s="4" t="s">
        <v>30</v>
      </c>
      <c r="G563" s="4" t="s">
        <v>32</v>
      </c>
      <c r="H563" s="4">
        <v>4</v>
      </c>
      <c r="I563" s="4">
        <v>5</v>
      </c>
      <c r="J563" s="5">
        <v>45442</v>
      </c>
      <c r="K563" s="6">
        <v>0.35440972222222222</v>
      </c>
    </row>
    <row r="564" spans="1:11" x14ac:dyDescent="0.25">
      <c r="A564" s="4">
        <v>8</v>
      </c>
      <c r="B564" s="4" t="s">
        <v>11</v>
      </c>
      <c r="C564" s="7">
        <v>32.82</v>
      </c>
      <c r="D564" s="4" t="s">
        <v>19</v>
      </c>
      <c r="E564" s="4" t="s">
        <v>13</v>
      </c>
      <c r="F564" s="4" t="s">
        <v>30</v>
      </c>
      <c r="G564" s="4" t="s">
        <v>32</v>
      </c>
      <c r="H564" s="4">
        <v>4</v>
      </c>
      <c r="I564" s="4">
        <v>5</v>
      </c>
      <c r="J564" s="5">
        <v>45442</v>
      </c>
      <c r="K564" s="6">
        <v>0.35908564814814814</v>
      </c>
    </row>
    <row r="565" spans="1:11" x14ac:dyDescent="0.25">
      <c r="A565" s="4">
        <v>9</v>
      </c>
      <c r="B565" s="4" t="s">
        <v>11</v>
      </c>
      <c r="C565" s="7">
        <v>37.72</v>
      </c>
      <c r="D565" s="4" t="s">
        <v>12</v>
      </c>
      <c r="E565" s="4" t="s">
        <v>13</v>
      </c>
      <c r="F565" s="4" t="s">
        <v>30</v>
      </c>
      <c r="G565" s="4" t="s">
        <v>32</v>
      </c>
      <c r="H565" s="4">
        <v>4</v>
      </c>
      <c r="I565" s="4">
        <v>5</v>
      </c>
      <c r="J565" s="5">
        <v>45442</v>
      </c>
      <c r="K565" s="6">
        <v>0.40832175925925923</v>
      </c>
    </row>
    <row r="566" spans="1:11" x14ac:dyDescent="0.25">
      <c r="A566" s="4">
        <v>14</v>
      </c>
      <c r="B566" s="4" t="s">
        <v>11</v>
      </c>
      <c r="C566" s="7">
        <v>32.82</v>
      </c>
      <c r="D566" s="4" t="s">
        <v>19</v>
      </c>
      <c r="E566" s="4" t="s">
        <v>17</v>
      </c>
      <c r="F566" s="4" t="s">
        <v>30</v>
      </c>
      <c r="G566" s="4" t="s">
        <v>32</v>
      </c>
      <c r="H566" s="4">
        <v>4</v>
      </c>
      <c r="I566" s="4">
        <v>5</v>
      </c>
      <c r="J566" s="5">
        <v>45442</v>
      </c>
      <c r="K566" s="6">
        <v>0.62239583333333337</v>
      </c>
    </row>
    <row r="567" spans="1:11" x14ac:dyDescent="0.25">
      <c r="A567" s="4">
        <v>15</v>
      </c>
      <c r="B567" s="4" t="s">
        <v>11</v>
      </c>
      <c r="C567" s="7">
        <v>23.02</v>
      </c>
      <c r="D567" s="4" t="s">
        <v>26</v>
      </c>
      <c r="E567" s="4" t="s">
        <v>17</v>
      </c>
      <c r="F567" s="4" t="s">
        <v>30</v>
      </c>
      <c r="G567" s="4" t="s">
        <v>32</v>
      </c>
      <c r="H567" s="4">
        <v>4</v>
      </c>
      <c r="I567" s="4">
        <v>5</v>
      </c>
      <c r="J567" s="5">
        <v>45442</v>
      </c>
      <c r="K567" s="6">
        <v>0.63628472222222221</v>
      </c>
    </row>
    <row r="568" spans="1:11" x14ac:dyDescent="0.25">
      <c r="A568" s="4">
        <v>15</v>
      </c>
      <c r="B568" s="4" t="s">
        <v>11</v>
      </c>
      <c r="C568" s="7">
        <v>23.02</v>
      </c>
      <c r="D568" s="4" t="s">
        <v>26</v>
      </c>
      <c r="E568" s="4" t="s">
        <v>17</v>
      </c>
      <c r="F568" s="4" t="s">
        <v>30</v>
      </c>
      <c r="G568" s="4" t="s">
        <v>32</v>
      </c>
      <c r="H568" s="4">
        <v>4</v>
      </c>
      <c r="I568" s="4">
        <v>5</v>
      </c>
      <c r="J568" s="5">
        <v>45442</v>
      </c>
      <c r="K568" s="6">
        <v>0.63724537037037032</v>
      </c>
    </row>
    <row r="569" spans="1:11" x14ac:dyDescent="0.25">
      <c r="A569" s="4">
        <v>19</v>
      </c>
      <c r="B569" s="4" t="s">
        <v>11</v>
      </c>
      <c r="C569" s="7">
        <v>37.72</v>
      </c>
      <c r="D569" s="4" t="s">
        <v>29</v>
      </c>
      <c r="E569" s="4" t="s">
        <v>20</v>
      </c>
      <c r="F569" s="4" t="s">
        <v>30</v>
      </c>
      <c r="G569" s="4" t="s">
        <v>32</v>
      </c>
      <c r="H569" s="4">
        <v>4</v>
      </c>
      <c r="I569" s="4">
        <v>5</v>
      </c>
      <c r="J569" s="5">
        <v>45442</v>
      </c>
      <c r="K569" s="6">
        <v>0.82859953703703704</v>
      </c>
    </row>
    <row r="570" spans="1:11" x14ac:dyDescent="0.25">
      <c r="A570" s="4">
        <v>20</v>
      </c>
      <c r="B570" s="4" t="s">
        <v>11</v>
      </c>
      <c r="C570" s="7">
        <v>37.72</v>
      </c>
      <c r="D570" s="4" t="s">
        <v>12</v>
      </c>
      <c r="E570" s="4" t="s">
        <v>20</v>
      </c>
      <c r="F570" s="4" t="s">
        <v>30</v>
      </c>
      <c r="G570" s="4" t="s">
        <v>32</v>
      </c>
      <c r="H570" s="4">
        <v>4</v>
      </c>
      <c r="I570" s="4">
        <v>5</v>
      </c>
      <c r="J570" s="5">
        <v>45442</v>
      </c>
      <c r="K570" s="6">
        <v>0.85491898148148149</v>
      </c>
    </row>
    <row r="571" spans="1:11" x14ac:dyDescent="0.25">
      <c r="A571" s="4">
        <v>20</v>
      </c>
      <c r="B571" s="4" t="s">
        <v>11</v>
      </c>
      <c r="C571" s="7">
        <v>37.72</v>
      </c>
      <c r="D571" s="4" t="s">
        <v>16</v>
      </c>
      <c r="E571" s="4" t="s">
        <v>20</v>
      </c>
      <c r="F571" s="4" t="s">
        <v>30</v>
      </c>
      <c r="G571" s="4" t="s">
        <v>32</v>
      </c>
      <c r="H571" s="4">
        <v>4</v>
      </c>
      <c r="I571" s="4">
        <v>5</v>
      </c>
      <c r="J571" s="5">
        <v>45442</v>
      </c>
      <c r="K571" s="6">
        <v>0.86542824074074076</v>
      </c>
    </row>
    <row r="572" spans="1:11" x14ac:dyDescent="0.25">
      <c r="A572" s="4">
        <v>20</v>
      </c>
      <c r="B572" s="4" t="s">
        <v>11</v>
      </c>
      <c r="C572" s="7">
        <v>32.82</v>
      </c>
      <c r="D572" s="4" t="s">
        <v>19</v>
      </c>
      <c r="E572" s="4" t="s">
        <v>20</v>
      </c>
      <c r="F572" s="4" t="s">
        <v>30</v>
      </c>
      <c r="G572" s="4" t="s">
        <v>32</v>
      </c>
      <c r="H572" s="4">
        <v>4</v>
      </c>
      <c r="I572" s="4">
        <v>5</v>
      </c>
      <c r="J572" s="5">
        <v>45442</v>
      </c>
      <c r="K572" s="6">
        <v>0.86621527777777774</v>
      </c>
    </row>
    <row r="573" spans="1:11" x14ac:dyDescent="0.25">
      <c r="A573" s="4">
        <v>7</v>
      </c>
      <c r="B573" s="4" t="s">
        <v>11</v>
      </c>
      <c r="C573" s="7">
        <v>32.82</v>
      </c>
      <c r="D573" s="4" t="s">
        <v>19</v>
      </c>
      <c r="E573" s="4" t="s">
        <v>13</v>
      </c>
      <c r="F573" s="4" t="s">
        <v>14</v>
      </c>
      <c r="G573" s="4" t="s">
        <v>32</v>
      </c>
      <c r="H573" s="4">
        <v>5</v>
      </c>
      <c r="I573" s="4">
        <v>5</v>
      </c>
      <c r="J573" s="5">
        <v>45443</v>
      </c>
      <c r="K573" s="6">
        <v>0.32913194444444444</v>
      </c>
    </row>
    <row r="574" spans="1:11" x14ac:dyDescent="0.25">
      <c r="A574" s="4">
        <v>9</v>
      </c>
      <c r="B574" s="4" t="s">
        <v>11</v>
      </c>
      <c r="C574" s="7">
        <v>37.72</v>
      </c>
      <c r="D574" s="4" t="s">
        <v>12</v>
      </c>
      <c r="E574" s="4" t="s">
        <v>13</v>
      </c>
      <c r="F574" s="4" t="s">
        <v>14</v>
      </c>
      <c r="G574" s="4" t="s">
        <v>32</v>
      </c>
      <c r="H574" s="4">
        <v>5</v>
      </c>
      <c r="I574" s="4">
        <v>5</v>
      </c>
      <c r="J574" s="5">
        <v>45443</v>
      </c>
      <c r="K574" s="6">
        <v>0.38966435185185183</v>
      </c>
    </row>
    <row r="575" spans="1:11" x14ac:dyDescent="0.25">
      <c r="A575" s="4">
        <v>10</v>
      </c>
      <c r="B575" s="4" t="s">
        <v>11</v>
      </c>
      <c r="C575" s="7">
        <v>37.72</v>
      </c>
      <c r="D575" s="4" t="s">
        <v>16</v>
      </c>
      <c r="E575" s="4" t="s">
        <v>13</v>
      </c>
      <c r="F575" s="4" t="s">
        <v>14</v>
      </c>
      <c r="G575" s="4" t="s">
        <v>32</v>
      </c>
      <c r="H575" s="4">
        <v>5</v>
      </c>
      <c r="I575" s="4">
        <v>5</v>
      </c>
      <c r="J575" s="5">
        <v>45443</v>
      </c>
      <c r="K575" s="6">
        <v>0.44313657407407409</v>
      </c>
    </row>
    <row r="576" spans="1:11" x14ac:dyDescent="0.25">
      <c r="A576" s="4">
        <v>10</v>
      </c>
      <c r="B576" s="4" t="s">
        <v>11</v>
      </c>
      <c r="C576" s="7">
        <v>37.72</v>
      </c>
      <c r="D576" s="4" t="s">
        <v>21</v>
      </c>
      <c r="E576" s="4" t="s">
        <v>13</v>
      </c>
      <c r="F576" s="4" t="s">
        <v>14</v>
      </c>
      <c r="G576" s="4" t="s">
        <v>32</v>
      </c>
      <c r="H576" s="4">
        <v>5</v>
      </c>
      <c r="I576" s="4">
        <v>5</v>
      </c>
      <c r="J576" s="5">
        <v>45443</v>
      </c>
      <c r="K576" s="6">
        <v>0.44381944444444443</v>
      </c>
    </row>
    <row r="577" spans="1:11" x14ac:dyDescent="0.25">
      <c r="A577" s="4">
        <v>14</v>
      </c>
      <c r="B577" s="4" t="s">
        <v>11</v>
      </c>
      <c r="C577" s="7">
        <v>32.82</v>
      </c>
      <c r="D577" s="4" t="s">
        <v>19</v>
      </c>
      <c r="E577" s="4" t="s">
        <v>17</v>
      </c>
      <c r="F577" s="4" t="s">
        <v>14</v>
      </c>
      <c r="G577" s="4" t="s">
        <v>32</v>
      </c>
      <c r="H577" s="4">
        <v>5</v>
      </c>
      <c r="I577" s="4">
        <v>5</v>
      </c>
      <c r="J577" s="5">
        <v>45443</v>
      </c>
      <c r="K577" s="6">
        <v>0.61819444444444449</v>
      </c>
    </row>
    <row r="578" spans="1:11" x14ac:dyDescent="0.25">
      <c r="A578" s="4">
        <v>18</v>
      </c>
      <c r="B578" s="4" t="s">
        <v>11</v>
      </c>
      <c r="C578" s="7">
        <v>37.72</v>
      </c>
      <c r="D578" s="4" t="s">
        <v>12</v>
      </c>
      <c r="E578" s="4" t="s">
        <v>20</v>
      </c>
      <c r="F578" s="4" t="s">
        <v>14</v>
      </c>
      <c r="G578" s="4" t="s">
        <v>32</v>
      </c>
      <c r="H578" s="4">
        <v>5</v>
      </c>
      <c r="I578" s="4">
        <v>5</v>
      </c>
      <c r="J578" s="5">
        <v>45443</v>
      </c>
      <c r="K578" s="6">
        <v>0.76648148148148143</v>
      </c>
    </row>
    <row r="579" spans="1:11" x14ac:dyDescent="0.25">
      <c r="A579" s="4">
        <v>18</v>
      </c>
      <c r="B579" s="4" t="s">
        <v>11</v>
      </c>
      <c r="C579" s="7">
        <v>37.72</v>
      </c>
      <c r="D579" s="4" t="s">
        <v>12</v>
      </c>
      <c r="E579" s="4" t="s">
        <v>20</v>
      </c>
      <c r="F579" s="4" t="s">
        <v>14</v>
      </c>
      <c r="G579" s="4" t="s">
        <v>32</v>
      </c>
      <c r="H579" s="4">
        <v>5</v>
      </c>
      <c r="I579" s="4">
        <v>5</v>
      </c>
      <c r="J579" s="5">
        <v>45443</v>
      </c>
      <c r="K579" s="6">
        <v>0.76739583333333339</v>
      </c>
    </row>
    <row r="580" spans="1:11" x14ac:dyDescent="0.25">
      <c r="A580" s="4">
        <v>20</v>
      </c>
      <c r="B580" s="4" t="s">
        <v>11</v>
      </c>
      <c r="C580" s="7">
        <v>37.72</v>
      </c>
      <c r="D580" s="4" t="s">
        <v>29</v>
      </c>
      <c r="E580" s="4" t="s">
        <v>20</v>
      </c>
      <c r="F580" s="4" t="s">
        <v>14</v>
      </c>
      <c r="G580" s="4" t="s">
        <v>32</v>
      </c>
      <c r="H580" s="4">
        <v>5</v>
      </c>
      <c r="I580" s="4">
        <v>5</v>
      </c>
      <c r="J580" s="5">
        <v>45443</v>
      </c>
      <c r="K580" s="6">
        <v>0.83795138888888887</v>
      </c>
    </row>
    <row r="581" spans="1:11" x14ac:dyDescent="0.25">
      <c r="A581" s="4">
        <v>20</v>
      </c>
      <c r="B581" s="4" t="s">
        <v>11</v>
      </c>
      <c r="C581" s="7">
        <v>32.82</v>
      </c>
      <c r="D581" s="4" t="s">
        <v>19</v>
      </c>
      <c r="E581" s="4" t="s">
        <v>20</v>
      </c>
      <c r="F581" s="4" t="s">
        <v>14</v>
      </c>
      <c r="G581" s="4" t="s">
        <v>32</v>
      </c>
      <c r="H581" s="4">
        <v>5</v>
      </c>
      <c r="I581" s="4">
        <v>5</v>
      </c>
      <c r="J581" s="5">
        <v>45443</v>
      </c>
      <c r="K581" s="6">
        <v>0.85631944444444441</v>
      </c>
    </row>
    <row r="582" spans="1:11" x14ac:dyDescent="0.25">
      <c r="A582" s="4">
        <v>20</v>
      </c>
      <c r="B582" s="4" t="s">
        <v>11</v>
      </c>
      <c r="C582" s="7">
        <v>37.72</v>
      </c>
      <c r="D582" s="4" t="s">
        <v>12</v>
      </c>
      <c r="E582" s="4" t="s">
        <v>20</v>
      </c>
      <c r="F582" s="4" t="s">
        <v>14</v>
      </c>
      <c r="G582" s="4" t="s">
        <v>32</v>
      </c>
      <c r="H582" s="4">
        <v>5</v>
      </c>
      <c r="I582" s="4">
        <v>5</v>
      </c>
      <c r="J582" s="5">
        <v>45443</v>
      </c>
      <c r="K582" s="6">
        <v>0.85731481481481486</v>
      </c>
    </row>
    <row r="583" spans="1:11" x14ac:dyDescent="0.25">
      <c r="A583" s="4">
        <v>22</v>
      </c>
      <c r="B583" s="4" t="s">
        <v>11</v>
      </c>
      <c r="C583" s="7">
        <v>37.72</v>
      </c>
      <c r="D583" s="4" t="s">
        <v>29</v>
      </c>
      <c r="E583" s="4" t="s">
        <v>20</v>
      </c>
      <c r="F583" s="4" t="s">
        <v>14</v>
      </c>
      <c r="G583" s="4" t="s">
        <v>32</v>
      </c>
      <c r="H583" s="4">
        <v>5</v>
      </c>
      <c r="I583" s="4">
        <v>5</v>
      </c>
      <c r="J583" s="5">
        <v>45443</v>
      </c>
      <c r="K583" s="6">
        <v>0.92068287037037033</v>
      </c>
    </row>
    <row r="584" spans="1:11" x14ac:dyDescent="0.25">
      <c r="A584" s="4">
        <v>22</v>
      </c>
      <c r="B584" s="4" t="s">
        <v>11</v>
      </c>
      <c r="C584" s="7">
        <v>32.82</v>
      </c>
      <c r="D584" s="4" t="s">
        <v>19</v>
      </c>
      <c r="E584" s="4" t="s">
        <v>20</v>
      </c>
      <c r="F584" s="4" t="s">
        <v>14</v>
      </c>
      <c r="G584" s="4" t="s">
        <v>32</v>
      </c>
      <c r="H584" s="4">
        <v>5</v>
      </c>
      <c r="I584" s="4">
        <v>5</v>
      </c>
      <c r="J584" s="5">
        <v>45443</v>
      </c>
      <c r="K584" s="6">
        <v>0.92143518518518519</v>
      </c>
    </row>
    <row r="585" spans="1:11" x14ac:dyDescent="0.25">
      <c r="A585" s="4">
        <v>22</v>
      </c>
      <c r="B585" s="4" t="s">
        <v>11</v>
      </c>
      <c r="C585" s="7">
        <v>27.92</v>
      </c>
      <c r="D585" s="4" t="s">
        <v>24</v>
      </c>
      <c r="E585" s="4" t="s">
        <v>20</v>
      </c>
      <c r="F585" s="4" t="s">
        <v>14</v>
      </c>
      <c r="G585" s="4" t="s">
        <v>32</v>
      </c>
      <c r="H585" s="4">
        <v>5</v>
      </c>
      <c r="I585" s="4">
        <v>5</v>
      </c>
      <c r="J585" s="5">
        <v>45443</v>
      </c>
      <c r="K585" s="6">
        <v>0.92216435185185186</v>
      </c>
    </row>
    <row r="586" spans="1:11" x14ac:dyDescent="0.25">
      <c r="A586" s="4">
        <v>8</v>
      </c>
      <c r="B586" s="4" t="s">
        <v>11</v>
      </c>
      <c r="C586" s="7">
        <v>27.92</v>
      </c>
      <c r="D586" s="4" t="s">
        <v>24</v>
      </c>
      <c r="E586" s="4" t="s">
        <v>13</v>
      </c>
      <c r="F586" s="4" t="s">
        <v>22</v>
      </c>
      <c r="G586" s="4" t="s">
        <v>33</v>
      </c>
      <c r="H586" s="4">
        <v>6</v>
      </c>
      <c r="I586" s="4">
        <v>6</v>
      </c>
      <c r="J586" s="5">
        <v>45444</v>
      </c>
      <c r="K586" s="6">
        <v>0.3520949074074074</v>
      </c>
    </row>
    <row r="587" spans="1:11" x14ac:dyDescent="0.25">
      <c r="A587" s="4">
        <v>9</v>
      </c>
      <c r="B587" s="4" t="s">
        <v>11</v>
      </c>
      <c r="C587" s="7">
        <v>37.72</v>
      </c>
      <c r="D587" s="4" t="s">
        <v>12</v>
      </c>
      <c r="E587" s="4" t="s">
        <v>13</v>
      </c>
      <c r="F587" s="4" t="s">
        <v>22</v>
      </c>
      <c r="G587" s="4" t="s">
        <v>33</v>
      </c>
      <c r="H587" s="4">
        <v>6</v>
      </c>
      <c r="I587" s="4">
        <v>6</v>
      </c>
      <c r="J587" s="5">
        <v>45444</v>
      </c>
      <c r="K587" s="6">
        <v>0.40861111111111109</v>
      </c>
    </row>
    <row r="588" spans="1:11" x14ac:dyDescent="0.25">
      <c r="A588" s="4">
        <v>11</v>
      </c>
      <c r="B588" s="4" t="s">
        <v>11</v>
      </c>
      <c r="C588" s="7">
        <v>37.72</v>
      </c>
      <c r="D588" s="4" t="s">
        <v>12</v>
      </c>
      <c r="E588" s="4" t="s">
        <v>13</v>
      </c>
      <c r="F588" s="4" t="s">
        <v>22</v>
      </c>
      <c r="G588" s="4" t="s">
        <v>33</v>
      </c>
      <c r="H588" s="4">
        <v>6</v>
      </c>
      <c r="I588" s="4">
        <v>6</v>
      </c>
      <c r="J588" s="5">
        <v>45444</v>
      </c>
      <c r="K588" s="6">
        <v>0.4848263888888889</v>
      </c>
    </row>
    <row r="589" spans="1:11" x14ac:dyDescent="0.25">
      <c r="A589" s="4">
        <v>14</v>
      </c>
      <c r="B589" s="4" t="s">
        <v>11</v>
      </c>
      <c r="C589" s="7">
        <v>32.82</v>
      </c>
      <c r="D589" s="4" t="s">
        <v>19</v>
      </c>
      <c r="E589" s="4" t="s">
        <v>17</v>
      </c>
      <c r="F589" s="4" t="s">
        <v>22</v>
      </c>
      <c r="G589" s="4" t="s">
        <v>33</v>
      </c>
      <c r="H589" s="4">
        <v>6</v>
      </c>
      <c r="I589" s="4">
        <v>6</v>
      </c>
      <c r="J589" s="5">
        <v>45444</v>
      </c>
      <c r="K589" s="6">
        <v>0.60339120370370369</v>
      </c>
    </row>
    <row r="590" spans="1:11" x14ac:dyDescent="0.25">
      <c r="A590" s="4">
        <v>18</v>
      </c>
      <c r="B590" s="4" t="s">
        <v>11</v>
      </c>
      <c r="C590" s="7">
        <v>32.82</v>
      </c>
      <c r="D590" s="4" t="s">
        <v>19</v>
      </c>
      <c r="E590" s="4" t="s">
        <v>20</v>
      </c>
      <c r="F590" s="4" t="s">
        <v>22</v>
      </c>
      <c r="G590" s="4" t="s">
        <v>33</v>
      </c>
      <c r="H590" s="4">
        <v>6</v>
      </c>
      <c r="I590" s="4">
        <v>6</v>
      </c>
      <c r="J590" s="5">
        <v>45444</v>
      </c>
      <c r="K590" s="6">
        <v>0.76402777777777775</v>
      </c>
    </row>
    <row r="591" spans="1:11" x14ac:dyDescent="0.25">
      <c r="A591" s="4">
        <v>18</v>
      </c>
      <c r="B591" s="4" t="s">
        <v>11</v>
      </c>
      <c r="C591" s="7">
        <v>32.82</v>
      </c>
      <c r="D591" s="4" t="s">
        <v>19</v>
      </c>
      <c r="E591" s="4" t="s">
        <v>20</v>
      </c>
      <c r="F591" s="4" t="s">
        <v>22</v>
      </c>
      <c r="G591" s="4" t="s">
        <v>33</v>
      </c>
      <c r="H591" s="4">
        <v>6</v>
      </c>
      <c r="I591" s="4">
        <v>6</v>
      </c>
      <c r="J591" s="5">
        <v>45444</v>
      </c>
      <c r="K591" s="6">
        <v>0.76475694444444442</v>
      </c>
    </row>
    <row r="592" spans="1:11" x14ac:dyDescent="0.25">
      <c r="A592" s="4">
        <v>20</v>
      </c>
      <c r="B592" s="4" t="s">
        <v>11</v>
      </c>
      <c r="C592" s="7">
        <v>37.72</v>
      </c>
      <c r="D592" s="4" t="s">
        <v>29</v>
      </c>
      <c r="E592" s="4" t="s">
        <v>20</v>
      </c>
      <c r="F592" s="4" t="s">
        <v>22</v>
      </c>
      <c r="G592" s="4" t="s">
        <v>33</v>
      </c>
      <c r="H592" s="4">
        <v>6</v>
      </c>
      <c r="I592" s="4">
        <v>6</v>
      </c>
      <c r="J592" s="5">
        <v>45444</v>
      </c>
      <c r="K592" s="6">
        <v>0.8681712962962963</v>
      </c>
    </row>
    <row r="593" spans="1:11" x14ac:dyDescent="0.25">
      <c r="A593" s="4">
        <v>20</v>
      </c>
      <c r="B593" s="4" t="s">
        <v>11</v>
      </c>
      <c r="C593" s="7">
        <v>37.72</v>
      </c>
      <c r="D593" s="4" t="s">
        <v>29</v>
      </c>
      <c r="E593" s="4" t="s">
        <v>20</v>
      </c>
      <c r="F593" s="4" t="s">
        <v>22</v>
      </c>
      <c r="G593" s="4" t="s">
        <v>33</v>
      </c>
      <c r="H593" s="4">
        <v>6</v>
      </c>
      <c r="I593" s="4">
        <v>6</v>
      </c>
      <c r="J593" s="5">
        <v>45444</v>
      </c>
      <c r="K593" s="6">
        <v>0.86890046296296297</v>
      </c>
    </row>
    <row r="594" spans="1:11" x14ac:dyDescent="0.25">
      <c r="A594" s="4">
        <v>20</v>
      </c>
      <c r="B594" s="4" t="s">
        <v>11</v>
      </c>
      <c r="C594" s="7">
        <v>37.72</v>
      </c>
      <c r="D594" s="4" t="s">
        <v>21</v>
      </c>
      <c r="E594" s="4" t="s">
        <v>20</v>
      </c>
      <c r="F594" s="4" t="s">
        <v>22</v>
      </c>
      <c r="G594" s="4" t="s">
        <v>33</v>
      </c>
      <c r="H594" s="4">
        <v>6</v>
      </c>
      <c r="I594" s="4">
        <v>6</v>
      </c>
      <c r="J594" s="5">
        <v>45444</v>
      </c>
      <c r="K594" s="6">
        <v>0.87440972222222224</v>
      </c>
    </row>
    <row r="595" spans="1:11" x14ac:dyDescent="0.25">
      <c r="A595" s="4">
        <v>21</v>
      </c>
      <c r="B595" s="4" t="s">
        <v>11</v>
      </c>
      <c r="C595" s="7">
        <v>32.82</v>
      </c>
      <c r="D595" s="4" t="s">
        <v>19</v>
      </c>
      <c r="E595" s="4" t="s">
        <v>20</v>
      </c>
      <c r="F595" s="4" t="s">
        <v>22</v>
      </c>
      <c r="G595" s="4" t="s">
        <v>33</v>
      </c>
      <c r="H595" s="4">
        <v>6</v>
      </c>
      <c r="I595" s="4">
        <v>6</v>
      </c>
      <c r="J595" s="5">
        <v>45444</v>
      </c>
      <c r="K595" s="6">
        <v>0.91046296296296292</v>
      </c>
    </row>
    <row r="596" spans="1:11" x14ac:dyDescent="0.25">
      <c r="A596" s="4">
        <v>20</v>
      </c>
      <c r="B596" s="4" t="s">
        <v>11</v>
      </c>
      <c r="C596" s="7">
        <v>37.72</v>
      </c>
      <c r="D596" s="4" t="s">
        <v>12</v>
      </c>
      <c r="E596" s="4" t="s">
        <v>20</v>
      </c>
      <c r="F596" s="4" t="s">
        <v>23</v>
      </c>
      <c r="G596" s="4" t="s">
        <v>33</v>
      </c>
      <c r="H596" s="4">
        <v>7</v>
      </c>
      <c r="I596" s="4">
        <v>6</v>
      </c>
      <c r="J596" s="5">
        <v>45445</v>
      </c>
      <c r="K596" s="6">
        <v>0.83570601851851856</v>
      </c>
    </row>
    <row r="597" spans="1:11" x14ac:dyDescent="0.25">
      <c r="A597" s="4">
        <v>20</v>
      </c>
      <c r="B597" s="4" t="s">
        <v>11</v>
      </c>
      <c r="C597" s="7">
        <v>32.82</v>
      </c>
      <c r="D597" s="4" t="s">
        <v>19</v>
      </c>
      <c r="E597" s="4" t="s">
        <v>20</v>
      </c>
      <c r="F597" s="4" t="s">
        <v>23</v>
      </c>
      <c r="G597" s="4" t="s">
        <v>33</v>
      </c>
      <c r="H597" s="4">
        <v>7</v>
      </c>
      <c r="I597" s="4">
        <v>6</v>
      </c>
      <c r="J597" s="5">
        <v>45445</v>
      </c>
      <c r="K597" s="6">
        <v>0.85002314814814817</v>
      </c>
    </row>
    <row r="598" spans="1:11" x14ac:dyDescent="0.25">
      <c r="A598" s="4">
        <v>20</v>
      </c>
      <c r="B598" s="4" t="s">
        <v>11</v>
      </c>
      <c r="C598" s="7">
        <v>37.72</v>
      </c>
      <c r="D598" s="4" t="s">
        <v>29</v>
      </c>
      <c r="E598" s="4" t="s">
        <v>20</v>
      </c>
      <c r="F598" s="4" t="s">
        <v>23</v>
      </c>
      <c r="G598" s="4" t="s">
        <v>33</v>
      </c>
      <c r="H598" s="4">
        <v>7</v>
      </c>
      <c r="I598" s="4">
        <v>6</v>
      </c>
      <c r="J598" s="5">
        <v>45445</v>
      </c>
      <c r="K598" s="6">
        <v>0.85077546296296291</v>
      </c>
    </row>
    <row r="599" spans="1:11" x14ac:dyDescent="0.25">
      <c r="A599" s="4">
        <v>21</v>
      </c>
      <c r="B599" s="4" t="s">
        <v>11</v>
      </c>
      <c r="C599" s="7">
        <v>32.82</v>
      </c>
      <c r="D599" s="4" t="s">
        <v>19</v>
      </c>
      <c r="E599" s="4" t="s">
        <v>20</v>
      </c>
      <c r="F599" s="4" t="s">
        <v>23</v>
      </c>
      <c r="G599" s="4" t="s">
        <v>33</v>
      </c>
      <c r="H599" s="4">
        <v>7</v>
      </c>
      <c r="I599" s="4">
        <v>6</v>
      </c>
      <c r="J599" s="5">
        <v>45445</v>
      </c>
      <c r="K599" s="6">
        <v>0.88009259259259254</v>
      </c>
    </row>
    <row r="600" spans="1:11" x14ac:dyDescent="0.25">
      <c r="A600" s="4">
        <v>21</v>
      </c>
      <c r="B600" s="4" t="s">
        <v>11</v>
      </c>
      <c r="C600" s="7">
        <v>37.72</v>
      </c>
      <c r="D600" s="4" t="s">
        <v>12</v>
      </c>
      <c r="E600" s="4" t="s">
        <v>20</v>
      </c>
      <c r="F600" s="4" t="s">
        <v>23</v>
      </c>
      <c r="G600" s="4" t="s">
        <v>33</v>
      </c>
      <c r="H600" s="4">
        <v>7</v>
      </c>
      <c r="I600" s="4">
        <v>6</v>
      </c>
      <c r="J600" s="5">
        <v>45445</v>
      </c>
      <c r="K600" s="6">
        <v>0.89597222222222217</v>
      </c>
    </row>
    <row r="601" spans="1:11" x14ac:dyDescent="0.25">
      <c r="A601" s="4">
        <v>10</v>
      </c>
      <c r="B601" s="4" t="s">
        <v>11</v>
      </c>
      <c r="C601" s="7">
        <v>37.72</v>
      </c>
      <c r="D601" s="4" t="s">
        <v>12</v>
      </c>
      <c r="E601" s="4" t="s">
        <v>13</v>
      </c>
      <c r="F601" s="4" t="s">
        <v>25</v>
      </c>
      <c r="G601" s="4" t="s">
        <v>33</v>
      </c>
      <c r="H601" s="4">
        <v>1</v>
      </c>
      <c r="I601" s="4">
        <v>6</v>
      </c>
      <c r="J601" s="5">
        <v>45446</v>
      </c>
      <c r="K601" s="6">
        <v>0.42504629629629631</v>
      </c>
    </row>
    <row r="602" spans="1:11" x14ac:dyDescent="0.25">
      <c r="A602" s="4">
        <v>10</v>
      </c>
      <c r="B602" s="4" t="s">
        <v>11</v>
      </c>
      <c r="C602" s="7">
        <v>37.72</v>
      </c>
      <c r="D602" s="4" t="s">
        <v>12</v>
      </c>
      <c r="E602" s="4" t="s">
        <v>13</v>
      </c>
      <c r="F602" s="4" t="s">
        <v>25</v>
      </c>
      <c r="G602" s="4" t="s">
        <v>33</v>
      </c>
      <c r="H602" s="4">
        <v>1</v>
      </c>
      <c r="I602" s="4">
        <v>6</v>
      </c>
      <c r="J602" s="5">
        <v>45446</v>
      </c>
      <c r="K602" s="6">
        <v>0.4359837962962963</v>
      </c>
    </row>
    <row r="603" spans="1:11" x14ac:dyDescent="0.25">
      <c r="A603" s="4">
        <v>14</v>
      </c>
      <c r="B603" s="4" t="s">
        <v>11</v>
      </c>
      <c r="C603" s="7">
        <v>37.72</v>
      </c>
      <c r="D603" s="4" t="s">
        <v>29</v>
      </c>
      <c r="E603" s="4" t="s">
        <v>17</v>
      </c>
      <c r="F603" s="4" t="s">
        <v>25</v>
      </c>
      <c r="G603" s="4" t="s">
        <v>33</v>
      </c>
      <c r="H603" s="4">
        <v>1</v>
      </c>
      <c r="I603" s="4">
        <v>6</v>
      </c>
      <c r="J603" s="5">
        <v>45446</v>
      </c>
      <c r="K603" s="6">
        <v>0.60534722222222226</v>
      </c>
    </row>
    <row r="604" spans="1:11" x14ac:dyDescent="0.25">
      <c r="A604" s="4">
        <v>14</v>
      </c>
      <c r="B604" s="4" t="s">
        <v>11</v>
      </c>
      <c r="C604" s="7">
        <v>32.82</v>
      </c>
      <c r="D604" s="4" t="s">
        <v>19</v>
      </c>
      <c r="E604" s="4" t="s">
        <v>17</v>
      </c>
      <c r="F604" s="4" t="s">
        <v>25</v>
      </c>
      <c r="G604" s="4" t="s">
        <v>33</v>
      </c>
      <c r="H604" s="4">
        <v>1</v>
      </c>
      <c r="I604" s="4">
        <v>6</v>
      </c>
      <c r="J604" s="5">
        <v>45446</v>
      </c>
      <c r="K604" s="6">
        <v>0.60624999999999996</v>
      </c>
    </row>
    <row r="605" spans="1:11" x14ac:dyDescent="0.25">
      <c r="A605" s="4">
        <v>14</v>
      </c>
      <c r="B605" s="4" t="s">
        <v>11</v>
      </c>
      <c r="C605" s="7">
        <v>37.72</v>
      </c>
      <c r="D605" s="4" t="s">
        <v>12</v>
      </c>
      <c r="E605" s="4" t="s">
        <v>17</v>
      </c>
      <c r="F605" s="4" t="s">
        <v>25</v>
      </c>
      <c r="G605" s="4" t="s">
        <v>33</v>
      </c>
      <c r="H605" s="4">
        <v>1</v>
      </c>
      <c r="I605" s="4">
        <v>6</v>
      </c>
      <c r="J605" s="5">
        <v>45446</v>
      </c>
      <c r="K605" s="6">
        <v>0.60701388888888885</v>
      </c>
    </row>
    <row r="606" spans="1:11" x14ac:dyDescent="0.25">
      <c r="A606" s="4">
        <v>9</v>
      </c>
      <c r="B606" s="4" t="s">
        <v>11</v>
      </c>
      <c r="C606" s="7">
        <v>27.92</v>
      </c>
      <c r="D606" s="4" t="s">
        <v>24</v>
      </c>
      <c r="E606" s="4" t="s">
        <v>13</v>
      </c>
      <c r="F606" s="4" t="s">
        <v>27</v>
      </c>
      <c r="G606" s="4" t="s">
        <v>33</v>
      </c>
      <c r="H606" s="4">
        <v>2</v>
      </c>
      <c r="I606" s="4">
        <v>6</v>
      </c>
      <c r="J606" s="5">
        <v>45447</v>
      </c>
      <c r="K606" s="6">
        <v>0.39145833333333335</v>
      </c>
    </row>
    <row r="607" spans="1:11" x14ac:dyDescent="0.25">
      <c r="A607" s="4">
        <v>10</v>
      </c>
      <c r="B607" s="4" t="s">
        <v>11</v>
      </c>
      <c r="C607" s="7">
        <v>32.82</v>
      </c>
      <c r="D607" s="4" t="s">
        <v>19</v>
      </c>
      <c r="E607" s="4" t="s">
        <v>13</v>
      </c>
      <c r="F607" s="4" t="s">
        <v>27</v>
      </c>
      <c r="G607" s="4" t="s">
        <v>33</v>
      </c>
      <c r="H607" s="4">
        <v>2</v>
      </c>
      <c r="I607" s="4">
        <v>6</v>
      </c>
      <c r="J607" s="5">
        <v>45447</v>
      </c>
      <c r="K607" s="6">
        <v>0.43556712962962962</v>
      </c>
    </row>
    <row r="608" spans="1:11" x14ac:dyDescent="0.25">
      <c r="A608" s="4">
        <v>12</v>
      </c>
      <c r="B608" s="4" t="s">
        <v>11</v>
      </c>
      <c r="C608" s="7">
        <v>37.72</v>
      </c>
      <c r="D608" s="4" t="s">
        <v>12</v>
      </c>
      <c r="E608" s="4" t="s">
        <v>17</v>
      </c>
      <c r="F608" s="4" t="s">
        <v>27</v>
      </c>
      <c r="G608" s="4" t="s">
        <v>33</v>
      </c>
      <c r="H608" s="4">
        <v>2</v>
      </c>
      <c r="I608" s="4">
        <v>6</v>
      </c>
      <c r="J608" s="5">
        <v>45447</v>
      </c>
      <c r="K608" s="6">
        <v>0.50150462962962961</v>
      </c>
    </row>
    <row r="609" spans="1:11" x14ac:dyDescent="0.25">
      <c r="A609" s="4">
        <v>12</v>
      </c>
      <c r="B609" s="4" t="s">
        <v>11</v>
      </c>
      <c r="C609" s="7">
        <v>37.72</v>
      </c>
      <c r="D609" s="4" t="s">
        <v>16</v>
      </c>
      <c r="E609" s="4" t="s">
        <v>17</v>
      </c>
      <c r="F609" s="4" t="s">
        <v>27</v>
      </c>
      <c r="G609" s="4" t="s">
        <v>33</v>
      </c>
      <c r="H609" s="4">
        <v>2</v>
      </c>
      <c r="I609" s="4">
        <v>6</v>
      </c>
      <c r="J609" s="5">
        <v>45447</v>
      </c>
      <c r="K609" s="6">
        <v>0.50380787037037034</v>
      </c>
    </row>
    <row r="610" spans="1:11" x14ac:dyDescent="0.25">
      <c r="A610" s="4">
        <v>15</v>
      </c>
      <c r="B610" s="4" t="s">
        <v>11</v>
      </c>
      <c r="C610" s="7">
        <v>37.72</v>
      </c>
      <c r="D610" s="4" t="s">
        <v>12</v>
      </c>
      <c r="E610" s="4" t="s">
        <v>17</v>
      </c>
      <c r="F610" s="4" t="s">
        <v>27</v>
      </c>
      <c r="G610" s="4" t="s">
        <v>33</v>
      </c>
      <c r="H610" s="4">
        <v>2</v>
      </c>
      <c r="I610" s="4">
        <v>6</v>
      </c>
      <c r="J610" s="5">
        <v>45447</v>
      </c>
      <c r="K610" s="6">
        <v>0.64620370370370372</v>
      </c>
    </row>
    <row r="611" spans="1:11" x14ac:dyDescent="0.25">
      <c r="A611" s="4">
        <v>17</v>
      </c>
      <c r="B611" s="4" t="s">
        <v>11</v>
      </c>
      <c r="C611" s="7">
        <v>27.92</v>
      </c>
      <c r="D611" s="4" t="s">
        <v>24</v>
      </c>
      <c r="E611" s="4" t="s">
        <v>20</v>
      </c>
      <c r="F611" s="4" t="s">
        <v>27</v>
      </c>
      <c r="G611" s="4" t="s">
        <v>33</v>
      </c>
      <c r="H611" s="4">
        <v>2</v>
      </c>
      <c r="I611" s="4">
        <v>6</v>
      </c>
      <c r="J611" s="5">
        <v>45447</v>
      </c>
      <c r="K611" s="6">
        <v>0.74069444444444443</v>
      </c>
    </row>
    <row r="612" spans="1:11" x14ac:dyDescent="0.25">
      <c r="A612" s="4">
        <v>17</v>
      </c>
      <c r="B612" s="4" t="s">
        <v>11</v>
      </c>
      <c r="C612" s="7">
        <v>37.72</v>
      </c>
      <c r="D612" s="4" t="s">
        <v>29</v>
      </c>
      <c r="E612" s="4" t="s">
        <v>20</v>
      </c>
      <c r="F612" s="4" t="s">
        <v>27</v>
      </c>
      <c r="G612" s="4" t="s">
        <v>33</v>
      </c>
      <c r="H612" s="4">
        <v>2</v>
      </c>
      <c r="I612" s="4">
        <v>6</v>
      </c>
      <c r="J612" s="5">
        <v>45447</v>
      </c>
      <c r="K612" s="6">
        <v>0.74129629629629634</v>
      </c>
    </row>
    <row r="613" spans="1:11" x14ac:dyDescent="0.25">
      <c r="A613" s="4">
        <v>20</v>
      </c>
      <c r="B613" s="4" t="s">
        <v>11</v>
      </c>
      <c r="C613" s="7">
        <v>37.72</v>
      </c>
      <c r="D613" s="4" t="s">
        <v>16</v>
      </c>
      <c r="E613" s="4" t="s">
        <v>20</v>
      </c>
      <c r="F613" s="4" t="s">
        <v>27</v>
      </c>
      <c r="G613" s="4" t="s">
        <v>33</v>
      </c>
      <c r="H613" s="4">
        <v>2</v>
      </c>
      <c r="I613" s="4">
        <v>6</v>
      </c>
      <c r="J613" s="5">
        <v>45447</v>
      </c>
      <c r="K613" s="6">
        <v>0.84237268518518515</v>
      </c>
    </row>
    <row r="614" spans="1:11" x14ac:dyDescent="0.25">
      <c r="A614" s="4">
        <v>20</v>
      </c>
      <c r="B614" s="4" t="s">
        <v>11</v>
      </c>
      <c r="C614" s="7">
        <v>37.72</v>
      </c>
      <c r="D614" s="4" t="s">
        <v>29</v>
      </c>
      <c r="E614" s="4" t="s">
        <v>20</v>
      </c>
      <c r="F614" s="4" t="s">
        <v>27</v>
      </c>
      <c r="G614" s="4" t="s">
        <v>33</v>
      </c>
      <c r="H614" s="4">
        <v>2</v>
      </c>
      <c r="I614" s="4">
        <v>6</v>
      </c>
      <c r="J614" s="5">
        <v>45447</v>
      </c>
      <c r="K614" s="6">
        <v>0.86843749999999997</v>
      </c>
    </row>
    <row r="615" spans="1:11" x14ac:dyDescent="0.25">
      <c r="A615" s="4">
        <v>21</v>
      </c>
      <c r="B615" s="4" t="s">
        <v>11</v>
      </c>
      <c r="C615" s="7">
        <v>27.92</v>
      </c>
      <c r="D615" s="4" t="s">
        <v>24</v>
      </c>
      <c r="E615" s="4" t="s">
        <v>20</v>
      </c>
      <c r="F615" s="4" t="s">
        <v>27</v>
      </c>
      <c r="G615" s="4" t="s">
        <v>33</v>
      </c>
      <c r="H615" s="4">
        <v>2</v>
      </c>
      <c r="I615" s="4">
        <v>6</v>
      </c>
      <c r="J615" s="5">
        <v>45447</v>
      </c>
      <c r="K615" s="6">
        <v>0.89719907407407407</v>
      </c>
    </row>
    <row r="616" spans="1:11" x14ac:dyDescent="0.25">
      <c r="A616" s="4">
        <v>21</v>
      </c>
      <c r="B616" s="4" t="s">
        <v>11</v>
      </c>
      <c r="C616" s="7">
        <v>32.82</v>
      </c>
      <c r="D616" s="4" t="s">
        <v>19</v>
      </c>
      <c r="E616" s="4" t="s">
        <v>20</v>
      </c>
      <c r="F616" s="4" t="s">
        <v>27</v>
      </c>
      <c r="G616" s="4" t="s">
        <v>33</v>
      </c>
      <c r="H616" s="4">
        <v>2</v>
      </c>
      <c r="I616" s="4">
        <v>6</v>
      </c>
      <c r="J616" s="5">
        <v>45447</v>
      </c>
      <c r="K616" s="6">
        <v>0.89793981481481477</v>
      </c>
    </row>
    <row r="617" spans="1:11" x14ac:dyDescent="0.25">
      <c r="A617" s="4">
        <v>21</v>
      </c>
      <c r="B617" s="4" t="s">
        <v>11</v>
      </c>
      <c r="C617" s="7">
        <v>32.82</v>
      </c>
      <c r="D617" s="4" t="s">
        <v>19</v>
      </c>
      <c r="E617" s="4" t="s">
        <v>20</v>
      </c>
      <c r="F617" s="4" t="s">
        <v>27</v>
      </c>
      <c r="G617" s="4" t="s">
        <v>33</v>
      </c>
      <c r="H617" s="4">
        <v>2</v>
      </c>
      <c r="I617" s="4">
        <v>6</v>
      </c>
      <c r="J617" s="5">
        <v>45447</v>
      </c>
      <c r="K617" s="6">
        <v>0.89924768518518516</v>
      </c>
    </row>
    <row r="618" spans="1:11" x14ac:dyDescent="0.25">
      <c r="A618" s="4">
        <v>21</v>
      </c>
      <c r="B618" s="4" t="s">
        <v>11</v>
      </c>
      <c r="C618" s="7">
        <v>32.82</v>
      </c>
      <c r="D618" s="4" t="s">
        <v>19</v>
      </c>
      <c r="E618" s="4" t="s">
        <v>20</v>
      </c>
      <c r="F618" s="4" t="s">
        <v>27</v>
      </c>
      <c r="G618" s="4" t="s">
        <v>33</v>
      </c>
      <c r="H618" s="4">
        <v>2</v>
      </c>
      <c r="I618" s="4">
        <v>6</v>
      </c>
      <c r="J618" s="5">
        <v>45447</v>
      </c>
      <c r="K618" s="6">
        <v>0.90006944444444448</v>
      </c>
    </row>
    <row r="619" spans="1:11" x14ac:dyDescent="0.25">
      <c r="A619" s="4">
        <v>21</v>
      </c>
      <c r="B619" s="4" t="s">
        <v>11</v>
      </c>
      <c r="C619" s="7">
        <v>32.82</v>
      </c>
      <c r="D619" s="4" t="s">
        <v>19</v>
      </c>
      <c r="E619" s="4" t="s">
        <v>20</v>
      </c>
      <c r="F619" s="4" t="s">
        <v>27</v>
      </c>
      <c r="G619" s="4" t="s">
        <v>33</v>
      </c>
      <c r="H619" s="4">
        <v>2</v>
      </c>
      <c r="I619" s="4">
        <v>6</v>
      </c>
      <c r="J619" s="5">
        <v>45447</v>
      </c>
      <c r="K619" s="6">
        <v>0.9008680555555556</v>
      </c>
    </row>
    <row r="620" spans="1:11" x14ac:dyDescent="0.25">
      <c r="A620" s="4">
        <v>8</v>
      </c>
      <c r="B620" s="4" t="s">
        <v>11</v>
      </c>
      <c r="C620" s="7">
        <v>37.72</v>
      </c>
      <c r="D620" s="4" t="s">
        <v>29</v>
      </c>
      <c r="E620" s="4" t="s">
        <v>13</v>
      </c>
      <c r="F620" s="4" t="s">
        <v>28</v>
      </c>
      <c r="G620" s="4" t="s">
        <v>33</v>
      </c>
      <c r="H620" s="4">
        <v>3</v>
      </c>
      <c r="I620" s="4">
        <v>6</v>
      </c>
      <c r="J620" s="5">
        <v>45448</v>
      </c>
      <c r="K620" s="6">
        <v>0.34847222222222224</v>
      </c>
    </row>
    <row r="621" spans="1:11" x14ac:dyDescent="0.25">
      <c r="A621" s="4">
        <v>8</v>
      </c>
      <c r="B621" s="4" t="s">
        <v>11</v>
      </c>
      <c r="C621" s="7">
        <v>37.72</v>
      </c>
      <c r="D621" s="4" t="s">
        <v>29</v>
      </c>
      <c r="E621" s="4" t="s">
        <v>13</v>
      </c>
      <c r="F621" s="4" t="s">
        <v>28</v>
      </c>
      <c r="G621" s="4" t="s">
        <v>33</v>
      </c>
      <c r="H621" s="4">
        <v>3</v>
      </c>
      <c r="I621" s="4">
        <v>6</v>
      </c>
      <c r="J621" s="5">
        <v>45448</v>
      </c>
      <c r="K621" s="6">
        <v>0.34937499999999999</v>
      </c>
    </row>
    <row r="622" spans="1:11" x14ac:dyDescent="0.25">
      <c r="A622" s="4">
        <v>9</v>
      </c>
      <c r="B622" s="4" t="s">
        <v>11</v>
      </c>
      <c r="C622" s="7">
        <v>27.92</v>
      </c>
      <c r="D622" s="4" t="s">
        <v>18</v>
      </c>
      <c r="E622" s="4" t="s">
        <v>13</v>
      </c>
      <c r="F622" s="4" t="s">
        <v>28</v>
      </c>
      <c r="G622" s="4" t="s">
        <v>33</v>
      </c>
      <c r="H622" s="4">
        <v>3</v>
      </c>
      <c r="I622" s="4">
        <v>6</v>
      </c>
      <c r="J622" s="5">
        <v>45448</v>
      </c>
      <c r="K622" s="6">
        <v>0.39077546296296295</v>
      </c>
    </row>
    <row r="623" spans="1:11" x14ac:dyDescent="0.25">
      <c r="A623" s="4">
        <v>10</v>
      </c>
      <c r="B623" s="4" t="s">
        <v>11</v>
      </c>
      <c r="C623" s="7">
        <v>37.72</v>
      </c>
      <c r="D623" s="4" t="s">
        <v>12</v>
      </c>
      <c r="E623" s="4" t="s">
        <v>13</v>
      </c>
      <c r="F623" s="4" t="s">
        <v>28</v>
      </c>
      <c r="G623" s="4" t="s">
        <v>33</v>
      </c>
      <c r="H623" s="4">
        <v>3</v>
      </c>
      <c r="I623" s="4">
        <v>6</v>
      </c>
      <c r="J623" s="5">
        <v>45448</v>
      </c>
      <c r="K623" s="6">
        <v>0.43668981481481484</v>
      </c>
    </row>
    <row r="624" spans="1:11" x14ac:dyDescent="0.25">
      <c r="A624" s="4">
        <v>10</v>
      </c>
      <c r="B624" s="4" t="s">
        <v>11</v>
      </c>
      <c r="C624" s="7">
        <v>32.82</v>
      </c>
      <c r="D624" s="4" t="s">
        <v>19</v>
      </c>
      <c r="E624" s="4" t="s">
        <v>13</v>
      </c>
      <c r="F624" s="4" t="s">
        <v>28</v>
      </c>
      <c r="G624" s="4" t="s">
        <v>33</v>
      </c>
      <c r="H624" s="4">
        <v>3</v>
      </c>
      <c r="I624" s="4">
        <v>6</v>
      </c>
      <c r="J624" s="5">
        <v>45448</v>
      </c>
      <c r="K624" s="6">
        <v>0.44505787037037037</v>
      </c>
    </row>
    <row r="625" spans="1:11" x14ac:dyDescent="0.25">
      <c r="A625" s="4">
        <v>19</v>
      </c>
      <c r="B625" s="4" t="s">
        <v>11</v>
      </c>
      <c r="C625" s="7">
        <v>32.82</v>
      </c>
      <c r="D625" s="4" t="s">
        <v>19</v>
      </c>
      <c r="E625" s="4" t="s">
        <v>20</v>
      </c>
      <c r="F625" s="4" t="s">
        <v>28</v>
      </c>
      <c r="G625" s="4" t="s">
        <v>33</v>
      </c>
      <c r="H625" s="4">
        <v>3</v>
      </c>
      <c r="I625" s="4">
        <v>6</v>
      </c>
      <c r="J625" s="5">
        <v>45448</v>
      </c>
      <c r="K625" s="6">
        <v>0.82218749999999996</v>
      </c>
    </row>
    <row r="626" spans="1:11" x14ac:dyDescent="0.25">
      <c r="A626" s="4">
        <v>19</v>
      </c>
      <c r="B626" s="4" t="s">
        <v>11</v>
      </c>
      <c r="C626" s="7">
        <v>37.72</v>
      </c>
      <c r="D626" s="4" t="s">
        <v>12</v>
      </c>
      <c r="E626" s="4" t="s">
        <v>20</v>
      </c>
      <c r="F626" s="4" t="s">
        <v>28</v>
      </c>
      <c r="G626" s="4" t="s">
        <v>33</v>
      </c>
      <c r="H626" s="4">
        <v>3</v>
      </c>
      <c r="I626" s="4">
        <v>6</v>
      </c>
      <c r="J626" s="5">
        <v>45448</v>
      </c>
      <c r="K626" s="6">
        <v>0.83325231481481477</v>
      </c>
    </row>
    <row r="627" spans="1:11" x14ac:dyDescent="0.25">
      <c r="A627" s="4">
        <v>20</v>
      </c>
      <c r="B627" s="4" t="s">
        <v>11</v>
      </c>
      <c r="C627" s="7">
        <v>37.72</v>
      </c>
      <c r="D627" s="4" t="s">
        <v>21</v>
      </c>
      <c r="E627" s="4" t="s">
        <v>20</v>
      </c>
      <c r="F627" s="4" t="s">
        <v>28</v>
      </c>
      <c r="G627" s="4" t="s">
        <v>33</v>
      </c>
      <c r="H627" s="4">
        <v>3</v>
      </c>
      <c r="I627" s="4">
        <v>6</v>
      </c>
      <c r="J627" s="5">
        <v>45448</v>
      </c>
      <c r="K627" s="6">
        <v>0.84082175925925928</v>
      </c>
    </row>
    <row r="628" spans="1:11" x14ac:dyDescent="0.25">
      <c r="A628" s="4">
        <v>20</v>
      </c>
      <c r="B628" s="4" t="s">
        <v>11</v>
      </c>
      <c r="C628" s="7">
        <v>27.92</v>
      </c>
      <c r="D628" s="4" t="s">
        <v>24</v>
      </c>
      <c r="E628" s="4" t="s">
        <v>20</v>
      </c>
      <c r="F628" s="4" t="s">
        <v>28</v>
      </c>
      <c r="G628" s="4" t="s">
        <v>33</v>
      </c>
      <c r="H628" s="4">
        <v>3</v>
      </c>
      <c r="I628" s="4">
        <v>6</v>
      </c>
      <c r="J628" s="5">
        <v>45448</v>
      </c>
      <c r="K628" s="6">
        <v>0.84167824074074071</v>
      </c>
    </row>
    <row r="629" spans="1:11" x14ac:dyDescent="0.25">
      <c r="A629" s="4">
        <v>8</v>
      </c>
      <c r="B629" s="4" t="s">
        <v>11</v>
      </c>
      <c r="C629" s="7">
        <v>32.82</v>
      </c>
      <c r="D629" s="4" t="s">
        <v>19</v>
      </c>
      <c r="E629" s="4" t="s">
        <v>13</v>
      </c>
      <c r="F629" s="4" t="s">
        <v>30</v>
      </c>
      <c r="G629" s="4" t="s">
        <v>33</v>
      </c>
      <c r="H629" s="4">
        <v>4</v>
      </c>
      <c r="I629" s="4">
        <v>6</v>
      </c>
      <c r="J629" s="5">
        <v>45449</v>
      </c>
      <c r="K629" s="6">
        <v>0.37009259259259258</v>
      </c>
    </row>
    <row r="630" spans="1:11" x14ac:dyDescent="0.25">
      <c r="A630" s="4">
        <v>8</v>
      </c>
      <c r="B630" s="4" t="s">
        <v>11</v>
      </c>
      <c r="C630" s="7">
        <v>32.82</v>
      </c>
      <c r="D630" s="4" t="s">
        <v>19</v>
      </c>
      <c r="E630" s="4" t="s">
        <v>13</v>
      </c>
      <c r="F630" s="4" t="s">
        <v>30</v>
      </c>
      <c r="G630" s="4" t="s">
        <v>33</v>
      </c>
      <c r="H630" s="4">
        <v>4</v>
      </c>
      <c r="I630" s="4">
        <v>6</v>
      </c>
      <c r="J630" s="5">
        <v>45449</v>
      </c>
      <c r="K630" s="6">
        <v>0.37092592592592594</v>
      </c>
    </row>
    <row r="631" spans="1:11" x14ac:dyDescent="0.25">
      <c r="A631" s="4">
        <v>10</v>
      </c>
      <c r="B631" s="4" t="s">
        <v>11</v>
      </c>
      <c r="C631" s="7">
        <v>37.72</v>
      </c>
      <c r="D631" s="4" t="s">
        <v>12</v>
      </c>
      <c r="E631" s="4" t="s">
        <v>13</v>
      </c>
      <c r="F631" s="4" t="s">
        <v>30</v>
      </c>
      <c r="G631" s="4" t="s">
        <v>33</v>
      </c>
      <c r="H631" s="4">
        <v>4</v>
      </c>
      <c r="I631" s="4">
        <v>6</v>
      </c>
      <c r="J631" s="5">
        <v>45449</v>
      </c>
      <c r="K631" s="6">
        <v>0.44177083333333333</v>
      </c>
    </row>
    <row r="632" spans="1:11" x14ac:dyDescent="0.25">
      <c r="A632" s="4">
        <v>12</v>
      </c>
      <c r="B632" s="4" t="s">
        <v>11</v>
      </c>
      <c r="C632" s="7">
        <v>27.92</v>
      </c>
      <c r="D632" s="4" t="s">
        <v>18</v>
      </c>
      <c r="E632" s="4" t="s">
        <v>17</v>
      </c>
      <c r="F632" s="4" t="s">
        <v>30</v>
      </c>
      <c r="G632" s="4" t="s">
        <v>33</v>
      </c>
      <c r="H632" s="4">
        <v>4</v>
      </c>
      <c r="I632" s="4">
        <v>6</v>
      </c>
      <c r="J632" s="5">
        <v>45449</v>
      </c>
      <c r="K632" s="6">
        <v>0.51228009259259255</v>
      </c>
    </row>
    <row r="633" spans="1:11" x14ac:dyDescent="0.25">
      <c r="A633" s="4">
        <v>15</v>
      </c>
      <c r="B633" s="4" t="s">
        <v>11</v>
      </c>
      <c r="C633" s="7">
        <v>32.82</v>
      </c>
      <c r="D633" s="4" t="s">
        <v>19</v>
      </c>
      <c r="E633" s="4" t="s">
        <v>17</v>
      </c>
      <c r="F633" s="4" t="s">
        <v>30</v>
      </c>
      <c r="G633" s="4" t="s">
        <v>33</v>
      </c>
      <c r="H633" s="4">
        <v>4</v>
      </c>
      <c r="I633" s="4">
        <v>6</v>
      </c>
      <c r="J633" s="5">
        <v>45449</v>
      </c>
      <c r="K633" s="6">
        <v>0.63280092592592596</v>
      </c>
    </row>
    <row r="634" spans="1:11" x14ac:dyDescent="0.25">
      <c r="A634" s="4">
        <v>15</v>
      </c>
      <c r="B634" s="4" t="s">
        <v>11</v>
      </c>
      <c r="C634" s="7">
        <v>37.72</v>
      </c>
      <c r="D634" s="4" t="s">
        <v>29</v>
      </c>
      <c r="E634" s="4" t="s">
        <v>17</v>
      </c>
      <c r="F634" s="4" t="s">
        <v>30</v>
      </c>
      <c r="G634" s="4" t="s">
        <v>33</v>
      </c>
      <c r="H634" s="4">
        <v>4</v>
      </c>
      <c r="I634" s="4">
        <v>6</v>
      </c>
      <c r="J634" s="5">
        <v>45449</v>
      </c>
      <c r="K634" s="6">
        <v>0.64173611111111106</v>
      </c>
    </row>
    <row r="635" spans="1:11" x14ac:dyDescent="0.25">
      <c r="A635" s="4">
        <v>21</v>
      </c>
      <c r="B635" s="4" t="s">
        <v>11</v>
      </c>
      <c r="C635" s="7">
        <v>37.72</v>
      </c>
      <c r="D635" s="4" t="s">
        <v>12</v>
      </c>
      <c r="E635" s="4" t="s">
        <v>20</v>
      </c>
      <c r="F635" s="4" t="s">
        <v>30</v>
      </c>
      <c r="G635" s="4" t="s">
        <v>33</v>
      </c>
      <c r="H635" s="4">
        <v>4</v>
      </c>
      <c r="I635" s="4">
        <v>6</v>
      </c>
      <c r="J635" s="5">
        <v>45449</v>
      </c>
      <c r="K635" s="6">
        <v>0.8847800925925926</v>
      </c>
    </row>
    <row r="636" spans="1:11" x14ac:dyDescent="0.25">
      <c r="A636" s="4">
        <v>21</v>
      </c>
      <c r="B636" s="4" t="s">
        <v>11</v>
      </c>
      <c r="C636" s="7">
        <v>37.72</v>
      </c>
      <c r="D636" s="4" t="s">
        <v>12</v>
      </c>
      <c r="E636" s="4" t="s">
        <v>20</v>
      </c>
      <c r="F636" s="4" t="s">
        <v>30</v>
      </c>
      <c r="G636" s="4" t="s">
        <v>33</v>
      </c>
      <c r="H636" s="4">
        <v>4</v>
      </c>
      <c r="I636" s="4">
        <v>6</v>
      </c>
      <c r="J636" s="5">
        <v>45449</v>
      </c>
      <c r="K636" s="6">
        <v>0.88590277777777782</v>
      </c>
    </row>
    <row r="637" spans="1:11" x14ac:dyDescent="0.25">
      <c r="A637" s="4">
        <v>21</v>
      </c>
      <c r="B637" s="4" t="s">
        <v>11</v>
      </c>
      <c r="C637" s="7">
        <v>37.72</v>
      </c>
      <c r="D637" s="4" t="s">
        <v>29</v>
      </c>
      <c r="E637" s="4" t="s">
        <v>20</v>
      </c>
      <c r="F637" s="4" t="s">
        <v>30</v>
      </c>
      <c r="G637" s="4" t="s">
        <v>33</v>
      </c>
      <c r="H637" s="4">
        <v>4</v>
      </c>
      <c r="I637" s="4">
        <v>6</v>
      </c>
      <c r="J637" s="5">
        <v>45449</v>
      </c>
      <c r="K637" s="6">
        <v>0.88780092592592597</v>
      </c>
    </row>
    <row r="638" spans="1:11" x14ac:dyDescent="0.25">
      <c r="A638" s="4">
        <v>21</v>
      </c>
      <c r="B638" s="4" t="s">
        <v>11</v>
      </c>
      <c r="C638" s="7">
        <v>32.82</v>
      </c>
      <c r="D638" s="4" t="s">
        <v>19</v>
      </c>
      <c r="E638" s="4" t="s">
        <v>20</v>
      </c>
      <c r="F638" s="4" t="s">
        <v>30</v>
      </c>
      <c r="G638" s="4" t="s">
        <v>33</v>
      </c>
      <c r="H638" s="4">
        <v>4</v>
      </c>
      <c r="I638" s="4">
        <v>6</v>
      </c>
      <c r="J638" s="5">
        <v>45449</v>
      </c>
      <c r="K638" s="6">
        <v>0.88854166666666667</v>
      </c>
    </row>
    <row r="639" spans="1:11" x14ac:dyDescent="0.25">
      <c r="A639" s="4">
        <v>21</v>
      </c>
      <c r="B639" s="4" t="s">
        <v>11</v>
      </c>
      <c r="C639" s="7">
        <v>37.72</v>
      </c>
      <c r="D639" s="4" t="s">
        <v>12</v>
      </c>
      <c r="E639" s="4" t="s">
        <v>20</v>
      </c>
      <c r="F639" s="4" t="s">
        <v>30</v>
      </c>
      <c r="G639" s="4" t="s">
        <v>33</v>
      </c>
      <c r="H639" s="4">
        <v>4</v>
      </c>
      <c r="I639" s="4">
        <v>6</v>
      </c>
      <c r="J639" s="5">
        <v>45449</v>
      </c>
      <c r="K639" s="6">
        <v>0.88962962962962966</v>
      </c>
    </row>
    <row r="640" spans="1:11" x14ac:dyDescent="0.25">
      <c r="A640" s="4">
        <v>8</v>
      </c>
      <c r="B640" s="4" t="s">
        <v>11</v>
      </c>
      <c r="C640" s="7">
        <v>37.72</v>
      </c>
      <c r="D640" s="4" t="s">
        <v>29</v>
      </c>
      <c r="E640" s="4" t="s">
        <v>13</v>
      </c>
      <c r="F640" s="4" t="s">
        <v>14</v>
      </c>
      <c r="G640" s="4" t="s">
        <v>33</v>
      </c>
      <c r="H640" s="4">
        <v>5</v>
      </c>
      <c r="I640" s="4">
        <v>6</v>
      </c>
      <c r="J640" s="5">
        <v>45450</v>
      </c>
      <c r="K640" s="6">
        <v>0.34587962962962965</v>
      </c>
    </row>
    <row r="641" spans="1:11" x14ac:dyDescent="0.25">
      <c r="A641" s="4">
        <v>10</v>
      </c>
      <c r="B641" s="4" t="s">
        <v>11</v>
      </c>
      <c r="C641" s="7">
        <v>23.02</v>
      </c>
      <c r="D641" s="4" t="s">
        <v>26</v>
      </c>
      <c r="E641" s="4" t="s">
        <v>13</v>
      </c>
      <c r="F641" s="4" t="s">
        <v>14</v>
      </c>
      <c r="G641" s="4" t="s">
        <v>33</v>
      </c>
      <c r="H641" s="4">
        <v>5</v>
      </c>
      <c r="I641" s="4">
        <v>6</v>
      </c>
      <c r="J641" s="5">
        <v>45450</v>
      </c>
      <c r="K641" s="6">
        <v>0.4412962962962963</v>
      </c>
    </row>
    <row r="642" spans="1:11" x14ac:dyDescent="0.25">
      <c r="A642" s="4">
        <v>13</v>
      </c>
      <c r="B642" s="4" t="s">
        <v>11</v>
      </c>
      <c r="C642" s="7">
        <v>32.82</v>
      </c>
      <c r="D642" s="4" t="s">
        <v>19</v>
      </c>
      <c r="E642" s="4" t="s">
        <v>17</v>
      </c>
      <c r="F642" s="4" t="s">
        <v>14</v>
      </c>
      <c r="G642" s="4" t="s">
        <v>33</v>
      </c>
      <c r="H642" s="4">
        <v>5</v>
      </c>
      <c r="I642" s="4">
        <v>6</v>
      </c>
      <c r="J642" s="5">
        <v>45450</v>
      </c>
      <c r="K642" s="6">
        <v>0.56548611111111113</v>
      </c>
    </row>
    <row r="643" spans="1:11" x14ac:dyDescent="0.25">
      <c r="A643" s="4">
        <v>16</v>
      </c>
      <c r="B643" s="4" t="s">
        <v>11</v>
      </c>
      <c r="C643" s="7">
        <v>27.92</v>
      </c>
      <c r="D643" s="4" t="s">
        <v>24</v>
      </c>
      <c r="E643" s="4" t="s">
        <v>17</v>
      </c>
      <c r="F643" s="4" t="s">
        <v>14</v>
      </c>
      <c r="G643" s="4" t="s">
        <v>33</v>
      </c>
      <c r="H643" s="4">
        <v>5</v>
      </c>
      <c r="I643" s="4">
        <v>6</v>
      </c>
      <c r="J643" s="5">
        <v>45450</v>
      </c>
      <c r="K643" s="6">
        <v>0.69840277777777782</v>
      </c>
    </row>
    <row r="644" spans="1:11" x14ac:dyDescent="0.25">
      <c r="A644" s="4">
        <v>16</v>
      </c>
      <c r="B644" s="4" t="s">
        <v>11</v>
      </c>
      <c r="C644" s="7">
        <v>27.92</v>
      </c>
      <c r="D644" s="4" t="s">
        <v>24</v>
      </c>
      <c r="E644" s="4" t="s">
        <v>17</v>
      </c>
      <c r="F644" s="4" t="s">
        <v>14</v>
      </c>
      <c r="G644" s="4" t="s">
        <v>33</v>
      </c>
      <c r="H644" s="4">
        <v>5</v>
      </c>
      <c r="I644" s="4">
        <v>6</v>
      </c>
      <c r="J644" s="5">
        <v>45450</v>
      </c>
      <c r="K644" s="6">
        <v>0.69947916666666665</v>
      </c>
    </row>
    <row r="645" spans="1:11" x14ac:dyDescent="0.25">
      <c r="A645" s="4">
        <v>9</v>
      </c>
      <c r="B645" s="4" t="s">
        <v>11</v>
      </c>
      <c r="C645" s="7">
        <v>27.92</v>
      </c>
      <c r="D645" s="4" t="s">
        <v>24</v>
      </c>
      <c r="E645" s="4" t="s">
        <v>13</v>
      </c>
      <c r="F645" s="4" t="s">
        <v>22</v>
      </c>
      <c r="G645" s="4" t="s">
        <v>33</v>
      </c>
      <c r="H645" s="4">
        <v>6</v>
      </c>
      <c r="I645" s="4">
        <v>6</v>
      </c>
      <c r="J645" s="5">
        <v>45451</v>
      </c>
      <c r="K645" s="6">
        <v>0.37800925925925927</v>
      </c>
    </row>
    <row r="646" spans="1:11" x14ac:dyDescent="0.25">
      <c r="A646" s="4">
        <v>9</v>
      </c>
      <c r="B646" s="4" t="s">
        <v>11</v>
      </c>
      <c r="C646" s="7">
        <v>32.82</v>
      </c>
      <c r="D646" s="4" t="s">
        <v>19</v>
      </c>
      <c r="E646" s="4" t="s">
        <v>13</v>
      </c>
      <c r="F646" s="4" t="s">
        <v>22</v>
      </c>
      <c r="G646" s="4" t="s">
        <v>33</v>
      </c>
      <c r="H646" s="4">
        <v>6</v>
      </c>
      <c r="I646" s="4">
        <v>6</v>
      </c>
      <c r="J646" s="5">
        <v>45451</v>
      </c>
      <c r="K646" s="6">
        <v>0.39318287037037036</v>
      </c>
    </row>
    <row r="647" spans="1:11" x14ac:dyDescent="0.25">
      <c r="A647" s="4">
        <v>20</v>
      </c>
      <c r="B647" s="4" t="s">
        <v>11</v>
      </c>
      <c r="C647" s="7">
        <v>37.72</v>
      </c>
      <c r="D647" s="4" t="s">
        <v>29</v>
      </c>
      <c r="E647" s="4" t="s">
        <v>20</v>
      </c>
      <c r="F647" s="4" t="s">
        <v>22</v>
      </c>
      <c r="G647" s="4" t="s">
        <v>33</v>
      </c>
      <c r="H647" s="4">
        <v>6</v>
      </c>
      <c r="I647" s="4">
        <v>6</v>
      </c>
      <c r="J647" s="5">
        <v>45451</v>
      </c>
      <c r="K647" s="6">
        <v>0.85062499999999996</v>
      </c>
    </row>
    <row r="648" spans="1:11" x14ac:dyDescent="0.25">
      <c r="A648" s="4">
        <v>20</v>
      </c>
      <c r="B648" s="4" t="s">
        <v>11</v>
      </c>
      <c r="C648" s="7">
        <v>37.72</v>
      </c>
      <c r="D648" s="4" t="s">
        <v>29</v>
      </c>
      <c r="E648" s="4" t="s">
        <v>20</v>
      </c>
      <c r="F648" s="4" t="s">
        <v>22</v>
      </c>
      <c r="G648" s="4" t="s">
        <v>33</v>
      </c>
      <c r="H648" s="4">
        <v>6</v>
      </c>
      <c r="I648" s="4">
        <v>6</v>
      </c>
      <c r="J648" s="5">
        <v>45451</v>
      </c>
      <c r="K648" s="6">
        <v>0.8513425925925926</v>
      </c>
    </row>
    <row r="649" spans="1:11" x14ac:dyDescent="0.25">
      <c r="A649" s="4">
        <v>8</v>
      </c>
      <c r="B649" s="4" t="s">
        <v>11</v>
      </c>
      <c r="C649" s="7">
        <v>37.72</v>
      </c>
      <c r="D649" s="4" t="s">
        <v>12</v>
      </c>
      <c r="E649" s="4" t="s">
        <v>13</v>
      </c>
      <c r="F649" s="4" t="s">
        <v>23</v>
      </c>
      <c r="G649" s="4" t="s">
        <v>33</v>
      </c>
      <c r="H649" s="4">
        <v>7</v>
      </c>
      <c r="I649" s="4">
        <v>6</v>
      </c>
      <c r="J649" s="5">
        <v>45452</v>
      </c>
      <c r="K649" s="6">
        <v>0.34435185185185185</v>
      </c>
    </row>
    <row r="650" spans="1:11" x14ac:dyDescent="0.25">
      <c r="A650" s="4">
        <v>10</v>
      </c>
      <c r="B650" s="4" t="s">
        <v>11</v>
      </c>
      <c r="C650" s="7">
        <v>37.72</v>
      </c>
      <c r="D650" s="4" t="s">
        <v>12</v>
      </c>
      <c r="E650" s="4" t="s">
        <v>13</v>
      </c>
      <c r="F650" s="4" t="s">
        <v>23</v>
      </c>
      <c r="G650" s="4" t="s">
        <v>33</v>
      </c>
      <c r="H650" s="4">
        <v>7</v>
      </c>
      <c r="I650" s="4">
        <v>6</v>
      </c>
      <c r="J650" s="5">
        <v>45452</v>
      </c>
      <c r="K650" s="6">
        <v>0.43754629629629632</v>
      </c>
    </row>
    <row r="651" spans="1:11" x14ac:dyDescent="0.25">
      <c r="A651" s="4">
        <v>10</v>
      </c>
      <c r="B651" s="4" t="s">
        <v>11</v>
      </c>
      <c r="C651" s="7">
        <v>37.72</v>
      </c>
      <c r="D651" s="4" t="s">
        <v>29</v>
      </c>
      <c r="E651" s="4" t="s">
        <v>13</v>
      </c>
      <c r="F651" s="4" t="s">
        <v>23</v>
      </c>
      <c r="G651" s="4" t="s">
        <v>33</v>
      </c>
      <c r="H651" s="4">
        <v>7</v>
      </c>
      <c r="I651" s="4">
        <v>6</v>
      </c>
      <c r="J651" s="5">
        <v>45452</v>
      </c>
      <c r="K651" s="6">
        <v>0.45283564814814814</v>
      </c>
    </row>
    <row r="652" spans="1:11" x14ac:dyDescent="0.25">
      <c r="A652" s="4">
        <v>11</v>
      </c>
      <c r="B652" s="4" t="s">
        <v>11</v>
      </c>
      <c r="C652" s="7">
        <v>27.92</v>
      </c>
      <c r="D652" s="4" t="s">
        <v>24</v>
      </c>
      <c r="E652" s="4" t="s">
        <v>13</v>
      </c>
      <c r="F652" s="4" t="s">
        <v>23</v>
      </c>
      <c r="G652" s="4" t="s">
        <v>33</v>
      </c>
      <c r="H652" s="4">
        <v>7</v>
      </c>
      <c r="I652" s="4">
        <v>6</v>
      </c>
      <c r="J652" s="5">
        <v>45452</v>
      </c>
      <c r="K652" s="6">
        <v>0.46158564814814818</v>
      </c>
    </row>
    <row r="653" spans="1:11" x14ac:dyDescent="0.25">
      <c r="A653" s="4">
        <v>11</v>
      </c>
      <c r="B653" s="4" t="s">
        <v>11</v>
      </c>
      <c r="C653" s="7">
        <v>23.02</v>
      </c>
      <c r="D653" s="4" t="s">
        <v>26</v>
      </c>
      <c r="E653" s="4" t="s">
        <v>13</v>
      </c>
      <c r="F653" s="4" t="s">
        <v>23</v>
      </c>
      <c r="G653" s="4" t="s">
        <v>33</v>
      </c>
      <c r="H653" s="4">
        <v>7</v>
      </c>
      <c r="I653" s="4">
        <v>6</v>
      </c>
      <c r="J653" s="5">
        <v>45452</v>
      </c>
      <c r="K653" s="6">
        <v>0.46328703703703705</v>
      </c>
    </row>
    <row r="654" spans="1:11" x14ac:dyDescent="0.25">
      <c r="A654" s="4">
        <v>11</v>
      </c>
      <c r="B654" s="4" t="s">
        <v>11</v>
      </c>
      <c r="C654" s="7">
        <v>37.72</v>
      </c>
      <c r="D654" s="4" t="s">
        <v>29</v>
      </c>
      <c r="E654" s="4" t="s">
        <v>13</v>
      </c>
      <c r="F654" s="4" t="s">
        <v>23</v>
      </c>
      <c r="G654" s="4" t="s">
        <v>33</v>
      </c>
      <c r="H654" s="4">
        <v>7</v>
      </c>
      <c r="I654" s="4">
        <v>6</v>
      </c>
      <c r="J654" s="5">
        <v>45452</v>
      </c>
      <c r="K654" s="6">
        <v>0.49501157407407409</v>
      </c>
    </row>
    <row r="655" spans="1:11" x14ac:dyDescent="0.25">
      <c r="A655" s="4">
        <v>12</v>
      </c>
      <c r="B655" s="4" t="s">
        <v>11</v>
      </c>
      <c r="C655" s="7">
        <v>32.82</v>
      </c>
      <c r="D655" s="4" t="s">
        <v>19</v>
      </c>
      <c r="E655" s="4" t="s">
        <v>17</v>
      </c>
      <c r="F655" s="4" t="s">
        <v>23</v>
      </c>
      <c r="G655" s="4" t="s">
        <v>33</v>
      </c>
      <c r="H655" s="4">
        <v>7</v>
      </c>
      <c r="I655" s="4">
        <v>6</v>
      </c>
      <c r="J655" s="5">
        <v>45452</v>
      </c>
      <c r="K655" s="6">
        <v>0.50790509259259264</v>
      </c>
    </row>
    <row r="656" spans="1:11" x14ac:dyDescent="0.25">
      <c r="A656" s="4">
        <v>12</v>
      </c>
      <c r="B656" s="4" t="s">
        <v>11</v>
      </c>
      <c r="C656" s="7">
        <v>37.72</v>
      </c>
      <c r="D656" s="4" t="s">
        <v>12</v>
      </c>
      <c r="E656" s="4" t="s">
        <v>17</v>
      </c>
      <c r="F656" s="4" t="s">
        <v>23</v>
      </c>
      <c r="G656" s="4" t="s">
        <v>33</v>
      </c>
      <c r="H656" s="4">
        <v>7</v>
      </c>
      <c r="I656" s="4">
        <v>6</v>
      </c>
      <c r="J656" s="5">
        <v>45452</v>
      </c>
      <c r="K656" s="6">
        <v>0.50912037037037039</v>
      </c>
    </row>
    <row r="657" spans="1:11" x14ac:dyDescent="0.25">
      <c r="A657" s="4">
        <v>12</v>
      </c>
      <c r="B657" s="4" t="s">
        <v>11</v>
      </c>
      <c r="C657" s="7">
        <v>37.72</v>
      </c>
      <c r="D657" s="4" t="s">
        <v>12</v>
      </c>
      <c r="E657" s="4" t="s">
        <v>17</v>
      </c>
      <c r="F657" s="4" t="s">
        <v>23</v>
      </c>
      <c r="G657" s="4" t="s">
        <v>33</v>
      </c>
      <c r="H657" s="4">
        <v>7</v>
      </c>
      <c r="I657" s="4">
        <v>6</v>
      </c>
      <c r="J657" s="5">
        <v>45452</v>
      </c>
      <c r="K657" s="6">
        <v>0.50983796296296291</v>
      </c>
    </row>
    <row r="658" spans="1:11" x14ac:dyDescent="0.25">
      <c r="A658" s="4">
        <v>15</v>
      </c>
      <c r="B658" s="4" t="s">
        <v>11</v>
      </c>
      <c r="C658" s="7">
        <v>27.92</v>
      </c>
      <c r="D658" s="4" t="s">
        <v>24</v>
      </c>
      <c r="E658" s="4" t="s">
        <v>17</v>
      </c>
      <c r="F658" s="4" t="s">
        <v>23</v>
      </c>
      <c r="G658" s="4" t="s">
        <v>33</v>
      </c>
      <c r="H658" s="4">
        <v>7</v>
      </c>
      <c r="I658" s="4">
        <v>6</v>
      </c>
      <c r="J658" s="5">
        <v>45452</v>
      </c>
      <c r="K658" s="6">
        <v>0.6322916666666667</v>
      </c>
    </row>
    <row r="659" spans="1:11" x14ac:dyDescent="0.25">
      <c r="A659" s="4">
        <v>16</v>
      </c>
      <c r="B659" s="4" t="s">
        <v>11</v>
      </c>
      <c r="C659" s="7">
        <v>37.72</v>
      </c>
      <c r="D659" s="4" t="s">
        <v>29</v>
      </c>
      <c r="E659" s="4" t="s">
        <v>17</v>
      </c>
      <c r="F659" s="4" t="s">
        <v>23</v>
      </c>
      <c r="G659" s="4" t="s">
        <v>33</v>
      </c>
      <c r="H659" s="4">
        <v>7</v>
      </c>
      <c r="I659" s="4">
        <v>6</v>
      </c>
      <c r="J659" s="5">
        <v>45452</v>
      </c>
      <c r="K659" s="6">
        <v>0.67879629629629634</v>
      </c>
    </row>
    <row r="660" spans="1:11" x14ac:dyDescent="0.25">
      <c r="A660" s="4">
        <v>19</v>
      </c>
      <c r="B660" s="4" t="s">
        <v>11</v>
      </c>
      <c r="C660" s="7">
        <v>32.82</v>
      </c>
      <c r="D660" s="4" t="s">
        <v>19</v>
      </c>
      <c r="E660" s="4" t="s">
        <v>20</v>
      </c>
      <c r="F660" s="4" t="s">
        <v>23</v>
      </c>
      <c r="G660" s="4" t="s">
        <v>33</v>
      </c>
      <c r="H660" s="4">
        <v>7</v>
      </c>
      <c r="I660" s="4">
        <v>6</v>
      </c>
      <c r="J660" s="5">
        <v>45452</v>
      </c>
      <c r="K660" s="6">
        <v>0.80646990740740743</v>
      </c>
    </row>
    <row r="661" spans="1:11" x14ac:dyDescent="0.25">
      <c r="A661" s="4">
        <v>21</v>
      </c>
      <c r="B661" s="4" t="s">
        <v>11</v>
      </c>
      <c r="C661" s="7">
        <v>27.92</v>
      </c>
      <c r="D661" s="4" t="s">
        <v>18</v>
      </c>
      <c r="E661" s="4" t="s">
        <v>20</v>
      </c>
      <c r="F661" s="4" t="s">
        <v>23</v>
      </c>
      <c r="G661" s="4" t="s">
        <v>33</v>
      </c>
      <c r="H661" s="4">
        <v>7</v>
      </c>
      <c r="I661" s="4">
        <v>6</v>
      </c>
      <c r="J661" s="5">
        <v>45452</v>
      </c>
      <c r="K661" s="6">
        <v>0.87856481481481485</v>
      </c>
    </row>
    <row r="662" spans="1:11" x14ac:dyDescent="0.25">
      <c r="A662" s="4">
        <v>12</v>
      </c>
      <c r="B662" s="4" t="s">
        <v>11</v>
      </c>
      <c r="C662" s="7">
        <v>37.72</v>
      </c>
      <c r="D662" s="4" t="s">
        <v>29</v>
      </c>
      <c r="E662" s="4" t="s">
        <v>17</v>
      </c>
      <c r="F662" s="4" t="s">
        <v>25</v>
      </c>
      <c r="G662" s="4" t="s">
        <v>33</v>
      </c>
      <c r="H662" s="4">
        <v>1</v>
      </c>
      <c r="I662" s="4">
        <v>6</v>
      </c>
      <c r="J662" s="5">
        <v>45453</v>
      </c>
      <c r="K662" s="6">
        <v>0.53320601851851857</v>
      </c>
    </row>
    <row r="663" spans="1:11" x14ac:dyDescent="0.25">
      <c r="A663" s="4">
        <v>12</v>
      </c>
      <c r="B663" s="4" t="s">
        <v>11</v>
      </c>
      <c r="C663" s="7">
        <v>37.72</v>
      </c>
      <c r="D663" s="4" t="s">
        <v>12</v>
      </c>
      <c r="E663" s="4" t="s">
        <v>17</v>
      </c>
      <c r="F663" s="4" t="s">
        <v>25</v>
      </c>
      <c r="G663" s="4" t="s">
        <v>33</v>
      </c>
      <c r="H663" s="4">
        <v>1</v>
      </c>
      <c r="I663" s="4">
        <v>6</v>
      </c>
      <c r="J663" s="5">
        <v>45453</v>
      </c>
      <c r="K663" s="6">
        <v>0.53944444444444439</v>
      </c>
    </row>
    <row r="664" spans="1:11" x14ac:dyDescent="0.25">
      <c r="A664" s="4">
        <v>19</v>
      </c>
      <c r="B664" s="4" t="s">
        <v>11</v>
      </c>
      <c r="C664" s="7">
        <v>37.72</v>
      </c>
      <c r="D664" s="4" t="s">
        <v>16</v>
      </c>
      <c r="E664" s="4" t="s">
        <v>20</v>
      </c>
      <c r="F664" s="4" t="s">
        <v>25</v>
      </c>
      <c r="G664" s="4" t="s">
        <v>33</v>
      </c>
      <c r="H664" s="4">
        <v>1</v>
      </c>
      <c r="I664" s="4">
        <v>6</v>
      </c>
      <c r="J664" s="5">
        <v>45453</v>
      </c>
      <c r="K664" s="6">
        <v>0.79476851851851849</v>
      </c>
    </row>
    <row r="665" spans="1:11" x14ac:dyDescent="0.25">
      <c r="A665" s="4">
        <v>19</v>
      </c>
      <c r="B665" s="4" t="s">
        <v>11</v>
      </c>
      <c r="C665" s="7">
        <v>37.72</v>
      </c>
      <c r="D665" s="4" t="s">
        <v>16</v>
      </c>
      <c r="E665" s="4" t="s">
        <v>20</v>
      </c>
      <c r="F665" s="4" t="s">
        <v>25</v>
      </c>
      <c r="G665" s="4" t="s">
        <v>33</v>
      </c>
      <c r="H665" s="4">
        <v>1</v>
      </c>
      <c r="I665" s="4">
        <v>6</v>
      </c>
      <c r="J665" s="5">
        <v>45453</v>
      </c>
      <c r="K665" s="6">
        <v>0.79539351851851847</v>
      </c>
    </row>
    <row r="666" spans="1:11" x14ac:dyDescent="0.25">
      <c r="A666" s="4">
        <v>19</v>
      </c>
      <c r="B666" s="4" t="s">
        <v>11</v>
      </c>
      <c r="C666" s="7">
        <v>37.72</v>
      </c>
      <c r="D666" s="4" t="s">
        <v>12</v>
      </c>
      <c r="E666" s="4" t="s">
        <v>20</v>
      </c>
      <c r="F666" s="4" t="s">
        <v>25</v>
      </c>
      <c r="G666" s="4" t="s">
        <v>33</v>
      </c>
      <c r="H666" s="4">
        <v>1</v>
      </c>
      <c r="I666" s="4">
        <v>6</v>
      </c>
      <c r="J666" s="5">
        <v>45453</v>
      </c>
      <c r="K666" s="6">
        <v>0.81762731481481477</v>
      </c>
    </row>
    <row r="667" spans="1:11" x14ac:dyDescent="0.25">
      <c r="A667" s="4">
        <v>19</v>
      </c>
      <c r="B667" s="4" t="s">
        <v>11</v>
      </c>
      <c r="C667" s="7">
        <v>37.72</v>
      </c>
      <c r="D667" s="4" t="s">
        <v>12</v>
      </c>
      <c r="E667" s="4" t="s">
        <v>20</v>
      </c>
      <c r="F667" s="4" t="s">
        <v>25</v>
      </c>
      <c r="G667" s="4" t="s">
        <v>33</v>
      </c>
      <c r="H667" s="4">
        <v>1</v>
      </c>
      <c r="I667" s="4">
        <v>6</v>
      </c>
      <c r="J667" s="5">
        <v>45453</v>
      </c>
      <c r="K667" s="6">
        <v>0.81827546296296294</v>
      </c>
    </row>
    <row r="668" spans="1:11" x14ac:dyDescent="0.25">
      <c r="A668" s="4">
        <v>10</v>
      </c>
      <c r="B668" s="4" t="s">
        <v>11</v>
      </c>
      <c r="C668" s="7">
        <v>32.82</v>
      </c>
      <c r="D668" s="4" t="s">
        <v>19</v>
      </c>
      <c r="E668" s="4" t="s">
        <v>13</v>
      </c>
      <c r="F668" s="4" t="s">
        <v>27</v>
      </c>
      <c r="G668" s="4" t="s">
        <v>33</v>
      </c>
      <c r="H668" s="4">
        <v>2</v>
      </c>
      <c r="I668" s="4">
        <v>6</v>
      </c>
      <c r="J668" s="5">
        <v>45454</v>
      </c>
      <c r="K668" s="6">
        <v>0.44309027777777776</v>
      </c>
    </row>
    <row r="669" spans="1:11" x14ac:dyDescent="0.25">
      <c r="A669" s="4">
        <v>18</v>
      </c>
      <c r="B669" s="4" t="s">
        <v>11</v>
      </c>
      <c r="C669" s="7">
        <v>37.72</v>
      </c>
      <c r="D669" s="4" t="s">
        <v>12</v>
      </c>
      <c r="E669" s="4" t="s">
        <v>20</v>
      </c>
      <c r="F669" s="4" t="s">
        <v>27</v>
      </c>
      <c r="G669" s="4" t="s">
        <v>33</v>
      </c>
      <c r="H669" s="4">
        <v>2</v>
      </c>
      <c r="I669" s="4">
        <v>6</v>
      </c>
      <c r="J669" s="5">
        <v>45454</v>
      </c>
      <c r="K669" s="6">
        <v>0.78362268518518519</v>
      </c>
    </row>
    <row r="670" spans="1:11" x14ac:dyDescent="0.25">
      <c r="A670" s="4">
        <v>18</v>
      </c>
      <c r="B670" s="4" t="s">
        <v>11</v>
      </c>
      <c r="C670" s="7">
        <v>37.72</v>
      </c>
      <c r="D670" s="4" t="s">
        <v>12</v>
      </c>
      <c r="E670" s="4" t="s">
        <v>20</v>
      </c>
      <c r="F670" s="4" t="s">
        <v>27</v>
      </c>
      <c r="G670" s="4" t="s">
        <v>33</v>
      </c>
      <c r="H670" s="4">
        <v>2</v>
      </c>
      <c r="I670" s="4">
        <v>6</v>
      </c>
      <c r="J670" s="5">
        <v>45454</v>
      </c>
      <c r="K670" s="6">
        <v>0.7844444444444445</v>
      </c>
    </row>
    <row r="671" spans="1:11" x14ac:dyDescent="0.25">
      <c r="A671" s="4">
        <v>21</v>
      </c>
      <c r="B671" s="4" t="s">
        <v>11</v>
      </c>
      <c r="C671" s="7">
        <v>37.72</v>
      </c>
      <c r="D671" s="4" t="s">
        <v>16</v>
      </c>
      <c r="E671" s="4" t="s">
        <v>20</v>
      </c>
      <c r="F671" s="4" t="s">
        <v>27</v>
      </c>
      <c r="G671" s="4" t="s">
        <v>33</v>
      </c>
      <c r="H671" s="4">
        <v>2</v>
      </c>
      <c r="I671" s="4">
        <v>6</v>
      </c>
      <c r="J671" s="5">
        <v>45454</v>
      </c>
      <c r="K671" s="6">
        <v>0.88684027777777774</v>
      </c>
    </row>
    <row r="672" spans="1:11" x14ac:dyDescent="0.25">
      <c r="A672" s="4">
        <v>21</v>
      </c>
      <c r="B672" s="4" t="s">
        <v>11</v>
      </c>
      <c r="C672" s="7">
        <v>32.82</v>
      </c>
      <c r="D672" s="4" t="s">
        <v>19</v>
      </c>
      <c r="E672" s="4" t="s">
        <v>20</v>
      </c>
      <c r="F672" s="4" t="s">
        <v>27</v>
      </c>
      <c r="G672" s="4" t="s">
        <v>33</v>
      </c>
      <c r="H672" s="4">
        <v>2</v>
      </c>
      <c r="I672" s="4">
        <v>6</v>
      </c>
      <c r="J672" s="5">
        <v>45454</v>
      </c>
      <c r="K672" s="6">
        <v>0.89422453703703708</v>
      </c>
    </row>
    <row r="673" spans="1:11" x14ac:dyDescent="0.25">
      <c r="A673" s="4">
        <v>21</v>
      </c>
      <c r="B673" s="4" t="s">
        <v>11</v>
      </c>
      <c r="C673" s="7">
        <v>32.82</v>
      </c>
      <c r="D673" s="4" t="s">
        <v>19</v>
      </c>
      <c r="E673" s="4" t="s">
        <v>20</v>
      </c>
      <c r="F673" s="4" t="s">
        <v>27</v>
      </c>
      <c r="G673" s="4" t="s">
        <v>33</v>
      </c>
      <c r="H673" s="4">
        <v>2</v>
      </c>
      <c r="I673" s="4">
        <v>6</v>
      </c>
      <c r="J673" s="5">
        <v>45454</v>
      </c>
      <c r="K673" s="6">
        <v>0.8950231481481481</v>
      </c>
    </row>
    <row r="674" spans="1:11" x14ac:dyDescent="0.25">
      <c r="A674" s="4">
        <v>10</v>
      </c>
      <c r="B674" s="4" t="s">
        <v>11</v>
      </c>
      <c r="C674" s="7">
        <v>37.72</v>
      </c>
      <c r="D674" s="4" t="s">
        <v>16</v>
      </c>
      <c r="E674" s="4" t="s">
        <v>13</v>
      </c>
      <c r="F674" s="4" t="s">
        <v>28</v>
      </c>
      <c r="G674" s="4" t="s">
        <v>33</v>
      </c>
      <c r="H674" s="4">
        <v>3</v>
      </c>
      <c r="I674" s="4">
        <v>6</v>
      </c>
      <c r="J674" s="5">
        <v>45455</v>
      </c>
      <c r="K674" s="6">
        <v>0.42937500000000001</v>
      </c>
    </row>
    <row r="675" spans="1:11" x14ac:dyDescent="0.25">
      <c r="A675" s="4">
        <v>11</v>
      </c>
      <c r="B675" s="4" t="s">
        <v>11</v>
      </c>
      <c r="C675" s="7">
        <v>37.72</v>
      </c>
      <c r="D675" s="4" t="s">
        <v>29</v>
      </c>
      <c r="E675" s="4" t="s">
        <v>13</v>
      </c>
      <c r="F675" s="4" t="s">
        <v>28</v>
      </c>
      <c r="G675" s="4" t="s">
        <v>33</v>
      </c>
      <c r="H675" s="4">
        <v>3</v>
      </c>
      <c r="I675" s="4">
        <v>6</v>
      </c>
      <c r="J675" s="5">
        <v>45455</v>
      </c>
      <c r="K675" s="6">
        <v>0.49424768518518519</v>
      </c>
    </row>
    <row r="676" spans="1:11" x14ac:dyDescent="0.25">
      <c r="A676" s="4">
        <v>17</v>
      </c>
      <c r="B676" s="4" t="s">
        <v>11</v>
      </c>
      <c r="C676" s="7">
        <v>37.72</v>
      </c>
      <c r="D676" s="4" t="s">
        <v>12</v>
      </c>
      <c r="E676" s="4" t="s">
        <v>20</v>
      </c>
      <c r="F676" s="4" t="s">
        <v>28</v>
      </c>
      <c r="G676" s="4" t="s">
        <v>33</v>
      </c>
      <c r="H676" s="4">
        <v>3</v>
      </c>
      <c r="I676" s="4">
        <v>6</v>
      </c>
      <c r="J676" s="5">
        <v>45455</v>
      </c>
      <c r="K676" s="6">
        <v>0.73700231481481482</v>
      </c>
    </row>
    <row r="677" spans="1:11" x14ac:dyDescent="0.25">
      <c r="A677" s="4">
        <v>17</v>
      </c>
      <c r="B677" s="4" t="s">
        <v>11</v>
      </c>
      <c r="C677" s="7">
        <v>37.72</v>
      </c>
      <c r="D677" s="4" t="s">
        <v>12</v>
      </c>
      <c r="E677" s="4" t="s">
        <v>20</v>
      </c>
      <c r="F677" s="4" t="s">
        <v>28</v>
      </c>
      <c r="G677" s="4" t="s">
        <v>33</v>
      </c>
      <c r="H677" s="4">
        <v>3</v>
      </c>
      <c r="I677" s="4">
        <v>6</v>
      </c>
      <c r="J677" s="5">
        <v>45455</v>
      </c>
      <c r="K677" s="6">
        <v>0.74128472222222219</v>
      </c>
    </row>
    <row r="678" spans="1:11" x14ac:dyDescent="0.25">
      <c r="A678" s="4">
        <v>20</v>
      </c>
      <c r="B678" s="4" t="s">
        <v>11</v>
      </c>
      <c r="C678" s="7">
        <v>37.72</v>
      </c>
      <c r="D678" s="4" t="s">
        <v>16</v>
      </c>
      <c r="E678" s="4" t="s">
        <v>20</v>
      </c>
      <c r="F678" s="4" t="s">
        <v>28</v>
      </c>
      <c r="G678" s="4" t="s">
        <v>33</v>
      </c>
      <c r="H678" s="4">
        <v>3</v>
      </c>
      <c r="I678" s="4">
        <v>6</v>
      </c>
      <c r="J678" s="5">
        <v>45455</v>
      </c>
      <c r="K678" s="6">
        <v>0.84482638888888884</v>
      </c>
    </row>
    <row r="679" spans="1:11" x14ac:dyDescent="0.25">
      <c r="A679" s="4">
        <v>20</v>
      </c>
      <c r="B679" s="4" t="s">
        <v>11</v>
      </c>
      <c r="C679" s="7">
        <v>32.82</v>
      </c>
      <c r="D679" s="4" t="s">
        <v>19</v>
      </c>
      <c r="E679" s="4" t="s">
        <v>20</v>
      </c>
      <c r="F679" s="4" t="s">
        <v>28</v>
      </c>
      <c r="G679" s="4" t="s">
        <v>33</v>
      </c>
      <c r="H679" s="4">
        <v>3</v>
      </c>
      <c r="I679" s="4">
        <v>6</v>
      </c>
      <c r="J679" s="5">
        <v>45455</v>
      </c>
      <c r="K679" s="6">
        <v>0.85108796296296296</v>
      </c>
    </row>
    <row r="680" spans="1:11" x14ac:dyDescent="0.25">
      <c r="A680" s="4">
        <v>8</v>
      </c>
      <c r="B680" s="4" t="s">
        <v>11</v>
      </c>
      <c r="C680" s="7">
        <v>27.92</v>
      </c>
      <c r="D680" s="4" t="s">
        <v>18</v>
      </c>
      <c r="E680" s="4" t="s">
        <v>13</v>
      </c>
      <c r="F680" s="4" t="s">
        <v>30</v>
      </c>
      <c r="G680" s="4" t="s">
        <v>33</v>
      </c>
      <c r="H680" s="4">
        <v>4</v>
      </c>
      <c r="I680" s="4">
        <v>6</v>
      </c>
      <c r="J680" s="5">
        <v>45456</v>
      </c>
      <c r="K680" s="6">
        <v>0.37111111111111111</v>
      </c>
    </row>
    <row r="681" spans="1:11" x14ac:dyDescent="0.25">
      <c r="A681" s="4">
        <v>8</v>
      </c>
      <c r="B681" s="4" t="s">
        <v>11</v>
      </c>
      <c r="C681" s="7">
        <v>37.72</v>
      </c>
      <c r="D681" s="4" t="s">
        <v>12</v>
      </c>
      <c r="E681" s="4" t="s">
        <v>13</v>
      </c>
      <c r="F681" s="4" t="s">
        <v>30</v>
      </c>
      <c r="G681" s="4" t="s">
        <v>33</v>
      </c>
      <c r="H681" s="4">
        <v>4</v>
      </c>
      <c r="I681" s="4">
        <v>6</v>
      </c>
      <c r="J681" s="5">
        <v>45456</v>
      </c>
      <c r="K681" s="6">
        <v>0.37320601851851853</v>
      </c>
    </row>
    <row r="682" spans="1:11" x14ac:dyDescent="0.25">
      <c r="A682" s="4">
        <v>9</v>
      </c>
      <c r="B682" s="4" t="s">
        <v>11</v>
      </c>
      <c r="C682" s="7">
        <v>32.82</v>
      </c>
      <c r="D682" s="4" t="s">
        <v>19</v>
      </c>
      <c r="E682" s="4" t="s">
        <v>13</v>
      </c>
      <c r="F682" s="4" t="s">
        <v>30</v>
      </c>
      <c r="G682" s="4" t="s">
        <v>33</v>
      </c>
      <c r="H682" s="4">
        <v>4</v>
      </c>
      <c r="I682" s="4">
        <v>6</v>
      </c>
      <c r="J682" s="5">
        <v>45456</v>
      </c>
      <c r="K682" s="6">
        <v>0.41001157407407407</v>
      </c>
    </row>
    <row r="683" spans="1:11" x14ac:dyDescent="0.25">
      <c r="A683" s="4">
        <v>9</v>
      </c>
      <c r="B683" s="4" t="s">
        <v>11</v>
      </c>
      <c r="C683" s="7">
        <v>27.92</v>
      </c>
      <c r="D683" s="4" t="s">
        <v>24</v>
      </c>
      <c r="E683" s="4" t="s">
        <v>13</v>
      </c>
      <c r="F683" s="4" t="s">
        <v>30</v>
      </c>
      <c r="G683" s="4" t="s">
        <v>33</v>
      </c>
      <c r="H683" s="4">
        <v>4</v>
      </c>
      <c r="I683" s="4">
        <v>6</v>
      </c>
      <c r="J683" s="5">
        <v>45456</v>
      </c>
      <c r="K683" s="6">
        <v>0.41471064814814818</v>
      </c>
    </row>
    <row r="684" spans="1:11" x14ac:dyDescent="0.25">
      <c r="A684" s="4">
        <v>17</v>
      </c>
      <c r="B684" s="4" t="s">
        <v>11</v>
      </c>
      <c r="C684" s="7">
        <v>32.82</v>
      </c>
      <c r="D684" s="4" t="s">
        <v>19</v>
      </c>
      <c r="E684" s="4" t="s">
        <v>20</v>
      </c>
      <c r="F684" s="4" t="s">
        <v>30</v>
      </c>
      <c r="G684" s="4" t="s">
        <v>33</v>
      </c>
      <c r="H684" s="4">
        <v>4</v>
      </c>
      <c r="I684" s="4">
        <v>6</v>
      </c>
      <c r="J684" s="5">
        <v>45456</v>
      </c>
      <c r="K684" s="6">
        <v>0.71178240740740739</v>
      </c>
    </row>
    <row r="685" spans="1:11" x14ac:dyDescent="0.25">
      <c r="A685" s="4">
        <v>17</v>
      </c>
      <c r="B685" s="4" t="s">
        <v>11</v>
      </c>
      <c r="C685" s="7">
        <v>37.72</v>
      </c>
      <c r="D685" s="4" t="s">
        <v>16</v>
      </c>
      <c r="E685" s="4" t="s">
        <v>20</v>
      </c>
      <c r="F685" s="4" t="s">
        <v>30</v>
      </c>
      <c r="G685" s="4" t="s">
        <v>33</v>
      </c>
      <c r="H685" s="4">
        <v>4</v>
      </c>
      <c r="I685" s="4">
        <v>6</v>
      </c>
      <c r="J685" s="5">
        <v>45456</v>
      </c>
      <c r="K685" s="6">
        <v>0.72761574074074076</v>
      </c>
    </row>
    <row r="686" spans="1:11" x14ac:dyDescent="0.25">
      <c r="A686" s="4">
        <v>19</v>
      </c>
      <c r="B686" s="4" t="s">
        <v>11</v>
      </c>
      <c r="C686" s="7">
        <v>37.72</v>
      </c>
      <c r="D686" s="4" t="s">
        <v>12</v>
      </c>
      <c r="E686" s="4" t="s">
        <v>20</v>
      </c>
      <c r="F686" s="4" t="s">
        <v>30</v>
      </c>
      <c r="G686" s="4" t="s">
        <v>33</v>
      </c>
      <c r="H686" s="4">
        <v>4</v>
      </c>
      <c r="I686" s="4">
        <v>6</v>
      </c>
      <c r="J686" s="5">
        <v>45456</v>
      </c>
      <c r="K686" s="6">
        <v>0.80716435185185187</v>
      </c>
    </row>
    <row r="687" spans="1:11" x14ac:dyDescent="0.25">
      <c r="A687" s="4">
        <v>20</v>
      </c>
      <c r="B687" s="4" t="s">
        <v>11</v>
      </c>
      <c r="C687" s="7">
        <v>32.82</v>
      </c>
      <c r="D687" s="4" t="s">
        <v>19</v>
      </c>
      <c r="E687" s="4" t="s">
        <v>20</v>
      </c>
      <c r="F687" s="4" t="s">
        <v>30</v>
      </c>
      <c r="G687" s="4" t="s">
        <v>33</v>
      </c>
      <c r="H687" s="4">
        <v>4</v>
      </c>
      <c r="I687" s="4">
        <v>6</v>
      </c>
      <c r="J687" s="5">
        <v>45456</v>
      </c>
      <c r="K687" s="6">
        <v>0.84781249999999997</v>
      </c>
    </row>
    <row r="688" spans="1:11" x14ac:dyDescent="0.25">
      <c r="A688" s="4">
        <v>20</v>
      </c>
      <c r="B688" s="4" t="s">
        <v>11</v>
      </c>
      <c r="C688" s="7">
        <v>23.02</v>
      </c>
      <c r="D688" s="4" t="s">
        <v>26</v>
      </c>
      <c r="E688" s="4" t="s">
        <v>20</v>
      </c>
      <c r="F688" s="4" t="s">
        <v>30</v>
      </c>
      <c r="G688" s="4" t="s">
        <v>33</v>
      </c>
      <c r="H688" s="4">
        <v>4</v>
      </c>
      <c r="I688" s="4">
        <v>6</v>
      </c>
      <c r="J688" s="5">
        <v>45456</v>
      </c>
      <c r="K688" s="6">
        <v>0.86371527777777779</v>
      </c>
    </row>
    <row r="689" spans="1:11" x14ac:dyDescent="0.25">
      <c r="A689" s="4">
        <v>20</v>
      </c>
      <c r="B689" s="4" t="s">
        <v>11</v>
      </c>
      <c r="C689" s="7">
        <v>23.02</v>
      </c>
      <c r="D689" s="4" t="s">
        <v>26</v>
      </c>
      <c r="E689" s="4" t="s">
        <v>20</v>
      </c>
      <c r="F689" s="4" t="s">
        <v>30</v>
      </c>
      <c r="G689" s="4" t="s">
        <v>33</v>
      </c>
      <c r="H689" s="4">
        <v>4</v>
      </c>
      <c r="I689" s="4">
        <v>6</v>
      </c>
      <c r="J689" s="5">
        <v>45456</v>
      </c>
      <c r="K689" s="6">
        <v>0.86458333333333337</v>
      </c>
    </row>
    <row r="690" spans="1:11" x14ac:dyDescent="0.25">
      <c r="A690" s="4">
        <v>20</v>
      </c>
      <c r="B690" s="4" t="s">
        <v>11</v>
      </c>
      <c r="C690" s="7">
        <v>32.82</v>
      </c>
      <c r="D690" s="4" t="s">
        <v>19</v>
      </c>
      <c r="E690" s="4" t="s">
        <v>20</v>
      </c>
      <c r="F690" s="4" t="s">
        <v>30</v>
      </c>
      <c r="G690" s="4" t="s">
        <v>33</v>
      </c>
      <c r="H690" s="4">
        <v>4</v>
      </c>
      <c r="I690" s="4">
        <v>6</v>
      </c>
      <c r="J690" s="5">
        <v>45456</v>
      </c>
      <c r="K690" s="6">
        <v>0.86686342592592591</v>
      </c>
    </row>
    <row r="691" spans="1:11" x14ac:dyDescent="0.25">
      <c r="A691" s="4">
        <v>21</v>
      </c>
      <c r="B691" s="4" t="s">
        <v>11</v>
      </c>
      <c r="C691" s="7">
        <v>32.82</v>
      </c>
      <c r="D691" s="4" t="s">
        <v>19</v>
      </c>
      <c r="E691" s="4" t="s">
        <v>20</v>
      </c>
      <c r="F691" s="4" t="s">
        <v>30</v>
      </c>
      <c r="G691" s="4" t="s">
        <v>33</v>
      </c>
      <c r="H691" s="4">
        <v>4</v>
      </c>
      <c r="I691" s="4">
        <v>6</v>
      </c>
      <c r="J691" s="5">
        <v>45456</v>
      </c>
      <c r="K691" s="6">
        <v>0.87671296296296297</v>
      </c>
    </row>
    <row r="692" spans="1:11" x14ac:dyDescent="0.25">
      <c r="A692" s="4">
        <v>7</v>
      </c>
      <c r="B692" s="4" t="s">
        <v>11</v>
      </c>
      <c r="C692" s="7">
        <v>27.92</v>
      </c>
      <c r="D692" s="4" t="s">
        <v>24</v>
      </c>
      <c r="E692" s="4" t="s">
        <v>13</v>
      </c>
      <c r="F692" s="4" t="s">
        <v>14</v>
      </c>
      <c r="G692" s="4" t="s">
        <v>33</v>
      </c>
      <c r="H692" s="4">
        <v>5</v>
      </c>
      <c r="I692" s="4">
        <v>6</v>
      </c>
      <c r="J692" s="5">
        <v>45457</v>
      </c>
      <c r="K692" s="6">
        <v>0.32376157407407408</v>
      </c>
    </row>
    <row r="693" spans="1:11" x14ac:dyDescent="0.25">
      <c r="A693" s="4">
        <v>10</v>
      </c>
      <c r="B693" s="4" t="s">
        <v>11</v>
      </c>
      <c r="C693" s="7">
        <v>27.92</v>
      </c>
      <c r="D693" s="4" t="s">
        <v>18</v>
      </c>
      <c r="E693" s="4" t="s">
        <v>13</v>
      </c>
      <c r="F693" s="4" t="s">
        <v>14</v>
      </c>
      <c r="G693" s="4" t="s">
        <v>33</v>
      </c>
      <c r="H693" s="4">
        <v>5</v>
      </c>
      <c r="I693" s="4">
        <v>6</v>
      </c>
      <c r="J693" s="5">
        <v>45457</v>
      </c>
      <c r="K693" s="6">
        <v>0.43785879629629632</v>
      </c>
    </row>
    <row r="694" spans="1:11" x14ac:dyDescent="0.25">
      <c r="A694" s="4">
        <v>12</v>
      </c>
      <c r="B694" s="4" t="s">
        <v>11</v>
      </c>
      <c r="C694" s="7">
        <v>37.72</v>
      </c>
      <c r="D694" s="4" t="s">
        <v>12</v>
      </c>
      <c r="E694" s="4" t="s">
        <v>17</v>
      </c>
      <c r="F694" s="4" t="s">
        <v>14</v>
      </c>
      <c r="G694" s="4" t="s">
        <v>33</v>
      </c>
      <c r="H694" s="4">
        <v>5</v>
      </c>
      <c r="I694" s="4">
        <v>6</v>
      </c>
      <c r="J694" s="5">
        <v>45457</v>
      </c>
      <c r="K694" s="6">
        <v>0.51019675925925922</v>
      </c>
    </row>
    <row r="695" spans="1:11" x14ac:dyDescent="0.25">
      <c r="A695" s="4">
        <v>18</v>
      </c>
      <c r="B695" s="4" t="s">
        <v>11</v>
      </c>
      <c r="C695" s="7">
        <v>32.82</v>
      </c>
      <c r="D695" s="4" t="s">
        <v>19</v>
      </c>
      <c r="E695" s="4" t="s">
        <v>20</v>
      </c>
      <c r="F695" s="4" t="s">
        <v>14</v>
      </c>
      <c r="G695" s="4" t="s">
        <v>33</v>
      </c>
      <c r="H695" s="4">
        <v>5</v>
      </c>
      <c r="I695" s="4">
        <v>6</v>
      </c>
      <c r="J695" s="5">
        <v>45457</v>
      </c>
      <c r="K695" s="6">
        <v>0.77075231481481477</v>
      </c>
    </row>
    <row r="696" spans="1:11" x14ac:dyDescent="0.25">
      <c r="A696" s="4">
        <v>11</v>
      </c>
      <c r="B696" s="4" t="s">
        <v>11</v>
      </c>
      <c r="C696" s="7">
        <v>37.72</v>
      </c>
      <c r="D696" s="4" t="s">
        <v>29</v>
      </c>
      <c r="E696" s="4" t="s">
        <v>13</v>
      </c>
      <c r="F696" s="4" t="s">
        <v>22</v>
      </c>
      <c r="G696" s="4" t="s">
        <v>33</v>
      </c>
      <c r="H696" s="4">
        <v>6</v>
      </c>
      <c r="I696" s="4">
        <v>6</v>
      </c>
      <c r="J696" s="5">
        <v>45458</v>
      </c>
      <c r="K696" s="6">
        <v>0.47640046296296296</v>
      </c>
    </row>
    <row r="697" spans="1:11" x14ac:dyDescent="0.25">
      <c r="A697" s="4">
        <v>12</v>
      </c>
      <c r="B697" s="4" t="s">
        <v>11</v>
      </c>
      <c r="C697" s="7">
        <v>37.72</v>
      </c>
      <c r="D697" s="4" t="s">
        <v>12</v>
      </c>
      <c r="E697" s="4" t="s">
        <v>17</v>
      </c>
      <c r="F697" s="4" t="s">
        <v>22</v>
      </c>
      <c r="G697" s="4" t="s">
        <v>33</v>
      </c>
      <c r="H697" s="4">
        <v>6</v>
      </c>
      <c r="I697" s="4">
        <v>6</v>
      </c>
      <c r="J697" s="5">
        <v>45458</v>
      </c>
      <c r="K697" s="6">
        <v>0.51490740740740737</v>
      </c>
    </row>
    <row r="698" spans="1:11" x14ac:dyDescent="0.25">
      <c r="A698" s="4">
        <v>12</v>
      </c>
      <c r="B698" s="4" t="s">
        <v>11</v>
      </c>
      <c r="C698" s="7">
        <v>32.82</v>
      </c>
      <c r="D698" s="4" t="s">
        <v>19</v>
      </c>
      <c r="E698" s="4" t="s">
        <v>17</v>
      </c>
      <c r="F698" s="4" t="s">
        <v>22</v>
      </c>
      <c r="G698" s="4" t="s">
        <v>33</v>
      </c>
      <c r="H698" s="4">
        <v>6</v>
      </c>
      <c r="I698" s="4">
        <v>6</v>
      </c>
      <c r="J698" s="5">
        <v>45458</v>
      </c>
      <c r="K698" s="6">
        <v>0.51581018518518518</v>
      </c>
    </row>
    <row r="699" spans="1:11" x14ac:dyDescent="0.25">
      <c r="A699" s="4">
        <v>12</v>
      </c>
      <c r="B699" s="4" t="s">
        <v>11</v>
      </c>
      <c r="C699" s="7">
        <v>23.02</v>
      </c>
      <c r="D699" s="4" t="s">
        <v>26</v>
      </c>
      <c r="E699" s="4" t="s">
        <v>17</v>
      </c>
      <c r="F699" s="4" t="s">
        <v>22</v>
      </c>
      <c r="G699" s="4" t="s">
        <v>33</v>
      </c>
      <c r="H699" s="4">
        <v>6</v>
      </c>
      <c r="I699" s="4">
        <v>6</v>
      </c>
      <c r="J699" s="5">
        <v>45458</v>
      </c>
      <c r="K699" s="6">
        <v>0.51657407407407407</v>
      </c>
    </row>
    <row r="700" spans="1:11" x14ac:dyDescent="0.25">
      <c r="A700" s="4">
        <v>12</v>
      </c>
      <c r="B700" s="4" t="s">
        <v>11</v>
      </c>
      <c r="C700" s="7">
        <v>37.72</v>
      </c>
      <c r="D700" s="4" t="s">
        <v>21</v>
      </c>
      <c r="E700" s="4" t="s">
        <v>17</v>
      </c>
      <c r="F700" s="4" t="s">
        <v>22</v>
      </c>
      <c r="G700" s="4" t="s">
        <v>33</v>
      </c>
      <c r="H700" s="4">
        <v>6</v>
      </c>
      <c r="I700" s="4">
        <v>6</v>
      </c>
      <c r="J700" s="5">
        <v>45458</v>
      </c>
      <c r="K700" s="6">
        <v>0.5170717592592593</v>
      </c>
    </row>
    <row r="701" spans="1:11" x14ac:dyDescent="0.25">
      <c r="A701" s="4">
        <v>12</v>
      </c>
      <c r="B701" s="4" t="s">
        <v>11</v>
      </c>
      <c r="C701" s="7">
        <v>32.82</v>
      </c>
      <c r="D701" s="4" t="s">
        <v>19</v>
      </c>
      <c r="E701" s="4" t="s">
        <v>17</v>
      </c>
      <c r="F701" s="4" t="s">
        <v>22</v>
      </c>
      <c r="G701" s="4" t="s">
        <v>33</v>
      </c>
      <c r="H701" s="4">
        <v>6</v>
      </c>
      <c r="I701" s="4">
        <v>6</v>
      </c>
      <c r="J701" s="5">
        <v>45458</v>
      </c>
      <c r="K701" s="6">
        <v>0.51762731481481483</v>
      </c>
    </row>
    <row r="702" spans="1:11" x14ac:dyDescent="0.25">
      <c r="A702" s="4">
        <v>16</v>
      </c>
      <c r="B702" s="4" t="s">
        <v>11</v>
      </c>
      <c r="C702" s="7">
        <v>32.82</v>
      </c>
      <c r="D702" s="4" t="s">
        <v>19</v>
      </c>
      <c r="E702" s="4" t="s">
        <v>17</v>
      </c>
      <c r="F702" s="4" t="s">
        <v>22</v>
      </c>
      <c r="G702" s="4" t="s">
        <v>33</v>
      </c>
      <c r="H702" s="4">
        <v>6</v>
      </c>
      <c r="I702" s="4">
        <v>6</v>
      </c>
      <c r="J702" s="5">
        <v>45458</v>
      </c>
      <c r="K702" s="6">
        <v>0.66908564814814819</v>
      </c>
    </row>
    <row r="703" spans="1:11" x14ac:dyDescent="0.25">
      <c r="A703" s="4">
        <v>18</v>
      </c>
      <c r="B703" s="4" t="s">
        <v>11</v>
      </c>
      <c r="C703" s="7">
        <v>27.92</v>
      </c>
      <c r="D703" s="4" t="s">
        <v>18</v>
      </c>
      <c r="E703" s="4" t="s">
        <v>20</v>
      </c>
      <c r="F703" s="4" t="s">
        <v>22</v>
      </c>
      <c r="G703" s="4" t="s">
        <v>33</v>
      </c>
      <c r="H703" s="4">
        <v>6</v>
      </c>
      <c r="I703" s="4">
        <v>6</v>
      </c>
      <c r="J703" s="5">
        <v>45458</v>
      </c>
      <c r="K703" s="6">
        <v>0.75976851851851857</v>
      </c>
    </row>
    <row r="704" spans="1:11" x14ac:dyDescent="0.25">
      <c r="A704" s="4">
        <v>10</v>
      </c>
      <c r="B704" s="4" t="s">
        <v>11</v>
      </c>
      <c r="C704" s="7">
        <v>32.82</v>
      </c>
      <c r="D704" s="4" t="s">
        <v>19</v>
      </c>
      <c r="E704" s="4" t="s">
        <v>13</v>
      </c>
      <c r="F704" s="4" t="s">
        <v>23</v>
      </c>
      <c r="G704" s="4" t="s">
        <v>33</v>
      </c>
      <c r="H704" s="4">
        <v>7</v>
      </c>
      <c r="I704" s="4">
        <v>6</v>
      </c>
      <c r="J704" s="5">
        <v>45459</v>
      </c>
      <c r="K704" s="6">
        <v>0.44711805555555556</v>
      </c>
    </row>
    <row r="705" spans="1:11" x14ac:dyDescent="0.25">
      <c r="A705" s="4">
        <v>10</v>
      </c>
      <c r="B705" s="4" t="s">
        <v>11</v>
      </c>
      <c r="C705" s="7">
        <v>37.72</v>
      </c>
      <c r="D705" s="4" t="s">
        <v>12</v>
      </c>
      <c r="E705" s="4" t="s">
        <v>13</v>
      </c>
      <c r="F705" s="4" t="s">
        <v>23</v>
      </c>
      <c r="G705" s="4" t="s">
        <v>33</v>
      </c>
      <c r="H705" s="4">
        <v>7</v>
      </c>
      <c r="I705" s="4">
        <v>6</v>
      </c>
      <c r="J705" s="5">
        <v>45459</v>
      </c>
      <c r="K705" s="6">
        <v>0.45741898148148147</v>
      </c>
    </row>
    <row r="706" spans="1:11" x14ac:dyDescent="0.25">
      <c r="A706" s="4">
        <v>11</v>
      </c>
      <c r="B706" s="4" t="s">
        <v>11</v>
      </c>
      <c r="C706" s="7">
        <v>37.72</v>
      </c>
      <c r="D706" s="4" t="s">
        <v>16</v>
      </c>
      <c r="E706" s="4" t="s">
        <v>13</v>
      </c>
      <c r="F706" s="4" t="s">
        <v>23</v>
      </c>
      <c r="G706" s="4" t="s">
        <v>33</v>
      </c>
      <c r="H706" s="4">
        <v>7</v>
      </c>
      <c r="I706" s="4">
        <v>6</v>
      </c>
      <c r="J706" s="5">
        <v>45459</v>
      </c>
      <c r="K706" s="6">
        <v>0.45877314814814812</v>
      </c>
    </row>
    <row r="707" spans="1:11" x14ac:dyDescent="0.25">
      <c r="A707" s="4">
        <v>11</v>
      </c>
      <c r="B707" s="4" t="s">
        <v>11</v>
      </c>
      <c r="C707" s="7">
        <v>37.72</v>
      </c>
      <c r="D707" s="4" t="s">
        <v>16</v>
      </c>
      <c r="E707" s="4" t="s">
        <v>13</v>
      </c>
      <c r="F707" s="4" t="s">
        <v>23</v>
      </c>
      <c r="G707" s="4" t="s">
        <v>33</v>
      </c>
      <c r="H707" s="4">
        <v>7</v>
      </c>
      <c r="I707" s="4">
        <v>6</v>
      </c>
      <c r="J707" s="5">
        <v>45459</v>
      </c>
      <c r="K707" s="6">
        <v>0.45950231481481479</v>
      </c>
    </row>
    <row r="708" spans="1:11" x14ac:dyDescent="0.25">
      <c r="A708" s="4">
        <v>12</v>
      </c>
      <c r="B708" s="4" t="s">
        <v>11</v>
      </c>
      <c r="C708" s="7">
        <v>32.82</v>
      </c>
      <c r="D708" s="4" t="s">
        <v>19</v>
      </c>
      <c r="E708" s="4" t="s">
        <v>17</v>
      </c>
      <c r="F708" s="4" t="s">
        <v>23</v>
      </c>
      <c r="G708" s="4" t="s">
        <v>33</v>
      </c>
      <c r="H708" s="4">
        <v>7</v>
      </c>
      <c r="I708" s="4">
        <v>6</v>
      </c>
      <c r="J708" s="5">
        <v>45459</v>
      </c>
      <c r="K708" s="6">
        <v>0.53434027777777782</v>
      </c>
    </row>
    <row r="709" spans="1:11" x14ac:dyDescent="0.25">
      <c r="A709" s="4">
        <v>14</v>
      </c>
      <c r="B709" s="4" t="s">
        <v>11</v>
      </c>
      <c r="C709" s="7">
        <v>23.02</v>
      </c>
      <c r="D709" s="4" t="s">
        <v>26</v>
      </c>
      <c r="E709" s="4" t="s">
        <v>17</v>
      </c>
      <c r="F709" s="4" t="s">
        <v>23</v>
      </c>
      <c r="G709" s="4" t="s">
        <v>33</v>
      </c>
      <c r="H709" s="4">
        <v>7</v>
      </c>
      <c r="I709" s="4">
        <v>6</v>
      </c>
      <c r="J709" s="5">
        <v>45459</v>
      </c>
      <c r="K709" s="6">
        <v>0.58377314814814818</v>
      </c>
    </row>
    <row r="710" spans="1:11" x14ac:dyDescent="0.25">
      <c r="A710" s="4">
        <v>15</v>
      </c>
      <c r="B710" s="4" t="s">
        <v>11</v>
      </c>
      <c r="C710" s="7">
        <v>32.82</v>
      </c>
      <c r="D710" s="4" t="s">
        <v>19</v>
      </c>
      <c r="E710" s="4" t="s">
        <v>17</v>
      </c>
      <c r="F710" s="4" t="s">
        <v>23</v>
      </c>
      <c r="G710" s="4" t="s">
        <v>33</v>
      </c>
      <c r="H710" s="4">
        <v>7</v>
      </c>
      <c r="I710" s="4">
        <v>6</v>
      </c>
      <c r="J710" s="5">
        <v>45459</v>
      </c>
      <c r="K710" s="6">
        <v>0.6268055555555555</v>
      </c>
    </row>
    <row r="711" spans="1:11" x14ac:dyDescent="0.25">
      <c r="A711" s="4">
        <v>15</v>
      </c>
      <c r="B711" s="4" t="s">
        <v>11</v>
      </c>
      <c r="C711" s="7">
        <v>32.82</v>
      </c>
      <c r="D711" s="4" t="s">
        <v>19</v>
      </c>
      <c r="E711" s="4" t="s">
        <v>17</v>
      </c>
      <c r="F711" s="4" t="s">
        <v>23</v>
      </c>
      <c r="G711" s="4" t="s">
        <v>33</v>
      </c>
      <c r="H711" s="4">
        <v>7</v>
      </c>
      <c r="I711" s="4">
        <v>6</v>
      </c>
      <c r="J711" s="5">
        <v>45459</v>
      </c>
      <c r="K711" s="6">
        <v>0.62858796296296293</v>
      </c>
    </row>
    <row r="712" spans="1:11" x14ac:dyDescent="0.25">
      <c r="A712" s="4">
        <v>15</v>
      </c>
      <c r="B712" s="4" t="s">
        <v>11</v>
      </c>
      <c r="C712" s="7">
        <v>37.72</v>
      </c>
      <c r="D712" s="4" t="s">
        <v>16</v>
      </c>
      <c r="E712" s="4" t="s">
        <v>17</v>
      </c>
      <c r="F712" s="4" t="s">
        <v>23</v>
      </c>
      <c r="G712" s="4" t="s">
        <v>33</v>
      </c>
      <c r="H712" s="4">
        <v>7</v>
      </c>
      <c r="I712" s="4">
        <v>6</v>
      </c>
      <c r="J712" s="5">
        <v>45459</v>
      </c>
      <c r="K712" s="6">
        <v>0.65554398148148152</v>
      </c>
    </row>
    <row r="713" spans="1:11" x14ac:dyDescent="0.25">
      <c r="A713" s="4">
        <v>16</v>
      </c>
      <c r="B713" s="4" t="s">
        <v>11</v>
      </c>
      <c r="C713" s="7">
        <v>37.72</v>
      </c>
      <c r="D713" s="4" t="s">
        <v>16</v>
      </c>
      <c r="E713" s="4" t="s">
        <v>17</v>
      </c>
      <c r="F713" s="4" t="s">
        <v>23</v>
      </c>
      <c r="G713" s="4" t="s">
        <v>33</v>
      </c>
      <c r="H713" s="4">
        <v>7</v>
      </c>
      <c r="I713" s="4">
        <v>6</v>
      </c>
      <c r="J713" s="5">
        <v>45459</v>
      </c>
      <c r="K713" s="6">
        <v>0.69972222222222225</v>
      </c>
    </row>
    <row r="714" spans="1:11" x14ac:dyDescent="0.25">
      <c r="A714" s="4">
        <v>17</v>
      </c>
      <c r="B714" s="4" t="s">
        <v>11</v>
      </c>
      <c r="C714" s="7">
        <v>32.82</v>
      </c>
      <c r="D714" s="4" t="s">
        <v>19</v>
      </c>
      <c r="E714" s="4" t="s">
        <v>20</v>
      </c>
      <c r="F714" s="4" t="s">
        <v>23</v>
      </c>
      <c r="G714" s="4" t="s">
        <v>33</v>
      </c>
      <c r="H714" s="4">
        <v>7</v>
      </c>
      <c r="I714" s="4">
        <v>6</v>
      </c>
      <c r="J714" s="5">
        <v>45459</v>
      </c>
      <c r="K714" s="6">
        <v>0.73978009259259259</v>
      </c>
    </row>
    <row r="715" spans="1:11" x14ac:dyDescent="0.25">
      <c r="A715" s="4">
        <v>17</v>
      </c>
      <c r="B715" s="4" t="s">
        <v>11</v>
      </c>
      <c r="C715" s="7">
        <v>32.82</v>
      </c>
      <c r="D715" s="4" t="s">
        <v>19</v>
      </c>
      <c r="E715" s="4" t="s">
        <v>20</v>
      </c>
      <c r="F715" s="4" t="s">
        <v>23</v>
      </c>
      <c r="G715" s="4" t="s">
        <v>33</v>
      </c>
      <c r="H715" s="4">
        <v>7</v>
      </c>
      <c r="I715" s="4">
        <v>6</v>
      </c>
      <c r="J715" s="5">
        <v>45459</v>
      </c>
      <c r="K715" s="6">
        <v>0.74046296296296299</v>
      </c>
    </row>
    <row r="716" spans="1:11" x14ac:dyDescent="0.25">
      <c r="A716" s="4">
        <v>8</v>
      </c>
      <c r="B716" s="4" t="s">
        <v>11</v>
      </c>
      <c r="C716" s="7">
        <v>27.92</v>
      </c>
      <c r="D716" s="4" t="s">
        <v>18</v>
      </c>
      <c r="E716" s="4" t="s">
        <v>13</v>
      </c>
      <c r="F716" s="4" t="s">
        <v>25</v>
      </c>
      <c r="G716" s="4" t="s">
        <v>33</v>
      </c>
      <c r="H716" s="4">
        <v>1</v>
      </c>
      <c r="I716" s="4">
        <v>6</v>
      </c>
      <c r="J716" s="5">
        <v>45460</v>
      </c>
      <c r="K716" s="6">
        <v>0.37319444444444444</v>
      </c>
    </row>
    <row r="717" spans="1:11" x14ac:dyDescent="0.25">
      <c r="A717" s="4">
        <v>10</v>
      </c>
      <c r="B717" s="4" t="s">
        <v>11</v>
      </c>
      <c r="C717" s="7">
        <v>27.92</v>
      </c>
      <c r="D717" s="4" t="s">
        <v>24</v>
      </c>
      <c r="E717" s="4" t="s">
        <v>13</v>
      </c>
      <c r="F717" s="4" t="s">
        <v>25</v>
      </c>
      <c r="G717" s="4" t="s">
        <v>33</v>
      </c>
      <c r="H717" s="4">
        <v>1</v>
      </c>
      <c r="I717" s="4">
        <v>6</v>
      </c>
      <c r="J717" s="5">
        <v>45460</v>
      </c>
      <c r="K717" s="6">
        <v>0.42505787037037035</v>
      </c>
    </row>
    <row r="718" spans="1:11" x14ac:dyDescent="0.25">
      <c r="A718" s="4">
        <v>10</v>
      </c>
      <c r="B718" s="4" t="s">
        <v>11</v>
      </c>
      <c r="C718" s="7">
        <v>27.92</v>
      </c>
      <c r="D718" s="4" t="s">
        <v>24</v>
      </c>
      <c r="E718" s="4" t="s">
        <v>13</v>
      </c>
      <c r="F718" s="4" t="s">
        <v>25</v>
      </c>
      <c r="G718" s="4" t="s">
        <v>33</v>
      </c>
      <c r="H718" s="4">
        <v>1</v>
      </c>
      <c r="I718" s="4">
        <v>6</v>
      </c>
      <c r="J718" s="5">
        <v>45460</v>
      </c>
      <c r="K718" s="6">
        <v>0.4261226851851852</v>
      </c>
    </row>
    <row r="719" spans="1:11" x14ac:dyDescent="0.25">
      <c r="A719" s="4">
        <v>10</v>
      </c>
      <c r="B719" s="4" t="s">
        <v>11</v>
      </c>
      <c r="C719" s="7">
        <v>37.72</v>
      </c>
      <c r="D719" s="4" t="s">
        <v>29</v>
      </c>
      <c r="E719" s="4" t="s">
        <v>13</v>
      </c>
      <c r="F719" s="4" t="s">
        <v>25</v>
      </c>
      <c r="G719" s="4" t="s">
        <v>33</v>
      </c>
      <c r="H719" s="4">
        <v>1</v>
      </c>
      <c r="I719" s="4">
        <v>6</v>
      </c>
      <c r="J719" s="5">
        <v>45460</v>
      </c>
      <c r="K719" s="6">
        <v>0.45545138888888886</v>
      </c>
    </row>
    <row r="720" spans="1:11" x14ac:dyDescent="0.25">
      <c r="A720" s="4">
        <v>14</v>
      </c>
      <c r="B720" s="4" t="s">
        <v>11</v>
      </c>
      <c r="C720" s="7">
        <v>37.72</v>
      </c>
      <c r="D720" s="4" t="s">
        <v>29</v>
      </c>
      <c r="E720" s="4" t="s">
        <v>17</v>
      </c>
      <c r="F720" s="4" t="s">
        <v>25</v>
      </c>
      <c r="G720" s="4" t="s">
        <v>33</v>
      </c>
      <c r="H720" s="4">
        <v>1</v>
      </c>
      <c r="I720" s="4">
        <v>6</v>
      </c>
      <c r="J720" s="5">
        <v>45460</v>
      </c>
      <c r="K720" s="6">
        <v>0.6191550925925926</v>
      </c>
    </row>
    <row r="721" spans="1:11" x14ac:dyDescent="0.25">
      <c r="A721" s="4">
        <v>16</v>
      </c>
      <c r="B721" s="4" t="s">
        <v>11</v>
      </c>
      <c r="C721" s="7">
        <v>37.72</v>
      </c>
      <c r="D721" s="4" t="s">
        <v>29</v>
      </c>
      <c r="E721" s="4" t="s">
        <v>17</v>
      </c>
      <c r="F721" s="4" t="s">
        <v>25</v>
      </c>
      <c r="G721" s="4" t="s">
        <v>33</v>
      </c>
      <c r="H721" s="4">
        <v>1</v>
      </c>
      <c r="I721" s="4">
        <v>6</v>
      </c>
      <c r="J721" s="5">
        <v>45460</v>
      </c>
      <c r="K721" s="6">
        <v>0.7015393518518519</v>
      </c>
    </row>
    <row r="722" spans="1:11" x14ac:dyDescent="0.25">
      <c r="A722" s="4">
        <v>16</v>
      </c>
      <c r="B722" s="4" t="s">
        <v>11</v>
      </c>
      <c r="C722" s="7">
        <v>37.72</v>
      </c>
      <c r="D722" s="4" t="s">
        <v>29</v>
      </c>
      <c r="E722" s="4" t="s">
        <v>17</v>
      </c>
      <c r="F722" s="4" t="s">
        <v>25</v>
      </c>
      <c r="G722" s="4" t="s">
        <v>33</v>
      </c>
      <c r="H722" s="4">
        <v>1</v>
      </c>
      <c r="I722" s="4">
        <v>6</v>
      </c>
      <c r="J722" s="5">
        <v>45460</v>
      </c>
      <c r="K722" s="6">
        <v>0.70221064814814815</v>
      </c>
    </row>
    <row r="723" spans="1:11" x14ac:dyDescent="0.25">
      <c r="A723" s="4">
        <v>16</v>
      </c>
      <c r="B723" s="4" t="s">
        <v>11</v>
      </c>
      <c r="C723" s="7">
        <v>27.92</v>
      </c>
      <c r="D723" s="4" t="s">
        <v>18</v>
      </c>
      <c r="E723" s="4" t="s">
        <v>17</v>
      </c>
      <c r="F723" s="4" t="s">
        <v>25</v>
      </c>
      <c r="G723" s="4" t="s">
        <v>33</v>
      </c>
      <c r="H723" s="4">
        <v>1</v>
      </c>
      <c r="I723" s="4">
        <v>6</v>
      </c>
      <c r="J723" s="5">
        <v>45460</v>
      </c>
      <c r="K723" s="6">
        <v>0.70319444444444446</v>
      </c>
    </row>
    <row r="724" spans="1:11" x14ac:dyDescent="0.25">
      <c r="A724" s="4">
        <v>18</v>
      </c>
      <c r="B724" s="4" t="s">
        <v>11</v>
      </c>
      <c r="C724" s="7">
        <v>27.92</v>
      </c>
      <c r="D724" s="4" t="s">
        <v>18</v>
      </c>
      <c r="E724" s="4" t="s">
        <v>20</v>
      </c>
      <c r="F724" s="4" t="s">
        <v>25</v>
      </c>
      <c r="G724" s="4" t="s">
        <v>33</v>
      </c>
      <c r="H724" s="4">
        <v>1</v>
      </c>
      <c r="I724" s="4">
        <v>6</v>
      </c>
      <c r="J724" s="5">
        <v>45460</v>
      </c>
      <c r="K724" s="6">
        <v>0.78563657407407406</v>
      </c>
    </row>
    <row r="725" spans="1:11" x14ac:dyDescent="0.25">
      <c r="A725" s="4">
        <v>21</v>
      </c>
      <c r="B725" s="4" t="s">
        <v>11</v>
      </c>
      <c r="C725" s="7">
        <v>32.82</v>
      </c>
      <c r="D725" s="4" t="s">
        <v>19</v>
      </c>
      <c r="E725" s="4" t="s">
        <v>20</v>
      </c>
      <c r="F725" s="4" t="s">
        <v>25</v>
      </c>
      <c r="G725" s="4" t="s">
        <v>33</v>
      </c>
      <c r="H725" s="4">
        <v>1</v>
      </c>
      <c r="I725" s="4">
        <v>6</v>
      </c>
      <c r="J725" s="5">
        <v>45460</v>
      </c>
      <c r="K725" s="6">
        <v>0.88623842592592594</v>
      </c>
    </row>
    <row r="726" spans="1:11" x14ac:dyDescent="0.25">
      <c r="A726" s="4">
        <v>14</v>
      </c>
      <c r="B726" s="4" t="s">
        <v>11</v>
      </c>
      <c r="C726" s="7">
        <v>27.92</v>
      </c>
      <c r="D726" s="4" t="s">
        <v>18</v>
      </c>
      <c r="E726" s="4" t="s">
        <v>17</v>
      </c>
      <c r="F726" s="4" t="s">
        <v>27</v>
      </c>
      <c r="G726" s="4" t="s">
        <v>33</v>
      </c>
      <c r="H726" s="4">
        <v>2</v>
      </c>
      <c r="I726" s="4">
        <v>6</v>
      </c>
      <c r="J726" s="5">
        <v>45461</v>
      </c>
      <c r="K726" s="6">
        <v>0.58618055555555559</v>
      </c>
    </row>
    <row r="727" spans="1:11" x14ac:dyDescent="0.25">
      <c r="A727" s="4">
        <v>14</v>
      </c>
      <c r="B727" s="4" t="s">
        <v>11</v>
      </c>
      <c r="C727" s="7">
        <v>37.72</v>
      </c>
      <c r="D727" s="4" t="s">
        <v>29</v>
      </c>
      <c r="E727" s="4" t="s">
        <v>17</v>
      </c>
      <c r="F727" s="4" t="s">
        <v>27</v>
      </c>
      <c r="G727" s="4" t="s">
        <v>33</v>
      </c>
      <c r="H727" s="4">
        <v>2</v>
      </c>
      <c r="I727" s="4">
        <v>6</v>
      </c>
      <c r="J727" s="5">
        <v>45461</v>
      </c>
      <c r="K727" s="6">
        <v>0.58694444444444449</v>
      </c>
    </row>
    <row r="728" spans="1:11" x14ac:dyDescent="0.25">
      <c r="A728" s="4">
        <v>19</v>
      </c>
      <c r="B728" s="4" t="s">
        <v>11</v>
      </c>
      <c r="C728" s="7">
        <v>37.72</v>
      </c>
      <c r="D728" s="4" t="s">
        <v>29</v>
      </c>
      <c r="E728" s="4" t="s">
        <v>20</v>
      </c>
      <c r="F728" s="4" t="s">
        <v>27</v>
      </c>
      <c r="G728" s="4" t="s">
        <v>33</v>
      </c>
      <c r="H728" s="4">
        <v>2</v>
      </c>
      <c r="I728" s="4">
        <v>6</v>
      </c>
      <c r="J728" s="5">
        <v>45461</v>
      </c>
      <c r="K728" s="6">
        <v>0.80601851851851847</v>
      </c>
    </row>
    <row r="729" spans="1:11" x14ac:dyDescent="0.25">
      <c r="A729" s="4">
        <v>19</v>
      </c>
      <c r="B729" s="4" t="s">
        <v>11</v>
      </c>
      <c r="C729" s="7">
        <v>37.72</v>
      </c>
      <c r="D729" s="4" t="s">
        <v>29</v>
      </c>
      <c r="E729" s="4" t="s">
        <v>20</v>
      </c>
      <c r="F729" s="4" t="s">
        <v>27</v>
      </c>
      <c r="G729" s="4" t="s">
        <v>33</v>
      </c>
      <c r="H729" s="4">
        <v>2</v>
      </c>
      <c r="I729" s="4">
        <v>6</v>
      </c>
      <c r="J729" s="5">
        <v>45461</v>
      </c>
      <c r="K729" s="6">
        <v>0.80668981481481483</v>
      </c>
    </row>
    <row r="730" spans="1:11" x14ac:dyDescent="0.25">
      <c r="A730" s="4">
        <v>20</v>
      </c>
      <c r="B730" s="4" t="s">
        <v>11</v>
      </c>
      <c r="C730" s="7">
        <v>27.92</v>
      </c>
      <c r="D730" s="4" t="s">
        <v>24</v>
      </c>
      <c r="E730" s="4" t="s">
        <v>20</v>
      </c>
      <c r="F730" s="4" t="s">
        <v>27</v>
      </c>
      <c r="G730" s="4" t="s">
        <v>33</v>
      </c>
      <c r="H730" s="4">
        <v>2</v>
      </c>
      <c r="I730" s="4">
        <v>6</v>
      </c>
      <c r="J730" s="5">
        <v>45461</v>
      </c>
      <c r="K730" s="6">
        <v>0.85820601851851852</v>
      </c>
    </row>
    <row r="731" spans="1:11" x14ac:dyDescent="0.25">
      <c r="A731" s="4">
        <v>21</v>
      </c>
      <c r="B731" s="4" t="s">
        <v>11</v>
      </c>
      <c r="C731" s="7">
        <v>32.82</v>
      </c>
      <c r="D731" s="4" t="s">
        <v>19</v>
      </c>
      <c r="E731" s="4" t="s">
        <v>20</v>
      </c>
      <c r="F731" s="4" t="s">
        <v>27</v>
      </c>
      <c r="G731" s="4" t="s">
        <v>33</v>
      </c>
      <c r="H731" s="4">
        <v>2</v>
      </c>
      <c r="I731" s="4">
        <v>6</v>
      </c>
      <c r="J731" s="5">
        <v>45461</v>
      </c>
      <c r="K731" s="6">
        <v>0.88945601851851852</v>
      </c>
    </row>
    <row r="732" spans="1:11" x14ac:dyDescent="0.25">
      <c r="A732" s="4">
        <v>21</v>
      </c>
      <c r="B732" s="4" t="s">
        <v>11</v>
      </c>
      <c r="C732" s="7">
        <v>32.82</v>
      </c>
      <c r="D732" s="4" t="s">
        <v>19</v>
      </c>
      <c r="E732" s="4" t="s">
        <v>20</v>
      </c>
      <c r="F732" s="4" t="s">
        <v>27</v>
      </c>
      <c r="G732" s="4" t="s">
        <v>33</v>
      </c>
      <c r="H732" s="4">
        <v>2</v>
      </c>
      <c r="I732" s="4">
        <v>6</v>
      </c>
      <c r="J732" s="5">
        <v>45461</v>
      </c>
      <c r="K732" s="6">
        <v>0.89048611111111109</v>
      </c>
    </row>
    <row r="733" spans="1:11" x14ac:dyDescent="0.25">
      <c r="A733" s="4">
        <v>7</v>
      </c>
      <c r="B733" s="4" t="s">
        <v>11</v>
      </c>
      <c r="C733" s="7">
        <v>37.72</v>
      </c>
      <c r="D733" s="4" t="s">
        <v>12</v>
      </c>
      <c r="E733" s="4" t="s">
        <v>13</v>
      </c>
      <c r="F733" s="4" t="s">
        <v>28</v>
      </c>
      <c r="G733" s="4" t="s">
        <v>33</v>
      </c>
      <c r="H733" s="4">
        <v>3</v>
      </c>
      <c r="I733" s="4">
        <v>6</v>
      </c>
      <c r="J733" s="5">
        <v>45462</v>
      </c>
      <c r="K733" s="6">
        <v>0.32452546296296297</v>
      </c>
    </row>
    <row r="734" spans="1:11" x14ac:dyDescent="0.25">
      <c r="A734" s="4">
        <v>8</v>
      </c>
      <c r="B734" s="4" t="s">
        <v>11</v>
      </c>
      <c r="C734" s="7">
        <v>27.92</v>
      </c>
      <c r="D734" s="4" t="s">
        <v>24</v>
      </c>
      <c r="E734" s="4" t="s">
        <v>13</v>
      </c>
      <c r="F734" s="4" t="s">
        <v>28</v>
      </c>
      <c r="G734" s="4" t="s">
        <v>33</v>
      </c>
      <c r="H734" s="4">
        <v>3</v>
      </c>
      <c r="I734" s="4">
        <v>6</v>
      </c>
      <c r="J734" s="5">
        <v>45462</v>
      </c>
      <c r="K734" s="6">
        <v>0.34576388888888887</v>
      </c>
    </row>
    <row r="735" spans="1:11" x14ac:dyDescent="0.25">
      <c r="A735" s="4">
        <v>10</v>
      </c>
      <c r="B735" s="4" t="s">
        <v>11</v>
      </c>
      <c r="C735" s="7">
        <v>27.92</v>
      </c>
      <c r="D735" s="4" t="s">
        <v>18</v>
      </c>
      <c r="E735" s="4" t="s">
        <v>13</v>
      </c>
      <c r="F735" s="4" t="s">
        <v>28</v>
      </c>
      <c r="G735" s="4" t="s">
        <v>33</v>
      </c>
      <c r="H735" s="4">
        <v>3</v>
      </c>
      <c r="I735" s="4">
        <v>6</v>
      </c>
      <c r="J735" s="5">
        <v>45462</v>
      </c>
      <c r="K735" s="6">
        <v>0.45416666666666666</v>
      </c>
    </row>
    <row r="736" spans="1:11" x14ac:dyDescent="0.25">
      <c r="A736" s="4">
        <v>11</v>
      </c>
      <c r="B736" s="4" t="s">
        <v>11</v>
      </c>
      <c r="C736" s="7">
        <v>37.72</v>
      </c>
      <c r="D736" s="4" t="s">
        <v>12</v>
      </c>
      <c r="E736" s="4" t="s">
        <v>13</v>
      </c>
      <c r="F736" s="4" t="s">
        <v>28</v>
      </c>
      <c r="G736" s="4" t="s">
        <v>33</v>
      </c>
      <c r="H736" s="4">
        <v>3</v>
      </c>
      <c r="I736" s="4">
        <v>6</v>
      </c>
      <c r="J736" s="5">
        <v>45462</v>
      </c>
      <c r="K736" s="6">
        <v>0.46628472222222223</v>
      </c>
    </row>
    <row r="737" spans="1:11" x14ac:dyDescent="0.25">
      <c r="A737" s="4">
        <v>11</v>
      </c>
      <c r="B737" s="4" t="s">
        <v>11</v>
      </c>
      <c r="C737" s="7">
        <v>37.72</v>
      </c>
      <c r="D737" s="4" t="s">
        <v>21</v>
      </c>
      <c r="E737" s="4" t="s">
        <v>13</v>
      </c>
      <c r="F737" s="4" t="s">
        <v>28</v>
      </c>
      <c r="G737" s="4" t="s">
        <v>33</v>
      </c>
      <c r="H737" s="4">
        <v>3</v>
      </c>
      <c r="I737" s="4">
        <v>6</v>
      </c>
      <c r="J737" s="5">
        <v>45462</v>
      </c>
      <c r="K737" s="6">
        <v>0.46702546296296299</v>
      </c>
    </row>
    <row r="738" spans="1:11" x14ac:dyDescent="0.25">
      <c r="A738" s="4">
        <v>14</v>
      </c>
      <c r="B738" s="4" t="s">
        <v>11</v>
      </c>
      <c r="C738" s="7">
        <v>32.82</v>
      </c>
      <c r="D738" s="4" t="s">
        <v>19</v>
      </c>
      <c r="E738" s="4" t="s">
        <v>17</v>
      </c>
      <c r="F738" s="4" t="s">
        <v>28</v>
      </c>
      <c r="G738" s="4" t="s">
        <v>33</v>
      </c>
      <c r="H738" s="4">
        <v>3</v>
      </c>
      <c r="I738" s="4">
        <v>6</v>
      </c>
      <c r="J738" s="5">
        <v>45462</v>
      </c>
      <c r="K738" s="6">
        <v>0.59833333333333338</v>
      </c>
    </row>
    <row r="739" spans="1:11" x14ac:dyDescent="0.25">
      <c r="A739" s="4">
        <v>18</v>
      </c>
      <c r="B739" s="4" t="s">
        <v>11</v>
      </c>
      <c r="C739" s="7">
        <v>37.72</v>
      </c>
      <c r="D739" s="4" t="s">
        <v>29</v>
      </c>
      <c r="E739" s="4" t="s">
        <v>20</v>
      </c>
      <c r="F739" s="4" t="s">
        <v>28</v>
      </c>
      <c r="G739" s="4" t="s">
        <v>33</v>
      </c>
      <c r="H739" s="4">
        <v>3</v>
      </c>
      <c r="I739" s="4">
        <v>6</v>
      </c>
      <c r="J739" s="5">
        <v>45462</v>
      </c>
      <c r="K739" s="6">
        <v>0.7699421296296296</v>
      </c>
    </row>
    <row r="740" spans="1:11" x14ac:dyDescent="0.25">
      <c r="A740" s="4">
        <v>18</v>
      </c>
      <c r="B740" s="4" t="s">
        <v>11</v>
      </c>
      <c r="C740" s="7">
        <v>37.72</v>
      </c>
      <c r="D740" s="4" t="s">
        <v>12</v>
      </c>
      <c r="E740" s="4" t="s">
        <v>20</v>
      </c>
      <c r="F740" s="4" t="s">
        <v>28</v>
      </c>
      <c r="G740" s="4" t="s">
        <v>33</v>
      </c>
      <c r="H740" s="4">
        <v>3</v>
      </c>
      <c r="I740" s="4">
        <v>6</v>
      </c>
      <c r="J740" s="5">
        <v>45462</v>
      </c>
      <c r="K740" s="6">
        <v>0.77081018518518518</v>
      </c>
    </row>
    <row r="741" spans="1:11" x14ac:dyDescent="0.25">
      <c r="A741" s="4">
        <v>19</v>
      </c>
      <c r="B741" s="4" t="s">
        <v>11</v>
      </c>
      <c r="C741" s="7">
        <v>32.82</v>
      </c>
      <c r="D741" s="4" t="s">
        <v>19</v>
      </c>
      <c r="E741" s="4" t="s">
        <v>20</v>
      </c>
      <c r="F741" s="4" t="s">
        <v>28</v>
      </c>
      <c r="G741" s="4" t="s">
        <v>33</v>
      </c>
      <c r="H741" s="4">
        <v>3</v>
      </c>
      <c r="I741" s="4">
        <v>6</v>
      </c>
      <c r="J741" s="5">
        <v>45462</v>
      </c>
      <c r="K741" s="6">
        <v>0.81355324074074076</v>
      </c>
    </row>
    <row r="742" spans="1:11" x14ac:dyDescent="0.25">
      <c r="A742" s="4">
        <v>21</v>
      </c>
      <c r="B742" s="4" t="s">
        <v>11</v>
      </c>
      <c r="C742" s="7">
        <v>37.72</v>
      </c>
      <c r="D742" s="4" t="s">
        <v>29</v>
      </c>
      <c r="E742" s="4" t="s">
        <v>20</v>
      </c>
      <c r="F742" s="4" t="s">
        <v>28</v>
      </c>
      <c r="G742" s="4" t="s">
        <v>33</v>
      </c>
      <c r="H742" s="4">
        <v>3</v>
      </c>
      <c r="I742" s="4">
        <v>6</v>
      </c>
      <c r="J742" s="5">
        <v>45462</v>
      </c>
      <c r="K742" s="6">
        <v>0.89512731481481478</v>
      </c>
    </row>
    <row r="743" spans="1:11" x14ac:dyDescent="0.25">
      <c r="A743" s="4">
        <v>21</v>
      </c>
      <c r="B743" s="4" t="s">
        <v>11</v>
      </c>
      <c r="C743" s="7">
        <v>32.82</v>
      </c>
      <c r="D743" s="4" t="s">
        <v>19</v>
      </c>
      <c r="E743" s="4" t="s">
        <v>20</v>
      </c>
      <c r="F743" s="4" t="s">
        <v>28</v>
      </c>
      <c r="G743" s="4" t="s">
        <v>33</v>
      </c>
      <c r="H743" s="4">
        <v>3</v>
      </c>
      <c r="I743" s="4">
        <v>6</v>
      </c>
      <c r="J743" s="5">
        <v>45462</v>
      </c>
      <c r="K743" s="6">
        <v>0.8958680555555556</v>
      </c>
    </row>
    <row r="744" spans="1:11" x14ac:dyDescent="0.25">
      <c r="A744" s="4">
        <v>10</v>
      </c>
      <c r="B744" s="4" t="s">
        <v>11</v>
      </c>
      <c r="C744" s="7">
        <v>37.72</v>
      </c>
      <c r="D744" s="4" t="s">
        <v>12</v>
      </c>
      <c r="E744" s="4" t="s">
        <v>13</v>
      </c>
      <c r="F744" s="4" t="s">
        <v>30</v>
      </c>
      <c r="G744" s="4" t="s">
        <v>33</v>
      </c>
      <c r="H744" s="4">
        <v>4</v>
      </c>
      <c r="I744" s="4">
        <v>6</v>
      </c>
      <c r="J744" s="5">
        <v>45463</v>
      </c>
      <c r="K744" s="6">
        <v>0.45145833333333335</v>
      </c>
    </row>
    <row r="745" spans="1:11" x14ac:dyDescent="0.25">
      <c r="A745" s="4">
        <v>18</v>
      </c>
      <c r="B745" s="4" t="s">
        <v>11</v>
      </c>
      <c r="C745" s="7">
        <v>37.72</v>
      </c>
      <c r="D745" s="4" t="s">
        <v>12</v>
      </c>
      <c r="E745" s="4" t="s">
        <v>20</v>
      </c>
      <c r="F745" s="4" t="s">
        <v>30</v>
      </c>
      <c r="G745" s="4" t="s">
        <v>33</v>
      </c>
      <c r="H745" s="4">
        <v>4</v>
      </c>
      <c r="I745" s="4">
        <v>6</v>
      </c>
      <c r="J745" s="5">
        <v>45463</v>
      </c>
      <c r="K745" s="6">
        <v>0.79099537037037038</v>
      </c>
    </row>
    <row r="746" spans="1:11" x14ac:dyDescent="0.25">
      <c r="A746" s="4">
        <v>19</v>
      </c>
      <c r="B746" s="4" t="s">
        <v>11</v>
      </c>
      <c r="C746" s="7">
        <v>37.72</v>
      </c>
      <c r="D746" s="4" t="s">
        <v>12</v>
      </c>
      <c r="E746" s="4" t="s">
        <v>20</v>
      </c>
      <c r="F746" s="4" t="s">
        <v>30</v>
      </c>
      <c r="G746" s="4" t="s">
        <v>33</v>
      </c>
      <c r="H746" s="4">
        <v>4</v>
      </c>
      <c r="I746" s="4">
        <v>6</v>
      </c>
      <c r="J746" s="5">
        <v>45463</v>
      </c>
      <c r="K746" s="6">
        <v>0.79166666666666663</v>
      </c>
    </row>
    <row r="747" spans="1:11" x14ac:dyDescent="0.25">
      <c r="A747" s="4">
        <v>21</v>
      </c>
      <c r="B747" s="4" t="s">
        <v>11</v>
      </c>
      <c r="C747" s="7">
        <v>37.72</v>
      </c>
      <c r="D747" s="4" t="s">
        <v>12</v>
      </c>
      <c r="E747" s="4" t="s">
        <v>20</v>
      </c>
      <c r="F747" s="4" t="s">
        <v>30</v>
      </c>
      <c r="G747" s="4" t="s">
        <v>33</v>
      </c>
      <c r="H747" s="4">
        <v>4</v>
      </c>
      <c r="I747" s="4">
        <v>6</v>
      </c>
      <c r="J747" s="5">
        <v>45463</v>
      </c>
      <c r="K747" s="6">
        <v>0.90219907407407407</v>
      </c>
    </row>
    <row r="748" spans="1:11" x14ac:dyDescent="0.25">
      <c r="A748" s="4">
        <v>21</v>
      </c>
      <c r="B748" s="4" t="s">
        <v>11</v>
      </c>
      <c r="C748" s="7">
        <v>37.72</v>
      </c>
      <c r="D748" s="4" t="s">
        <v>12</v>
      </c>
      <c r="E748" s="4" t="s">
        <v>20</v>
      </c>
      <c r="F748" s="4" t="s">
        <v>30</v>
      </c>
      <c r="G748" s="4" t="s">
        <v>33</v>
      </c>
      <c r="H748" s="4">
        <v>4</v>
      </c>
      <c r="I748" s="4">
        <v>6</v>
      </c>
      <c r="J748" s="5">
        <v>45463</v>
      </c>
      <c r="K748" s="6">
        <v>0.9150462962962963</v>
      </c>
    </row>
    <row r="749" spans="1:11" x14ac:dyDescent="0.25">
      <c r="A749" s="4">
        <v>21</v>
      </c>
      <c r="B749" s="4" t="s">
        <v>11</v>
      </c>
      <c r="C749" s="7">
        <v>32.82</v>
      </c>
      <c r="D749" s="4" t="s">
        <v>19</v>
      </c>
      <c r="E749" s="4" t="s">
        <v>20</v>
      </c>
      <c r="F749" s="4" t="s">
        <v>30</v>
      </c>
      <c r="G749" s="4" t="s">
        <v>33</v>
      </c>
      <c r="H749" s="4">
        <v>4</v>
      </c>
      <c r="I749" s="4">
        <v>6</v>
      </c>
      <c r="J749" s="5">
        <v>45463</v>
      </c>
      <c r="K749" s="6">
        <v>0.91616898148148151</v>
      </c>
    </row>
    <row r="750" spans="1:11" x14ac:dyDescent="0.25">
      <c r="A750" s="4">
        <v>9</v>
      </c>
      <c r="B750" s="4" t="s">
        <v>11</v>
      </c>
      <c r="C750" s="7">
        <v>37.72</v>
      </c>
      <c r="D750" s="4" t="s">
        <v>12</v>
      </c>
      <c r="E750" s="4" t="s">
        <v>13</v>
      </c>
      <c r="F750" s="4" t="s">
        <v>14</v>
      </c>
      <c r="G750" s="4" t="s">
        <v>33</v>
      </c>
      <c r="H750" s="4">
        <v>5</v>
      </c>
      <c r="I750" s="4">
        <v>6</v>
      </c>
      <c r="J750" s="5">
        <v>45464</v>
      </c>
      <c r="K750" s="6">
        <v>0.41660879629629627</v>
      </c>
    </row>
    <row r="751" spans="1:11" x14ac:dyDescent="0.25">
      <c r="A751" s="4">
        <v>10</v>
      </c>
      <c r="B751" s="4" t="s">
        <v>11</v>
      </c>
      <c r="C751" s="7">
        <v>27.92</v>
      </c>
      <c r="D751" s="4" t="s">
        <v>18</v>
      </c>
      <c r="E751" s="4" t="s">
        <v>13</v>
      </c>
      <c r="F751" s="4" t="s">
        <v>14</v>
      </c>
      <c r="G751" s="4" t="s">
        <v>33</v>
      </c>
      <c r="H751" s="4">
        <v>5</v>
      </c>
      <c r="I751" s="4">
        <v>6</v>
      </c>
      <c r="J751" s="5">
        <v>45464</v>
      </c>
      <c r="K751" s="6">
        <v>0.41782407407407407</v>
      </c>
    </row>
    <row r="752" spans="1:11" x14ac:dyDescent="0.25">
      <c r="A752" s="4">
        <v>13</v>
      </c>
      <c r="B752" s="4" t="s">
        <v>11</v>
      </c>
      <c r="C752" s="7">
        <v>32.82</v>
      </c>
      <c r="D752" s="4" t="s">
        <v>19</v>
      </c>
      <c r="E752" s="4" t="s">
        <v>17</v>
      </c>
      <c r="F752" s="4" t="s">
        <v>14</v>
      </c>
      <c r="G752" s="4" t="s">
        <v>33</v>
      </c>
      <c r="H752" s="4">
        <v>5</v>
      </c>
      <c r="I752" s="4">
        <v>6</v>
      </c>
      <c r="J752" s="5">
        <v>45464</v>
      </c>
      <c r="K752" s="6">
        <v>0.55508101851851854</v>
      </c>
    </row>
    <row r="753" spans="1:11" x14ac:dyDescent="0.25">
      <c r="A753" s="4">
        <v>13</v>
      </c>
      <c r="B753" s="4" t="s">
        <v>11</v>
      </c>
      <c r="C753" s="7">
        <v>32.82</v>
      </c>
      <c r="D753" s="4" t="s">
        <v>19</v>
      </c>
      <c r="E753" s="4" t="s">
        <v>17</v>
      </c>
      <c r="F753" s="4" t="s">
        <v>14</v>
      </c>
      <c r="G753" s="4" t="s">
        <v>33</v>
      </c>
      <c r="H753" s="4">
        <v>5</v>
      </c>
      <c r="I753" s="4">
        <v>6</v>
      </c>
      <c r="J753" s="5">
        <v>45464</v>
      </c>
      <c r="K753" s="6">
        <v>0.5559143518518519</v>
      </c>
    </row>
    <row r="754" spans="1:11" x14ac:dyDescent="0.25">
      <c r="A754" s="4">
        <v>18</v>
      </c>
      <c r="B754" s="4" t="s">
        <v>11</v>
      </c>
      <c r="C754" s="7">
        <v>23.02</v>
      </c>
      <c r="D754" s="4" t="s">
        <v>26</v>
      </c>
      <c r="E754" s="4" t="s">
        <v>20</v>
      </c>
      <c r="F754" s="4" t="s">
        <v>14</v>
      </c>
      <c r="G754" s="4" t="s">
        <v>33</v>
      </c>
      <c r="H754" s="4">
        <v>5</v>
      </c>
      <c r="I754" s="4">
        <v>6</v>
      </c>
      <c r="J754" s="5">
        <v>45464</v>
      </c>
      <c r="K754" s="6">
        <v>0.75851851851851848</v>
      </c>
    </row>
    <row r="755" spans="1:11" x14ac:dyDescent="0.25">
      <c r="A755" s="4">
        <v>19</v>
      </c>
      <c r="B755" s="4" t="s">
        <v>11</v>
      </c>
      <c r="C755" s="7">
        <v>37.72</v>
      </c>
      <c r="D755" s="4" t="s">
        <v>12</v>
      </c>
      <c r="E755" s="4" t="s">
        <v>20</v>
      </c>
      <c r="F755" s="4" t="s">
        <v>14</v>
      </c>
      <c r="G755" s="4" t="s">
        <v>33</v>
      </c>
      <c r="H755" s="4">
        <v>5</v>
      </c>
      <c r="I755" s="4">
        <v>6</v>
      </c>
      <c r="J755" s="5">
        <v>45464</v>
      </c>
      <c r="K755" s="6">
        <v>0.8128009259259259</v>
      </c>
    </row>
    <row r="756" spans="1:11" x14ac:dyDescent="0.25">
      <c r="A756" s="4">
        <v>19</v>
      </c>
      <c r="B756" s="4" t="s">
        <v>11</v>
      </c>
      <c r="C756" s="7">
        <v>37.72</v>
      </c>
      <c r="D756" s="4" t="s">
        <v>29</v>
      </c>
      <c r="E756" s="4" t="s">
        <v>20</v>
      </c>
      <c r="F756" s="4" t="s">
        <v>14</v>
      </c>
      <c r="G756" s="4" t="s">
        <v>33</v>
      </c>
      <c r="H756" s="4">
        <v>5</v>
      </c>
      <c r="I756" s="4">
        <v>6</v>
      </c>
      <c r="J756" s="5">
        <v>45464</v>
      </c>
      <c r="K756" s="6">
        <v>0.82437499999999997</v>
      </c>
    </row>
    <row r="757" spans="1:11" x14ac:dyDescent="0.25">
      <c r="A757" s="4">
        <v>19</v>
      </c>
      <c r="B757" s="4" t="s">
        <v>11</v>
      </c>
      <c r="C757" s="7">
        <v>37.72</v>
      </c>
      <c r="D757" s="4" t="s">
        <v>29</v>
      </c>
      <c r="E757" s="4" t="s">
        <v>20</v>
      </c>
      <c r="F757" s="4" t="s">
        <v>14</v>
      </c>
      <c r="G757" s="4" t="s">
        <v>33</v>
      </c>
      <c r="H757" s="4">
        <v>5</v>
      </c>
      <c r="I757" s="4">
        <v>6</v>
      </c>
      <c r="J757" s="5">
        <v>45464</v>
      </c>
      <c r="K757" s="6">
        <v>0.82506944444444441</v>
      </c>
    </row>
    <row r="758" spans="1:11" x14ac:dyDescent="0.25">
      <c r="A758" s="4">
        <v>19</v>
      </c>
      <c r="B758" s="4" t="s">
        <v>11</v>
      </c>
      <c r="C758" s="7">
        <v>37.72</v>
      </c>
      <c r="D758" s="4" t="s">
        <v>29</v>
      </c>
      <c r="E758" s="4" t="s">
        <v>20</v>
      </c>
      <c r="F758" s="4" t="s">
        <v>14</v>
      </c>
      <c r="G758" s="4" t="s">
        <v>33</v>
      </c>
      <c r="H758" s="4">
        <v>5</v>
      </c>
      <c r="I758" s="4">
        <v>6</v>
      </c>
      <c r="J758" s="5">
        <v>45464</v>
      </c>
      <c r="K758" s="6">
        <v>0.8263194444444445</v>
      </c>
    </row>
    <row r="759" spans="1:11" x14ac:dyDescent="0.25">
      <c r="A759" s="4">
        <v>19</v>
      </c>
      <c r="B759" s="4" t="s">
        <v>11</v>
      </c>
      <c r="C759" s="7">
        <v>37.72</v>
      </c>
      <c r="D759" s="4" t="s">
        <v>29</v>
      </c>
      <c r="E759" s="4" t="s">
        <v>20</v>
      </c>
      <c r="F759" s="4" t="s">
        <v>14</v>
      </c>
      <c r="G759" s="4" t="s">
        <v>33</v>
      </c>
      <c r="H759" s="4">
        <v>5</v>
      </c>
      <c r="I759" s="4">
        <v>6</v>
      </c>
      <c r="J759" s="5">
        <v>45464</v>
      </c>
      <c r="K759" s="6">
        <v>0.82708333333333328</v>
      </c>
    </row>
    <row r="760" spans="1:11" x14ac:dyDescent="0.25">
      <c r="A760" s="4">
        <v>19</v>
      </c>
      <c r="B760" s="4" t="s">
        <v>11</v>
      </c>
      <c r="C760" s="7">
        <v>27.92</v>
      </c>
      <c r="D760" s="4" t="s">
        <v>18</v>
      </c>
      <c r="E760" s="4" t="s">
        <v>20</v>
      </c>
      <c r="F760" s="4" t="s">
        <v>14</v>
      </c>
      <c r="G760" s="4" t="s">
        <v>33</v>
      </c>
      <c r="H760" s="4">
        <v>5</v>
      </c>
      <c r="I760" s="4">
        <v>6</v>
      </c>
      <c r="J760" s="5">
        <v>45464</v>
      </c>
      <c r="K760" s="6">
        <v>0.82798611111111109</v>
      </c>
    </row>
    <row r="761" spans="1:11" x14ac:dyDescent="0.25">
      <c r="A761" s="4">
        <v>19</v>
      </c>
      <c r="B761" s="4" t="s">
        <v>11</v>
      </c>
      <c r="C761" s="7">
        <v>32.82</v>
      </c>
      <c r="D761" s="4" t="s">
        <v>19</v>
      </c>
      <c r="E761" s="4" t="s">
        <v>20</v>
      </c>
      <c r="F761" s="4" t="s">
        <v>14</v>
      </c>
      <c r="G761" s="4" t="s">
        <v>33</v>
      </c>
      <c r="H761" s="4">
        <v>5</v>
      </c>
      <c r="I761" s="4">
        <v>6</v>
      </c>
      <c r="J761" s="5">
        <v>45464</v>
      </c>
      <c r="K761" s="6">
        <v>0.83028935185185182</v>
      </c>
    </row>
    <row r="762" spans="1:11" x14ac:dyDescent="0.25">
      <c r="A762" s="4">
        <v>8</v>
      </c>
      <c r="B762" s="4" t="s">
        <v>11</v>
      </c>
      <c r="C762" s="7">
        <v>27.92</v>
      </c>
      <c r="D762" s="4" t="s">
        <v>24</v>
      </c>
      <c r="E762" s="4" t="s">
        <v>13</v>
      </c>
      <c r="F762" s="4" t="s">
        <v>22</v>
      </c>
      <c r="G762" s="4" t="s">
        <v>33</v>
      </c>
      <c r="H762" s="4">
        <v>6</v>
      </c>
      <c r="I762" s="4">
        <v>6</v>
      </c>
      <c r="J762" s="5">
        <v>45465</v>
      </c>
      <c r="K762" s="6">
        <v>0.36099537037037038</v>
      </c>
    </row>
    <row r="763" spans="1:11" x14ac:dyDescent="0.25">
      <c r="A763" s="4">
        <v>9</v>
      </c>
      <c r="B763" s="4" t="s">
        <v>11</v>
      </c>
      <c r="C763" s="7">
        <v>32.82</v>
      </c>
      <c r="D763" s="4" t="s">
        <v>19</v>
      </c>
      <c r="E763" s="4" t="s">
        <v>13</v>
      </c>
      <c r="F763" s="4" t="s">
        <v>22</v>
      </c>
      <c r="G763" s="4" t="s">
        <v>33</v>
      </c>
      <c r="H763" s="4">
        <v>6</v>
      </c>
      <c r="I763" s="4">
        <v>6</v>
      </c>
      <c r="J763" s="5">
        <v>45465</v>
      </c>
      <c r="K763" s="6">
        <v>0.40125</v>
      </c>
    </row>
    <row r="764" spans="1:11" x14ac:dyDescent="0.25">
      <c r="A764" s="4">
        <v>12</v>
      </c>
      <c r="B764" s="4" t="s">
        <v>11</v>
      </c>
      <c r="C764" s="7">
        <v>32.82</v>
      </c>
      <c r="D764" s="4" t="s">
        <v>19</v>
      </c>
      <c r="E764" s="4" t="s">
        <v>17</v>
      </c>
      <c r="F764" s="4" t="s">
        <v>22</v>
      </c>
      <c r="G764" s="4" t="s">
        <v>33</v>
      </c>
      <c r="H764" s="4">
        <v>6</v>
      </c>
      <c r="I764" s="4">
        <v>6</v>
      </c>
      <c r="J764" s="5">
        <v>45465</v>
      </c>
      <c r="K764" s="6">
        <v>0.53697916666666667</v>
      </c>
    </row>
    <row r="765" spans="1:11" x14ac:dyDescent="0.25">
      <c r="A765" s="4">
        <v>15</v>
      </c>
      <c r="B765" s="4" t="s">
        <v>11</v>
      </c>
      <c r="C765" s="7">
        <v>37.72</v>
      </c>
      <c r="D765" s="4" t="s">
        <v>12</v>
      </c>
      <c r="E765" s="4" t="s">
        <v>17</v>
      </c>
      <c r="F765" s="4" t="s">
        <v>22</v>
      </c>
      <c r="G765" s="4" t="s">
        <v>33</v>
      </c>
      <c r="H765" s="4">
        <v>6</v>
      </c>
      <c r="I765" s="4">
        <v>6</v>
      </c>
      <c r="J765" s="5">
        <v>45465</v>
      </c>
      <c r="K765" s="6">
        <v>0.65092592592592591</v>
      </c>
    </row>
    <row r="766" spans="1:11" x14ac:dyDescent="0.25">
      <c r="A766" s="4">
        <v>22</v>
      </c>
      <c r="B766" s="4" t="s">
        <v>11</v>
      </c>
      <c r="C766" s="7">
        <v>37.72</v>
      </c>
      <c r="D766" s="4" t="s">
        <v>29</v>
      </c>
      <c r="E766" s="4" t="s">
        <v>20</v>
      </c>
      <c r="F766" s="4" t="s">
        <v>22</v>
      </c>
      <c r="G766" s="4" t="s">
        <v>33</v>
      </c>
      <c r="H766" s="4">
        <v>6</v>
      </c>
      <c r="I766" s="4">
        <v>6</v>
      </c>
      <c r="J766" s="5">
        <v>45465</v>
      </c>
      <c r="K766" s="6">
        <v>0.92386574074074079</v>
      </c>
    </row>
    <row r="767" spans="1:11" x14ac:dyDescent="0.25">
      <c r="A767" s="4">
        <v>18</v>
      </c>
      <c r="B767" s="4" t="s">
        <v>11</v>
      </c>
      <c r="C767" s="7">
        <v>32.82</v>
      </c>
      <c r="D767" s="4" t="s">
        <v>19</v>
      </c>
      <c r="E767" s="4" t="s">
        <v>20</v>
      </c>
      <c r="F767" s="4" t="s">
        <v>23</v>
      </c>
      <c r="G767" s="4" t="s">
        <v>33</v>
      </c>
      <c r="H767" s="4">
        <v>7</v>
      </c>
      <c r="I767" s="4">
        <v>6</v>
      </c>
      <c r="J767" s="5">
        <v>45466</v>
      </c>
      <c r="K767" s="6">
        <v>0.75834490740740745</v>
      </c>
    </row>
    <row r="768" spans="1:11" x14ac:dyDescent="0.25">
      <c r="A768" s="4">
        <v>18</v>
      </c>
      <c r="B768" s="4" t="s">
        <v>11</v>
      </c>
      <c r="C768" s="7">
        <v>32.82</v>
      </c>
      <c r="D768" s="4" t="s">
        <v>19</v>
      </c>
      <c r="E768" s="4" t="s">
        <v>20</v>
      </c>
      <c r="F768" s="4" t="s">
        <v>23</v>
      </c>
      <c r="G768" s="4" t="s">
        <v>33</v>
      </c>
      <c r="H768" s="4">
        <v>7</v>
      </c>
      <c r="I768" s="4">
        <v>6</v>
      </c>
      <c r="J768" s="5">
        <v>45466</v>
      </c>
      <c r="K768" s="6">
        <v>0.75960648148148147</v>
      </c>
    </row>
    <row r="769" spans="1:11" x14ac:dyDescent="0.25">
      <c r="A769" s="4">
        <v>21</v>
      </c>
      <c r="B769" s="4" t="s">
        <v>11</v>
      </c>
      <c r="C769" s="7">
        <v>37.72</v>
      </c>
      <c r="D769" s="4" t="s">
        <v>29</v>
      </c>
      <c r="E769" s="4" t="s">
        <v>20</v>
      </c>
      <c r="F769" s="4" t="s">
        <v>23</v>
      </c>
      <c r="G769" s="4" t="s">
        <v>33</v>
      </c>
      <c r="H769" s="4">
        <v>7</v>
      </c>
      <c r="I769" s="4">
        <v>6</v>
      </c>
      <c r="J769" s="5">
        <v>45466</v>
      </c>
      <c r="K769" s="6">
        <v>0.87969907407407411</v>
      </c>
    </row>
    <row r="770" spans="1:11" x14ac:dyDescent="0.25">
      <c r="A770" s="4">
        <v>21</v>
      </c>
      <c r="B770" s="4" t="s">
        <v>11</v>
      </c>
      <c r="C770" s="7">
        <v>37.72</v>
      </c>
      <c r="D770" s="4" t="s">
        <v>12</v>
      </c>
      <c r="E770" s="4" t="s">
        <v>20</v>
      </c>
      <c r="F770" s="4" t="s">
        <v>23</v>
      </c>
      <c r="G770" s="4" t="s">
        <v>33</v>
      </c>
      <c r="H770" s="4">
        <v>7</v>
      </c>
      <c r="I770" s="4">
        <v>6</v>
      </c>
      <c r="J770" s="5">
        <v>45466</v>
      </c>
      <c r="K770" s="6">
        <v>0.89521990740740742</v>
      </c>
    </row>
    <row r="771" spans="1:11" x14ac:dyDescent="0.25">
      <c r="A771" s="4">
        <v>21</v>
      </c>
      <c r="B771" s="4" t="s">
        <v>11</v>
      </c>
      <c r="C771" s="7">
        <v>37.72</v>
      </c>
      <c r="D771" s="4" t="s">
        <v>29</v>
      </c>
      <c r="E771" s="4" t="s">
        <v>20</v>
      </c>
      <c r="F771" s="4" t="s">
        <v>23</v>
      </c>
      <c r="G771" s="4" t="s">
        <v>33</v>
      </c>
      <c r="H771" s="4">
        <v>7</v>
      </c>
      <c r="I771" s="4">
        <v>6</v>
      </c>
      <c r="J771" s="5">
        <v>45466</v>
      </c>
      <c r="K771" s="6">
        <v>0.89624999999999999</v>
      </c>
    </row>
    <row r="772" spans="1:11" x14ac:dyDescent="0.25">
      <c r="A772" s="4">
        <v>11</v>
      </c>
      <c r="B772" s="4" t="s">
        <v>11</v>
      </c>
      <c r="C772" s="7">
        <v>32.82</v>
      </c>
      <c r="D772" s="4" t="s">
        <v>19</v>
      </c>
      <c r="E772" s="4" t="s">
        <v>13</v>
      </c>
      <c r="F772" s="4" t="s">
        <v>25</v>
      </c>
      <c r="G772" s="4" t="s">
        <v>33</v>
      </c>
      <c r="H772" s="4">
        <v>1</v>
      </c>
      <c r="I772" s="4">
        <v>6</v>
      </c>
      <c r="J772" s="5">
        <v>45467</v>
      </c>
      <c r="K772" s="6">
        <v>0.48934027777777778</v>
      </c>
    </row>
    <row r="773" spans="1:11" x14ac:dyDescent="0.25">
      <c r="A773" s="4">
        <v>11</v>
      </c>
      <c r="B773" s="4" t="s">
        <v>11</v>
      </c>
      <c r="C773" s="7">
        <v>37.72</v>
      </c>
      <c r="D773" s="4" t="s">
        <v>29</v>
      </c>
      <c r="E773" s="4" t="s">
        <v>13</v>
      </c>
      <c r="F773" s="4" t="s">
        <v>25</v>
      </c>
      <c r="G773" s="4" t="s">
        <v>33</v>
      </c>
      <c r="H773" s="4">
        <v>1</v>
      </c>
      <c r="I773" s="4">
        <v>6</v>
      </c>
      <c r="J773" s="5">
        <v>45467</v>
      </c>
      <c r="K773" s="6">
        <v>0.49277777777777776</v>
      </c>
    </row>
    <row r="774" spans="1:11" x14ac:dyDescent="0.25">
      <c r="A774" s="4">
        <v>11</v>
      </c>
      <c r="B774" s="4" t="s">
        <v>11</v>
      </c>
      <c r="C774" s="7">
        <v>37.72</v>
      </c>
      <c r="D774" s="4" t="s">
        <v>29</v>
      </c>
      <c r="E774" s="4" t="s">
        <v>13</v>
      </c>
      <c r="F774" s="4" t="s">
        <v>25</v>
      </c>
      <c r="G774" s="4" t="s">
        <v>33</v>
      </c>
      <c r="H774" s="4">
        <v>1</v>
      </c>
      <c r="I774" s="4">
        <v>6</v>
      </c>
      <c r="J774" s="5">
        <v>45467</v>
      </c>
      <c r="K774" s="6">
        <v>0.49356481481481479</v>
      </c>
    </row>
    <row r="775" spans="1:11" x14ac:dyDescent="0.25">
      <c r="A775" s="4">
        <v>15</v>
      </c>
      <c r="B775" s="4" t="s">
        <v>11</v>
      </c>
      <c r="C775" s="7">
        <v>37.72</v>
      </c>
      <c r="D775" s="4" t="s">
        <v>12</v>
      </c>
      <c r="E775" s="4" t="s">
        <v>17</v>
      </c>
      <c r="F775" s="4" t="s">
        <v>25</v>
      </c>
      <c r="G775" s="4" t="s">
        <v>33</v>
      </c>
      <c r="H775" s="4">
        <v>1</v>
      </c>
      <c r="I775" s="4">
        <v>6</v>
      </c>
      <c r="J775" s="5">
        <v>45467</v>
      </c>
      <c r="K775" s="6">
        <v>0.62671296296296297</v>
      </c>
    </row>
    <row r="776" spans="1:11" x14ac:dyDescent="0.25">
      <c r="A776" s="4">
        <v>16</v>
      </c>
      <c r="B776" s="4" t="s">
        <v>11</v>
      </c>
      <c r="C776" s="7">
        <v>37.72</v>
      </c>
      <c r="D776" s="4" t="s">
        <v>29</v>
      </c>
      <c r="E776" s="4" t="s">
        <v>17</v>
      </c>
      <c r="F776" s="4" t="s">
        <v>25</v>
      </c>
      <c r="G776" s="4" t="s">
        <v>33</v>
      </c>
      <c r="H776" s="4">
        <v>1</v>
      </c>
      <c r="I776" s="4">
        <v>6</v>
      </c>
      <c r="J776" s="5">
        <v>45467</v>
      </c>
      <c r="K776" s="6">
        <v>0.69861111111111107</v>
      </c>
    </row>
    <row r="777" spans="1:11" x14ac:dyDescent="0.25">
      <c r="A777" s="4">
        <v>16</v>
      </c>
      <c r="B777" s="4" t="s">
        <v>11</v>
      </c>
      <c r="C777" s="7">
        <v>37.72</v>
      </c>
      <c r="D777" s="4" t="s">
        <v>29</v>
      </c>
      <c r="E777" s="4" t="s">
        <v>17</v>
      </c>
      <c r="F777" s="4" t="s">
        <v>25</v>
      </c>
      <c r="G777" s="4" t="s">
        <v>33</v>
      </c>
      <c r="H777" s="4">
        <v>1</v>
      </c>
      <c r="I777" s="4">
        <v>6</v>
      </c>
      <c r="J777" s="5">
        <v>45467</v>
      </c>
      <c r="K777" s="6">
        <v>0.69930555555555551</v>
      </c>
    </row>
    <row r="778" spans="1:11" x14ac:dyDescent="0.25">
      <c r="A778" s="4">
        <v>8</v>
      </c>
      <c r="B778" s="4" t="s">
        <v>11</v>
      </c>
      <c r="C778" s="7">
        <v>37.72</v>
      </c>
      <c r="D778" s="4" t="s">
        <v>12</v>
      </c>
      <c r="E778" s="4" t="s">
        <v>13</v>
      </c>
      <c r="F778" s="4" t="s">
        <v>27</v>
      </c>
      <c r="G778" s="4" t="s">
        <v>33</v>
      </c>
      <c r="H778" s="4">
        <v>2</v>
      </c>
      <c r="I778" s="4">
        <v>6</v>
      </c>
      <c r="J778" s="5">
        <v>45468</v>
      </c>
      <c r="K778" s="6">
        <v>0.34680555555555553</v>
      </c>
    </row>
    <row r="779" spans="1:11" x14ac:dyDescent="0.25">
      <c r="A779" s="4">
        <v>10</v>
      </c>
      <c r="B779" s="4" t="s">
        <v>11</v>
      </c>
      <c r="C779" s="7">
        <v>32.82</v>
      </c>
      <c r="D779" s="4" t="s">
        <v>19</v>
      </c>
      <c r="E779" s="4" t="s">
        <v>13</v>
      </c>
      <c r="F779" s="4" t="s">
        <v>27</v>
      </c>
      <c r="G779" s="4" t="s">
        <v>33</v>
      </c>
      <c r="H779" s="4">
        <v>2</v>
      </c>
      <c r="I779" s="4">
        <v>6</v>
      </c>
      <c r="J779" s="5">
        <v>45468</v>
      </c>
      <c r="K779" s="6">
        <v>0.43641203703703701</v>
      </c>
    </row>
    <row r="780" spans="1:11" x14ac:dyDescent="0.25">
      <c r="A780" s="4">
        <v>10</v>
      </c>
      <c r="B780" s="4" t="s">
        <v>11</v>
      </c>
      <c r="C780" s="7">
        <v>32.82</v>
      </c>
      <c r="D780" s="4" t="s">
        <v>19</v>
      </c>
      <c r="E780" s="4" t="s">
        <v>13</v>
      </c>
      <c r="F780" s="4" t="s">
        <v>27</v>
      </c>
      <c r="G780" s="4" t="s">
        <v>33</v>
      </c>
      <c r="H780" s="4">
        <v>2</v>
      </c>
      <c r="I780" s="4">
        <v>6</v>
      </c>
      <c r="J780" s="5">
        <v>45468</v>
      </c>
      <c r="K780" s="6">
        <v>0.43729166666666669</v>
      </c>
    </row>
    <row r="781" spans="1:11" x14ac:dyDescent="0.25">
      <c r="A781" s="4">
        <v>11</v>
      </c>
      <c r="B781" s="4" t="s">
        <v>11</v>
      </c>
      <c r="C781" s="7">
        <v>37.72</v>
      </c>
      <c r="D781" s="4" t="s">
        <v>29</v>
      </c>
      <c r="E781" s="4" t="s">
        <v>13</v>
      </c>
      <c r="F781" s="4" t="s">
        <v>27</v>
      </c>
      <c r="G781" s="4" t="s">
        <v>33</v>
      </c>
      <c r="H781" s="4">
        <v>2</v>
      </c>
      <c r="I781" s="4">
        <v>6</v>
      </c>
      <c r="J781" s="5">
        <v>45468</v>
      </c>
      <c r="K781" s="6">
        <v>0.48254629629629631</v>
      </c>
    </row>
    <row r="782" spans="1:11" x14ac:dyDescent="0.25">
      <c r="A782" s="4">
        <v>9</v>
      </c>
      <c r="B782" s="4" t="s">
        <v>11</v>
      </c>
      <c r="C782" s="7">
        <v>37.72</v>
      </c>
      <c r="D782" s="4" t="s">
        <v>12</v>
      </c>
      <c r="E782" s="4" t="s">
        <v>13</v>
      </c>
      <c r="F782" s="4" t="s">
        <v>28</v>
      </c>
      <c r="G782" s="4" t="s">
        <v>33</v>
      </c>
      <c r="H782" s="4">
        <v>3</v>
      </c>
      <c r="I782" s="4">
        <v>6</v>
      </c>
      <c r="J782" s="5">
        <v>45469</v>
      </c>
      <c r="K782" s="6">
        <v>0.39792824074074074</v>
      </c>
    </row>
    <row r="783" spans="1:11" x14ac:dyDescent="0.25">
      <c r="A783" s="4">
        <v>16</v>
      </c>
      <c r="B783" s="4" t="s">
        <v>11</v>
      </c>
      <c r="C783" s="7">
        <v>23.02</v>
      </c>
      <c r="D783" s="4" t="s">
        <v>26</v>
      </c>
      <c r="E783" s="4" t="s">
        <v>17</v>
      </c>
      <c r="F783" s="4" t="s">
        <v>28</v>
      </c>
      <c r="G783" s="4" t="s">
        <v>33</v>
      </c>
      <c r="H783" s="4">
        <v>3</v>
      </c>
      <c r="I783" s="4">
        <v>6</v>
      </c>
      <c r="J783" s="5">
        <v>45469</v>
      </c>
      <c r="K783" s="6">
        <v>0.68922453703703701</v>
      </c>
    </row>
    <row r="784" spans="1:11" x14ac:dyDescent="0.25">
      <c r="A784" s="4">
        <v>16</v>
      </c>
      <c r="B784" s="4" t="s">
        <v>11</v>
      </c>
      <c r="C784" s="7">
        <v>27.92</v>
      </c>
      <c r="D784" s="4" t="s">
        <v>18</v>
      </c>
      <c r="E784" s="4" t="s">
        <v>17</v>
      </c>
      <c r="F784" s="4" t="s">
        <v>28</v>
      </c>
      <c r="G784" s="4" t="s">
        <v>33</v>
      </c>
      <c r="H784" s="4">
        <v>3</v>
      </c>
      <c r="I784" s="4">
        <v>6</v>
      </c>
      <c r="J784" s="5">
        <v>45469</v>
      </c>
      <c r="K784" s="6">
        <v>0.69028935185185181</v>
      </c>
    </row>
    <row r="785" spans="1:11" x14ac:dyDescent="0.25">
      <c r="A785" s="4">
        <v>21</v>
      </c>
      <c r="B785" s="4" t="s">
        <v>11</v>
      </c>
      <c r="C785" s="7">
        <v>37.72</v>
      </c>
      <c r="D785" s="4" t="s">
        <v>12</v>
      </c>
      <c r="E785" s="4" t="s">
        <v>20</v>
      </c>
      <c r="F785" s="4" t="s">
        <v>28</v>
      </c>
      <c r="G785" s="4" t="s">
        <v>33</v>
      </c>
      <c r="H785" s="4">
        <v>3</v>
      </c>
      <c r="I785" s="4">
        <v>6</v>
      </c>
      <c r="J785" s="5">
        <v>45469</v>
      </c>
      <c r="K785" s="6">
        <v>0.89019675925925923</v>
      </c>
    </row>
    <row r="786" spans="1:11" x14ac:dyDescent="0.25">
      <c r="A786" s="4">
        <v>21</v>
      </c>
      <c r="B786" s="4" t="s">
        <v>11</v>
      </c>
      <c r="C786" s="7">
        <v>37.72</v>
      </c>
      <c r="D786" s="4" t="s">
        <v>29</v>
      </c>
      <c r="E786" s="4" t="s">
        <v>20</v>
      </c>
      <c r="F786" s="4" t="s">
        <v>28</v>
      </c>
      <c r="G786" s="4" t="s">
        <v>33</v>
      </c>
      <c r="H786" s="4">
        <v>3</v>
      </c>
      <c r="I786" s="4">
        <v>6</v>
      </c>
      <c r="J786" s="5">
        <v>45469</v>
      </c>
      <c r="K786" s="6">
        <v>0.89375000000000004</v>
      </c>
    </row>
    <row r="787" spans="1:11" x14ac:dyDescent="0.25">
      <c r="A787" s="4">
        <v>21</v>
      </c>
      <c r="B787" s="4" t="s">
        <v>11</v>
      </c>
      <c r="C787" s="7">
        <v>32.82</v>
      </c>
      <c r="D787" s="4" t="s">
        <v>19</v>
      </c>
      <c r="E787" s="4" t="s">
        <v>20</v>
      </c>
      <c r="F787" s="4" t="s">
        <v>28</v>
      </c>
      <c r="G787" s="4" t="s">
        <v>33</v>
      </c>
      <c r="H787" s="4">
        <v>3</v>
      </c>
      <c r="I787" s="4">
        <v>6</v>
      </c>
      <c r="J787" s="5">
        <v>45469</v>
      </c>
      <c r="K787" s="6">
        <v>0.89460648148148147</v>
      </c>
    </row>
    <row r="788" spans="1:11" x14ac:dyDescent="0.25">
      <c r="A788" s="4">
        <v>9</v>
      </c>
      <c r="B788" s="4" t="s">
        <v>11</v>
      </c>
      <c r="C788" s="7">
        <v>32.82</v>
      </c>
      <c r="D788" s="4" t="s">
        <v>19</v>
      </c>
      <c r="E788" s="4" t="s">
        <v>13</v>
      </c>
      <c r="F788" s="4" t="s">
        <v>30</v>
      </c>
      <c r="G788" s="4" t="s">
        <v>33</v>
      </c>
      <c r="H788" s="4">
        <v>4</v>
      </c>
      <c r="I788" s="4">
        <v>6</v>
      </c>
      <c r="J788" s="5">
        <v>45470</v>
      </c>
      <c r="K788" s="6">
        <v>0.38591435185185186</v>
      </c>
    </row>
    <row r="789" spans="1:11" x14ac:dyDescent="0.25">
      <c r="A789" s="4">
        <v>16</v>
      </c>
      <c r="B789" s="4" t="s">
        <v>11</v>
      </c>
      <c r="C789" s="7">
        <v>27.92</v>
      </c>
      <c r="D789" s="4" t="s">
        <v>24</v>
      </c>
      <c r="E789" s="4" t="s">
        <v>17</v>
      </c>
      <c r="F789" s="4" t="s">
        <v>30</v>
      </c>
      <c r="G789" s="4" t="s">
        <v>33</v>
      </c>
      <c r="H789" s="4">
        <v>4</v>
      </c>
      <c r="I789" s="4">
        <v>6</v>
      </c>
      <c r="J789" s="5">
        <v>45470</v>
      </c>
      <c r="K789" s="6">
        <v>0.67486111111111113</v>
      </c>
    </row>
    <row r="790" spans="1:11" x14ac:dyDescent="0.25">
      <c r="A790" s="4">
        <v>21</v>
      </c>
      <c r="B790" s="4" t="s">
        <v>11</v>
      </c>
      <c r="C790" s="7">
        <v>32.82</v>
      </c>
      <c r="D790" s="4" t="s">
        <v>19</v>
      </c>
      <c r="E790" s="4" t="s">
        <v>20</v>
      </c>
      <c r="F790" s="4" t="s">
        <v>30</v>
      </c>
      <c r="G790" s="4" t="s">
        <v>33</v>
      </c>
      <c r="H790" s="4">
        <v>4</v>
      </c>
      <c r="I790" s="4">
        <v>6</v>
      </c>
      <c r="J790" s="5">
        <v>45470</v>
      </c>
      <c r="K790" s="6">
        <v>0.90559027777777779</v>
      </c>
    </row>
    <row r="791" spans="1:11" x14ac:dyDescent="0.25">
      <c r="A791" s="4">
        <v>21</v>
      </c>
      <c r="B791" s="4" t="s">
        <v>11</v>
      </c>
      <c r="C791" s="7">
        <v>37.72</v>
      </c>
      <c r="D791" s="4" t="s">
        <v>29</v>
      </c>
      <c r="E791" s="4" t="s">
        <v>20</v>
      </c>
      <c r="F791" s="4" t="s">
        <v>30</v>
      </c>
      <c r="G791" s="4" t="s">
        <v>33</v>
      </c>
      <c r="H791" s="4">
        <v>4</v>
      </c>
      <c r="I791" s="4">
        <v>6</v>
      </c>
      <c r="J791" s="5">
        <v>45470</v>
      </c>
      <c r="K791" s="6">
        <v>0.91008101851851853</v>
      </c>
    </row>
    <row r="792" spans="1:11" x14ac:dyDescent="0.25">
      <c r="A792" s="4">
        <v>8</v>
      </c>
      <c r="B792" s="4" t="s">
        <v>11</v>
      </c>
      <c r="C792" s="7">
        <v>27.92</v>
      </c>
      <c r="D792" s="4" t="s">
        <v>24</v>
      </c>
      <c r="E792" s="4" t="s">
        <v>13</v>
      </c>
      <c r="F792" s="4" t="s">
        <v>14</v>
      </c>
      <c r="G792" s="4" t="s">
        <v>33</v>
      </c>
      <c r="H792" s="4">
        <v>5</v>
      </c>
      <c r="I792" s="4">
        <v>6</v>
      </c>
      <c r="J792" s="5">
        <v>45471</v>
      </c>
      <c r="K792" s="6">
        <v>0.33929398148148149</v>
      </c>
    </row>
    <row r="793" spans="1:11" x14ac:dyDescent="0.25">
      <c r="A793" s="4">
        <v>17</v>
      </c>
      <c r="B793" s="4" t="s">
        <v>11</v>
      </c>
      <c r="C793" s="7">
        <v>23.02</v>
      </c>
      <c r="D793" s="4" t="s">
        <v>26</v>
      </c>
      <c r="E793" s="4" t="s">
        <v>20</v>
      </c>
      <c r="F793" s="4" t="s">
        <v>14</v>
      </c>
      <c r="G793" s="4" t="s">
        <v>33</v>
      </c>
      <c r="H793" s="4">
        <v>5</v>
      </c>
      <c r="I793" s="4">
        <v>6</v>
      </c>
      <c r="J793" s="5">
        <v>45471</v>
      </c>
      <c r="K793" s="6">
        <v>0.74436342592592597</v>
      </c>
    </row>
    <row r="794" spans="1:11" x14ac:dyDescent="0.25">
      <c r="A794" s="4">
        <v>21</v>
      </c>
      <c r="B794" s="4" t="s">
        <v>11</v>
      </c>
      <c r="C794" s="7">
        <v>32.82</v>
      </c>
      <c r="D794" s="4" t="s">
        <v>19</v>
      </c>
      <c r="E794" s="4" t="s">
        <v>20</v>
      </c>
      <c r="F794" s="4" t="s">
        <v>14</v>
      </c>
      <c r="G794" s="4" t="s">
        <v>33</v>
      </c>
      <c r="H794" s="4">
        <v>5</v>
      </c>
      <c r="I794" s="4">
        <v>6</v>
      </c>
      <c r="J794" s="5">
        <v>45471</v>
      </c>
      <c r="K794" s="6">
        <v>0.91035879629629635</v>
      </c>
    </row>
    <row r="795" spans="1:11" x14ac:dyDescent="0.25">
      <c r="A795" s="4">
        <v>21</v>
      </c>
      <c r="B795" s="4" t="s">
        <v>11</v>
      </c>
      <c r="C795" s="7">
        <v>37.72</v>
      </c>
      <c r="D795" s="4" t="s">
        <v>12</v>
      </c>
      <c r="E795" s="4" t="s">
        <v>20</v>
      </c>
      <c r="F795" s="4" t="s">
        <v>14</v>
      </c>
      <c r="G795" s="4" t="s">
        <v>33</v>
      </c>
      <c r="H795" s="4">
        <v>5</v>
      </c>
      <c r="I795" s="4">
        <v>6</v>
      </c>
      <c r="J795" s="5">
        <v>45471</v>
      </c>
      <c r="K795" s="6">
        <v>0.91112268518518513</v>
      </c>
    </row>
    <row r="796" spans="1:11" x14ac:dyDescent="0.25">
      <c r="A796" s="4">
        <v>22</v>
      </c>
      <c r="B796" s="4" t="s">
        <v>11</v>
      </c>
      <c r="C796" s="7">
        <v>37.72</v>
      </c>
      <c r="D796" s="4" t="s">
        <v>29</v>
      </c>
      <c r="E796" s="4" t="s">
        <v>20</v>
      </c>
      <c r="F796" s="4" t="s">
        <v>14</v>
      </c>
      <c r="G796" s="4" t="s">
        <v>33</v>
      </c>
      <c r="H796" s="4">
        <v>5</v>
      </c>
      <c r="I796" s="4">
        <v>6</v>
      </c>
      <c r="J796" s="5">
        <v>45471</v>
      </c>
      <c r="K796" s="6">
        <v>0.93633101851851852</v>
      </c>
    </row>
    <row r="797" spans="1:11" x14ac:dyDescent="0.25">
      <c r="A797" s="4">
        <v>9</v>
      </c>
      <c r="B797" s="4" t="s">
        <v>11</v>
      </c>
      <c r="C797" s="7">
        <v>32.82</v>
      </c>
      <c r="D797" s="4" t="s">
        <v>19</v>
      </c>
      <c r="E797" s="4" t="s">
        <v>13</v>
      </c>
      <c r="F797" s="4" t="s">
        <v>22</v>
      </c>
      <c r="G797" s="4" t="s">
        <v>33</v>
      </c>
      <c r="H797" s="4">
        <v>6</v>
      </c>
      <c r="I797" s="4">
        <v>6</v>
      </c>
      <c r="J797" s="5">
        <v>45472</v>
      </c>
      <c r="K797" s="6">
        <v>0.40775462962962961</v>
      </c>
    </row>
    <row r="798" spans="1:11" x14ac:dyDescent="0.25">
      <c r="A798" s="4">
        <v>11</v>
      </c>
      <c r="B798" s="4" t="s">
        <v>11</v>
      </c>
      <c r="C798" s="7">
        <v>32.82</v>
      </c>
      <c r="D798" s="4" t="s">
        <v>19</v>
      </c>
      <c r="E798" s="4" t="s">
        <v>13</v>
      </c>
      <c r="F798" s="4" t="s">
        <v>22</v>
      </c>
      <c r="G798" s="4" t="s">
        <v>33</v>
      </c>
      <c r="H798" s="4">
        <v>6</v>
      </c>
      <c r="I798" s="4">
        <v>6</v>
      </c>
      <c r="J798" s="5">
        <v>45472</v>
      </c>
      <c r="K798" s="6">
        <v>0.48633101851851851</v>
      </c>
    </row>
    <row r="799" spans="1:11" x14ac:dyDescent="0.25">
      <c r="A799" s="4">
        <v>11</v>
      </c>
      <c r="B799" s="4" t="s">
        <v>11</v>
      </c>
      <c r="C799" s="7">
        <v>32.82</v>
      </c>
      <c r="D799" s="4" t="s">
        <v>19</v>
      </c>
      <c r="E799" s="4" t="s">
        <v>13</v>
      </c>
      <c r="F799" s="4" t="s">
        <v>22</v>
      </c>
      <c r="G799" s="4" t="s">
        <v>33</v>
      </c>
      <c r="H799" s="4">
        <v>6</v>
      </c>
      <c r="I799" s="4">
        <v>6</v>
      </c>
      <c r="J799" s="5">
        <v>45472</v>
      </c>
      <c r="K799" s="6">
        <v>0.4871064814814815</v>
      </c>
    </row>
    <row r="800" spans="1:11" x14ac:dyDescent="0.25">
      <c r="A800" s="4">
        <v>12</v>
      </c>
      <c r="B800" s="4" t="s">
        <v>11</v>
      </c>
      <c r="C800" s="7">
        <v>37.72</v>
      </c>
      <c r="D800" s="4" t="s">
        <v>29</v>
      </c>
      <c r="E800" s="4" t="s">
        <v>17</v>
      </c>
      <c r="F800" s="4" t="s">
        <v>22</v>
      </c>
      <c r="G800" s="4" t="s">
        <v>33</v>
      </c>
      <c r="H800" s="4">
        <v>6</v>
      </c>
      <c r="I800" s="4">
        <v>6</v>
      </c>
      <c r="J800" s="5">
        <v>45472</v>
      </c>
      <c r="K800" s="6">
        <v>0.52111111111111108</v>
      </c>
    </row>
    <row r="801" spans="1:11" x14ac:dyDescent="0.25">
      <c r="A801" s="4">
        <v>12</v>
      </c>
      <c r="B801" s="4" t="s">
        <v>11</v>
      </c>
      <c r="C801" s="7">
        <v>37.72</v>
      </c>
      <c r="D801" s="4" t="s">
        <v>29</v>
      </c>
      <c r="E801" s="4" t="s">
        <v>17</v>
      </c>
      <c r="F801" s="4" t="s">
        <v>22</v>
      </c>
      <c r="G801" s="4" t="s">
        <v>33</v>
      </c>
      <c r="H801" s="4">
        <v>6</v>
      </c>
      <c r="I801" s="4">
        <v>6</v>
      </c>
      <c r="J801" s="5">
        <v>45472</v>
      </c>
      <c r="K801" s="6">
        <v>0.52201388888888889</v>
      </c>
    </row>
    <row r="802" spans="1:11" x14ac:dyDescent="0.25">
      <c r="A802" s="4">
        <v>17</v>
      </c>
      <c r="B802" s="4" t="s">
        <v>11</v>
      </c>
      <c r="C802" s="7">
        <v>37.72</v>
      </c>
      <c r="D802" s="4" t="s">
        <v>29</v>
      </c>
      <c r="E802" s="4" t="s">
        <v>20</v>
      </c>
      <c r="F802" s="4" t="s">
        <v>22</v>
      </c>
      <c r="G802" s="4" t="s">
        <v>33</v>
      </c>
      <c r="H802" s="4">
        <v>6</v>
      </c>
      <c r="I802" s="4">
        <v>6</v>
      </c>
      <c r="J802" s="5">
        <v>45472</v>
      </c>
      <c r="K802" s="6">
        <v>0.72480324074074076</v>
      </c>
    </row>
    <row r="803" spans="1:11" x14ac:dyDescent="0.25">
      <c r="A803" s="4">
        <v>17</v>
      </c>
      <c r="B803" s="4" t="s">
        <v>11</v>
      </c>
      <c r="C803" s="7">
        <v>37.72</v>
      </c>
      <c r="D803" s="4" t="s">
        <v>16</v>
      </c>
      <c r="E803" s="4" t="s">
        <v>20</v>
      </c>
      <c r="F803" s="4" t="s">
        <v>22</v>
      </c>
      <c r="G803" s="4" t="s">
        <v>33</v>
      </c>
      <c r="H803" s="4">
        <v>6</v>
      </c>
      <c r="I803" s="4">
        <v>6</v>
      </c>
      <c r="J803" s="5">
        <v>45472</v>
      </c>
      <c r="K803" s="6">
        <v>0.72560185185185189</v>
      </c>
    </row>
    <row r="804" spans="1:11" x14ac:dyDescent="0.25">
      <c r="A804" s="4">
        <v>21</v>
      </c>
      <c r="B804" s="4" t="s">
        <v>11</v>
      </c>
      <c r="C804" s="7">
        <v>37.72</v>
      </c>
      <c r="D804" s="4" t="s">
        <v>12</v>
      </c>
      <c r="E804" s="4" t="s">
        <v>20</v>
      </c>
      <c r="F804" s="4" t="s">
        <v>22</v>
      </c>
      <c r="G804" s="4" t="s">
        <v>33</v>
      </c>
      <c r="H804" s="4">
        <v>6</v>
      </c>
      <c r="I804" s="4">
        <v>6</v>
      </c>
      <c r="J804" s="5">
        <v>45472</v>
      </c>
      <c r="K804" s="6">
        <v>0.89400462962962968</v>
      </c>
    </row>
    <row r="805" spans="1:11" x14ac:dyDescent="0.25">
      <c r="A805" s="4">
        <v>10</v>
      </c>
      <c r="B805" s="4" t="s">
        <v>11</v>
      </c>
      <c r="C805" s="7">
        <v>37.72</v>
      </c>
      <c r="D805" s="4" t="s">
        <v>12</v>
      </c>
      <c r="E805" s="4" t="s">
        <v>13</v>
      </c>
      <c r="F805" s="4" t="s">
        <v>23</v>
      </c>
      <c r="G805" s="4" t="s">
        <v>33</v>
      </c>
      <c r="H805" s="4">
        <v>7</v>
      </c>
      <c r="I805" s="4">
        <v>6</v>
      </c>
      <c r="J805" s="5">
        <v>45473</v>
      </c>
      <c r="K805" s="6">
        <v>0.4362152777777778</v>
      </c>
    </row>
    <row r="806" spans="1:11" x14ac:dyDescent="0.25">
      <c r="A806" s="4">
        <v>13</v>
      </c>
      <c r="B806" s="4" t="s">
        <v>11</v>
      </c>
      <c r="C806" s="7">
        <v>23.02</v>
      </c>
      <c r="D806" s="4" t="s">
        <v>26</v>
      </c>
      <c r="E806" s="4" t="s">
        <v>17</v>
      </c>
      <c r="F806" s="4" t="s">
        <v>23</v>
      </c>
      <c r="G806" s="4" t="s">
        <v>33</v>
      </c>
      <c r="H806" s="4">
        <v>7</v>
      </c>
      <c r="I806" s="4">
        <v>6</v>
      </c>
      <c r="J806" s="5">
        <v>45473</v>
      </c>
      <c r="K806" s="6">
        <v>0.54571759259259256</v>
      </c>
    </row>
    <row r="807" spans="1:11" x14ac:dyDescent="0.25">
      <c r="A807" s="4">
        <v>16</v>
      </c>
      <c r="B807" s="4" t="s">
        <v>11</v>
      </c>
      <c r="C807" s="7">
        <v>37.72</v>
      </c>
      <c r="D807" s="4" t="s">
        <v>16</v>
      </c>
      <c r="E807" s="4" t="s">
        <v>17</v>
      </c>
      <c r="F807" s="4" t="s">
        <v>23</v>
      </c>
      <c r="G807" s="4" t="s">
        <v>33</v>
      </c>
      <c r="H807" s="4">
        <v>7</v>
      </c>
      <c r="I807" s="4">
        <v>6</v>
      </c>
      <c r="J807" s="5">
        <v>45473</v>
      </c>
      <c r="K807" s="6">
        <v>0.70464120370370376</v>
      </c>
    </row>
    <row r="808" spans="1:11" x14ac:dyDescent="0.25">
      <c r="A808" s="4">
        <v>21</v>
      </c>
      <c r="B808" s="4" t="s">
        <v>11</v>
      </c>
      <c r="C808" s="7">
        <v>32.82</v>
      </c>
      <c r="D808" s="4" t="s">
        <v>19</v>
      </c>
      <c r="E808" s="4" t="s">
        <v>20</v>
      </c>
      <c r="F808" s="4" t="s">
        <v>23</v>
      </c>
      <c r="G808" s="4" t="s">
        <v>33</v>
      </c>
      <c r="H808" s="4">
        <v>7</v>
      </c>
      <c r="I808" s="4">
        <v>6</v>
      </c>
      <c r="J808" s="5">
        <v>45473</v>
      </c>
      <c r="K808" s="6">
        <v>0.87788194444444445</v>
      </c>
    </row>
    <row r="809" spans="1:11" x14ac:dyDescent="0.25">
      <c r="A809" s="4">
        <v>18</v>
      </c>
      <c r="B809" s="4" t="s">
        <v>11</v>
      </c>
      <c r="C809" s="7">
        <v>23.02</v>
      </c>
      <c r="D809" s="4" t="s">
        <v>26</v>
      </c>
      <c r="E809" s="4" t="s">
        <v>20</v>
      </c>
      <c r="F809" s="4" t="s">
        <v>25</v>
      </c>
      <c r="G809" s="4" t="s">
        <v>34</v>
      </c>
      <c r="H809" s="4">
        <v>1</v>
      </c>
      <c r="I809" s="4">
        <v>7</v>
      </c>
      <c r="J809" s="5">
        <v>45474</v>
      </c>
      <c r="K809" s="6">
        <v>0.75516203703703699</v>
      </c>
    </row>
    <row r="810" spans="1:11" x14ac:dyDescent="0.25">
      <c r="A810" s="4">
        <v>18</v>
      </c>
      <c r="B810" s="4" t="s">
        <v>11</v>
      </c>
      <c r="C810" s="7">
        <v>37.72</v>
      </c>
      <c r="D810" s="4" t="s">
        <v>29</v>
      </c>
      <c r="E810" s="4" t="s">
        <v>20</v>
      </c>
      <c r="F810" s="4" t="s">
        <v>25</v>
      </c>
      <c r="G810" s="4" t="s">
        <v>34</v>
      </c>
      <c r="H810" s="4">
        <v>1</v>
      </c>
      <c r="I810" s="4">
        <v>7</v>
      </c>
      <c r="J810" s="5">
        <v>45474</v>
      </c>
      <c r="K810" s="6">
        <v>0.78947916666666662</v>
      </c>
    </row>
    <row r="811" spans="1:11" x14ac:dyDescent="0.25">
      <c r="A811" s="4">
        <v>18</v>
      </c>
      <c r="B811" s="4" t="s">
        <v>11</v>
      </c>
      <c r="C811" s="7">
        <v>37.72</v>
      </c>
      <c r="D811" s="4" t="s">
        <v>29</v>
      </c>
      <c r="E811" s="4" t="s">
        <v>20</v>
      </c>
      <c r="F811" s="4" t="s">
        <v>25</v>
      </c>
      <c r="G811" s="4" t="s">
        <v>34</v>
      </c>
      <c r="H811" s="4">
        <v>1</v>
      </c>
      <c r="I811" s="4">
        <v>7</v>
      </c>
      <c r="J811" s="5">
        <v>45474</v>
      </c>
      <c r="K811" s="6">
        <v>0.79020833333333329</v>
      </c>
    </row>
    <row r="812" spans="1:11" x14ac:dyDescent="0.25">
      <c r="A812" s="4">
        <v>10</v>
      </c>
      <c r="B812" s="4" t="s">
        <v>11</v>
      </c>
      <c r="C812" s="7">
        <v>32.82</v>
      </c>
      <c r="D812" s="4" t="s">
        <v>19</v>
      </c>
      <c r="E812" s="4" t="s">
        <v>13</v>
      </c>
      <c r="F812" s="4" t="s">
        <v>27</v>
      </c>
      <c r="G812" s="4" t="s">
        <v>34</v>
      </c>
      <c r="H812" s="4">
        <v>2</v>
      </c>
      <c r="I812" s="4">
        <v>7</v>
      </c>
      <c r="J812" s="5">
        <v>45475</v>
      </c>
      <c r="K812" s="6">
        <v>0.44645833333333335</v>
      </c>
    </row>
    <row r="813" spans="1:11" x14ac:dyDescent="0.25">
      <c r="A813" s="4">
        <v>10</v>
      </c>
      <c r="B813" s="4" t="s">
        <v>11</v>
      </c>
      <c r="C813" s="7">
        <v>27.92</v>
      </c>
      <c r="D813" s="4" t="s">
        <v>18</v>
      </c>
      <c r="E813" s="4" t="s">
        <v>13</v>
      </c>
      <c r="F813" s="4" t="s">
        <v>27</v>
      </c>
      <c r="G813" s="4" t="s">
        <v>34</v>
      </c>
      <c r="H813" s="4">
        <v>2</v>
      </c>
      <c r="I813" s="4">
        <v>7</v>
      </c>
      <c r="J813" s="5">
        <v>45475</v>
      </c>
      <c r="K813" s="6">
        <v>0.44791666666666669</v>
      </c>
    </row>
    <row r="814" spans="1:11" x14ac:dyDescent="0.25">
      <c r="A814" s="4">
        <v>12</v>
      </c>
      <c r="B814" s="4" t="s">
        <v>11</v>
      </c>
      <c r="C814" s="7">
        <v>37.72</v>
      </c>
      <c r="D814" s="4" t="s">
        <v>12</v>
      </c>
      <c r="E814" s="4" t="s">
        <v>17</v>
      </c>
      <c r="F814" s="4" t="s">
        <v>27</v>
      </c>
      <c r="G814" s="4" t="s">
        <v>34</v>
      </c>
      <c r="H814" s="4">
        <v>2</v>
      </c>
      <c r="I814" s="4">
        <v>7</v>
      </c>
      <c r="J814" s="5">
        <v>45475</v>
      </c>
      <c r="K814" s="6">
        <v>0.53339120370370374</v>
      </c>
    </row>
    <row r="815" spans="1:11" x14ac:dyDescent="0.25">
      <c r="A815" s="4">
        <v>14</v>
      </c>
      <c r="B815" s="4" t="s">
        <v>11</v>
      </c>
      <c r="C815" s="7">
        <v>27.92</v>
      </c>
      <c r="D815" s="4" t="s">
        <v>18</v>
      </c>
      <c r="E815" s="4" t="s">
        <v>17</v>
      </c>
      <c r="F815" s="4" t="s">
        <v>27</v>
      </c>
      <c r="G815" s="4" t="s">
        <v>34</v>
      </c>
      <c r="H815" s="4">
        <v>2</v>
      </c>
      <c r="I815" s="4">
        <v>7</v>
      </c>
      <c r="J815" s="5">
        <v>45475</v>
      </c>
      <c r="K815" s="6">
        <v>0.58556712962962965</v>
      </c>
    </row>
    <row r="816" spans="1:11" x14ac:dyDescent="0.25">
      <c r="A816" s="4">
        <v>16</v>
      </c>
      <c r="B816" s="4" t="s">
        <v>11</v>
      </c>
      <c r="C816" s="7">
        <v>32.82</v>
      </c>
      <c r="D816" s="4" t="s">
        <v>19</v>
      </c>
      <c r="E816" s="4" t="s">
        <v>17</v>
      </c>
      <c r="F816" s="4" t="s">
        <v>27</v>
      </c>
      <c r="G816" s="4" t="s">
        <v>34</v>
      </c>
      <c r="H816" s="4">
        <v>2</v>
      </c>
      <c r="I816" s="4">
        <v>7</v>
      </c>
      <c r="J816" s="5">
        <v>45475</v>
      </c>
      <c r="K816" s="6">
        <v>0.68847222222222226</v>
      </c>
    </row>
    <row r="817" spans="1:11" x14ac:dyDescent="0.25">
      <c r="A817" s="4">
        <v>22</v>
      </c>
      <c r="B817" s="4" t="s">
        <v>11</v>
      </c>
      <c r="C817" s="7">
        <v>32.82</v>
      </c>
      <c r="D817" s="4" t="s">
        <v>19</v>
      </c>
      <c r="E817" s="4" t="s">
        <v>20</v>
      </c>
      <c r="F817" s="4" t="s">
        <v>27</v>
      </c>
      <c r="G817" s="4" t="s">
        <v>34</v>
      </c>
      <c r="H817" s="4">
        <v>2</v>
      </c>
      <c r="I817" s="4">
        <v>7</v>
      </c>
      <c r="J817" s="5">
        <v>45475</v>
      </c>
      <c r="K817" s="6">
        <v>0.9183217592592593</v>
      </c>
    </row>
    <row r="818" spans="1:11" x14ac:dyDescent="0.25">
      <c r="A818" s="4">
        <v>13</v>
      </c>
      <c r="B818" s="4" t="s">
        <v>11</v>
      </c>
      <c r="C818" s="7">
        <v>32.82</v>
      </c>
      <c r="D818" s="4" t="s">
        <v>19</v>
      </c>
      <c r="E818" s="4" t="s">
        <v>17</v>
      </c>
      <c r="F818" s="4" t="s">
        <v>28</v>
      </c>
      <c r="G818" s="4" t="s">
        <v>34</v>
      </c>
      <c r="H818" s="4">
        <v>3</v>
      </c>
      <c r="I818" s="4">
        <v>7</v>
      </c>
      <c r="J818" s="5">
        <v>45476</v>
      </c>
      <c r="K818" s="6">
        <v>0.57724537037037038</v>
      </c>
    </row>
    <row r="819" spans="1:11" x14ac:dyDescent="0.25">
      <c r="A819" s="4">
        <v>16</v>
      </c>
      <c r="B819" s="4" t="s">
        <v>11</v>
      </c>
      <c r="C819" s="7">
        <v>37.72</v>
      </c>
      <c r="D819" s="4" t="s">
        <v>29</v>
      </c>
      <c r="E819" s="4" t="s">
        <v>17</v>
      </c>
      <c r="F819" s="4" t="s">
        <v>28</v>
      </c>
      <c r="G819" s="4" t="s">
        <v>34</v>
      </c>
      <c r="H819" s="4">
        <v>3</v>
      </c>
      <c r="I819" s="4">
        <v>7</v>
      </c>
      <c r="J819" s="5">
        <v>45476</v>
      </c>
      <c r="K819" s="6">
        <v>0.66754629629629625</v>
      </c>
    </row>
    <row r="820" spans="1:11" x14ac:dyDescent="0.25">
      <c r="A820" s="4">
        <v>16</v>
      </c>
      <c r="B820" s="4" t="s">
        <v>11</v>
      </c>
      <c r="C820" s="7">
        <v>37.72</v>
      </c>
      <c r="D820" s="4" t="s">
        <v>29</v>
      </c>
      <c r="E820" s="4" t="s">
        <v>17</v>
      </c>
      <c r="F820" s="4" t="s">
        <v>28</v>
      </c>
      <c r="G820" s="4" t="s">
        <v>34</v>
      </c>
      <c r="H820" s="4">
        <v>3</v>
      </c>
      <c r="I820" s="4">
        <v>7</v>
      </c>
      <c r="J820" s="5">
        <v>45476</v>
      </c>
      <c r="K820" s="6">
        <v>0.7016782407407407</v>
      </c>
    </row>
    <row r="821" spans="1:11" x14ac:dyDescent="0.25">
      <c r="A821" s="4">
        <v>16</v>
      </c>
      <c r="B821" s="4" t="s">
        <v>11</v>
      </c>
      <c r="C821" s="7">
        <v>32.82</v>
      </c>
      <c r="D821" s="4" t="s">
        <v>19</v>
      </c>
      <c r="E821" s="4" t="s">
        <v>17</v>
      </c>
      <c r="F821" s="4" t="s">
        <v>28</v>
      </c>
      <c r="G821" s="4" t="s">
        <v>34</v>
      </c>
      <c r="H821" s="4">
        <v>3</v>
      </c>
      <c r="I821" s="4">
        <v>7</v>
      </c>
      <c r="J821" s="5">
        <v>45476</v>
      </c>
      <c r="K821" s="6">
        <v>0.7036458333333333</v>
      </c>
    </row>
    <row r="822" spans="1:11" x14ac:dyDescent="0.25">
      <c r="A822" s="4">
        <v>16</v>
      </c>
      <c r="B822" s="4" t="s">
        <v>11</v>
      </c>
      <c r="C822" s="7">
        <v>32.82</v>
      </c>
      <c r="D822" s="4" t="s">
        <v>19</v>
      </c>
      <c r="E822" s="4" t="s">
        <v>17</v>
      </c>
      <c r="F822" s="4" t="s">
        <v>28</v>
      </c>
      <c r="G822" s="4" t="s">
        <v>34</v>
      </c>
      <c r="H822" s="4">
        <v>3</v>
      </c>
      <c r="I822" s="4">
        <v>7</v>
      </c>
      <c r="J822" s="5">
        <v>45476</v>
      </c>
      <c r="K822" s="6">
        <v>0.70442129629629635</v>
      </c>
    </row>
    <row r="823" spans="1:11" x14ac:dyDescent="0.25">
      <c r="A823" s="4">
        <v>16</v>
      </c>
      <c r="B823" s="4" t="s">
        <v>11</v>
      </c>
      <c r="C823" s="7">
        <v>37.72</v>
      </c>
      <c r="D823" s="4" t="s">
        <v>12</v>
      </c>
      <c r="E823" s="4" t="s">
        <v>17</v>
      </c>
      <c r="F823" s="4" t="s">
        <v>28</v>
      </c>
      <c r="G823" s="4" t="s">
        <v>34</v>
      </c>
      <c r="H823" s="4">
        <v>3</v>
      </c>
      <c r="I823" s="4">
        <v>7</v>
      </c>
      <c r="J823" s="5">
        <v>45476</v>
      </c>
      <c r="K823" s="6">
        <v>0.70521990740740736</v>
      </c>
    </row>
    <row r="824" spans="1:11" x14ac:dyDescent="0.25">
      <c r="A824" s="4">
        <v>16</v>
      </c>
      <c r="B824" s="4" t="s">
        <v>11</v>
      </c>
      <c r="C824" s="7">
        <v>23.02</v>
      </c>
      <c r="D824" s="4" t="s">
        <v>26</v>
      </c>
      <c r="E824" s="4" t="s">
        <v>17</v>
      </c>
      <c r="F824" s="4" t="s">
        <v>28</v>
      </c>
      <c r="G824" s="4" t="s">
        <v>34</v>
      </c>
      <c r="H824" s="4">
        <v>3</v>
      </c>
      <c r="I824" s="4">
        <v>7</v>
      </c>
      <c r="J824" s="5">
        <v>45476</v>
      </c>
      <c r="K824" s="6">
        <v>0.70792824074074079</v>
      </c>
    </row>
    <row r="825" spans="1:11" x14ac:dyDescent="0.25">
      <c r="A825" s="4">
        <v>17</v>
      </c>
      <c r="B825" s="4" t="s">
        <v>11</v>
      </c>
      <c r="C825" s="7">
        <v>37.72</v>
      </c>
      <c r="D825" s="4" t="s">
        <v>29</v>
      </c>
      <c r="E825" s="4" t="s">
        <v>20</v>
      </c>
      <c r="F825" s="4" t="s">
        <v>28</v>
      </c>
      <c r="G825" s="4" t="s">
        <v>34</v>
      </c>
      <c r="H825" s="4">
        <v>3</v>
      </c>
      <c r="I825" s="4">
        <v>7</v>
      </c>
      <c r="J825" s="5">
        <v>45476</v>
      </c>
      <c r="K825" s="6">
        <v>0.7493171296296296</v>
      </c>
    </row>
    <row r="826" spans="1:11" x14ac:dyDescent="0.25">
      <c r="A826" s="4">
        <v>19</v>
      </c>
      <c r="B826" s="4" t="s">
        <v>11</v>
      </c>
      <c r="C826" s="7">
        <v>37.72</v>
      </c>
      <c r="D826" s="4" t="s">
        <v>12</v>
      </c>
      <c r="E826" s="4" t="s">
        <v>20</v>
      </c>
      <c r="F826" s="4" t="s">
        <v>28</v>
      </c>
      <c r="G826" s="4" t="s">
        <v>34</v>
      </c>
      <c r="H826" s="4">
        <v>3</v>
      </c>
      <c r="I826" s="4">
        <v>7</v>
      </c>
      <c r="J826" s="5">
        <v>45476</v>
      </c>
      <c r="K826" s="6">
        <v>0.79593749999999996</v>
      </c>
    </row>
    <row r="827" spans="1:11" x14ac:dyDescent="0.25">
      <c r="A827" s="4">
        <v>10</v>
      </c>
      <c r="B827" s="4" t="s">
        <v>11</v>
      </c>
      <c r="C827" s="7">
        <v>32.82</v>
      </c>
      <c r="D827" s="4" t="s">
        <v>19</v>
      </c>
      <c r="E827" s="4" t="s">
        <v>13</v>
      </c>
      <c r="F827" s="4" t="s">
        <v>30</v>
      </c>
      <c r="G827" s="4" t="s">
        <v>34</v>
      </c>
      <c r="H827" s="4">
        <v>4</v>
      </c>
      <c r="I827" s="4">
        <v>7</v>
      </c>
      <c r="J827" s="5">
        <v>45477</v>
      </c>
      <c r="K827" s="6">
        <v>0.4349884259259259</v>
      </c>
    </row>
    <row r="828" spans="1:11" x14ac:dyDescent="0.25">
      <c r="A828" s="4">
        <v>10</v>
      </c>
      <c r="B828" s="4" t="s">
        <v>11</v>
      </c>
      <c r="C828" s="7">
        <v>27.92</v>
      </c>
      <c r="D828" s="4" t="s">
        <v>18</v>
      </c>
      <c r="E828" s="4" t="s">
        <v>13</v>
      </c>
      <c r="F828" s="4" t="s">
        <v>30</v>
      </c>
      <c r="G828" s="4" t="s">
        <v>34</v>
      </c>
      <c r="H828" s="4">
        <v>4</v>
      </c>
      <c r="I828" s="4">
        <v>7</v>
      </c>
      <c r="J828" s="5">
        <v>45477</v>
      </c>
      <c r="K828" s="6">
        <v>0.4357638888888889</v>
      </c>
    </row>
    <row r="829" spans="1:11" x14ac:dyDescent="0.25">
      <c r="A829" s="4">
        <v>12</v>
      </c>
      <c r="B829" s="4" t="s">
        <v>11</v>
      </c>
      <c r="C829" s="7">
        <v>37.72</v>
      </c>
      <c r="D829" s="4" t="s">
        <v>21</v>
      </c>
      <c r="E829" s="4" t="s">
        <v>17</v>
      </c>
      <c r="F829" s="4" t="s">
        <v>14</v>
      </c>
      <c r="G829" s="4" t="s">
        <v>34</v>
      </c>
      <c r="H829" s="4">
        <v>5</v>
      </c>
      <c r="I829" s="4">
        <v>7</v>
      </c>
      <c r="J829" s="5">
        <v>45478</v>
      </c>
      <c r="K829" s="6">
        <v>0.51421296296296293</v>
      </c>
    </row>
    <row r="830" spans="1:11" x14ac:dyDescent="0.25">
      <c r="A830" s="4">
        <v>13</v>
      </c>
      <c r="B830" s="4" t="s">
        <v>11</v>
      </c>
      <c r="C830" s="7">
        <v>32.82</v>
      </c>
      <c r="D830" s="4" t="s">
        <v>19</v>
      </c>
      <c r="E830" s="4" t="s">
        <v>17</v>
      </c>
      <c r="F830" s="4" t="s">
        <v>14</v>
      </c>
      <c r="G830" s="4" t="s">
        <v>34</v>
      </c>
      <c r="H830" s="4">
        <v>5</v>
      </c>
      <c r="I830" s="4">
        <v>7</v>
      </c>
      <c r="J830" s="5">
        <v>45478</v>
      </c>
      <c r="K830" s="6">
        <v>0.57202546296296297</v>
      </c>
    </row>
    <row r="831" spans="1:11" x14ac:dyDescent="0.25">
      <c r="A831" s="4">
        <v>13</v>
      </c>
      <c r="B831" s="4" t="s">
        <v>11</v>
      </c>
      <c r="C831" s="7">
        <v>32.82</v>
      </c>
      <c r="D831" s="4" t="s">
        <v>19</v>
      </c>
      <c r="E831" s="4" t="s">
        <v>17</v>
      </c>
      <c r="F831" s="4" t="s">
        <v>14</v>
      </c>
      <c r="G831" s="4" t="s">
        <v>34</v>
      </c>
      <c r="H831" s="4">
        <v>5</v>
      </c>
      <c r="I831" s="4">
        <v>7</v>
      </c>
      <c r="J831" s="5">
        <v>45478</v>
      </c>
      <c r="K831" s="6">
        <v>0.57271990740740741</v>
      </c>
    </row>
    <row r="832" spans="1:11" x14ac:dyDescent="0.25">
      <c r="A832" s="4">
        <v>18</v>
      </c>
      <c r="B832" s="4" t="s">
        <v>11</v>
      </c>
      <c r="C832" s="7">
        <v>23.02</v>
      </c>
      <c r="D832" s="4" t="s">
        <v>26</v>
      </c>
      <c r="E832" s="4" t="s">
        <v>20</v>
      </c>
      <c r="F832" s="4" t="s">
        <v>14</v>
      </c>
      <c r="G832" s="4" t="s">
        <v>34</v>
      </c>
      <c r="H832" s="4">
        <v>5</v>
      </c>
      <c r="I832" s="4">
        <v>7</v>
      </c>
      <c r="J832" s="5">
        <v>45478</v>
      </c>
      <c r="K832" s="6">
        <v>0.7888425925925926</v>
      </c>
    </row>
    <row r="833" spans="1:11" x14ac:dyDescent="0.25">
      <c r="A833" s="4">
        <v>19</v>
      </c>
      <c r="B833" s="4" t="s">
        <v>11</v>
      </c>
      <c r="C833" s="7">
        <v>27.92</v>
      </c>
      <c r="D833" s="4" t="s">
        <v>18</v>
      </c>
      <c r="E833" s="4" t="s">
        <v>20</v>
      </c>
      <c r="F833" s="4" t="s">
        <v>14</v>
      </c>
      <c r="G833" s="4" t="s">
        <v>34</v>
      </c>
      <c r="H833" s="4">
        <v>5</v>
      </c>
      <c r="I833" s="4">
        <v>7</v>
      </c>
      <c r="J833" s="5">
        <v>45478</v>
      </c>
      <c r="K833" s="6">
        <v>0.82994212962962965</v>
      </c>
    </row>
    <row r="834" spans="1:11" x14ac:dyDescent="0.25">
      <c r="A834" s="4">
        <v>22</v>
      </c>
      <c r="B834" s="4" t="s">
        <v>11</v>
      </c>
      <c r="C834" s="7">
        <v>23.02</v>
      </c>
      <c r="D834" s="4" t="s">
        <v>26</v>
      </c>
      <c r="E834" s="4" t="s">
        <v>20</v>
      </c>
      <c r="F834" s="4" t="s">
        <v>14</v>
      </c>
      <c r="G834" s="4" t="s">
        <v>34</v>
      </c>
      <c r="H834" s="4">
        <v>5</v>
      </c>
      <c r="I834" s="4">
        <v>7</v>
      </c>
      <c r="J834" s="5">
        <v>45478</v>
      </c>
      <c r="K834" s="6">
        <v>0.92495370370370367</v>
      </c>
    </row>
    <row r="835" spans="1:11" x14ac:dyDescent="0.25">
      <c r="A835" s="4">
        <v>22</v>
      </c>
      <c r="B835" s="4" t="s">
        <v>11</v>
      </c>
      <c r="C835" s="7">
        <v>27.92</v>
      </c>
      <c r="D835" s="4" t="s">
        <v>18</v>
      </c>
      <c r="E835" s="4" t="s">
        <v>20</v>
      </c>
      <c r="F835" s="4" t="s">
        <v>14</v>
      </c>
      <c r="G835" s="4" t="s">
        <v>34</v>
      </c>
      <c r="H835" s="4">
        <v>5</v>
      </c>
      <c r="I835" s="4">
        <v>7</v>
      </c>
      <c r="J835" s="5">
        <v>45478</v>
      </c>
      <c r="K835" s="6">
        <v>0.92920138888888892</v>
      </c>
    </row>
    <row r="836" spans="1:11" x14ac:dyDescent="0.25">
      <c r="A836" s="4">
        <v>22</v>
      </c>
      <c r="B836" s="4" t="s">
        <v>11</v>
      </c>
      <c r="C836" s="7">
        <v>27.92</v>
      </c>
      <c r="D836" s="4" t="s">
        <v>18</v>
      </c>
      <c r="E836" s="4" t="s">
        <v>20</v>
      </c>
      <c r="F836" s="4" t="s">
        <v>14</v>
      </c>
      <c r="G836" s="4" t="s">
        <v>34</v>
      </c>
      <c r="H836" s="4">
        <v>5</v>
      </c>
      <c r="I836" s="4">
        <v>7</v>
      </c>
      <c r="J836" s="5">
        <v>45478</v>
      </c>
      <c r="K836" s="6">
        <v>0.92981481481481476</v>
      </c>
    </row>
    <row r="837" spans="1:11" x14ac:dyDescent="0.25">
      <c r="A837" s="4">
        <v>22</v>
      </c>
      <c r="B837" s="4" t="s">
        <v>11</v>
      </c>
      <c r="C837" s="7">
        <v>37.72</v>
      </c>
      <c r="D837" s="4" t="s">
        <v>29</v>
      </c>
      <c r="E837" s="4" t="s">
        <v>20</v>
      </c>
      <c r="F837" s="4" t="s">
        <v>14</v>
      </c>
      <c r="G837" s="4" t="s">
        <v>34</v>
      </c>
      <c r="H837" s="4">
        <v>5</v>
      </c>
      <c r="I837" s="4">
        <v>7</v>
      </c>
      <c r="J837" s="5">
        <v>45478</v>
      </c>
      <c r="K837" s="6">
        <v>0.93056712962962962</v>
      </c>
    </row>
    <row r="838" spans="1:11" x14ac:dyDescent="0.25">
      <c r="A838" s="4">
        <v>22</v>
      </c>
      <c r="B838" s="4" t="s">
        <v>11</v>
      </c>
      <c r="C838" s="7">
        <v>32.82</v>
      </c>
      <c r="D838" s="4" t="s">
        <v>19</v>
      </c>
      <c r="E838" s="4" t="s">
        <v>20</v>
      </c>
      <c r="F838" s="4" t="s">
        <v>14</v>
      </c>
      <c r="G838" s="4" t="s">
        <v>34</v>
      </c>
      <c r="H838" s="4">
        <v>5</v>
      </c>
      <c r="I838" s="4">
        <v>7</v>
      </c>
      <c r="J838" s="5">
        <v>45478</v>
      </c>
      <c r="K838" s="6">
        <v>0.93135416666666671</v>
      </c>
    </row>
    <row r="839" spans="1:11" x14ac:dyDescent="0.25">
      <c r="A839" s="4">
        <v>10</v>
      </c>
      <c r="B839" s="4" t="s">
        <v>11</v>
      </c>
      <c r="C839" s="7">
        <v>37.72</v>
      </c>
      <c r="D839" s="4" t="s">
        <v>12</v>
      </c>
      <c r="E839" s="4" t="s">
        <v>13</v>
      </c>
      <c r="F839" s="4" t="s">
        <v>22</v>
      </c>
      <c r="G839" s="4" t="s">
        <v>34</v>
      </c>
      <c r="H839" s="4">
        <v>6</v>
      </c>
      <c r="I839" s="4">
        <v>7</v>
      </c>
      <c r="J839" s="5">
        <v>45479</v>
      </c>
      <c r="K839" s="6">
        <v>0.43618055555555557</v>
      </c>
    </row>
    <row r="840" spans="1:11" x14ac:dyDescent="0.25">
      <c r="A840" s="4">
        <v>17</v>
      </c>
      <c r="B840" s="4" t="s">
        <v>11</v>
      </c>
      <c r="C840" s="7">
        <v>32.82</v>
      </c>
      <c r="D840" s="4" t="s">
        <v>12</v>
      </c>
      <c r="E840" s="4" t="s">
        <v>20</v>
      </c>
      <c r="F840" s="4" t="s">
        <v>22</v>
      </c>
      <c r="G840" s="4" t="s">
        <v>34</v>
      </c>
      <c r="H840" s="4">
        <v>6</v>
      </c>
      <c r="I840" s="4">
        <v>7</v>
      </c>
      <c r="J840" s="5">
        <v>45479</v>
      </c>
      <c r="K840" s="6">
        <v>0.71928240740740745</v>
      </c>
    </row>
    <row r="841" spans="1:11" x14ac:dyDescent="0.25">
      <c r="A841" s="4">
        <v>17</v>
      </c>
      <c r="B841" s="4" t="s">
        <v>11</v>
      </c>
      <c r="C841" s="7">
        <v>32.82</v>
      </c>
      <c r="D841" s="4" t="s">
        <v>12</v>
      </c>
      <c r="E841" s="4" t="s">
        <v>20</v>
      </c>
      <c r="F841" s="4" t="s">
        <v>22</v>
      </c>
      <c r="G841" s="4" t="s">
        <v>34</v>
      </c>
      <c r="H841" s="4">
        <v>6</v>
      </c>
      <c r="I841" s="4">
        <v>7</v>
      </c>
      <c r="J841" s="5">
        <v>45479</v>
      </c>
      <c r="K841" s="6">
        <v>0.72015046296296292</v>
      </c>
    </row>
    <row r="842" spans="1:11" x14ac:dyDescent="0.25">
      <c r="A842" s="4">
        <v>19</v>
      </c>
      <c r="B842" s="4" t="s">
        <v>11</v>
      </c>
      <c r="C842" s="7">
        <v>32.82</v>
      </c>
      <c r="D842" s="4" t="s">
        <v>12</v>
      </c>
      <c r="E842" s="4" t="s">
        <v>20</v>
      </c>
      <c r="F842" s="4" t="s">
        <v>22</v>
      </c>
      <c r="G842" s="4" t="s">
        <v>34</v>
      </c>
      <c r="H842" s="4">
        <v>6</v>
      </c>
      <c r="I842" s="4">
        <v>7</v>
      </c>
      <c r="J842" s="5">
        <v>45479</v>
      </c>
      <c r="K842" s="6">
        <v>0.79844907407407406</v>
      </c>
    </row>
    <row r="843" spans="1:11" x14ac:dyDescent="0.25">
      <c r="A843" s="4">
        <v>19</v>
      </c>
      <c r="B843" s="4" t="s">
        <v>11</v>
      </c>
      <c r="C843" s="7">
        <v>27.92</v>
      </c>
      <c r="D843" s="4" t="s">
        <v>19</v>
      </c>
      <c r="E843" s="4" t="s">
        <v>20</v>
      </c>
      <c r="F843" s="4" t="s">
        <v>22</v>
      </c>
      <c r="G843" s="4" t="s">
        <v>34</v>
      </c>
      <c r="H843" s="4">
        <v>6</v>
      </c>
      <c r="I843" s="4">
        <v>7</v>
      </c>
      <c r="J843" s="5">
        <v>45479</v>
      </c>
      <c r="K843" s="6">
        <v>0.79906250000000001</v>
      </c>
    </row>
    <row r="844" spans="1:11" x14ac:dyDescent="0.25">
      <c r="A844" s="4">
        <v>9</v>
      </c>
      <c r="B844" s="4" t="s">
        <v>11</v>
      </c>
      <c r="C844" s="7">
        <v>32.82</v>
      </c>
      <c r="D844" s="4" t="s">
        <v>29</v>
      </c>
      <c r="E844" s="4" t="s">
        <v>13</v>
      </c>
      <c r="F844" s="4" t="s">
        <v>23</v>
      </c>
      <c r="G844" s="4" t="s">
        <v>34</v>
      </c>
      <c r="H844" s="4">
        <v>7</v>
      </c>
      <c r="I844" s="4">
        <v>7</v>
      </c>
      <c r="J844" s="5">
        <v>45480</v>
      </c>
      <c r="K844" s="6">
        <v>0.37800925925925927</v>
      </c>
    </row>
    <row r="845" spans="1:11" x14ac:dyDescent="0.25">
      <c r="A845" s="4">
        <v>9</v>
      </c>
      <c r="B845" s="4" t="s">
        <v>11</v>
      </c>
      <c r="C845" s="7">
        <v>27.92</v>
      </c>
      <c r="D845" s="4" t="s">
        <v>19</v>
      </c>
      <c r="E845" s="4" t="s">
        <v>13</v>
      </c>
      <c r="F845" s="4" t="s">
        <v>23</v>
      </c>
      <c r="G845" s="4" t="s">
        <v>34</v>
      </c>
      <c r="H845" s="4">
        <v>7</v>
      </c>
      <c r="I845" s="4">
        <v>7</v>
      </c>
      <c r="J845" s="5">
        <v>45480</v>
      </c>
      <c r="K845" s="6">
        <v>0.38505787037037037</v>
      </c>
    </row>
    <row r="846" spans="1:11" x14ac:dyDescent="0.25">
      <c r="A846" s="4">
        <v>9</v>
      </c>
      <c r="B846" s="4" t="s">
        <v>11</v>
      </c>
      <c r="C846" s="7">
        <v>27.92</v>
      </c>
      <c r="D846" s="4" t="s">
        <v>19</v>
      </c>
      <c r="E846" s="4" t="s">
        <v>13</v>
      </c>
      <c r="F846" s="4" t="s">
        <v>23</v>
      </c>
      <c r="G846" s="4" t="s">
        <v>34</v>
      </c>
      <c r="H846" s="4">
        <v>7</v>
      </c>
      <c r="I846" s="4">
        <v>7</v>
      </c>
      <c r="J846" s="5">
        <v>45480</v>
      </c>
      <c r="K846" s="6">
        <v>0.38583333333333331</v>
      </c>
    </row>
    <row r="847" spans="1:11" x14ac:dyDescent="0.25">
      <c r="A847" s="4">
        <v>9</v>
      </c>
      <c r="B847" s="4" t="s">
        <v>11</v>
      </c>
      <c r="C847" s="7">
        <v>32.82</v>
      </c>
      <c r="D847" s="4" t="s">
        <v>29</v>
      </c>
      <c r="E847" s="4" t="s">
        <v>13</v>
      </c>
      <c r="F847" s="4" t="s">
        <v>23</v>
      </c>
      <c r="G847" s="4" t="s">
        <v>34</v>
      </c>
      <c r="H847" s="4">
        <v>7</v>
      </c>
      <c r="I847" s="4">
        <v>7</v>
      </c>
      <c r="J847" s="5">
        <v>45480</v>
      </c>
      <c r="K847" s="6">
        <v>0.39500000000000002</v>
      </c>
    </row>
    <row r="848" spans="1:11" x14ac:dyDescent="0.25">
      <c r="A848" s="4">
        <v>9</v>
      </c>
      <c r="B848" s="4" t="s">
        <v>11</v>
      </c>
      <c r="C848" s="7">
        <v>32.82</v>
      </c>
      <c r="D848" s="4" t="s">
        <v>29</v>
      </c>
      <c r="E848" s="4" t="s">
        <v>13</v>
      </c>
      <c r="F848" s="4" t="s">
        <v>23</v>
      </c>
      <c r="G848" s="4" t="s">
        <v>34</v>
      </c>
      <c r="H848" s="4">
        <v>7</v>
      </c>
      <c r="I848" s="4">
        <v>7</v>
      </c>
      <c r="J848" s="5">
        <v>45480</v>
      </c>
      <c r="K848" s="6">
        <v>0.39578703703703705</v>
      </c>
    </row>
    <row r="849" spans="1:11" x14ac:dyDescent="0.25">
      <c r="A849" s="4">
        <v>14</v>
      </c>
      <c r="B849" s="4" t="s">
        <v>11</v>
      </c>
      <c r="C849" s="7">
        <v>32.82</v>
      </c>
      <c r="D849" s="4" t="s">
        <v>16</v>
      </c>
      <c r="E849" s="4" t="s">
        <v>17</v>
      </c>
      <c r="F849" s="4" t="s">
        <v>23</v>
      </c>
      <c r="G849" s="4" t="s">
        <v>34</v>
      </c>
      <c r="H849" s="4">
        <v>7</v>
      </c>
      <c r="I849" s="4">
        <v>7</v>
      </c>
      <c r="J849" s="5">
        <v>45480</v>
      </c>
      <c r="K849" s="6">
        <v>0.6225694444444444</v>
      </c>
    </row>
    <row r="850" spans="1:11" x14ac:dyDescent="0.25">
      <c r="A850" s="4">
        <v>14</v>
      </c>
      <c r="B850" s="4" t="s">
        <v>11</v>
      </c>
      <c r="C850" s="7">
        <v>32.82</v>
      </c>
      <c r="D850" s="4" t="s">
        <v>21</v>
      </c>
      <c r="E850" s="4" t="s">
        <v>17</v>
      </c>
      <c r="F850" s="4" t="s">
        <v>23</v>
      </c>
      <c r="G850" s="4" t="s">
        <v>34</v>
      </c>
      <c r="H850" s="4">
        <v>7</v>
      </c>
      <c r="I850" s="4">
        <v>7</v>
      </c>
      <c r="J850" s="5">
        <v>45480</v>
      </c>
      <c r="K850" s="6">
        <v>0.62346064814814817</v>
      </c>
    </row>
    <row r="851" spans="1:11" x14ac:dyDescent="0.25">
      <c r="A851" s="4">
        <v>17</v>
      </c>
      <c r="B851" s="4" t="s">
        <v>11</v>
      </c>
      <c r="C851" s="7">
        <v>32.82</v>
      </c>
      <c r="D851" s="4" t="s">
        <v>12</v>
      </c>
      <c r="E851" s="4" t="s">
        <v>20</v>
      </c>
      <c r="F851" s="4" t="s">
        <v>23</v>
      </c>
      <c r="G851" s="4" t="s">
        <v>34</v>
      </c>
      <c r="H851" s="4">
        <v>7</v>
      </c>
      <c r="I851" s="4">
        <v>7</v>
      </c>
      <c r="J851" s="5">
        <v>45480</v>
      </c>
      <c r="K851" s="6">
        <v>0.71377314814814818</v>
      </c>
    </row>
    <row r="852" spans="1:11" x14ac:dyDescent="0.25">
      <c r="A852" s="4">
        <v>19</v>
      </c>
      <c r="B852" s="4" t="s">
        <v>11</v>
      </c>
      <c r="C852" s="7">
        <v>32.82</v>
      </c>
      <c r="D852" s="4" t="s">
        <v>29</v>
      </c>
      <c r="E852" s="4" t="s">
        <v>20</v>
      </c>
      <c r="F852" s="4" t="s">
        <v>23</v>
      </c>
      <c r="G852" s="4" t="s">
        <v>34</v>
      </c>
      <c r="H852" s="4">
        <v>7</v>
      </c>
      <c r="I852" s="4">
        <v>7</v>
      </c>
      <c r="J852" s="5">
        <v>45480</v>
      </c>
      <c r="K852" s="6">
        <v>0.81489583333333337</v>
      </c>
    </row>
    <row r="853" spans="1:11" x14ac:dyDescent="0.25">
      <c r="A853" s="4">
        <v>20</v>
      </c>
      <c r="B853" s="4" t="s">
        <v>11</v>
      </c>
      <c r="C853" s="7">
        <v>32.82</v>
      </c>
      <c r="D853" s="4" t="s">
        <v>16</v>
      </c>
      <c r="E853" s="4" t="s">
        <v>20</v>
      </c>
      <c r="F853" s="4" t="s">
        <v>23</v>
      </c>
      <c r="G853" s="4" t="s">
        <v>34</v>
      </c>
      <c r="H853" s="4">
        <v>7</v>
      </c>
      <c r="I853" s="4">
        <v>7</v>
      </c>
      <c r="J853" s="5">
        <v>45480</v>
      </c>
      <c r="K853" s="6">
        <v>0.83438657407407413</v>
      </c>
    </row>
    <row r="854" spans="1:11" x14ac:dyDescent="0.25">
      <c r="A854" s="4">
        <v>22</v>
      </c>
      <c r="B854" s="4" t="s">
        <v>11</v>
      </c>
      <c r="C854" s="7">
        <v>27.92</v>
      </c>
      <c r="D854" s="4" t="s">
        <v>19</v>
      </c>
      <c r="E854" s="4" t="s">
        <v>20</v>
      </c>
      <c r="F854" s="4" t="s">
        <v>23</v>
      </c>
      <c r="G854" s="4" t="s">
        <v>34</v>
      </c>
      <c r="H854" s="4">
        <v>7</v>
      </c>
      <c r="I854" s="4">
        <v>7</v>
      </c>
      <c r="J854" s="5">
        <v>45480</v>
      </c>
      <c r="K854" s="6">
        <v>0.94</v>
      </c>
    </row>
    <row r="855" spans="1:11" x14ac:dyDescent="0.25">
      <c r="A855" s="4">
        <v>7</v>
      </c>
      <c r="B855" s="4" t="s">
        <v>11</v>
      </c>
      <c r="C855" s="7">
        <v>32.82</v>
      </c>
      <c r="D855" s="4" t="s">
        <v>12</v>
      </c>
      <c r="E855" s="4" t="s">
        <v>13</v>
      </c>
      <c r="F855" s="4" t="s">
        <v>25</v>
      </c>
      <c r="G855" s="4" t="s">
        <v>34</v>
      </c>
      <c r="H855" s="4">
        <v>1</v>
      </c>
      <c r="I855" s="4">
        <v>7</v>
      </c>
      <c r="J855" s="5">
        <v>45481</v>
      </c>
      <c r="K855" s="6">
        <v>0.31466435185185188</v>
      </c>
    </row>
    <row r="856" spans="1:11" x14ac:dyDescent="0.25">
      <c r="A856" s="4">
        <v>12</v>
      </c>
      <c r="B856" s="4" t="s">
        <v>11</v>
      </c>
      <c r="C856" s="7">
        <v>23.02</v>
      </c>
      <c r="D856" s="4" t="s">
        <v>18</v>
      </c>
      <c r="E856" s="4" t="s">
        <v>17</v>
      </c>
      <c r="F856" s="4" t="s">
        <v>25</v>
      </c>
      <c r="G856" s="4" t="s">
        <v>34</v>
      </c>
      <c r="H856" s="4">
        <v>1</v>
      </c>
      <c r="I856" s="4">
        <v>7</v>
      </c>
      <c r="J856" s="5">
        <v>45481</v>
      </c>
      <c r="K856" s="6">
        <v>0.5019675925925926</v>
      </c>
    </row>
    <row r="857" spans="1:11" x14ac:dyDescent="0.25">
      <c r="A857" s="4">
        <v>14</v>
      </c>
      <c r="B857" s="4" t="s">
        <v>11</v>
      </c>
      <c r="C857" s="7">
        <v>23.02</v>
      </c>
      <c r="D857" s="4" t="s">
        <v>18</v>
      </c>
      <c r="E857" s="4" t="s">
        <v>17</v>
      </c>
      <c r="F857" s="4" t="s">
        <v>25</v>
      </c>
      <c r="G857" s="4" t="s">
        <v>34</v>
      </c>
      <c r="H857" s="4">
        <v>1</v>
      </c>
      <c r="I857" s="4">
        <v>7</v>
      </c>
      <c r="J857" s="5">
        <v>45481</v>
      </c>
      <c r="K857" s="6">
        <v>0.61138888888888887</v>
      </c>
    </row>
    <row r="858" spans="1:11" x14ac:dyDescent="0.25">
      <c r="A858" s="4">
        <v>19</v>
      </c>
      <c r="B858" s="4" t="s">
        <v>11</v>
      </c>
      <c r="C858" s="7">
        <v>27.92</v>
      </c>
      <c r="D858" s="4" t="s">
        <v>19</v>
      </c>
      <c r="E858" s="4" t="s">
        <v>20</v>
      </c>
      <c r="F858" s="4" t="s">
        <v>25</v>
      </c>
      <c r="G858" s="4" t="s">
        <v>34</v>
      </c>
      <c r="H858" s="4">
        <v>1</v>
      </c>
      <c r="I858" s="4">
        <v>7</v>
      </c>
      <c r="J858" s="5">
        <v>45481</v>
      </c>
      <c r="K858" s="6">
        <v>0.81289351851851854</v>
      </c>
    </row>
    <row r="859" spans="1:11" x14ac:dyDescent="0.25">
      <c r="A859" s="4">
        <v>22</v>
      </c>
      <c r="B859" s="4" t="s">
        <v>11</v>
      </c>
      <c r="C859" s="7">
        <v>32.82</v>
      </c>
      <c r="D859" s="4" t="s">
        <v>12</v>
      </c>
      <c r="E859" s="4" t="s">
        <v>20</v>
      </c>
      <c r="F859" s="4" t="s">
        <v>25</v>
      </c>
      <c r="G859" s="4" t="s">
        <v>34</v>
      </c>
      <c r="H859" s="4">
        <v>1</v>
      </c>
      <c r="I859" s="4">
        <v>7</v>
      </c>
      <c r="J859" s="5">
        <v>45481</v>
      </c>
      <c r="K859" s="6">
        <v>0.92692129629629627</v>
      </c>
    </row>
    <row r="860" spans="1:11" x14ac:dyDescent="0.25">
      <c r="A860" s="4">
        <v>10</v>
      </c>
      <c r="B860" s="4" t="s">
        <v>11</v>
      </c>
      <c r="C860" s="7">
        <v>27.92</v>
      </c>
      <c r="D860" s="4" t="s">
        <v>19</v>
      </c>
      <c r="E860" s="4" t="s">
        <v>13</v>
      </c>
      <c r="F860" s="4" t="s">
        <v>27</v>
      </c>
      <c r="G860" s="4" t="s">
        <v>34</v>
      </c>
      <c r="H860" s="4">
        <v>2</v>
      </c>
      <c r="I860" s="4">
        <v>7</v>
      </c>
      <c r="J860" s="5">
        <v>45482</v>
      </c>
      <c r="K860" s="6">
        <v>0.43532407407407409</v>
      </c>
    </row>
    <row r="861" spans="1:11" x14ac:dyDescent="0.25">
      <c r="A861" s="4">
        <v>10</v>
      </c>
      <c r="B861" s="4" t="s">
        <v>11</v>
      </c>
      <c r="C861" s="7">
        <v>27.92</v>
      </c>
      <c r="D861" s="4" t="s">
        <v>19</v>
      </c>
      <c r="E861" s="4" t="s">
        <v>13</v>
      </c>
      <c r="F861" s="4" t="s">
        <v>27</v>
      </c>
      <c r="G861" s="4" t="s">
        <v>34</v>
      </c>
      <c r="H861" s="4">
        <v>2</v>
      </c>
      <c r="I861" s="4">
        <v>7</v>
      </c>
      <c r="J861" s="5">
        <v>45482</v>
      </c>
      <c r="K861" s="6">
        <v>0.44476851851851851</v>
      </c>
    </row>
    <row r="862" spans="1:11" x14ac:dyDescent="0.25">
      <c r="A862" s="4">
        <v>11</v>
      </c>
      <c r="B862" s="4" t="s">
        <v>11</v>
      </c>
      <c r="C862" s="7">
        <v>27.92</v>
      </c>
      <c r="D862" s="4" t="s">
        <v>19</v>
      </c>
      <c r="E862" s="4" t="s">
        <v>13</v>
      </c>
      <c r="F862" s="4" t="s">
        <v>27</v>
      </c>
      <c r="G862" s="4" t="s">
        <v>34</v>
      </c>
      <c r="H862" s="4">
        <v>2</v>
      </c>
      <c r="I862" s="4">
        <v>7</v>
      </c>
      <c r="J862" s="5">
        <v>45482</v>
      </c>
      <c r="K862" s="6">
        <v>0.47333333333333333</v>
      </c>
    </row>
    <row r="863" spans="1:11" x14ac:dyDescent="0.25">
      <c r="A863" s="4">
        <v>11</v>
      </c>
      <c r="B863" s="4" t="s">
        <v>11</v>
      </c>
      <c r="C863" s="7">
        <v>32.82</v>
      </c>
      <c r="D863" s="4" t="s">
        <v>29</v>
      </c>
      <c r="E863" s="4" t="s">
        <v>13</v>
      </c>
      <c r="F863" s="4" t="s">
        <v>27</v>
      </c>
      <c r="G863" s="4" t="s">
        <v>34</v>
      </c>
      <c r="H863" s="4">
        <v>2</v>
      </c>
      <c r="I863" s="4">
        <v>7</v>
      </c>
      <c r="J863" s="5">
        <v>45482</v>
      </c>
      <c r="K863" s="6">
        <v>0.47417824074074072</v>
      </c>
    </row>
    <row r="864" spans="1:11" x14ac:dyDescent="0.25">
      <c r="A864" s="4">
        <v>16</v>
      </c>
      <c r="B864" s="4" t="s">
        <v>11</v>
      </c>
      <c r="C864" s="7">
        <v>27.92</v>
      </c>
      <c r="D864" s="4" t="s">
        <v>19</v>
      </c>
      <c r="E864" s="4" t="s">
        <v>17</v>
      </c>
      <c r="F864" s="4" t="s">
        <v>27</v>
      </c>
      <c r="G864" s="4" t="s">
        <v>34</v>
      </c>
      <c r="H864" s="4">
        <v>2</v>
      </c>
      <c r="I864" s="4">
        <v>7</v>
      </c>
      <c r="J864" s="5">
        <v>45482</v>
      </c>
      <c r="K864" s="6">
        <v>0.69651620370370371</v>
      </c>
    </row>
    <row r="865" spans="1:11" x14ac:dyDescent="0.25">
      <c r="A865" s="4">
        <v>11</v>
      </c>
      <c r="B865" s="4" t="s">
        <v>11</v>
      </c>
      <c r="C865" s="7">
        <v>23.02</v>
      </c>
      <c r="D865" s="4" t="s">
        <v>18</v>
      </c>
      <c r="E865" s="4" t="s">
        <v>13</v>
      </c>
      <c r="F865" s="4" t="s">
        <v>28</v>
      </c>
      <c r="G865" s="4" t="s">
        <v>34</v>
      </c>
      <c r="H865" s="4">
        <v>3</v>
      </c>
      <c r="I865" s="4">
        <v>7</v>
      </c>
      <c r="J865" s="5">
        <v>45483</v>
      </c>
      <c r="K865" s="6">
        <v>0.46575231481481483</v>
      </c>
    </row>
    <row r="866" spans="1:11" x14ac:dyDescent="0.25">
      <c r="A866" s="4">
        <v>12</v>
      </c>
      <c r="B866" s="4" t="s">
        <v>11</v>
      </c>
      <c r="C866" s="7">
        <v>27.92</v>
      </c>
      <c r="D866" s="4" t="s">
        <v>19</v>
      </c>
      <c r="E866" s="4" t="s">
        <v>17</v>
      </c>
      <c r="F866" s="4" t="s">
        <v>28</v>
      </c>
      <c r="G866" s="4" t="s">
        <v>34</v>
      </c>
      <c r="H866" s="4">
        <v>3</v>
      </c>
      <c r="I866" s="4">
        <v>7</v>
      </c>
      <c r="J866" s="5">
        <v>45483</v>
      </c>
      <c r="K866" s="6">
        <v>0.52005787037037032</v>
      </c>
    </row>
    <row r="867" spans="1:11" x14ac:dyDescent="0.25">
      <c r="A867" s="4">
        <v>22</v>
      </c>
      <c r="B867" s="4" t="s">
        <v>11</v>
      </c>
      <c r="C867" s="7">
        <v>32.82</v>
      </c>
      <c r="D867" s="4" t="s">
        <v>12</v>
      </c>
      <c r="E867" s="4" t="s">
        <v>20</v>
      </c>
      <c r="F867" s="4" t="s">
        <v>28</v>
      </c>
      <c r="G867" s="4" t="s">
        <v>34</v>
      </c>
      <c r="H867" s="4">
        <v>3</v>
      </c>
      <c r="I867" s="4">
        <v>7</v>
      </c>
      <c r="J867" s="5">
        <v>45483</v>
      </c>
      <c r="K867" s="6">
        <v>0.92581018518518521</v>
      </c>
    </row>
    <row r="868" spans="1:11" x14ac:dyDescent="0.25">
      <c r="A868" s="4">
        <v>11</v>
      </c>
      <c r="B868" s="4" t="s">
        <v>11</v>
      </c>
      <c r="C868" s="7">
        <v>32.82</v>
      </c>
      <c r="D868" s="4" t="s">
        <v>16</v>
      </c>
      <c r="E868" s="4" t="s">
        <v>13</v>
      </c>
      <c r="F868" s="4" t="s">
        <v>30</v>
      </c>
      <c r="G868" s="4" t="s">
        <v>34</v>
      </c>
      <c r="H868" s="4">
        <v>4</v>
      </c>
      <c r="I868" s="4">
        <v>7</v>
      </c>
      <c r="J868" s="5">
        <v>45484</v>
      </c>
      <c r="K868" s="6">
        <v>0.47739583333333335</v>
      </c>
    </row>
    <row r="869" spans="1:11" x14ac:dyDescent="0.25">
      <c r="A869" s="4">
        <v>16</v>
      </c>
      <c r="B869" s="4" t="s">
        <v>11</v>
      </c>
      <c r="C869" s="7">
        <v>27.92</v>
      </c>
      <c r="D869" s="4" t="s">
        <v>19</v>
      </c>
      <c r="E869" s="4" t="s">
        <v>17</v>
      </c>
      <c r="F869" s="4" t="s">
        <v>30</v>
      </c>
      <c r="G869" s="4" t="s">
        <v>34</v>
      </c>
      <c r="H869" s="4">
        <v>4</v>
      </c>
      <c r="I869" s="4">
        <v>7</v>
      </c>
      <c r="J869" s="5">
        <v>45484</v>
      </c>
      <c r="K869" s="6">
        <v>0.70020833333333332</v>
      </c>
    </row>
    <row r="870" spans="1:11" x14ac:dyDescent="0.25">
      <c r="A870" s="4">
        <v>22</v>
      </c>
      <c r="B870" s="4" t="s">
        <v>11</v>
      </c>
      <c r="C870" s="7">
        <v>32.82</v>
      </c>
      <c r="D870" s="4" t="s">
        <v>12</v>
      </c>
      <c r="E870" s="4" t="s">
        <v>20</v>
      </c>
      <c r="F870" s="4" t="s">
        <v>30</v>
      </c>
      <c r="G870" s="4" t="s">
        <v>34</v>
      </c>
      <c r="H870" s="4">
        <v>4</v>
      </c>
      <c r="I870" s="4">
        <v>7</v>
      </c>
      <c r="J870" s="5">
        <v>45484</v>
      </c>
      <c r="K870" s="6">
        <v>0.93209490740740741</v>
      </c>
    </row>
    <row r="871" spans="1:11" x14ac:dyDescent="0.25">
      <c r="A871" s="4">
        <v>22</v>
      </c>
      <c r="B871" s="4" t="s">
        <v>11</v>
      </c>
      <c r="C871" s="7">
        <v>23.02</v>
      </c>
      <c r="D871" s="4" t="s">
        <v>18</v>
      </c>
      <c r="E871" s="4" t="s">
        <v>20</v>
      </c>
      <c r="F871" s="4" t="s">
        <v>30</v>
      </c>
      <c r="G871" s="4" t="s">
        <v>34</v>
      </c>
      <c r="H871" s="4">
        <v>4</v>
      </c>
      <c r="I871" s="4">
        <v>7</v>
      </c>
      <c r="J871" s="5">
        <v>45484</v>
      </c>
      <c r="K871" s="6">
        <v>0.93817129629629625</v>
      </c>
    </row>
    <row r="872" spans="1:11" x14ac:dyDescent="0.25">
      <c r="A872" s="4">
        <v>8</v>
      </c>
      <c r="B872" s="4" t="s">
        <v>11</v>
      </c>
      <c r="C872" s="7">
        <v>23.02</v>
      </c>
      <c r="D872" s="4" t="s">
        <v>24</v>
      </c>
      <c r="E872" s="4" t="s">
        <v>13</v>
      </c>
      <c r="F872" s="4" t="s">
        <v>14</v>
      </c>
      <c r="G872" s="4" t="s">
        <v>34</v>
      </c>
      <c r="H872" s="4">
        <v>5</v>
      </c>
      <c r="I872" s="4">
        <v>7</v>
      </c>
      <c r="J872" s="5">
        <v>45485</v>
      </c>
      <c r="K872" s="6">
        <v>0.33561342592592591</v>
      </c>
    </row>
    <row r="873" spans="1:11" x14ac:dyDescent="0.25">
      <c r="A873" s="4">
        <v>11</v>
      </c>
      <c r="B873" s="4" t="s">
        <v>11</v>
      </c>
      <c r="C873" s="7">
        <v>32.82</v>
      </c>
      <c r="D873" s="4" t="s">
        <v>16</v>
      </c>
      <c r="E873" s="4" t="s">
        <v>13</v>
      </c>
      <c r="F873" s="4" t="s">
        <v>14</v>
      </c>
      <c r="G873" s="4" t="s">
        <v>34</v>
      </c>
      <c r="H873" s="4">
        <v>5</v>
      </c>
      <c r="I873" s="4">
        <v>7</v>
      </c>
      <c r="J873" s="5">
        <v>45485</v>
      </c>
      <c r="K873" s="6">
        <v>0.49204861111111109</v>
      </c>
    </row>
    <row r="874" spans="1:11" x14ac:dyDescent="0.25">
      <c r="A874" s="4">
        <v>22</v>
      </c>
      <c r="B874" s="4" t="s">
        <v>11</v>
      </c>
      <c r="C874" s="7">
        <v>32.82</v>
      </c>
      <c r="D874" s="4" t="s">
        <v>16</v>
      </c>
      <c r="E874" s="4" t="s">
        <v>20</v>
      </c>
      <c r="F874" s="4" t="s">
        <v>14</v>
      </c>
      <c r="G874" s="4" t="s">
        <v>34</v>
      </c>
      <c r="H874" s="4">
        <v>5</v>
      </c>
      <c r="I874" s="4">
        <v>7</v>
      </c>
      <c r="J874" s="5">
        <v>45485</v>
      </c>
      <c r="K874" s="6">
        <v>0.93987268518518519</v>
      </c>
    </row>
    <row r="875" spans="1:11" x14ac:dyDescent="0.25">
      <c r="A875" s="4">
        <v>22</v>
      </c>
      <c r="B875" s="4" t="s">
        <v>11</v>
      </c>
      <c r="C875" s="7">
        <v>32.82</v>
      </c>
      <c r="D875" s="4" t="s">
        <v>16</v>
      </c>
      <c r="E875" s="4" t="s">
        <v>20</v>
      </c>
      <c r="F875" s="4" t="s">
        <v>14</v>
      </c>
      <c r="G875" s="4" t="s">
        <v>34</v>
      </c>
      <c r="H875" s="4">
        <v>5</v>
      </c>
      <c r="I875" s="4">
        <v>7</v>
      </c>
      <c r="J875" s="5">
        <v>45485</v>
      </c>
      <c r="K875" s="6">
        <v>0.94043981481481487</v>
      </c>
    </row>
    <row r="876" spans="1:11" x14ac:dyDescent="0.25">
      <c r="A876" s="4">
        <v>22</v>
      </c>
      <c r="B876" s="4" t="s">
        <v>11</v>
      </c>
      <c r="C876" s="7">
        <v>32.82</v>
      </c>
      <c r="D876" s="4" t="s">
        <v>16</v>
      </c>
      <c r="E876" s="4" t="s">
        <v>20</v>
      </c>
      <c r="F876" s="4" t="s">
        <v>14</v>
      </c>
      <c r="G876" s="4" t="s">
        <v>34</v>
      </c>
      <c r="H876" s="4">
        <v>5</v>
      </c>
      <c r="I876" s="4">
        <v>7</v>
      </c>
      <c r="J876" s="5">
        <v>45485</v>
      </c>
      <c r="K876" s="6">
        <v>0.94130787037037034</v>
      </c>
    </row>
    <row r="877" spans="1:11" x14ac:dyDescent="0.25">
      <c r="A877" s="4">
        <v>10</v>
      </c>
      <c r="B877" s="4" t="s">
        <v>11</v>
      </c>
      <c r="C877" s="7">
        <v>32.82</v>
      </c>
      <c r="D877" s="4" t="s">
        <v>12</v>
      </c>
      <c r="E877" s="4" t="s">
        <v>13</v>
      </c>
      <c r="F877" s="4" t="s">
        <v>22</v>
      </c>
      <c r="G877" s="4" t="s">
        <v>34</v>
      </c>
      <c r="H877" s="4">
        <v>6</v>
      </c>
      <c r="I877" s="4">
        <v>7</v>
      </c>
      <c r="J877" s="5">
        <v>45486</v>
      </c>
      <c r="K877" s="6">
        <v>0.44317129629629631</v>
      </c>
    </row>
    <row r="878" spans="1:11" x14ac:dyDescent="0.25">
      <c r="A878" s="4">
        <v>11</v>
      </c>
      <c r="B878" s="4" t="s">
        <v>11</v>
      </c>
      <c r="C878" s="7">
        <v>32.82</v>
      </c>
      <c r="D878" s="4" t="s">
        <v>12</v>
      </c>
      <c r="E878" s="4" t="s">
        <v>13</v>
      </c>
      <c r="F878" s="4" t="s">
        <v>22</v>
      </c>
      <c r="G878" s="4" t="s">
        <v>34</v>
      </c>
      <c r="H878" s="4">
        <v>6</v>
      </c>
      <c r="I878" s="4">
        <v>7</v>
      </c>
      <c r="J878" s="5">
        <v>45486</v>
      </c>
      <c r="K878" s="6">
        <v>0.48724537037037036</v>
      </c>
    </row>
    <row r="879" spans="1:11" x14ac:dyDescent="0.25">
      <c r="A879" s="4">
        <v>10</v>
      </c>
      <c r="B879" s="4" t="s">
        <v>11</v>
      </c>
      <c r="C879" s="7">
        <v>23.02</v>
      </c>
      <c r="D879" s="4" t="s">
        <v>18</v>
      </c>
      <c r="E879" s="4" t="s">
        <v>13</v>
      </c>
      <c r="F879" s="4" t="s">
        <v>23</v>
      </c>
      <c r="G879" s="4" t="s">
        <v>34</v>
      </c>
      <c r="H879" s="4">
        <v>7</v>
      </c>
      <c r="I879" s="4">
        <v>7</v>
      </c>
      <c r="J879" s="5">
        <v>45487</v>
      </c>
      <c r="K879" s="6">
        <v>0.45444444444444443</v>
      </c>
    </row>
    <row r="880" spans="1:11" x14ac:dyDescent="0.25">
      <c r="A880" s="4">
        <v>10</v>
      </c>
      <c r="B880" s="4" t="s">
        <v>11</v>
      </c>
      <c r="C880" s="7">
        <v>27.92</v>
      </c>
      <c r="D880" s="4" t="s">
        <v>19</v>
      </c>
      <c r="E880" s="4" t="s">
        <v>13</v>
      </c>
      <c r="F880" s="4" t="s">
        <v>23</v>
      </c>
      <c r="G880" s="4" t="s">
        <v>34</v>
      </c>
      <c r="H880" s="4">
        <v>7</v>
      </c>
      <c r="I880" s="4">
        <v>7</v>
      </c>
      <c r="J880" s="5">
        <v>45487</v>
      </c>
      <c r="K880" s="6">
        <v>0.45520833333333333</v>
      </c>
    </row>
    <row r="881" spans="1:11" x14ac:dyDescent="0.25">
      <c r="A881" s="4">
        <v>10</v>
      </c>
      <c r="B881" s="4" t="s">
        <v>11</v>
      </c>
      <c r="C881" s="7">
        <v>32.82</v>
      </c>
      <c r="D881" s="4" t="s">
        <v>29</v>
      </c>
      <c r="E881" s="4" t="s">
        <v>13</v>
      </c>
      <c r="F881" s="4" t="s">
        <v>23</v>
      </c>
      <c r="G881" s="4" t="s">
        <v>34</v>
      </c>
      <c r="H881" s="4">
        <v>7</v>
      </c>
      <c r="I881" s="4">
        <v>7</v>
      </c>
      <c r="J881" s="5">
        <v>45487</v>
      </c>
      <c r="K881" s="6">
        <v>0.45590277777777777</v>
      </c>
    </row>
    <row r="882" spans="1:11" x14ac:dyDescent="0.25">
      <c r="A882" s="4">
        <v>10</v>
      </c>
      <c r="B882" s="4" t="s">
        <v>11</v>
      </c>
      <c r="C882" s="7">
        <v>32.82</v>
      </c>
      <c r="D882" s="4" t="s">
        <v>12</v>
      </c>
      <c r="E882" s="4" t="s">
        <v>13</v>
      </c>
      <c r="F882" s="4" t="s">
        <v>23</v>
      </c>
      <c r="G882" s="4" t="s">
        <v>34</v>
      </c>
      <c r="H882" s="4">
        <v>7</v>
      </c>
      <c r="I882" s="4">
        <v>7</v>
      </c>
      <c r="J882" s="5">
        <v>45487</v>
      </c>
      <c r="K882" s="6">
        <v>0.45687499999999998</v>
      </c>
    </row>
    <row r="883" spans="1:11" x14ac:dyDescent="0.25">
      <c r="A883" s="4">
        <v>11</v>
      </c>
      <c r="B883" s="4" t="s">
        <v>11</v>
      </c>
      <c r="C883" s="7">
        <v>23.02</v>
      </c>
      <c r="D883" s="4" t="s">
        <v>18</v>
      </c>
      <c r="E883" s="4" t="s">
        <v>13</v>
      </c>
      <c r="F883" s="4" t="s">
        <v>23</v>
      </c>
      <c r="G883" s="4" t="s">
        <v>34</v>
      </c>
      <c r="H883" s="4">
        <v>7</v>
      </c>
      <c r="I883" s="4">
        <v>7</v>
      </c>
      <c r="J883" s="5">
        <v>45487</v>
      </c>
      <c r="K883" s="6">
        <v>0.45984953703703701</v>
      </c>
    </row>
    <row r="884" spans="1:11" x14ac:dyDescent="0.25">
      <c r="A884" s="4">
        <v>22</v>
      </c>
      <c r="B884" s="4" t="s">
        <v>11</v>
      </c>
      <c r="C884" s="7">
        <v>32.82</v>
      </c>
      <c r="D884" s="4" t="s">
        <v>12</v>
      </c>
      <c r="E884" s="4" t="s">
        <v>20</v>
      </c>
      <c r="F884" s="4" t="s">
        <v>23</v>
      </c>
      <c r="G884" s="4" t="s">
        <v>34</v>
      </c>
      <c r="H884" s="4">
        <v>7</v>
      </c>
      <c r="I884" s="4">
        <v>7</v>
      </c>
      <c r="J884" s="5">
        <v>45487</v>
      </c>
      <c r="K884" s="6">
        <v>0.93853009259259257</v>
      </c>
    </row>
    <row r="885" spans="1:11" x14ac:dyDescent="0.25">
      <c r="A885" s="4">
        <v>7</v>
      </c>
      <c r="B885" s="4" t="s">
        <v>11</v>
      </c>
      <c r="C885" s="7">
        <v>32.82</v>
      </c>
      <c r="D885" s="4" t="s">
        <v>29</v>
      </c>
      <c r="E885" s="4" t="s">
        <v>13</v>
      </c>
      <c r="F885" s="4" t="s">
        <v>25</v>
      </c>
      <c r="G885" s="4" t="s">
        <v>34</v>
      </c>
      <c r="H885" s="4">
        <v>1</v>
      </c>
      <c r="I885" s="4">
        <v>7</v>
      </c>
      <c r="J885" s="5">
        <v>45488</v>
      </c>
      <c r="K885" s="6">
        <v>0.31464120370370369</v>
      </c>
    </row>
    <row r="886" spans="1:11" x14ac:dyDescent="0.25">
      <c r="A886" s="4">
        <v>12</v>
      </c>
      <c r="B886" s="4" t="s">
        <v>11</v>
      </c>
      <c r="C886" s="7">
        <v>27.92</v>
      </c>
      <c r="D886" s="4" t="s">
        <v>19</v>
      </c>
      <c r="E886" s="4" t="s">
        <v>17</v>
      </c>
      <c r="F886" s="4" t="s">
        <v>27</v>
      </c>
      <c r="G886" s="4" t="s">
        <v>34</v>
      </c>
      <c r="H886" s="4">
        <v>2</v>
      </c>
      <c r="I886" s="4">
        <v>7</v>
      </c>
      <c r="J886" s="5">
        <v>45489</v>
      </c>
      <c r="K886" s="6">
        <v>0.51640046296296294</v>
      </c>
    </row>
    <row r="887" spans="1:11" x14ac:dyDescent="0.25">
      <c r="A887" s="4">
        <v>19</v>
      </c>
      <c r="B887" s="4" t="s">
        <v>11</v>
      </c>
      <c r="C887" s="7">
        <v>32.82</v>
      </c>
      <c r="D887" s="4" t="s">
        <v>16</v>
      </c>
      <c r="E887" s="4" t="s">
        <v>20</v>
      </c>
      <c r="F887" s="4" t="s">
        <v>27</v>
      </c>
      <c r="G887" s="4" t="s">
        <v>34</v>
      </c>
      <c r="H887" s="4">
        <v>2</v>
      </c>
      <c r="I887" s="4">
        <v>7</v>
      </c>
      <c r="J887" s="5">
        <v>45489</v>
      </c>
      <c r="K887" s="6">
        <v>0.81209490740740742</v>
      </c>
    </row>
    <row r="888" spans="1:11" x14ac:dyDescent="0.25">
      <c r="A888" s="4">
        <v>13</v>
      </c>
      <c r="B888" s="4" t="s">
        <v>11</v>
      </c>
      <c r="C888" s="7">
        <v>27.92</v>
      </c>
      <c r="D888" s="4" t="s">
        <v>19</v>
      </c>
      <c r="E888" s="4" t="s">
        <v>17</v>
      </c>
      <c r="F888" s="4" t="s">
        <v>28</v>
      </c>
      <c r="G888" s="4" t="s">
        <v>34</v>
      </c>
      <c r="H888" s="4">
        <v>3</v>
      </c>
      <c r="I888" s="4">
        <v>7</v>
      </c>
      <c r="J888" s="5">
        <v>45490</v>
      </c>
      <c r="K888" s="6">
        <v>0.5451273148148148</v>
      </c>
    </row>
    <row r="889" spans="1:11" x14ac:dyDescent="0.25">
      <c r="A889" s="4">
        <v>11</v>
      </c>
      <c r="B889" s="4" t="s">
        <v>11</v>
      </c>
      <c r="C889" s="7">
        <v>27.92</v>
      </c>
      <c r="D889" s="4" t="s">
        <v>19</v>
      </c>
      <c r="E889" s="4" t="s">
        <v>13</v>
      </c>
      <c r="F889" s="4" t="s">
        <v>30</v>
      </c>
      <c r="G889" s="4" t="s">
        <v>34</v>
      </c>
      <c r="H889" s="4">
        <v>4</v>
      </c>
      <c r="I889" s="4">
        <v>7</v>
      </c>
      <c r="J889" s="5">
        <v>45491</v>
      </c>
      <c r="K889" s="6">
        <v>0.46542824074074074</v>
      </c>
    </row>
    <row r="890" spans="1:11" x14ac:dyDescent="0.25">
      <c r="A890" s="4">
        <v>11</v>
      </c>
      <c r="B890" s="4" t="s">
        <v>11</v>
      </c>
      <c r="C890" s="7">
        <v>18.12</v>
      </c>
      <c r="D890" s="4" t="s">
        <v>26</v>
      </c>
      <c r="E890" s="4" t="s">
        <v>13</v>
      </c>
      <c r="F890" s="4" t="s">
        <v>30</v>
      </c>
      <c r="G890" s="4" t="s">
        <v>34</v>
      </c>
      <c r="H890" s="4">
        <v>4</v>
      </c>
      <c r="I890" s="4">
        <v>7</v>
      </c>
      <c r="J890" s="5">
        <v>45491</v>
      </c>
      <c r="K890" s="6">
        <v>0.4662384259259259</v>
      </c>
    </row>
    <row r="891" spans="1:11" x14ac:dyDescent="0.25">
      <c r="A891" s="4">
        <v>11</v>
      </c>
      <c r="B891" s="4" t="s">
        <v>11</v>
      </c>
      <c r="C891" s="7">
        <v>23.02</v>
      </c>
      <c r="D891" s="4" t="s">
        <v>18</v>
      </c>
      <c r="E891" s="4" t="s">
        <v>13</v>
      </c>
      <c r="F891" s="4" t="s">
        <v>30</v>
      </c>
      <c r="G891" s="4" t="s">
        <v>34</v>
      </c>
      <c r="H891" s="4">
        <v>4</v>
      </c>
      <c r="I891" s="4">
        <v>7</v>
      </c>
      <c r="J891" s="5">
        <v>45491</v>
      </c>
      <c r="K891" s="6">
        <v>0.48123842592592592</v>
      </c>
    </row>
    <row r="892" spans="1:11" x14ac:dyDescent="0.25">
      <c r="A892" s="4">
        <v>11</v>
      </c>
      <c r="B892" s="4" t="s">
        <v>11</v>
      </c>
      <c r="C892" s="7">
        <v>23.02</v>
      </c>
      <c r="D892" s="4" t="s">
        <v>18</v>
      </c>
      <c r="E892" s="4" t="s">
        <v>13</v>
      </c>
      <c r="F892" s="4" t="s">
        <v>30</v>
      </c>
      <c r="G892" s="4" t="s">
        <v>34</v>
      </c>
      <c r="H892" s="4">
        <v>4</v>
      </c>
      <c r="I892" s="4">
        <v>7</v>
      </c>
      <c r="J892" s="5">
        <v>45491</v>
      </c>
      <c r="K892" s="6">
        <v>0.48249999999999998</v>
      </c>
    </row>
    <row r="893" spans="1:11" x14ac:dyDescent="0.25">
      <c r="A893" s="4">
        <v>11</v>
      </c>
      <c r="B893" s="4" t="s">
        <v>11</v>
      </c>
      <c r="C893" s="7">
        <v>23.02</v>
      </c>
      <c r="D893" s="4" t="s">
        <v>24</v>
      </c>
      <c r="E893" s="4" t="s">
        <v>13</v>
      </c>
      <c r="F893" s="4" t="s">
        <v>30</v>
      </c>
      <c r="G893" s="4" t="s">
        <v>34</v>
      </c>
      <c r="H893" s="4">
        <v>4</v>
      </c>
      <c r="I893" s="4">
        <v>7</v>
      </c>
      <c r="J893" s="5">
        <v>45491</v>
      </c>
      <c r="K893" s="6">
        <v>0.48322916666666665</v>
      </c>
    </row>
    <row r="894" spans="1:11" x14ac:dyDescent="0.25">
      <c r="A894" s="4">
        <v>13</v>
      </c>
      <c r="B894" s="4" t="s">
        <v>11</v>
      </c>
      <c r="C894" s="7">
        <v>32.82</v>
      </c>
      <c r="D894" s="4" t="s">
        <v>12</v>
      </c>
      <c r="E894" s="4" t="s">
        <v>17</v>
      </c>
      <c r="F894" s="4" t="s">
        <v>30</v>
      </c>
      <c r="G894" s="4" t="s">
        <v>34</v>
      </c>
      <c r="H894" s="4">
        <v>4</v>
      </c>
      <c r="I894" s="4">
        <v>7</v>
      </c>
      <c r="J894" s="5">
        <v>45491</v>
      </c>
      <c r="K894" s="6">
        <v>0.5580208333333333</v>
      </c>
    </row>
    <row r="895" spans="1:11" x14ac:dyDescent="0.25">
      <c r="A895" s="4">
        <v>18</v>
      </c>
      <c r="B895" s="4" t="s">
        <v>11</v>
      </c>
      <c r="C895" s="7">
        <v>32.82</v>
      </c>
      <c r="D895" s="4" t="s">
        <v>29</v>
      </c>
      <c r="E895" s="4" t="s">
        <v>20</v>
      </c>
      <c r="F895" s="4" t="s">
        <v>30</v>
      </c>
      <c r="G895" s="4" t="s">
        <v>34</v>
      </c>
      <c r="H895" s="4">
        <v>4</v>
      </c>
      <c r="I895" s="4">
        <v>7</v>
      </c>
      <c r="J895" s="5">
        <v>45491</v>
      </c>
      <c r="K895" s="6">
        <v>0.76276620370370374</v>
      </c>
    </row>
    <row r="896" spans="1:11" x14ac:dyDescent="0.25">
      <c r="A896" s="4">
        <v>19</v>
      </c>
      <c r="B896" s="4" t="s">
        <v>11</v>
      </c>
      <c r="C896" s="7">
        <v>32.82</v>
      </c>
      <c r="D896" s="4" t="s">
        <v>12</v>
      </c>
      <c r="E896" s="4" t="s">
        <v>20</v>
      </c>
      <c r="F896" s="4" t="s">
        <v>30</v>
      </c>
      <c r="G896" s="4" t="s">
        <v>34</v>
      </c>
      <c r="H896" s="4">
        <v>4</v>
      </c>
      <c r="I896" s="4">
        <v>7</v>
      </c>
      <c r="J896" s="5">
        <v>45491</v>
      </c>
      <c r="K896" s="6">
        <v>0.81307870370370372</v>
      </c>
    </row>
    <row r="897" spans="1:11" x14ac:dyDescent="0.25">
      <c r="A897" s="4">
        <v>21</v>
      </c>
      <c r="B897" s="4" t="s">
        <v>11</v>
      </c>
      <c r="C897" s="7">
        <v>32.82</v>
      </c>
      <c r="D897" s="4" t="s">
        <v>16</v>
      </c>
      <c r="E897" s="4" t="s">
        <v>20</v>
      </c>
      <c r="F897" s="4" t="s">
        <v>30</v>
      </c>
      <c r="G897" s="4" t="s">
        <v>34</v>
      </c>
      <c r="H897" s="4">
        <v>4</v>
      </c>
      <c r="I897" s="4">
        <v>7</v>
      </c>
      <c r="J897" s="5">
        <v>45491</v>
      </c>
      <c r="K897" s="6">
        <v>0.88866898148148143</v>
      </c>
    </row>
    <row r="898" spans="1:11" x14ac:dyDescent="0.25">
      <c r="A898" s="4">
        <v>21</v>
      </c>
      <c r="B898" s="4" t="s">
        <v>11</v>
      </c>
      <c r="C898" s="7">
        <v>32.82</v>
      </c>
      <c r="D898" s="4" t="s">
        <v>12</v>
      </c>
      <c r="E898" s="4" t="s">
        <v>20</v>
      </c>
      <c r="F898" s="4" t="s">
        <v>30</v>
      </c>
      <c r="G898" s="4" t="s">
        <v>34</v>
      </c>
      <c r="H898" s="4">
        <v>4</v>
      </c>
      <c r="I898" s="4">
        <v>7</v>
      </c>
      <c r="J898" s="5">
        <v>45491</v>
      </c>
      <c r="K898" s="6">
        <v>0.89026620370370368</v>
      </c>
    </row>
    <row r="899" spans="1:11" x14ac:dyDescent="0.25">
      <c r="A899" s="4">
        <v>21</v>
      </c>
      <c r="B899" s="4" t="s">
        <v>11</v>
      </c>
      <c r="C899" s="7">
        <v>32.82</v>
      </c>
      <c r="D899" s="4" t="s">
        <v>12</v>
      </c>
      <c r="E899" s="4" t="s">
        <v>20</v>
      </c>
      <c r="F899" s="4" t="s">
        <v>30</v>
      </c>
      <c r="G899" s="4" t="s">
        <v>34</v>
      </c>
      <c r="H899" s="4">
        <v>4</v>
      </c>
      <c r="I899" s="4">
        <v>7</v>
      </c>
      <c r="J899" s="5">
        <v>45491</v>
      </c>
      <c r="K899" s="6">
        <v>0.90715277777777781</v>
      </c>
    </row>
    <row r="900" spans="1:11" x14ac:dyDescent="0.25">
      <c r="A900" s="4">
        <v>11</v>
      </c>
      <c r="B900" s="4" t="s">
        <v>11</v>
      </c>
      <c r="C900" s="7">
        <v>23.02</v>
      </c>
      <c r="D900" s="4" t="s">
        <v>18</v>
      </c>
      <c r="E900" s="4" t="s">
        <v>13</v>
      </c>
      <c r="F900" s="4" t="s">
        <v>14</v>
      </c>
      <c r="G900" s="4" t="s">
        <v>34</v>
      </c>
      <c r="H900" s="4">
        <v>5</v>
      </c>
      <c r="I900" s="4">
        <v>7</v>
      </c>
      <c r="J900" s="5">
        <v>45492</v>
      </c>
      <c r="K900" s="6">
        <v>0.46043981481481483</v>
      </c>
    </row>
    <row r="901" spans="1:11" x14ac:dyDescent="0.25">
      <c r="A901" s="4">
        <v>11</v>
      </c>
      <c r="B901" s="4" t="s">
        <v>11</v>
      </c>
      <c r="C901" s="7">
        <v>27.92</v>
      </c>
      <c r="D901" s="4" t="s">
        <v>19</v>
      </c>
      <c r="E901" s="4" t="s">
        <v>13</v>
      </c>
      <c r="F901" s="4" t="s">
        <v>14</v>
      </c>
      <c r="G901" s="4" t="s">
        <v>34</v>
      </c>
      <c r="H901" s="4">
        <v>5</v>
      </c>
      <c r="I901" s="4">
        <v>7</v>
      </c>
      <c r="J901" s="5">
        <v>45492</v>
      </c>
      <c r="K901" s="6">
        <v>0.46967592592592594</v>
      </c>
    </row>
    <row r="902" spans="1:11" x14ac:dyDescent="0.25">
      <c r="A902" s="4">
        <v>12</v>
      </c>
      <c r="B902" s="4" t="s">
        <v>11</v>
      </c>
      <c r="C902" s="7">
        <v>32.82</v>
      </c>
      <c r="D902" s="4" t="s">
        <v>12</v>
      </c>
      <c r="E902" s="4" t="s">
        <v>17</v>
      </c>
      <c r="F902" s="4" t="s">
        <v>14</v>
      </c>
      <c r="G902" s="4" t="s">
        <v>34</v>
      </c>
      <c r="H902" s="4">
        <v>5</v>
      </c>
      <c r="I902" s="4">
        <v>7</v>
      </c>
      <c r="J902" s="5">
        <v>45492</v>
      </c>
      <c r="K902" s="6">
        <v>0.54070601851851852</v>
      </c>
    </row>
    <row r="903" spans="1:11" x14ac:dyDescent="0.25">
      <c r="A903" s="4">
        <v>12</v>
      </c>
      <c r="B903" s="4" t="s">
        <v>11</v>
      </c>
      <c r="C903" s="7">
        <v>27.92</v>
      </c>
      <c r="D903" s="4" t="s">
        <v>19</v>
      </c>
      <c r="E903" s="4" t="s">
        <v>17</v>
      </c>
      <c r="F903" s="4" t="s">
        <v>14</v>
      </c>
      <c r="G903" s="4" t="s">
        <v>34</v>
      </c>
      <c r="H903" s="4">
        <v>5</v>
      </c>
      <c r="I903" s="4">
        <v>7</v>
      </c>
      <c r="J903" s="5">
        <v>45492</v>
      </c>
      <c r="K903" s="6">
        <v>0.54160879629629632</v>
      </c>
    </row>
    <row r="904" spans="1:11" x14ac:dyDescent="0.25">
      <c r="A904" s="4">
        <v>14</v>
      </c>
      <c r="B904" s="4" t="s">
        <v>11</v>
      </c>
      <c r="C904" s="7">
        <v>32.82</v>
      </c>
      <c r="D904" s="4" t="s">
        <v>12</v>
      </c>
      <c r="E904" s="4" t="s">
        <v>17</v>
      </c>
      <c r="F904" s="4" t="s">
        <v>14</v>
      </c>
      <c r="G904" s="4" t="s">
        <v>34</v>
      </c>
      <c r="H904" s="4">
        <v>5</v>
      </c>
      <c r="I904" s="4">
        <v>7</v>
      </c>
      <c r="J904" s="5">
        <v>45492</v>
      </c>
      <c r="K904" s="6">
        <v>0.58981481481481479</v>
      </c>
    </row>
    <row r="905" spans="1:11" x14ac:dyDescent="0.25">
      <c r="A905" s="4">
        <v>14</v>
      </c>
      <c r="B905" s="4" t="s">
        <v>11</v>
      </c>
      <c r="C905" s="7">
        <v>32.82</v>
      </c>
      <c r="D905" s="4" t="s">
        <v>21</v>
      </c>
      <c r="E905" s="4" t="s">
        <v>17</v>
      </c>
      <c r="F905" s="4" t="s">
        <v>14</v>
      </c>
      <c r="G905" s="4" t="s">
        <v>34</v>
      </c>
      <c r="H905" s="4">
        <v>5</v>
      </c>
      <c r="I905" s="4">
        <v>7</v>
      </c>
      <c r="J905" s="5">
        <v>45492</v>
      </c>
      <c r="K905" s="6">
        <v>0.59122685185185186</v>
      </c>
    </row>
    <row r="906" spans="1:11" x14ac:dyDescent="0.25">
      <c r="A906" s="4">
        <v>16</v>
      </c>
      <c r="B906" s="4" t="s">
        <v>11</v>
      </c>
      <c r="C906" s="7">
        <v>32.82</v>
      </c>
      <c r="D906" s="4" t="s">
        <v>12</v>
      </c>
      <c r="E906" s="4" t="s">
        <v>17</v>
      </c>
      <c r="F906" s="4" t="s">
        <v>14</v>
      </c>
      <c r="G906" s="4" t="s">
        <v>34</v>
      </c>
      <c r="H906" s="4">
        <v>5</v>
      </c>
      <c r="I906" s="4">
        <v>7</v>
      </c>
      <c r="J906" s="5">
        <v>45492</v>
      </c>
      <c r="K906" s="6">
        <v>0.69188657407407406</v>
      </c>
    </row>
    <row r="907" spans="1:11" x14ac:dyDescent="0.25">
      <c r="A907" s="4">
        <v>16</v>
      </c>
      <c r="B907" s="4" t="s">
        <v>11</v>
      </c>
      <c r="C907" s="7">
        <v>32.82</v>
      </c>
      <c r="D907" s="4" t="s">
        <v>12</v>
      </c>
      <c r="E907" s="4" t="s">
        <v>17</v>
      </c>
      <c r="F907" s="4" t="s">
        <v>14</v>
      </c>
      <c r="G907" s="4" t="s">
        <v>34</v>
      </c>
      <c r="H907" s="4">
        <v>5</v>
      </c>
      <c r="I907" s="4">
        <v>7</v>
      </c>
      <c r="J907" s="5">
        <v>45492</v>
      </c>
      <c r="K907" s="6">
        <v>0.69276620370370368</v>
      </c>
    </row>
    <row r="908" spans="1:11" x14ac:dyDescent="0.25">
      <c r="A908" s="4">
        <v>8</v>
      </c>
      <c r="B908" s="4" t="s">
        <v>11</v>
      </c>
      <c r="C908" s="7">
        <v>23.02</v>
      </c>
      <c r="D908" s="4" t="s">
        <v>18</v>
      </c>
      <c r="E908" s="4" t="s">
        <v>13</v>
      </c>
      <c r="F908" s="4" t="s">
        <v>22</v>
      </c>
      <c r="G908" s="4" t="s">
        <v>34</v>
      </c>
      <c r="H908" s="4">
        <v>6</v>
      </c>
      <c r="I908" s="4">
        <v>7</v>
      </c>
      <c r="J908" s="5">
        <v>45493</v>
      </c>
      <c r="K908" s="6">
        <v>0.33731481481481479</v>
      </c>
    </row>
    <row r="909" spans="1:11" x14ac:dyDescent="0.25">
      <c r="A909" s="4">
        <v>8</v>
      </c>
      <c r="B909" s="4" t="s">
        <v>11</v>
      </c>
      <c r="C909" s="7">
        <v>32.82</v>
      </c>
      <c r="D909" s="4" t="s">
        <v>12</v>
      </c>
      <c r="E909" s="4" t="s">
        <v>13</v>
      </c>
      <c r="F909" s="4" t="s">
        <v>22</v>
      </c>
      <c r="G909" s="4" t="s">
        <v>34</v>
      </c>
      <c r="H909" s="4">
        <v>6</v>
      </c>
      <c r="I909" s="4">
        <v>7</v>
      </c>
      <c r="J909" s="5">
        <v>45493</v>
      </c>
      <c r="K909" s="6">
        <v>0.33805555555555555</v>
      </c>
    </row>
    <row r="910" spans="1:11" x14ac:dyDescent="0.25">
      <c r="A910" s="4">
        <v>8</v>
      </c>
      <c r="B910" s="4" t="s">
        <v>11</v>
      </c>
      <c r="C910" s="7">
        <v>23.02</v>
      </c>
      <c r="D910" s="4" t="s">
        <v>18</v>
      </c>
      <c r="E910" s="4" t="s">
        <v>13</v>
      </c>
      <c r="F910" s="4" t="s">
        <v>22</v>
      </c>
      <c r="G910" s="4" t="s">
        <v>34</v>
      </c>
      <c r="H910" s="4">
        <v>6</v>
      </c>
      <c r="I910" s="4">
        <v>7</v>
      </c>
      <c r="J910" s="5">
        <v>45493</v>
      </c>
      <c r="K910" s="6">
        <v>0.33878472222222222</v>
      </c>
    </row>
    <row r="911" spans="1:11" x14ac:dyDescent="0.25">
      <c r="A911" s="4">
        <v>9</v>
      </c>
      <c r="B911" s="4" t="s">
        <v>11</v>
      </c>
      <c r="C911" s="7">
        <v>32.82</v>
      </c>
      <c r="D911" s="4" t="s">
        <v>12</v>
      </c>
      <c r="E911" s="4" t="s">
        <v>13</v>
      </c>
      <c r="F911" s="4" t="s">
        <v>22</v>
      </c>
      <c r="G911" s="4" t="s">
        <v>34</v>
      </c>
      <c r="H911" s="4">
        <v>6</v>
      </c>
      <c r="I911" s="4">
        <v>7</v>
      </c>
      <c r="J911" s="5">
        <v>45493</v>
      </c>
      <c r="K911" s="6">
        <v>0.37561342592592595</v>
      </c>
    </row>
    <row r="912" spans="1:11" x14ac:dyDescent="0.25">
      <c r="A912" s="4">
        <v>9</v>
      </c>
      <c r="B912" s="4" t="s">
        <v>11</v>
      </c>
      <c r="C912" s="7">
        <v>32.82</v>
      </c>
      <c r="D912" s="4" t="s">
        <v>12</v>
      </c>
      <c r="E912" s="4" t="s">
        <v>13</v>
      </c>
      <c r="F912" s="4" t="s">
        <v>22</v>
      </c>
      <c r="G912" s="4" t="s">
        <v>34</v>
      </c>
      <c r="H912" s="4">
        <v>6</v>
      </c>
      <c r="I912" s="4">
        <v>7</v>
      </c>
      <c r="J912" s="5">
        <v>45493</v>
      </c>
      <c r="K912" s="6">
        <v>0.37670138888888888</v>
      </c>
    </row>
    <row r="913" spans="1:11" x14ac:dyDescent="0.25">
      <c r="A913" s="4">
        <v>10</v>
      </c>
      <c r="B913" s="4" t="s">
        <v>11</v>
      </c>
      <c r="C913" s="7">
        <v>23.02</v>
      </c>
      <c r="D913" s="4" t="s">
        <v>18</v>
      </c>
      <c r="E913" s="4" t="s">
        <v>13</v>
      </c>
      <c r="F913" s="4" t="s">
        <v>22</v>
      </c>
      <c r="G913" s="4" t="s">
        <v>34</v>
      </c>
      <c r="H913" s="4">
        <v>6</v>
      </c>
      <c r="I913" s="4">
        <v>7</v>
      </c>
      <c r="J913" s="5">
        <v>45493</v>
      </c>
      <c r="K913" s="6">
        <v>0.44399305555555557</v>
      </c>
    </row>
    <row r="914" spans="1:11" x14ac:dyDescent="0.25">
      <c r="A914" s="4">
        <v>15</v>
      </c>
      <c r="B914" s="4" t="s">
        <v>11</v>
      </c>
      <c r="C914" s="7">
        <v>32.82</v>
      </c>
      <c r="D914" s="4" t="s">
        <v>12</v>
      </c>
      <c r="E914" s="4" t="s">
        <v>17</v>
      </c>
      <c r="F914" s="4" t="s">
        <v>22</v>
      </c>
      <c r="G914" s="4" t="s">
        <v>34</v>
      </c>
      <c r="H914" s="4">
        <v>6</v>
      </c>
      <c r="I914" s="4">
        <v>7</v>
      </c>
      <c r="J914" s="5">
        <v>45493</v>
      </c>
      <c r="K914" s="6">
        <v>0.63552083333333331</v>
      </c>
    </row>
    <row r="915" spans="1:11" x14ac:dyDescent="0.25">
      <c r="A915" s="4">
        <v>10</v>
      </c>
      <c r="B915" s="4" t="s">
        <v>11</v>
      </c>
      <c r="C915" s="7">
        <v>32.82</v>
      </c>
      <c r="D915" s="4" t="s">
        <v>21</v>
      </c>
      <c r="E915" s="4" t="s">
        <v>13</v>
      </c>
      <c r="F915" s="4" t="s">
        <v>23</v>
      </c>
      <c r="G915" s="4" t="s">
        <v>34</v>
      </c>
      <c r="H915" s="4">
        <v>7</v>
      </c>
      <c r="I915" s="4">
        <v>7</v>
      </c>
      <c r="J915" s="5">
        <v>45494</v>
      </c>
      <c r="K915" s="6">
        <v>0.43813657407407408</v>
      </c>
    </row>
    <row r="916" spans="1:11" x14ac:dyDescent="0.25">
      <c r="A916" s="4">
        <v>11</v>
      </c>
      <c r="B916" s="4" t="s">
        <v>11</v>
      </c>
      <c r="C916" s="7">
        <v>32.82</v>
      </c>
      <c r="D916" s="4" t="s">
        <v>29</v>
      </c>
      <c r="E916" s="4" t="s">
        <v>13</v>
      </c>
      <c r="F916" s="4" t="s">
        <v>23</v>
      </c>
      <c r="G916" s="4" t="s">
        <v>34</v>
      </c>
      <c r="H916" s="4">
        <v>7</v>
      </c>
      <c r="I916" s="4">
        <v>7</v>
      </c>
      <c r="J916" s="5">
        <v>45494</v>
      </c>
      <c r="K916" s="6">
        <v>0.48574074074074075</v>
      </c>
    </row>
    <row r="917" spans="1:11" x14ac:dyDescent="0.25">
      <c r="A917" s="4">
        <v>13</v>
      </c>
      <c r="B917" s="4" t="s">
        <v>11</v>
      </c>
      <c r="C917" s="7">
        <v>23.02</v>
      </c>
      <c r="D917" s="4" t="s">
        <v>24</v>
      </c>
      <c r="E917" s="4" t="s">
        <v>17</v>
      </c>
      <c r="F917" s="4" t="s">
        <v>23</v>
      </c>
      <c r="G917" s="4" t="s">
        <v>34</v>
      </c>
      <c r="H917" s="4">
        <v>7</v>
      </c>
      <c r="I917" s="4">
        <v>7</v>
      </c>
      <c r="J917" s="5">
        <v>45494</v>
      </c>
      <c r="K917" s="6">
        <v>0.56562500000000004</v>
      </c>
    </row>
    <row r="918" spans="1:11" x14ac:dyDescent="0.25">
      <c r="A918" s="4">
        <v>13</v>
      </c>
      <c r="B918" s="4" t="s">
        <v>11</v>
      </c>
      <c r="C918" s="7">
        <v>32.82</v>
      </c>
      <c r="D918" s="4" t="s">
        <v>12</v>
      </c>
      <c r="E918" s="4" t="s">
        <v>17</v>
      </c>
      <c r="F918" s="4" t="s">
        <v>23</v>
      </c>
      <c r="G918" s="4" t="s">
        <v>34</v>
      </c>
      <c r="H918" s="4">
        <v>7</v>
      </c>
      <c r="I918" s="4">
        <v>7</v>
      </c>
      <c r="J918" s="5">
        <v>45494</v>
      </c>
      <c r="K918" s="6">
        <v>0.57119212962962962</v>
      </c>
    </row>
    <row r="919" spans="1:11" x14ac:dyDescent="0.25">
      <c r="A919" s="4">
        <v>8</v>
      </c>
      <c r="B919" s="4" t="s">
        <v>11</v>
      </c>
      <c r="C919" s="7">
        <v>23.02</v>
      </c>
      <c r="D919" s="4" t="s">
        <v>18</v>
      </c>
      <c r="E919" s="4" t="s">
        <v>13</v>
      </c>
      <c r="F919" s="4" t="s">
        <v>25</v>
      </c>
      <c r="G919" s="4" t="s">
        <v>34</v>
      </c>
      <c r="H919" s="4">
        <v>1</v>
      </c>
      <c r="I919" s="4">
        <v>7</v>
      </c>
      <c r="J919" s="5">
        <v>45495</v>
      </c>
      <c r="K919" s="6">
        <v>0.34262731481481479</v>
      </c>
    </row>
    <row r="920" spans="1:11" x14ac:dyDescent="0.25">
      <c r="A920" s="4">
        <v>8</v>
      </c>
      <c r="B920" s="4" t="s">
        <v>11</v>
      </c>
      <c r="C920" s="7">
        <v>23.02</v>
      </c>
      <c r="D920" s="4" t="s">
        <v>18</v>
      </c>
      <c r="E920" s="4" t="s">
        <v>13</v>
      </c>
      <c r="F920" s="4" t="s">
        <v>25</v>
      </c>
      <c r="G920" s="4" t="s">
        <v>34</v>
      </c>
      <c r="H920" s="4">
        <v>1</v>
      </c>
      <c r="I920" s="4">
        <v>7</v>
      </c>
      <c r="J920" s="5">
        <v>45495</v>
      </c>
      <c r="K920" s="6">
        <v>0.36167824074074073</v>
      </c>
    </row>
    <row r="921" spans="1:11" x14ac:dyDescent="0.25">
      <c r="A921" s="4">
        <v>10</v>
      </c>
      <c r="B921" s="4" t="s">
        <v>11</v>
      </c>
      <c r="C921" s="7">
        <v>27.92</v>
      </c>
      <c r="D921" s="4" t="s">
        <v>19</v>
      </c>
      <c r="E921" s="4" t="s">
        <v>13</v>
      </c>
      <c r="F921" s="4" t="s">
        <v>25</v>
      </c>
      <c r="G921" s="4" t="s">
        <v>34</v>
      </c>
      <c r="H921" s="4">
        <v>1</v>
      </c>
      <c r="I921" s="4">
        <v>7</v>
      </c>
      <c r="J921" s="5">
        <v>45495</v>
      </c>
      <c r="K921" s="6">
        <v>0.42751157407407409</v>
      </c>
    </row>
    <row r="922" spans="1:11" x14ac:dyDescent="0.25">
      <c r="A922" s="4">
        <v>16</v>
      </c>
      <c r="B922" s="4" t="s">
        <v>11</v>
      </c>
      <c r="C922" s="7">
        <v>32.82</v>
      </c>
      <c r="D922" s="4" t="s">
        <v>12</v>
      </c>
      <c r="E922" s="4" t="s">
        <v>17</v>
      </c>
      <c r="F922" s="4" t="s">
        <v>25</v>
      </c>
      <c r="G922" s="4" t="s">
        <v>34</v>
      </c>
      <c r="H922" s="4">
        <v>1</v>
      </c>
      <c r="I922" s="4">
        <v>7</v>
      </c>
      <c r="J922" s="5">
        <v>45495</v>
      </c>
      <c r="K922" s="6">
        <v>0.69765046296296296</v>
      </c>
    </row>
    <row r="923" spans="1:11" x14ac:dyDescent="0.25">
      <c r="A923" s="4">
        <v>8</v>
      </c>
      <c r="B923" s="4" t="s">
        <v>11</v>
      </c>
      <c r="C923" s="7">
        <v>32.82</v>
      </c>
      <c r="D923" s="4" t="s">
        <v>12</v>
      </c>
      <c r="E923" s="4" t="s">
        <v>13</v>
      </c>
      <c r="F923" s="4" t="s">
        <v>27</v>
      </c>
      <c r="G923" s="4" t="s">
        <v>34</v>
      </c>
      <c r="H923" s="4">
        <v>2</v>
      </c>
      <c r="I923" s="4">
        <v>7</v>
      </c>
      <c r="J923" s="5">
        <v>45496</v>
      </c>
      <c r="K923" s="6">
        <v>0.34231481481481479</v>
      </c>
    </row>
    <row r="924" spans="1:11" x14ac:dyDescent="0.25">
      <c r="A924" s="4">
        <v>8</v>
      </c>
      <c r="B924" s="4" t="s">
        <v>11</v>
      </c>
      <c r="C924" s="7">
        <v>23.02</v>
      </c>
      <c r="D924" s="4" t="s">
        <v>18</v>
      </c>
      <c r="E924" s="4" t="s">
        <v>13</v>
      </c>
      <c r="F924" s="4" t="s">
        <v>27</v>
      </c>
      <c r="G924" s="4" t="s">
        <v>34</v>
      </c>
      <c r="H924" s="4">
        <v>2</v>
      </c>
      <c r="I924" s="4">
        <v>7</v>
      </c>
      <c r="J924" s="5">
        <v>45496</v>
      </c>
      <c r="K924" s="6">
        <v>0.36131944444444447</v>
      </c>
    </row>
    <row r="925" spans="1:11" x14ac:dyDescent="0.25">
      <c r="A925" s="4">
        <v>8</v>
      </c>
      <c r="B925" s="4" t="s">
        <v>11</v>
      </c>
      <c r="C925" s="7">
        <v>27.92</v>
      </c>
      <c r="D925" s="4" t="s">
        <v>19</v>
      </c>
      <c r="E925" s="4" t="s">
        <v>13</v>
      </c>
      <c r="F925" s="4" t="s">
        <v>27</v>
      </c>
      <c r="G925" s="4" t="s">
        <v>34</v>
      </c>
      <c r="H925" s="4">
        <v>2</v>
      </c>
      <c r="I925" s="4">
        <v>7</v>
      </c>
      <c r="J925" s="5">
        <v>45496</v>
      </c>
      <c r="K925" s="6">
        <v>0.36450231481481482</v>
      </c>
    </row>
    <row r="926" spans="1:11" x14ac:dyDescent="0.25">
      <c r="A926" s="4">
        <v>8</v>
      </c>
      <c r="B926" s="4" t="s">
        <v>11</v>
      </c>
      <c r="C926" s="7">
        <v>32.82</v>
      </c>
      <c r="D926" s="4" t="s">
        <v>21</v>
      </c>
      <c r="E926" s="4" t="s">
        <v>13</v>
      </c>
      <c r="F926" s="4" t="s">
        <v>27</v>
      </c>
      <c r="G926" s="4" t="s">
        <v>34</v>
      </c>
      <c r="H926" s="4">
        <v>2</v>
      </c>
      <c r="I926" s="4">
        <v>7</v>
      </c>
      <c r="J926" s="5">
        <v>45496</v>
      </c>
      <c r="K926" s="6">
        <v>0.36765046296296294</v>
      </c>
    </row>
    <row r="927" spans="1:11" x14ac:dyDescent="0.25">
      <c r="A927" s="4">
        <v>8</v>
      </c>
      <c r="B927" s="4" t="s">
        <v>11</v>
      </c>
      <c r="C927" s="7">
        <v>32.82</v>
      </c>
      <c r="D927" s="4" t="s">
        <v>12</v>
      </c>
      <c r="E927" s="4" t="s">
        <v>13</v>
      </c>
      <c r="F927" s="4" t="s">
        <v>27</v>
      </c>
      <c r="G927" s="4" t="s">
        <v>34</v>
      </c>
      <c r="H927" s="4">
        <v>2</v>
      </c>
      <c r="I927" s="4">
        <v>7</v>
      </c>
      <c r="J927" s="5">
        <v>45496</v>
      </c>
      <c r="K927" s="6">
        <v>0.36886574074074074</v>
      </c>
    </row>
    <row r="928" spans="1:11" x14ac:dyDescent="0.25">
      <c r="A928" s="4">
        <v>9</v>
      </c>
      <c r="B928" s="4" t="s">
        <v>11</v>
      </c>
      <c r="C928" s="7">
        <v>23.02</v>
      </c>
      <c r="D928" s="4" t="s">
        <v>18</v>
      </c>
      <c r="E928" s="4" t="s">
        <v>13</v>
      </c>
      <c r="F928" s="4" t="s">
        <v>27</v>
      </c>
      <c r="G928" s="4" t="s">
        <v>34</v>
      </c>
      <c r="H928" s="4">
        <v>2</v>
      </c>
      <c r="I928" s="4">
        <v>7</v>
      </c>
      <c r="J928" s="5">
        <v>45496</v>
      </c>
      <c r="K928" s="6">
        <v>0.3762152777777778</v>
      </c>
    </row>
    <row r="929" spans="1:11" x14ac:dyDescent="0.25">
      <c r="A929" s="4">
        <v>10</v>
      </c>
      <c r="B929" s="4" t="s">
        <v>11</v>
      </c>
      <c r="C929" s="7">
        <v>27.92</v>
      </c>
      <c r="D929" s="4" t="s">
        <v>19</v>
      </c>
      <c r="E929" s="4" t="s">
        <v>13</v>
      </c>
      <c r="F929" s="4" t="s">
        <v>27</v>
      </c>
      <c r="G929" s="4" t="s">
        <v>34</v>
      </c>
      <c r="H929" s="4">
        <v>2</v>
      </c>
      <c r="I929" s="4">
        <v>7</v>
      </c>
      <c r="J929" s="5">
        <v>45496</v>
      </c>
      <c r="K929" s="6">
        <v>0.41916666666666669</v>
      </c>
    </row>
    <row r="930" spans="1:11" x14ac:dyDescent="0.25">
      <c r="A930" s="4">
        <v>15</v>
      </c>
      <c r="B930" s="4" t="s">
        <v>11</v>
      </c>
      <c r="C930" s="7">
        <v>27.92</v>
      </c>
      <c r="D930" s="4" t="s">
        <v>19</v>
      </c>
      <c r="E930" s="4" t="s">
        <v>17</v>
      </c>
      <c r="F930" s="4" t="s">
        <v>27</v>
      </c>
      <c r="G930" s="4" t="s">
        <v>34</v>
      </c>
      <c r="H930" s="4">
        <v>2</v>
      </c>
      <c r="I930" s="4">
        <v>7</v>
      </c>
      <c r="J930" s="5">
        <v>45496</v>
      </c>
      <c r="K930" s="6">
        <v>0.63893518518518522</v>
      </c>
    </row>
    <row r="931" spans="1:11" x14ac:dyDescent="0.25">
      <c r="A931" s="4">
        <v>15</v>
      </c>
      <c r="B931" s="4" t="s">
        <v>11</v>
      </c>
      <c r="C931" s="7">
        <v>32.82</v>
      </c>
      <c r="D931" s="4" t="s">
        <v>12</v>
      </c>
      <c r="E931" s="4" t="s">
        <v>17</v>
      </c>
      <c r="F931" s="4" t="s">
        <v>27</v>
      </c>
      <c r="G931" s="4" t="s">
        <v>34</v>
      </c>
      <c r="H931" s="4">
        <v>2</v>
      </c>
      <c r="I931" s="4">
        <v>7</v>
      </c>
      <c r="J931" s="5">
        <v>45496</v>
      </c>
      <c r="K931" s="6">
        <v>0.63959490740740743</v>
      </c>
    </row>
    <row r="932" spans="1:11" x14ac:dyDescent="0.25">
      <c r="A932" s="4">
        <v>21</v>
      </c>
      <c r="B932" s="4" t="s">
        <v>11</v>
      </c>
      <c r="C932" s="7">
        <v>32.82</v>
      </c>
      <c r="D932" s="4" t="s">
        <v>12</v>
      </c>
      <c r="E932" s="4" t="s">
        <v>20</v>
      </c>
      <c r="F932" s="4" t="s">
        <v>27</v>
      </c>
      <c r="G932" s="4" t="s">
        <v>34</v>
      </c>
      <c r="H932" s="4">
        <v>2</v>
      </c>
      <c r="I932" s="4">
        <v>7</v>
      </c>
      <c r="J932" s="5">
        <v>45496</v>
      </c>
      <c r="K932" s="6">
        <v>0.87615740740740744</v>
      </c>
    </row>
    <row r="933" spans="1:11" x14ac:dyDescent="0.25">
      <c r="A933" s="4">
        <v>21</v>
      </c>
      <c r="B933" s="4" t="s">
        <v>11</v>
      </c>
      <c r="C933" s="7">
        <v>23.02</v>
      </c>
      <c r="D933" s="4" t="s">
        <v>18</v>
      </c>
      <c r="E933" s="4" t="s">
        <v>20</v>
      </c>
      <c r="F933" s="4" t="s">
        <v>27</v>
      </c>
      <c r="G933" s="4" t="s">
        <v>34</v>
      </c>
      <c r="H933" s="4">
        <v>2</v>
      </c>
      <c r="I933" s="4">
        <v>7</v>
      </c>
      <c r="J933" s="5">
        <v>45496</v>
      </c>
      <c r="K933" s="6">
        <v>0.89112268518518523</v>
      </c>
    </row>
    <row r="934" spans="1:11" x14ac:dyDescent="0.25">
      <c r="A934" s="4">
        <v>21</v>
      </c>
      <c r="B934" s="4" t="s">
        <v>11</v>
      </c>
      <c r="C934" s="7">
        <v>23.02</v>
      </c>
      <c r="D934" s="4" t="s">
        <v>18</v>
      </c>
      <c r="E934" s="4" t="s">
        <v>20</v>
      </c>
      <c r="F934" s="4" t="s">
        <v>27</v>
      </c>
      <c r="G934" s="4" t="s">
        <v>34</v>
      </c>
      <c r="H934" s="4">
        <v>2</v>
      </c>
      <c r="I934" s="4">
        <v>7</v>
      </c>
      <c r="J934" s="5">
        <v>45496</v>
      </c>
      <c r="K934" s="6">
        <v>0.89192129629629635</v>
      </c>
    </row>
    <row r="935" spans="1:11" x14ac:dyDescent="0.25">
      <c r="A935" s="4">
        <v>9</v>
      </c>
      <c r="B935" s="4" t="s">
        <v>11</v>
      </c>
      <c r="C935" s="7">
        <v>27.92</v>
      </c>
      <c r="D935" s="4" t="s">
        <v>19</v>
      </c>
      <c r="E935" s="4" t="s">
        <v>13</v>
      </c>
      <c r="F935" s="4" t="s">
        <v>28</v>
      </c>
      <c r="G935" s="4" t="s">
        <v>34</v>
      </c>
      <c r="H935" s="4">
        <v>3</v>
      </c>
      <c r="I935" s="4">
        <v>7</v>
      </c>
      <c r="J935" s="5">
        <v>45497</v>
      </c>
      <c r="K935" s="6">
        <v>0.38621527777777775</v>
      </c>
    </row>
    <row r="936" spans="1:11" x14ac:dyDescent="0.25">
      <c r="A936" s="4">
        <v>9</v>
      </c>
      <c r="B936" s="4" t="s">
        <v>11</v>
      </c>
      <c r="C936" s="7">
        <v>27.92</v>
      </c>
      <c r="D936" s="4" t="s">
        <v>19</v>
      </c>
      <c r="E936" s="4" t="s">
        <v>13</v>
      </c>
      <c r="F936" s="4" t="s">
        <v>28</v>
      </c>
      <c r="G936" s="4" t="s">
        <v>34</v>
      </c>
      <c r="H936" s="4">
        <v>3</v>
      </c>
      <c r="I936" s="4">
        <v>7</v>
      </c>
      <c r="J936" s="5">
        <v>45497</v>
      </c>
      <c r="K936" s="6">
        <v>0.40202546296296299</v>
      </c>
    </row>
    <row r="937" spans="1:11" x14ac:dyDescent="0.25">
      <c r="A937" s="4">
        <v>9</v>
      </c>
      <c r="B937" s="4" t="s">
        <v>11</v>
      </c>
      <c r="C937" s="7">
        <v>18.12</v>
      </c>
      <c r="D937" s="4" t="s">
        <v>26</v>
      </c>
      <c r="E937" s="4" t="s">
        <v>13</v>
      </c>
      <c r="F937" s="4" t="s">
        <v>28</v>
      </c>
      <c r="G937" s="4" t="s">
        <v>34</v>
      </c>
      <c r="H937" s="4">
        <v>3</v>
      </c>
      <c r="I937" s="4">
        <v>7</v>
      </c>
      <c r="J937" s="5">
        <v>45497</v>
      </c>
      <c r="K937" s="6">
        <v>0.41292824074074075</v>
      </c>
    </row>
    <row r="938" spans="1:11" x14ac:dyDescent="0.25">
      <c r="A938" s="4">
        <v>11</v>
      </c>
      <c r="B938" s="4" t="s">
        <v>11</v>
      </c>
      <c r="C938" s="7">
        <v>32.82</v>
      </c>
      <c r="D938" s="4" t="s">
        <v>29</v>
      </c>
      <c r="E938" s="4" t="s">
        <v>13</v>
      </c>
      <c r="F938" s="4" t="s">
        <v>28</v>
      </c>
      <c r="G938" s="4" t="s">
        <v>34</v>
      </c>
      <c r="H938" s="4">
        <v>3</v>
      </c>
      <c r="I938" s="4">
        <v>7</v>
      </c>
      <c r="J938" s="5">
        <v>45497</v>
      </c>
      <c r="K938" s="6">
        <v>0.48880787037037038</v>
      </c>
    </row>
    <row r="939" spans="1:11" x14ac:dyDescent="0.25">
      <c r="A939" s="4">
        <v>13</v>
      </c>
      <c r="B939" s="4" t="s">
        <v>11</v>
      </c>
      <c r="C939" s="7">
        <v>32.82</v>
      </c>
      <c r="D939" s="4" t="s">
        <v>12</v>
      </c>
      <c r="E939" s="4" t="s">
        <v>17</v>
      </c>
      <c r="F939" s="4" t="s">
        <v>28</v>
      </c>
      <c r="G939" s="4" t="s">
        <v>34</v>
      </c>
      <c r="H939" s="4">
        <v>3</v>
      </c>
      <c r="I939" s="4">
        <v>7</v>
      </c>
      <c r="J939" s="5">
        <v>45497</v>
      </c>
      <c r="K939" s="6">
        <v>0.58001157407407411</v>
      </c>
    </row>
    <row r="940" spans="1:11" x14ac:dyDescent="0.25">
      <c r="A940" s="4">
        <v>14</v>
      </c>
      <c r="B940" s="4" t="s">
        <v>11</v>
      </c>
      <c r="C940" s="7">
        <v>18.12</v>
      </c>
      <c r="D940" s="4" t="s">
        <v>26</v>
      </c>
      <c r="E940" s="4" t="s">
        <v>17</v>
      </c>
      <c r="F940" s="4" t="s">
        <v>28</v>
      </c>
      <c r="G940" s="4" t="s">
        <v>34</v>
      </c>
      <c r="H940" s="4">
        <v>3</v>
      </c>
      <c r="I940" s="4">
        <v>7</v>
      </c>
      <c r="J940" s="5">
        <v>45497</v>
      </c>
      <c r="K940" s="6">
        <v>0.61515046296296294</v>
      </c>
    </row>
    <row r="941" spans="1:11" x14ac:dyDescent="0.25">
      <c r="A941" s="4">
        <v>15</v>
      </c>
      <c r="B941" s="4" t="s">
        <v>11</v>
      </c>
      <c r="C941" s="7">
        <v>32.82</v>
      </c>
      <c r="D941" s="4" t="s">
        <v>12</v>
      </c>
      <c r="E941" s="4" t="s">
        <v>17</v>
      </c>
      <c r="F941" s="4" t="s">
        <v>28</v>
      </c>
      <c r="G941" s="4" t="s">
        <v>34</v>
      </c>
      <c r="H941" s="4">
        <v>3</v>
      </c>
      <c r="I941" s="4">
        <v>7</v>
      </c>
      <c r="J941" s="5">
        <v>45497</v>
      </c>
      <c r="K941" s="6">
        <v>0.63784722222222223</v>
      </c>
    </row>
    <row r="942" spans="1:11" x14ac:dyDescent="0.25">
      <c r="A942" s="4">
        <v>19</v>
      </c>
      <c r="B942" s="4" t="s">
        <v>11</v>
      </c>
      <c r="C942" s="7">
        <v>32.82</v>
      </c>
      <c r="D942" s="4" t="s">
        <v>29</v>
      </c>
      <c r="E942" s="4" t="s">
        <v>20</v>
      </c>
      <c r="F942" s="4" t="s">
        <v>28</v>
      </c>
      <c r="G942" s="4" t="s">
        <v>34</v>
      </c>
      <c r="H942" s="4">
        <v>3</v>
      </c>
      <c r="I942" s="4">
        <v>7</v>
      </c>
      <c r="J942" s="5">
        <v>45497</v>
      </c>
      <c r="K942" s="6">
        <v>0.80214120370370368</v>
      </c>
    </row>
    <row r="943" spans="1:11" x14ac:dyDescent="0.25">
      <c r="A943" s="4">
        <v>19</v>
      </c>
      <c r="B943" s="4" t="s">
        <v>11</v>
      </c>
      <c r="C943" s="7">
        <v>32.82</v>
      </c>
      <c r="D943" s="4" t="s">
        <v>29</v>
      </c>
      <c r="E943" s="4" t="s">
        <v>20</v>
      </c>
      <c r="F943" s="4" t="s">
        <v>28</v>
      </c>
      <c r="G943" s="4" t="s">
        <v>34</v>
      </c>
      <c r="H943" s="4">
        <v>3</v>
      </c>
      <c r="I943" s="4">
        <v>7</v>
      </c>
      <c r="J943" s="5">
        <v>45497</v>
      </c>
      <c r="K943" s="6">
        <v>0.8034606481481481</v>
      </c>
    </row>
    <row r="944" spans="1:11" x14ac:dyDescent="0.25">
      <c r="A944" s="4">
        <v>21</v>
      </c>
      <c r="B944" s="4" t="s">
        <v>11</v>
      </c>
      <c r="C944" s="7">
        <v>27.92</v>
      </c>
      <c r="D944" s="4" t="s">
        <v>19</v>
      </c>
      <c r="E944" s="4" t="s">
        <v>20</v>
      </c>
      <c r="F944" s="4" t="s">
        <v>28</v>
      </c>
      <c r="G944" s="4" t="s">
        <v>34</v>
      </c>
      <c r="H944" s="4">
        <v>3</v>
      </c>
      <c r="I944" s="4">
        <v>7</v>
      </c>
      <c r="J944" s="5">
        <v>45497</v>
      </c>
      <c r="K944" s="6">
        <v>0.88722222222222225</v>
      </c>
    </row>
    <row r="945" spans="1:11" x14ac:dyDescent="0.25">
      <c r="A945" s="4">
        <v>21</v>
      </c>
      <c r="B945" s="4" t="s">
        <v>11</v>
      </c>
      <c r="C945" s="7">
        <v>23.02</v>
      </c>
      <c r="D945" s="4" t="s">
        <v>18</v>
      </c>
      <c r="E945" s="4" t="s">
        <v>20</v>
      </c>
      <c r="F945" s="4" t="s">
        <v>28</v>
      </c>
      <c r="G945" s="4" t="s">
        <v>34</v>
      </c>
      <c r="H945" s="4">
        <v>3</v>
      </c>
      <c r="I945" s="4">
        <v>7</v>
      </c>
      <c r="J945" s="5">
        <v>45497</v>
      </c>
      <c r="K945" s="6">
        <v>0.88797453703703699</v>
      </c>
    </row>
    <row r="946" spans="1:11" x14ac:dyDescent="0.25">
      <c r="A946" s="4">
        <v>21</v>
      </c>
      <c r="B946" s="4" t="s">
        <v>11</v>
      </c>
      <c r="C946" s="7">
        <v>23.02</v>
      </c>
      <c r="D946" s="4" t="s">
        <v>18</v>
      </c>
      <c r="E946" s="4" t="s">
        <v>20</v>
      </c>
      <c r="F946" s="4" t="s">
        <v>28</v>
      </c>
      <c r="G946" s="4" t="s">
        <v>34</v>
      </c>
      <c r="H946" s="4">
        <v>3</v>
      </c>
      <c r="I946" s="4">
        <v>7</v>
      </c>
      <c r="J946" s="5">
        <v>45497</v>
      </c>
      <c r="K946" s="6">
        <v>0.89255787037037038</v>
      </c>
    </row>
    <row r="947" spans="1:11" x14ac:dyDescent="0.25">
      <c r="A947" s="4">
        <v>7</v>
      </c>
      <c r="B947" s="4" t="s">
        <v>11</v>
      </c>
      <c r="C947" s="7">
        <v>23.02</v>
      </c>
      <c r="D947" s="4" t="s">
        <v>18</v>
      </c>
      <c r="E947" s="4" t="s">
        <v>13</v>
      </c>
      <c r="F947" s="4" t="s">
        <v>30</v>
      </c>
      <c r="G947" s="4" t="s">
        <v>34</v>
      </c>
      <c r="H947" s="4">
        <v>4</v>
      </c>
      <c r="I947" s="4">
        <v>7</v>
      </c>
      <c r="J947" s="5">
        <v>45498</v>
      </c>
      <c r="K947" s="6">
        <v>0.32971064814814816</v>
      </c>
    </row>
    <row r="948" spans="1:11" x14ac:dyDescent="0.25">
      <c r="A948" s="4">
        <v>8</v>
      </c>
      <c r="B948" s="4" t="s">
        <v>11</v>
      </c>
      <c r="C948" s="7">
        <v>32.82</v>
      </c>
      <c r="D948" s="4" t="s">
        <v>12</v>
      </c>
      <c r="E948" s="4" t="s">
        <v>13</v>
      </c>
      <c r="F948" s="4" t="s">
        <v>30</v>
      </c>
      <c r="G948" s="4" t="s">
        <v>34</v>
      </c>
      <c r="H948" s="4">
        <v>4</v>
      </c>
      <c r="I948" s="4">
        <v>7</v>
      </c>
      <c r="J948" s="5">
        <v>45498</v>
      </c>
      <c r="K948" s="6">
        <v>0.36756944444444445</v>
      </c>
    </row>
    <row r="949" spans="1:11" x14ac:dyDescent="0.25">
      <c r="A949" s="4">
        <v>10</v>
      </c>
      <c r="B949" s="4" t="s">
        <v>11</v>
      </c>
      <c r="C949" s="7">
        <v>27.92</v>
      </c>
      <c r="D949" s="4" t="s">
        <v>19</v>
      </c>
      <c r="E949" s="4" t="s">
        <v>13</v>
      </c>
      <c r="F949" s="4" t="s">
        <v>30</v>
      </c>
      <c r="G949" s="4" t="s">
        <v>34</v>
      </c>
      <c r="H949" s="4">
        <v>4</v>
      </c>
      <c r="I949" s="4">
        <v>7</v>
      </c>
      <c r="J949" s="5">
        <v>45498</v>
      </c>
      <c r="K949" s="6">
        <v>0.43731481481481482</v>
      </c>
    </row>
    <row r="950" spans="1:11" x14ac:dyDescent="0.25">
      <c r="A950" s="4">
        <v>11</v>
      </c>
      <c r="B950" s="4" t="s">
        <v>11</v>
      </c>
      <c r="C950" s="7">
        <v>23.02</v>
      </c>
      <c r="D950" s="4" t="s">
        <v>18</v>
      </c>
      <c r="E950" s="4" t="s">
        <v>13</v>
      </c>
      <c r="F950" s="4" t="s">
        <v>30</v>
      </c>
      <c r="G950" s="4" t="s">
        <v>34</v>
      </c>
      <c r="H950" s="4">
        <v>4</v>
      </c>
      <c r="I950" s="4">
        <v>7</v>
      </c>
      <c r="J950" s="5">
        <v>45498</v>
      </c>
      <c r="K950" s="6">
        <v>0.47643518518518518</v>
      </c>
    </row>
    <row r="951" spans="1:11" x14ac:dyDescent="0.25">
      <c r="A951" s="4">
        <v>15</v>
      </c>
      <c r="B951" s="4" t="s">
        <v>11</v>
      </c>
      <c r="C951" s="7">
        <v>32.82</v>
      </c>
      <c r="D951" s="4" t="s">
        <v>29</v>
      </c>
      <c r="E951" s="4" t="s">
        <v>17</v>
      </c>
      <c r="F951" s="4" t="s">
        <v>30</v>
      </c>
      <c r="G951" s="4" t="s">
        <v>34</v>
      </c>
      <c r="H951" s="4">
        <v>4</v>
      </c>
      <c r="I951" s="4">
        <v>7</v>
      </c>
      <c r="J951" s="5">
        <v>45498</v>
      </c>
      <c r="K951" s="6">
        <v>0.6424305555555555</v>
      </c>
    </row>
    <row r="952" spans="1:11" x14ac:dyDescent="0.25">
      <c r="A952" s="4">
        <v>19</v>
      </c>
      <c r="B952" s="4" t="s">
        <v>11</v>
      </c>
      <c r="C952" s="7">
        <v>32.82</v>
      </c>
      <c r="D952" s="4" t="s">
        <v>29</v>
      </c>
      <c r="E952" s="4" t="s">
        <v>20</v>
      </c>
      <c r="F952" s="4" t="s">
        <v>30</v>
      </c>
      <c r="G952" s="4" t="s">
        <v>34</v>
      </c>
      <c r="H952" s="4">
        <v>4</v>
      </c>
      <c r="I952" s="4">
        <v>7</v>
      </c>
      <c r="J952" s="5">
        <v>45498</v>
      </c>
      <c r="K952" s="6">
        <v>0.80625000000000002</v>
      </c>
    </row>
    <row r="953" spans="1:11" x14ac:dyDescent="0.25">
      <c r="A953" s="4">
        <v>21</v>
      </c>
      <c r="B953" s="4" t="s">
        <v>11</v>
      </c>
      <c r="C953" s="7">
        <v>23.02</v>
      </c>
      <c r="D953" s="4" t="s">
        <v>24</v>
      </c>
      <c r="E953" s="4" t="s">
        <v>20</v>
      </c>
      <c r="F953" s="4" t="s">
        <v>30</v>
      </c>
      <c r="G953" s="4" t="s">
        <v>34</v>
      </c>
      <c r="H953" s="4">
        <v>4</v>
      </c>
      <c r="I953" s="4">
        <v>7</v>
      </c>
      <c r="J953" s="5">
        <v>45498</v>
      </c>
      <c r="K953" s="6">
        <v>0.87917824074074069</v>
      </c>
    </row>
    <row r="954" spans="1:11" x14ac:dyDescent="0.25">
      <c r="A954" s="4">
        <v>21</v>
      </c>
      <c r="B954" s="4" t="s">
        <v>11</v>
      </c>
      <c r="C954" s="7">
        <v>18.12</v>
      </c>
      <c r="D954" s="4" t="s">
        <v>26</v>
      </c>
      <c r="E954" s="4" t="s">
        <v>20</v>
      </c>
      <c r="F954" s="4" t="s">
        <v>30</v>
      </c>
      <c r="G954" s="4" t="s">
        <v>34</v>
      </c>
      <c r="H954" s="4">
        <v>4</v>
      </c>
      <c r="I954" s="4">
        <v>7</v>
      </c>
      <c r="J954" s="5">
        <v>45498</v>
      </c>
      <c r="K954" s="6">
        <v>0.87974537037037037</v>
      </c>
    </row>
    <row r="955" spans="1:11" x14ac:dyDescent="0.25">
      <c r="A955" s="4">
        <v>22</v>
      </c>
      <c r="B955" s="4" t="s">
        <v>11</v>
      </c>
      <c r="C955" s="7">
        <v>23.02</v>
      </c>
      <c r="D955" s="4" t="s">
        <v>24</v>
      </c>
      <c r="E955" s="4" t="s">
        <v>20</v>
      </c>
      <c r="F955" s="4" t="s">
        <v>30</v>
      </c>
      <c r="G955" s="4" t="s">
        <v>34</v>
      </c>
      <c r="H955" s="4">
        <v>4</v>
      </c>
      <c r="I955" s="4">
        <v>7</v>
      </c>
      <c r="J955" s="5">
        <v>45498</v>
      </c>
      <c r="K955" s="6">
        <v>0.94364583333333329</v>
      </c>
    </row>
    <row r="956" spans="1:11" x14ac:dyDescent="0.25">
      <c r="A956" s="4">
        <v>22</v>
      </c>
      <c r="B956" s="4" t="s">
        <v>11</v>
      </c>
      <c r="C956" s="7">
        <v>32.82</v>
      </c>
      <c r="D956" s="4" t="s">
        <v>21</v>
      </c>
      <c r="E956" s="4" t="s">
        <v>20</v>
      </c>
      <c r="F956" s="4" t="s">
        <v>30</v>
      </c>
      <c r="G956" s="4" t="s">
        <v>34</v>
      </c>
      <c r="H956" s="4">
        <v>4</v>
      </c>
      <c r="I956" s="4">
        <v>7</v>
      </c>
      <c r="J956" s="5">
        <v>45498</v>
      </c>
      <c r="K956" s="6">
        <v>0.94428240740740743</v>
      </c>
    </row>
    <row r="957" spans="1:11" x14ac:dyDescent="0.25">
      <c r="A957" s="4">
        <v>8</v>
      </c>
      <c r="B957" s="4" t="s">
        <v>11</v>
      </c>
      <c r="C957" s="7">
        <v>32.82</v>
      </c>
      <c r="D957" s="4" t="s">
        <v>12</v>
      </c>
      <c r="E957" s="4" t="s">
        <v>13</v>
      </c>
      <c r="F957" s="4" t="s">
        <v>14</v>
      </c>
      <c r="G957" s="4" t="s">
        <v>34</v>
      </c>
      <c r="H957" s="4">
        <v>5</v>
      </c>
      <c r="I957" s="4">
        <v>7</v>
      </c>
      <c r="J957" s="5">
        <v>45499</v>
      </c>
      <c r="K957" s="6">
        <v>0.35626157407407405</v>
      </c>
    </row>
    <row r="958" spans="1:11" x14ac:dyDescent="0.25">
      <c r="A958" s="4">
        <v>9</v>
      </c>
      <c r="B958" s="4" t="s">
        <v>11</v>
      </c>
      <c r="C958" s="7">
        <v>27.92</v>
      </c>
      <c r="D958" s="4" t="s">
        <v>19</v>
      </c>
      <c r="E958" s="4" t="s">
        <v>13</v>
      </c>
      <c r="F958" s="4" t="s">
        <v>14</v>
      </c>
      <c r="G958" s="4" t="s">
        <v>34</v>
      </c>
      <c r="H958" s="4">
        <v>5</v>
      </c>
      <c r="I958" s="4">
        <v>7</v>
      </c>
      <c r="J958" s="5">
        <v>45499</v>
      </c>
      <c r="K958" s="6">
        <v>0.38862268518518517</v>
      </c>
    </row>
    <row r="959" spans="1:11" x14ac:dyDescent="0.25">
      <c r="A959" s="4">
        <v>9</v>
      </c>
      <c r="B959" s="4" t="s">
        <v>11</v>
      </c>
      <c r="C959" s="7">
        <v>18.12</v>
      </c>
      <c r="D959" s="4" t="s">
        <v>26</v>
      </c>
      <c r="E959" s="4" t="s">
        <v>13</v>
      </c>
      <c r="F959" s="4" t="s">
        <v>14</v>
      </c>
      <c r="G959" s="4" t="s">
        <v>34</v>
      </c>
      <c r="H959" s="4">
        <v>5</v>
      </c>
      <c r="I959" s="4">
        <v>7</v>
      </c>
      <c r="J959" s="5">
        <v>45499</v>
      </c>
      <c r="K959" s="6">
        <v>0.38928240740740738</v>
      </c>
    </row>
    <row r="960" spans="1:11" x14ac:dyDescent="0.25">
      <c r="A960" s="4">
        <v>9</v>
      </c>
      <c r="B960" s="4" t="s">
        <v>11</v>
      </c>
      <c r="C960" s="7">
        <v>23.02</v>
      </c>
      <c r="D960" s="4" t="s">
        <v>24</v>
      </c>
      <c r="E960" s="4" t="s">
        <v>13</v>
      </c>
      <c r="F960" s="4" t="s">
        <v>14</v>
      </c>
      <c r="G960" s="4" t="s">
        <v>34</v>
      </c>
      <c r="H960" s="4">
        <v>5</v>
      </c>
      <c r="I960" s="4">
        <v>7</v>
      </c>
      <c r="J960" s="5">
        <v>45499</v>
      </c>
      <c r="K960" s="6">
        <v>0.39804398148148146</v>
      </c>
    </row>
    <row r="961" spans="1:11" x14ac:dyDescent="0.25">
      <c r="A961" s="4">
        <v>9</v>
      </c>
      <c r="B961" s="4" t="s">
        <v>11</v>
      </c>
      <c r="C961" s="7">
        <v>23.02</v>
      </c>
      <c r="D961" s="4" t="s">
        <v>24</v>
      </c>
      <c r="E961" s="4" t="s">
        <v>13</v>
      </c>
      <c r="F961" s="4" t="s">
        <v>14</v>
      </c>
      <c r="G961" s="4" t="s">
        <v>34</v>
      </c>
      <c r="H961" s="4">
        <v>5</v>
      </c>
      <c r="I961" s="4">
        <v>7</v>
      </c>
      <c r="J961" s="5">
        <v>45499</v>
      </c>
      <c r="K961" s="6">
        <v>0.39879629629629632</v>
      </c>
    </row>
    <row r="962" spans="1:11" x14ac:dyDescent="0.25">
      <c r="A962" s="4">
        <v>9</v>
      </c>
      <c r="B962" s="4" t="s">
        <v>11</v>
      </c>
      <c r="C962" s="7">
        <v>32.82</v>
      </c>
      <c r="D962" s="4" t="s">
        <v>12</v>
      </c>
      <c r="E962" s="4" t="s">
        <v>13</v>
      </c>
      <c r="F962" s="4" t="s">
        <v>14</v>
      </c>
      <c r="G962" s="4" t="s">
        <v>34</v>
      </c>
      <c r="H962" s="4">
        <v>5</v>
      </c>
      <c r="I962" s="4">
        <v>7</v>
      </c>
      <c r="J962" s="5">
        <v>45499</v>
      </c>
      <c r="K962" s="6">
        <v>0.41605324074074074</v>
      </c>
    </row>
    <row r="963" spans="1:11" x14ac:dyDescent="0.25">
      <c r="A963" s="4">
        <v>10</v>
      </c>
      <c r="B963" s="4" t="s">
        <v>11</v>
      </c>
      <c r="C963" s="7">
        <v>32.82</v>
      </c>
      <c r="D963" s="4" t="s">
        <v>12</v>
      </c>
      <c r="E963" s="4" t="s">
        <v>13</v>
      </c>
      <c r="F963" s="4" t="s">
        <v>14</v>
      </c>
      <c r="G963" s="4" t="s">
        <v>34</v>
      </c>
      <c r="H963" s="4">
        <v>5</v>
      </c>
      <c r="I963" s="4">
        <v>7</v>
      </c>
      <c r="J963" s="5">
        <v>45499</v>
      </c>
      <c r="K963" s="6">
        <v>0.41668981481481482</v>
      </c>
    </row>
    <row r="964" spans="1:11" x14ac:dyDescent="0.25">
      <c r="A964" s="4">
        <v>11</v>
      </c>
      <c r="B964" s="4" t="s">
        <v>11</v>
      </c>
      <c r="C964" s="7">
        <v>27.92</v>
      </c>
      <c r="D964" s="4" t="s">
        <v>19</v>
      </c>
      <c r="E964" s="4" t="s">
        <v>13</v>
      </c>
      <c r="F964" s="4" t="s">
        <v>14</v>
      </c>
      <c r="G964" s="4" t="s">
        <v>34</v>
      </c>
      <c r="H964" s="4">
        <v>5</v>
      </c>
      <c r="I964" s="4">
        <v>7</v>
      </c>
      <c r="J964" s="5">
        <v>45499</v>
      </c>
      <c r="K964" s="6">
        <v>0.4911226851851852</v>
      </c>
    </row>
    <row r="965" spans="1:11" x14ac:dyDescent="0.25">
      <c r="A965" s="4">
        <v>12</v>
      </c>
      <c r="B965" s="4" t="s">
        <v>11</v>
      </c>
      <c r="C965" s="7">
        <v>27.92</v>
      </c>
      <c r="D965" s="4" t="s">
        <v>19</v>
      </c>
      <c r="E965" s="4" t="s">
        <v>17</v>
      </c>
      <c r="F965" s="4" t="s">
        <v>14</v>
      </c>
      <c r="G965" s="4" t="s">
        <v>34</v>
      </c>
      <c r="H965" s="4">
        <v>5</v>
      </c>
      <c r="I965" s="4">
        <v>7</v>
      </c>
      <c r="J965" s="5">
        <v>45499</v>
      </c>
      <c r="K965" s="6">
        <v>0.50487268518518513</v>
      </c>
    </row>
    <row r="966" spans="1:11" x14ac:dyDescent="0.25">
      <c r="A966" s="4">
        <v>12</v>
      </c>
      <c r="B966" s="4" t="s">
        <v>11</v>
      </c>
      <c r="C966" s="7">
        <v>32.82</v>
      </c>
      <c r="D966" s="4" t="s">
        <v>29</v>
      </c>
      <c r="E966" s="4" t="s">
        <v>17</v>
      </c>
      <c r="F966" s="4" t="s">
        <v>14</v>
      </c>
      <c r="G966" s="4" t="s">
        <v>34</v>
      </c>
      <c r="H966" s="4">
        <v>5</v>
      </c>
      <c r="I966" s="4">
        <v>7</v>
      </c>
      <c r="J966" s="5">
        <v>45499</v>
      </c>
      <c r="K966" s="6">
        <v>0.51953703703703702</v>
      </c>
    </row>
    <row r="967" spans="1:11" x14ac:dyDescent="0.25">
      <c r="A967" s="4">
        <v>12</v>
      </c>
      <c r="B967" s="4" t="s">
        <v>11</v>
      </c>
      <c r="C967" s="7">
        <v>32.82</v>
      </c>
      <c r="D967" s="4" t="s">
        <v>29</v>
      </c>
      <c r="E967" s="4" t="s">
        <v>17</v>
      </c>
      <c r="F967" s="4" t="s">
        <v>14</v>
      </c>
      <c r="G967" s="4" t="s">
        <v>34</v>
      </c>
      <c r="H967" s="4">
        <v>5</v>
      </c>
      <c r="I967" s="4">
        <v>7</v>
      </c>
      <c r="J967" s="5">
        <v>45499</v>
      </c>
      <c r="K967" s="6">
        <v>0.52033564814814814</v>
      </c>
    </row>
    <row r="968" spans="1:11" x14ac:dyDescent="0.25">
      <c r="A968" s="4">
        <v>13</v>
      </c>
      <c r="B968" s="4" t="s">
        <v>11</v>
      </c>
      <c r="C968" s="7">
        <v>32.82</v>
      </c>
      <c r="D968" s="4" t="s">
        <v>12</v>
      </c>
      <c r="E968" s="4" t="s">
        <v>17</v>
      </c>
      <c r="F968" s="4" t="s">
        <v>14</v>
      </c>
      <c r="G968" s="4" t="s">
        <v>34</v>
      </c>
      <c r="H968" s="4">
        <v>5</v>
      </c>
      <c r="I968" s="4">
        <v>7</v>
      </c>
      <c r="J968" s="5">
        <v>45499</v>
      </c>
      <c r="K968" s="6">
        <v>0.54856481481481478</v>
      </c>
    </row>
    <row r="969" spans="1:11" x14ac:dyDescent="0.25">
      <c r="A969" s="4">
        <v>17</v>
      </c>
      <c r="B969" s="4" t="s">
        <v>11</v>
      </c>
      <c r="C969" s="7">
        <v>23.02</v>
      </c>
      <c r="D969" s="4" t="s">
        <v>18</v>
      </c>
      <c r="E969" s="4" t="s">
        <v>20</v>
      </c>
      <c r="F969" s="4" t="s">
        <v>14</v>
      </c>
      <c r="G969" s="4" t="s">
        <v>34</v>
      </c>
      <c r="H969" s="4">
        <v>5</v>
      </c>
      <c r="I969" s="4">
        <v>7</v>
      </c>
      <c r="J969" s="5">
        <v>45499</v>
      </c>
      <c r="K969" s="6">
        <v>0.72464120370370366</v>
      </c>
    </row>
    <row r="970" spans="1:11" x14ac:dyDescent="0.25">
      <c r="A970" s="4">
        <v>17</v>
      </c>
      <c r="B970" s="4" t="s">
        <v>11</v>
      </c>
      <c r="C970" s="7">
        <v>32.82</v>
      </c>
      <c r="D970" s="4" t="s">
        <v>29</v>
      </c>
      <c r="E970" s="4" t="s">
        <v>20</v>
      </c>
      <c r="F970" s="4" t="s">
        <v>14</v>
      </c>
      <c r="G970" s="4" t="s">
        <v>34</v>
      </c>
      <c r="H970" s="4">
        <v>5</v>
      </c>
      <c r="I970" s="4">
        <v>7</v>
      </c>
      <c r="J970" s="5">
        <v>45499</v>
      </c>
      <c r="K970" s="6">
        <v>0.74894675925925924</v>
      </c>
    </row>
    <row r="971" spans="1:11" x14ac:dyDescent="0.25">
      <c r="A971" s="4">
        <v>21</v>
      </c>
      <c r="B971" s="4" t="s">
        <v>11</v>
      </c>
      <c r="C971" s="7">
        <v>32.82</v>
      </c>
      <c r="D971" s="4" t="s">
        <v>12</v>
      </c>
      <c r="E971" s="4" t="s">
        <v>20</v>
      </c>
      <c r="F971" s="4" t="s">
        <v>14</v>
      </c>
      <c r="G971" s="4" t="s">
        <v>34</v>
      </c>
      <c r="H971" s="4">
        <v>5</v>
      </c>
      <c r="I971" s="4">
        <v>7</v>
      </c>
      <c r="J971" s="5">
        <v>45499</v>
      </c>
      <c r="K971" s="6">
        <v>0.88552083333333331</v>
      </c>
    </row>
    <row r="972" spans="1:11" x14ac:dyDescent="0.25">
      <c r="A972" s="4">
        <v>22</v>
      </c>
      <c r="B972" s="4" t="s">
        <v>11</v>
      </c>
      <c r="C972" s="7">
        <v>27.92</v>
      </c>
      <c r="D972" s="4" t="s">
        <v>19</v>
      </c>
      <c r="E972" s="4" t="s">
        <v>20</v>
      </c>
      <c r="F972" s="4" t="s">
        <v>14</v>
      </c>
      <c r="G972" s="4" t="s">
        <v>34</v>
      </c>
      <c r="H972" s="4">
        <v>5</v>
      </c>
      <c r="I972" s="4">
        <v>7</v>
      </c>
      <c r="J972" s="5">
        <v>45499</v>
      </c>
      <c r="K972" s="6">
        <v>0.95129629629629631</v>
      </c>
    </row>
    <row r="973" spans="1:11" x14ac:dyDescent="0.25">
      <c r="A973" s="4">
        <v>9</v>
      </c>
      <c r="B973" s="4" t="s">
        <v>11</v>
      </c>
      <c r="C973" s="7">
        <v>32.82</v>
      </c>
      <c r="D973" s="4" t="s">
        <v>29</v>
      </c>
      <c r="E973" s="4" t="s">
        <v>13</v>
      </c>
      <c r="F973" s="4" t="s">
        <v>22</v>
      </c>
      <c r="G973" s="4" t="s">
        <v>34</v>
      </c>
      <c r="H973" s="4">
        <v>6</v>
      </c>
      <c r="I973" s="4">
        <v>7</v>
      </c>
      <c r="J973" s="5">
        <v>45500</v>
      </c>
      <c r="K973" s="6">
        <v>0.38143518518518521</v>
      </c>
    </row>
    <row r="974" spans="1:11" x14ac:dyDescent="0.25">
      <c r="A974" s="4">
        <v>11</v>
      </c>
      <c r="B974" s="4" t="s">
        <v>11</v>
      </c>
      <c r="C974" s="7">
        <v>27.92</v>
      </c>
      <c r="D974" s="4" t="s">
        <v>19</v>
      </c>
      <c r="E974" s="4" t="s">
        <v>13</v>
      </c>
      <c r="F974" s="4" t="s">
        <v>22</v>
      </c>
      <c r="G974" s="4" t="s">
        <v>34</v>
      </c>
      <c r="H974" s="4">
        <v>6</v>
      </c>
      <c r="I974" s="4">
        <v>7</v>
      </c>
      <c r="J974" s="5">
        <v>45500</v>
      </c>
      <c r="K974" s="6">
        <v>0.49688657407407405</v>
      </c>
    </row>
    <row r="975" spans="1:11" x14ac:dyDescent="0.25">
      <c r="A975" s="4">
        <v>12</v>
      </c>
      <c r="B975" s="4" t="s">
        <v>11</v>
      </c>
      <c r="C975" s="7">
        <v>27.92</v>
      </c>
      <c r="D975" s="4" t="s">
        <v>19</v>
      </c>
      <c r="E975" s="4" t="s">
        <v>17</v>
      </c>
      <c r="F975" s="4" t="s">
        <v>22</v>
      </c>
      <c r="G975" s="4" t="s">
        <v>34</v>
      </c>
      <c r="H975" s="4">
        <v>6</v>
      </c>
      <c r="I975" s="4">
        <v>7</v>
      </c>
      <c r="J975" s="5">
        <v>45500</v>
      </c>
      <c r="K975" s="6">
        <v>0.51747685185185188</v>
      </c>
    </row>
    <row r="976" spans="1:11" x14ac:dyDescent="0.25">
      <c r="A976" s="4">
        <v>12</v>
      </c>
      <c r="B976" s="4" t="s">
        <v>11</v>
      </c>
      <c r="C976" s="7">
        <v>18.12</v>
      </c>
      <c r="D976" s="4" t="s">
        <v>26</v>
      </c>
      <c r="E976" s="4" t="s">
        <v>17</v>
      </c>
      <c r="F976" s="4" t="s">
        <v>22</v>
      </c>
      <c r="G976" s="4" t="s">
        <v>34</v>
      </c>
      <c r="H976" s="4">
        <v>6</v>
      </c>
      <c r="I976" s="4">
        <v>7</v>
      </c>
      <c r="J976" s="5">
        <v>45500</v>
      </c>
      <c r="K976" s="6">
        <v>0.51820601851851855</v>
      </c>
    </row>
    <row r="977" spans="1:11" x14ac:dyDescent="0.25">
      <c r="A977" s="4">
        <v>12</v>
      </c>
      <c r="B977" s="4" t="s">
        <v>11</v>
      </c>
      <c r="C977" s="7">
        <v>27.92</v>
      </c>
      <c r="D977" s="4" t="s">
        <v>19</v>
      </c>
      <c r="E977" s="4" t="s">
        <v>17</v>
      </c>
      <c r="F977" s="4" t="s">
        <v>22</v>
      </c>
      <c r="G977" s="4" t="s">
        <v>34</v>
      </c>
      <c r="H977" s="4">
        <v>6</v>
      </c>
      <c r="I977" s="4">
        <v>7</v>
      </c>
      <c r="J977" s="5">
        <v>45500</v>
      </c>
      <c r="K977" s="6">
        <v>0.52318287037037037</v>
      </c>
    </row>
    <row r="978" spans="1:11" x14ac:dyDescent="0.25">
      <c r="A978" s="4">
        <v>14</v>
      </c>
      <c r="B978" s="4" t="s">
        <v>11</v>
      </c>
      <c r="C978" s="7">
        <v>18.12</v>
      </c>
      <c r="D978" s="4" t="s">
        <v>26</v>
      </c>
      <c r="E978" s="4" t="s">
        <v>17</v>
      </c>
      <c r="F978" s="4" t="s">
        <v>22</v>
      </c>
      <c r="G978" s="4" t="s">
        <v>34</v>
      </c>
      <c r="H978" s="4">
        <v>6</v>
      </c>
      <c r="I978" s="4">
        <v>7</v>
      </c>
      <c r="J978" s="5">
        <v>45500</v>
      </c>
      <c r="K978" s="6">
        <v>0.60325231481481478</v>
      </c>
    </row>
    <row r="979" spans="1:11" x14ac:dyDescent="0.25">
      <c r="A979" s="4">
        <v>14</v>
      </c>
      <c r="B979" s="4" t="s">
        <v>11</v>
      </c>
      <c r="C979" s="7">
        <v>32.82</v>
      </c>
      <c r="D979" s="4" t="s">
        <v>12</v>
      </c>
      <c r="E979" s="4" t="s">
        <v>17</v>
      </c>
      <c r="F979" s="4" t="s">
        <v>22</v>
      </c>
      <c r="G979" s="4" t="s">
        <v>34</v>
      </c>
      <c r="H979" s="4">
        <v>6</v>
      </c>
      <c r="I979" s="4">
        <v>7</v>
      </c>
      <c r="J979" s="5">
        <v>45500</v>
      </c>
      <c r="K979" s="6">
        <v>0.61936342592592597</v>
      </c>
    </row>
    <row r="980" spans="1:11" x14ac:dyDescent="0.25">
      <c r="A980" s="4">
        <v>17</v>
      </c>
      <c r="B980" s="4" t="s">
        <v>11</v>
      </c>
      <c r="C980" s="7">
        <v>32.82</v>
      </c>
      <c r="D980" s="4" t="s">
        <v>29</v>
      </c>
      <c r="E980" s="4" t="s">
        <v>20</v>
      </c>
      <c r="F980" s="4" t="s">
        <v>22</v>
      </c>
      <c r="G980" s="4" t="s">
        <v>34</v>
      </c>
      <c r="H980" s="4">
        <v>6</v>
      </c>
      <c r="I980" s="4">
        <v>7</v>
      </c>
      <c r="J980" s="5">
        <v>45500</v>
      </c>
      <c r="K980" s="6">
        <v>0.71010416666666665</v>
      </c>
    </row>
    <row r="981" spans="1:11" x14ac:dyDescent="0.25">
      <c r="A981" s="4">
        <v>17</v>
      </c>
      <c r="B981" s="4" t="s">
        <v>11</v>
      </c>
      <c r="C981" s="7">
        <v>32.82</v>
      </c>
      <c r="D981" s="4" t="s">
        <v>29</v>
      </c>
      <c r="E981" s="4" t="s">
        <v>20</v>
      </c>
      <c r="F981" s="4" t="s">
        <v>22</v>
      </c>
      <c r="G981" s="4" t="s">
        <v>34</v>
      </c>
      <c r="H981" s="4">
        <v>6</v>
      </c>
      <c r="I981" s="4">
        <v>7</v>
      </c>
      <c r="J981" s="5">
        <v>45500</v>
      </c>
      <c r="K981" s="6">
        <v>0.71086805555555554</v>
      </c>
    </row>
    <row r="982" spans="1:11" x14ac:dyDescent="0.25">
      <c r="A982" s="4">
        <v>17</v>
      </c>
      <c r="B982" s="4" t="s">
        <v>11</v>
      </c>
      <c r="C982" s="7">
        <v>27.92</v>
      </c>
      <c r="D982" s="4" t="s">
        <v>19</v>
      </c>
      <c r="E982" s="4" t="s">
        <v>20</v>
      </c>
      <c r="F982" s="4" t="s">
        <v>22</v>
      </c>
      <c r="G982" s="4" t="s">
        <v>34</v>
      </c>
      <c r="H982" s="4">
        <v>6</v>
      </c>
      <c r="I982" s="4">
        <v>7</v>
      </c>
      <c r="J982" s="5">
        <v>45500</v>
      </c>
      <c r="K982" s="6">
        <v>0.71458333333333335</v>
      </c>
    </row>
    <row r="983" spans="1:11" x14ac:dyDescent="0.25">
      <c r="A983" s="4">
        <v>17</v>
      </c>
      <c r="B983" s="4" t="s">
        <v>11</v>
      </c>
      <c r="C983" s="7">
        <v>27.92</v>
      </c>
      <c r="D983" s="4" t="s">
        <v>19</v>
      </c>
      <c r="E983" s="4" t="s">
        <v>20</v>
      </c>
      <c r="F983" s="4" t="s">
        <v>22</v>
      </c>
      <c r="G983" s="4" t="s">
        <v>34</v>
      </c>
      <c r="H983" s="4">
        <v>6</v>
      </c>
      <c r="I983" s="4">
        <v>7</v>
      </c>
      <c r="J983" s="5">
        <v>45500</v>
      </c>
      <c r="K983" s="6">
        <v>0.71537037037037032</v>
      </c>
    </row>
    <row r="984" spans="1:11" x14ac:dyDescent="0.25">
      <c r="A984" s="4">
        <v>20</v>
      </c>
      <c r="B984" s="4" t="s">
        <v>11</v>
      </c>
      <c r="C984" s="7">
        <v>32.82</v>
      </c>
      <c r="D984" s="4" t="s">
        <v>12</v>
      </c>
      <c r="E984" s="4" t="s">
        <v>20</v>
      </c>
      <c r="F984" s="4" t="s">
        <v>22</v>
      </c>
      <c r="G984" s="4" t="s">
        <v>34</v>
      </c>
      <c r="H984" s="4">
        <v>6</v>
      </c>
      <c r="I984" s="4">
        <v>7</v>
      </c>
      <c r="J984" s="5">
        <v>45500</v>
      </c>
      <c r="K984" s="6">
        <v>0.87175925925925923</v>
      </c>
    </row>
    <row r="985" spans="1:11" x14ac:dyDescent="0.25">
      <c r="A985" s="4">
        <v>22</v>
      </c>
      <c r="B985" s="4" t="s">
        <v>11</v>
      </c>
      <c r="C985" s="7">
        <v>32.82</v>
      </c>
      <c r="D985" s="4" t="s">
        <v>29</v>
      </c>
      <c r="E985" s="4" t="s">
        <v>20</v>
      </c>
      <c r="F985" s="4" t="s">
        <v>22</v>
      </c>
      <c r="G985" s="4" t="s">
        <v>34</v>
      </c>
      <c r="H985" s="4">
        <v>6</v>
      </c>
      <c r="I985" s="4">
        <v>7</v>
      </c>
      <c r="J985" s="5">
        <v>45500</v>
      </c>
      <c r="K985" s="6">
        <v>0.95582175925925927</v>
      </c>
    </row>
    <row r="986" spans="1:11" x14ac:dyDescent="0.25">
      <c r="A986" s="4">
        <v>11</v>
      </c>
      <c r="B986" s="4" t="s">
        <v>11</v>
      </c>
      <c r="C986" s="7">
        <v>18.12</v>
      </c>
      <c r="D986" s="4" t="s">
        <v>26</v>
      </c>
      <c r="E986" s="4" t="s">
        <v>13</v>
      </c>
      <c r="F986" s="4" t="s">
        <v>23</v>
      </c>
      <c r="G986" s="4" t="s">
        <v>34</v>
      </c>
      <c r="H986" s="4">
        <v>7</v>
      </c>
      <c r="I986" s="4">
        <v>7</v>
      </c>
      <c r="J986" s="5">
        <v>45501</v>
      </c>
      <c r="K986" s="6">
        <v>0.46348379629629627</v>
      </c>
    </row>
    <row r="987" spans="1:11" x14ac:dyDescent="0.25">
      <c r="A987" s="4">
        <v>14</v>
      </c>
      <c r="B987" s="4" t="s">
        <v>11</v>
      </c>
      <c r="C987" s="7">
        <v>27.92</v>
      </c>
      <c r="D987" s="4" t="s">
        <v>19</v>
      </c>
      <c r="E987" s="4" t="s">
        <v>17</v>
      </c>
      <c r="F987" s="4" t="s">
        <v>23</v>
      </c>
      <c r="G987" s="4" t="s">
        <v>34</v>
      </c>
      <c r="H987" s="4">
        <v>7</v>
      </c>
      <c r="I987" s="4">
        <v>7</v>
      </c>
      <c r="J987" s="5">
        <v>45501</v>
      </c>
      <c r="K987" s="6">
        <v>0.59576388888888887</v>
      </c>
    </row>
    <row r="988" spans="1:11" x14ac:dyDescent="0.25">
      <c r="A988" s="4">
        <v>14</v>
      </c>
      <c r="B988" s="4" t="s">
        <v>11</v>
      </c>
      <c r="C988" s="7">
        <v>32.82</v>
      </c>
      <c r="D988" s="4" t="s">
        <v>12</v>
      </c>
      <c r="E988" s="4" t="s">
        <v>17</v>
      </c>
      <c r="F988" s="4" t="s">
        <v>23</v>
      </c>
      <c r="G988" s="4" t="s">
        <v>34</v>
      </c>
      <c r="H988" s="4">
        <v>7</v>
      </c>
      <c r="I988" s="4">
        <v>7</v>
      </c>
      <c r="J988" s="5">
        <v>45501</v>
      </c>
      <c r="K988" s="6">
        <v>0.59643518518518523</v>
      </c>
    </row>
    <row r="989" spans="1:11" x14ac:dyDescent="0.25">
      <c r="A989" s="4">
        <v>8</v>
      </c>
      <c r="B989" s="4" t="s">
        <v>11</v>
      </c>
      <c r="C989" s="7">
        <v>32.82</v>
      </c>
      <c r="D989" s="4" t="s">
        <v>12</v>
      </c>
      <c r="E989" s="4" t="s">
        <v>13</v>
      </c>
      <c r="F989" s="4" t="s">
        <v>25</v>
      </c>
      <c r="G989" s="4" t="s">
        <v>34</v>
      </c>
      <c r="H989" s="4">
        <v>1</v>
      </c>
      <c r="I989" s="4">
        <v>7</v>
      </c>
      <c r="J989" s="5">
        <v>45502</v>
      </c>
      <c r="K989" s="6">
        <v>0.34173611111111113</v>
      </c>
    </row>
    <row r="990" spans="1:11" x14ac:dyDescent="0.25">
      <c r="A990" s="4">
        <v>9</v>
      </c>
      <c r="B990" s="4" t="s">
        <v>11</v>
      </c>
      <c r="C990" s="7">
        <v>23.02</v>
      </c>
      <c r="D990" s="4" t="s">
        <v>18</v>
      </c>
      <c r="E990" s="4" t="s">
        <v>13</v>
      </c>
      <c r="F990" s="4" t="s">
        <v>25</v>
      </c>
      <c r="G990" s="4" t="s">
        <v>34</v>
      </c>
      <c r="H990" s="4">
        <v>1</v>
      </c>
      <c r="I990" s="4">
        <v>7</v>
      </c>
      <c r="J990" s="5">
        <v>45502</v>
      </c>
      <c r="K990" s="6">
        <v>0.37832175925925926</v>
      </c>
    </row>
    <row r="991" spans="1:11" x14ac:dyDescent="0.25">
      <c r="A991" s="4">
        <v>9</v>
      </c>
      <c r="B991" s="4" t="s">
        <v>11</v>
      </c>
      <c r="C991" s="7">
        <v>27.92</v>
      </c>
      <c r="D991" s="4" t="s">
        <v>19</v>
      </c>
      <c r="E991" s="4" t="s">
        <v>13</v>
      </c>
      <c r="F991" s="4" t="s">
        <v>25</v>
      </c>
      <c r="G991" s="4" t="s">
        <v>34</v>
      </c>
      <c r="H991" s="4">
        <v>1</v>
      </c>
      <c r="I991" s="4">
        <v>7</v>
      </c>
      <c r="J991" s="5">
        <v>45502</v>
      </c>
      <c r="K991" s="6">
        <v>0.38594907407407408</v>
      </c>
    </row>
    <row r="992" spans="1:11" x14ac:dyDescent="0.25">
      <c r="A992" s="4">
        <v>9</v>
      </c>
      <c r="B992" s="4" t="s">
        <v>11</v>
      </c>
      <c r="C992" s="7">
        <v>23.02</v>
      </c>
      <c r="D992" s="4" t="s">
        <v>18</v>
      </c>
      <c r="E992" s="4" t="s">
        <v>13</v>
      </c>
      <c r="F992" s="4" t="s">
        <v>25</v>
      </c>
      <c r="G992" s="4" t="s">
        <v>34</v>
      </c>
      <c r="H992" s="4">
        <v>1</v>
      </c>
      <c r="I992" s="4">
        <v>7</v>
      </c>
      <c r="J992" s="5">
        <v>45502</v>
      </c>
      <c r="K992" s="6">
        <v>0.38870370370370372</v>
      </c>
    </row>
    <row r="993" spans="1:11" x14ac:dyDescent="0.25">
      <c r="A993" s="4">
        <v>9</v>
      </c>
      <c r="B993" s="4" t="s">
        <v>11</v>
      </c>
      <c r="C993" s="7">
        <v>27.92</v>
      </c>
      <c r="D993" s="4" t="s">
        <v>19</v>
      </c>
      <c r="E993" s="4" t="s">
        <v>13</v>
      </c>
      <c r="F993" s="4" t="s">
        <v>25</v>
      </c>
      <c r="G993" s="4" t="s">
        <v>34</v>
      </c>
      <c r="H993" s="4">
        <v>1</v>
      </c>
      <c r="I993" s="4">
        <v>7</v>
      </c>
      <c r="J993" s="5">
        <v>45502</v>
      </c>
      <c r="K993" s="6">
        <v>0.41069444444444442</v>
      </c>
    </row>
    <row r="994" spans="1:11" x14ac:dyDescent="0.25">
      <c r="A994" s="4">
        <v>9</v>
      </c>
      <c r="B994" s="4" t="s">
        <v>11</v>
      </c>
      <c r="C994" s="7">
        <v>32.82</v>
      </c>
      <c r="D994" s="4" t="s">
        <v>29</v>
      </c>
      <c r="E994" s="4" t="s">
        <v>13</v>
      </c>
      <c r="F994" s="4" t="s">
        <v>25</v>
      </c>
      <c r="G994" s="4" t="s">
        <v>34</v>
      </c>
      <c r="H994" s="4">
        <v>1</v>
      </c>
      <c r="I994" s="4">
        <v>7</v>
      </c>
      <c r="J994" s="5">
        <v>45502</v>
      </c>
      <c r="K994" s="6">
        <v>0.41561342592592593</v>
      </c>
    </row>
    <row r="995" spans="1:11" x14ac:dyDescent="0.25">
      <c r="A995" s="4">
        <v>10</v>
      </c>
      <c r="B995" s="4" t="s">
        <v>11</v>
      </c>
      <c r="C995" s="7">
        <v>32.82</v>
      </c>
      <c r="D995" s="4" t="s">
        <v>16</v>
      </c>
      <c r="E995" s="4" t="s">
        <v>13</v>
      </c>
      <c r="F995" s="4" t="s">
        <v>25</v>
      </c>
      <c r="G995" s="4" t="s">
        <v>34</v>
      </c>
      <c r="H995" s="4">
        <v>1</v>
      </c>
      <c r="I995" s="4">
        <v>7</v>
      </c>
      <c r="J995" s="5">
        <v>45502</v>
      </c>
      <c r="K995" s="6">
        <v>0.44702546296296297</v>
      </c>
    </row>
    <row r="996" spans="1:11" x14ac:dyDescent="0.25">
      <c r="A996" s="4">
        <v>10</v>
      </c>
      <c r="B996" s="4" t="s">
        <v>11</v>
      </c>
      <c r="C996" s="7">
        <v>32.82</v>
      </c>
      <c r="D996" s="4" t="s">
        <v>16</v>
      </c>
      <c r="E996" s="4" t="s">
        <v>13</v>
      </c>
      <c r="F996" s="4" t="s">
        <v>25</v>
      </c>
      <c r="G996" s="4" t="s">
        <v>34</v>
      </c>
      <c r="H996" s="4">
        <v>1</v>
      </c>
      <c r="I996" s="4">
        <v>7</v>
      </c>
      <c r="J996" s="5">
        <v>45502</v>
      </c>
      <c r="K996" s="6">
        <v>0.44785879629629627</v>
      </c>
    </row>
    <row r="997" spans="1:11" x14ac:dyDescent="0.25">
      <c r="A997" s="4">
        <v>19</v>
      </c>
      <c r="B997" s="4" t="s">
        <v>11</v>
      </c>
      <c r="C997" s="7">
        <v>32.82</v>
      </c>
      <c r="D997" s="4" t="s">
        <v>29</v>
      </c>
      <c r="E997" s="4" t="s">
        <v>20</v>
      </c>
      <c r="F997" s="4" t="s">
        <v>25</v>
      </c>
      <c r="G997" s="4" t="s">
        <v>34</v>
      </c>
      <c r="H997" s="4">
        <v>1</v>
      </c>
      <c r="I997" s="4">
        <v>7</v>
      </c>
      <c r="J997" s="5">
        <v>45502</v>
      </c>
      <c r="K997" s="6">
        <v>0.7961921296296296</v>
      </c>
    </row>
    <row r="998" spans="1:11" x14ac:dyDescent="0.25">
      <c r="A998" s="4">
        <v>19</v>
      </c>
      <c r="B998" s="4" t="s">
        <v>11</v>
      </c>
      <c r="C998" s="7">
        <v>23.02</v>
      </c>
      <c r="D998" s="4" t="s">
        <v>18</v>
      </c>
      <c r="E998" s="4" t="s">
        <v>20</v>
      </c>
      <c r="F998" s="4" t="s">
        <v>25</v>
      </c>
      <c r="G998" s="4" t="s">
        <v>34</v>
      </c>
      <c r="H998" s="4">
        <v>1</v>
      </c>
      <c r="I998" s="4">
        <v>7</v>
      </c>
      <c r="J998" s="5">
        <v>45502</v>
      </c>
      <c r="K998" s="6">
        <v>0.81268518518518518</v>
      </c>
    </row>
    <row r="999" spans="1:11" x14ac:dyDescent="0.25">
      <c r="A999" s="4">
        <v>21</v>
      </c>
      <c r="B999" s="4" t="s">
        <v>11</v>
      </c>
      <c r="C999" s="7">
        <v>32.82</v>
      </c>
      <c r="D999" s="4" t="s">
        <v>21</v>
      </c>
      <c r="E999" s="4" t="s">
        <v>20</v>
      </c>
      <c r="F999" s="4" t="s">
        <v>25</v>
      </c>
      <c r="G999" s="4" t="s">
        <v>34</v>
      </c>
      <c r="H999" s="4">
        <v>1</v>
      </c>
      <c r="I999" s="4">
        <v>7</v>
      </c>
      <c r="J999" s="5">
        <v>45502</v>
      </c>
      <c r="K999" s="6">
        <v>0.91497685185185185</v>
      </c>
    </row>
    <row r="1000" spans="1:11" x14ac:dyDescent="0.25">
      <c r="A1000" s="4">
        <v>7</v>
      </c>
      <c r="B1000" s="4" t="s">
        <v>11</v>
      </c>
      <c r="C1000" s="7">
        <v>27.92</v>
      </c>
      <c r="D1000" s="4" t="s">
        <v>19</v>
      </c>
      <c r="E1000" s="4" t="s">
        <v>13</v>
      </c>
      <c r="F1000" s="4" t="s">
        <v>27</v>
      </c>
      <c r="G1000" s="4" t="s">
        <v>34</v>
      </c>
      <c r="H1000" s="4">
        <v>2</v>
      </c>
      <c r="I1000" s="4">
        <v>7</v>
      </c>
      <c r="J1000" s="5">
        <v>45503</v>
      </c>
      <c r="K1000" s="6">
        <v>0.32025462962962964</v>
      </c>
    </row>
    <row r="1001" spans="1:11" x14ac:dyDescent="0.25">
      <c r="A1001" s="4">
        <v>8</v>
      </c>
      <c r="B1001" s="4" t="s">
        <v>11</v>
      </c>
      <c r="C1001" s="7">
        <v>23.02</v>
      </c>
      <c r="D1001" s="4" t="s">
        <v>24</v>
      </c>
      <c r="E1001" s="4" t="s">
        <v>13</v>
      </c>
      <c r="F1001" s="4" t="s">
        <v>27</v>
      </c>
      <c r="G1001" s="4" t="s">
        <v>34</v>
      </c>
      <c r="H1001" s="4">
        <v>2</v>
      </c>
      <c r="I1001" s="4">
        <v>7</v>
      </c>
      <c r="J1001" s="5">
        <v>45503</v>
      </c>
      <c r="K1001" s="6">
        <v>0.33688657407407407</v>
      </c>
    </row>
    <row r="1002" spans="1:11" x14ac:dyDescent="0.25">
      <c r="A1002" s="4">
        <v>8</v>
      </c>
      <c r="B1002" s="4" t="s">
        <v>11</v>
      </c>
      <c r="C1002" s="7">
        <v>32.82</v>
      </c>
      <c r="D1002" s="4" t="s">
        <v>29</v>
      </c>
      <c r="E1002" s="4" t="s">
        <v>13</v>
      </c>
      <c r="F1002" s="4" t="s">
        <v>27</v>
      </c>
      <c r="G1002" s="4" t="s">
        <v>34</v>
      </c>
      <c r="H1002" s="4">
        <v>2</v>
      </c>
      <c r="I1002" s="4">
        <v>7</v>
      </c>
      <c r="J1002" s="5">
        <v>45503</v>
      </c>
      <c r="K1002" s="6">
        <v>0.34781250000000002</v>
      </c>
    </row>
    <row r="1003" spans="1:11" x14ac:dyDescent="0.25">
      <c r="A1003" s="4">
        <v>9</v>
      </c>
      <c r="B1003" s="4" t="s">
        <v>11</v>
      </c>
      <c r="C1003" s="7">
        <v>27.92</v>
      </c>
      <c r="D1003" s="4" t="s">
        <v>19</v>
      </c>
      <c r="E1003" s="4" t="s">
        <v>13</v>
      </c>
      <c r="F1003" s="4" t="s">
        <v>27</v>
      </c>
      <c r="G1003" s="4" t="s">
        <v>34</v>
      </c>
      <c r="H1003" s="4">
        <v>2</v>
      </c>
      <c r="I1003" s="4">
        <v>7</v>
      </c>
      <c r="J1003" s="5">
        <v>45503</v>
      </c>
      <c r="K1003" s="6">
        <v>0.38452546296296297</v>
      </c>
    </row>
    <row r="1004" spans="1:11" x14ac:dyDescent="0.25">
      <c r="A1004" s="4">
        <v>10</v>
      </c>
      <c r="B1004" s="4" t="s">
        <v>11</v>
      </c>
      <c r="C1004" s="7">
        <v>23.02</v>
      </c>
      <c r="D1004" s="4" t="s">
        <v>24</v>
      </c>
      <c r="E1004" s="4" t="s">
        <v>13</v>
      </c>
      <c r="F1004" s="4" t="s">
        <v>27</v>
      </c>
      <c r="G1004" s="4" t="s">
        <v>34</v>
      </c>
      <c r="H1004" s="4">
        <v>2</v>
      </c>
      <c r="I1004" s="4">
        <v>7</v>
      </c>
      <c r="J1004" s="5">
        <v>45503</v>
      </c>
      <c r="K1004" s="6">
        <v>0.42859953703703701</v>
      </c>
    </row>
    <row r="1005" spans="1:11" x14ac:dyDescent="0.25">
      <c r="A1005" s="4">
        <v>10</v>
      </c>
      <c r="B1005" s="4" t="s">
        <v>11</v>
      </c>
      <c r="C1005" s="7">
        <v>27.92</v>
      </c>
      <c r="D1005" s="4" t="s">
        <v>19</v>
      </c>
      <c r="E1005" s="4" t="s">
        <v>13</v>
      </c>
      <c r="F1005" s="4" t="s">
        <v>27</v>
      </c>
      <c r="G1005" s="4" t="s">
        <v>34</v>
      </c>
      <c r="H1005" s="4">
        <v>2</v>
      </c>
      <c r="I1005" s="4">
        <v>7</v>
      </c>
      <c r="J1005" s="5">
        <v>45503</v>
      </c>
      <c r="K1005" s="6">
        <v>0.43025462962962963</v>
      </c>
    </row>
    <row r="1006" spans="1:11" x14ac:dyDescent="0.25">
      <c r="A1006" s="4">
        <v>10</v>
      </c>
      <c r="B1006" s="4" t="s">
        <v>11</v>
      </c>
      <c r="C1006" s="7">
        <v>32.82</v>
      </c>
      <c r="D1006" s="4" t="s">
        <v>12</v>
      </c>
      <c r="E1006" s="4" t="s">
        <v>13</v>
      </c>
      <c r="F1006" s="4" t="s">
        <v>27</v>
      </c>
      <c r="G1006" s="4" t="s">
        <v>34</v>
      </c>
      <c r="H1006" s="4">
        <v>2</v>
      </c>
      <c r="I1006" s="4">
        <v>7</v>
      </c>
      <c r="J1006" s="5">
        <v>45503</v>
      </c>
      <c r="K1006" s="6">
        <v>0.43287037037037035</v>
      </c>
    </row>
    <row r="1007" spans="1:11" x14ac:dyDescent="0.25">
      <c r="A1007" s="4">
        <v>11</v>
      </c>
      <c r="B1007" s="4" t="s">
        <v>11</v>
      </c>
      <c r="C1007" s="7">
        <v>23.02</v>
      </c>
      <c r="D1007" s="4" t="s">
        <v>18</v>
      </c>
      <c r="E1007" s="4" t="s">
        <v>13</v>
      </c>
      <c r="F1007" s="4" t="s">
        <v>27</v>
      </c>
      <c r="G1007" s="4" t="s">
        <v>34</v>
      </c>
      <c r="H1007" s="4">
        <v>2</v>
      </c>
      <c r="I1007" s="4">
        <v>7</v>
      </c>
      <c r="J1007" s="5">
        <v>45503</v>
      </c>
      <c r="K1007" s="6">
        <v>0.46674768518518517</v>
      </c>
    </row>
    <row r="1008" spans="1:11" x14ac:dyDescent="0.25">
      <c r="A1008" s="4">
        <v>11</v>
      </c>
      <c r="B1008" s="4" t="s">
        <v>11</v>
      </c>
      <c r="C1008" s="7">
        <v>18.12</v>
      </c>
      <c r="D1008" s="4" t="s">
        <v>26</v>
      </c>
      <c r="E1008" s="4" t="s">
        <v>13</v>
      </c>
      <c r="F1008" s="4" t="s">
        <v>27</v>
      </c>
      <c r="G1008" s="4" t="s">
        <v>34</v>
      </c>
      <c r="H1008" s="4">
        <v>2</v>
      </c>
      <c r="I1008" s="4">
        <v>7</v>
      </c>
      <c r="J1008" s="5">
        <v>45503</v>
      </c>
      <c r="K1008" s="6">
        <v>0.46754629629629629</v>
      </c>
    </row>
    <row r="1009" spans="1:11" x14ac:dyDescent="0.25">
      <c r="A1009" s="4">
        <v>11</v>
      </c>
      <c r="B1009" s="4" t="s">
        <v>11</v>
      </c>
      <c r="C1009" s="7">
        <v>27.92</v>
      </c>
      <c r="D1009" s="4" t="s">
        <v>19</v>
      </c>
      <c r="E1009" s="4" t="s">
        <v>13</v>
      </c>
      <c r="F1009" s="4" t="s">
        <v>27</v>
      </c>
      <c r="G1009" s="4" t="s">
        <v>34</v>
      </c>
      <c r="H1009" s="4">
        <v>2</v>
      </c>
      <c r="I1009" s="4">
        <v>7</v>
      </c>
      <c r="J1009" s="5">
        <v>45503</v>
      </c>
      <c r="K1009" s="6">
        <v>0.4685300925925926</v>
      </c>
    </row>
    <row r="1010" spans="1:11" x14ac:dyDescent="0.25">
      <c r="A1010" s="4">
        <v>11</v>
      </c>
      <c r="B1010" s="4" t="s">
        <v>11</v>
      </c>
      <c r="C1010" s="7">
        <v>27.92</v>
      </c>
      <c r="D1010" s="4" t="s">
        <v>19</v>
      </c>
      <c r="E1010" s="4" t="s">
        <v>13</v>
      </c>
      <c r="F1010" s="4" t="s">
        <v>27</v>
      </c>
      <c r="G1010" s="4" t="s">
        <v>34</v>
      </c>
      <c r="H1010" s="4">
        <v>2</v>
      </c>
      <c r="I1010" s="4">
        <v>7</v>
      </c>
      <c r="J1010" s="5">
        <v>45503</v>
      </c>
      <c r="K1010" s="6">
        <v>0.46945601851851854</v>
      </c>
    </row>
    <row r="1011" spans="1:11" x14ac:dyDescent="0.25">
      <c r="A1011" s="4">
        <v>11</v>
      </c>
      <c r="B1011" s="4" t="s">
        <v>11</v>
      </c>
      <c r="C1011" s="7">
        <v>27.92</v>
      </c>
      <c r="D1011" s="4" t="s">
        <v>19</v>
      </c>
      <c r="E1011" s="4" t="s">
        <v>13</v>
      </c>
      <c r="F1011" s="4" t="s">
        <v>27</v>
      </c>
      <c r="G1011" s="4" t="s">
        <v>34</v>
      </c>
      <c r="H1011" s="4">
        <v>2</v>
      </c>
      <c r="I1011" s="4">
        <v>7</v>
      </c>
      <c r="J1011" s="5">
        <v>45503</v>
      </c>
      <c r="K1011" s="6">
        <v>0.47956018518518517</v>
      </c>
    </row>
    <row r="1012" spans="1:11" x14ac:dyDescent="0.25">
      <c r="A1012" s="4">
        <v>11</v>
      </c>
      <c r="B1012" s="4" t="s">
        <v>11</v>
      </c>
      <c r="C1012" s="7">
        <v>27.92</v>
      </c>
      <c r="D1012" s="4" t="s">
        <v>19</v>
      </c>
      <c r="E1012" s="4" t="s">
        <v>13</v>
      </c>
      <c r="F1012" s="4" t="s">
        <v>27</v>
      </c>
      <c r="G1012" s="4" t="s">
        <v>34</v>
      </c>
      <c r="H1012" s="4">
        <v>2</v>
      </c>
      <c r="I1012" s="4">
        <v>7</v>
      </c>
      <c r="J1012" s="5">
        <v>45503</v>
      </c>
      <c r="K1012" s="6">
        <v>0.48032407407407407</v>
      </c>
    </row>
    <row r="1013" spans="1:11" x14ac:dyDescent="0.25">
      <c r="A1013" s="4">
        <v>12</v>
      </c>
      <c r="B1013" s="4" t="s">
        <v>11</v>
      </c>
      <c r="C1013" s="7">
        <v>32.82</v>
      </c>
      <c r="D1013" s="4" t="s">
        <v>12</v>
      </c>
      <c r="E1013" s="4" t="s">
        <v>17</v>
      </c>
      <c r="F1013" s="4" t="s">
        <v>27</v>
      </c>
      <c r="G1013" s="4" t="s">
        <v>34</v>
      </c>
      <c r="H1013" s="4">
        <v>2</v>
      </c>
      <c r="I1013" s="4">
        <v>7</v>
      </c>
      <c r="J1013" s="5">
        <v>45503</v>
      </c>
      <c r="K1013" s="6">
        <v>0.50563657407407403</v>
      </c>
    </row>
    <row r="1014" spans="1:11" x14ac:dyDescent="0.25">
      <c r="A1014" s="4">
        <v>15</v>
      </c>
      <c r="B1014" s="4" t="s">
        <v>11</v>
      </c>
      <c r="C1014" s="7">
        <v>27.92</v>
      </c>
      <c r="D1014" s="4" t="s">
        <v>19</v>
      </c>
      <c r="E1014" s="4" t="s">
        <v>17</v>
      </c>
      <c r="F1014" s="4" t="s">
        <v>27</v>
      </c>
      <c r="G1014" s="4" t="s">
        <v>34</v>
      </c>
      <c r="H1014" s="4">
        <v>2</v>
      </c>
      <c r="I1014" s="4">
        <v>7</v>
      </c>
      <c r="J1014" s="5">
        <v>45503</v>
      </c>
      <c r="K1014" s="6">
        <v>0.63621527777777775</v>
      </c>
    </row>
    <row r="1015" spans="1:11" x14ac:dyDescent="0.25">
      <c r="A1015" s="4">
        <v>16</v>
      </c>
      <c r="B1015" s="4" t="s">
        <v>11</v>
      </c>
      <c r="C1015" s="7">
        <v>23.02</v>
      </c>
      <c r="D1015" s="4" t="s">
        <v>24</v>
      </c>
      <c r="E1015" s="4" t="s">
        <v>17</v>
      </c>
      <c r="F1015" s="4" t="s">
        <v>27</v>
      </c>
      <c r="G1015" s="4" t="s">
        <v>34</v>
      </c>
      <c r="H1015" s="4">
        <v>2</v>
      </c>
      <c r="I1015" s="4">
        <v>7</v>
      </c>
      <c r="J1015" s="5">
        <v>45503</v>
      </c>
      <c r="K1015" s="6">
        <v>0.67282407407407407</v>
      </c>
    </row>
    <row r="1016" spans="1:11" x14ac:dyDescent="0.25">
      <c r="A1016" s="4">
        <v>16</v>
      </c>
      <c r="B1016" s="4" t="s">
        <v>11</v>
      </c>
      <c r="C1016" s="7">
        <v>27.92</v>
      </c>
      <c r="D1016" s="4" t="s">
        <v>19</v>
      </c>
      <c r="E1016" s="4" t="s">
        <v>17</v>
      </c>
      <c r="F1016" s="4" t="s">
        <v>27</v>
      </c>
      <c r="G1016" s="4" t="s">
        <v>34</v>
      </c>
      <c r="H1016" s="4">
        <v>2</v>
      </c>
      <c r="I1016" s="4">
        <v>7</v>
      </c>
      <c r="J1016" s="5">
        <v>45503</v>
      </c>
      <c r="K1016" s="6">
        <v>0.67341435185185183</v>
      </c>
    </row>
    <row r="1017" spans="1:11" x14ac:dyDescent="0.25">
      <c r="A1017" s="4">
        <v>20</v>
      </c>
      <c r="B1017" s="4" t="s">
        <v>11</v>
      </c>
      <c r="C1017" s="7">
        <v>18.12</v>
      </c>
      <c r="D1017" s="4" t="s">
        <v>26</v>
      </c>
      <c r="E1017" s="4" t="s">
        <v>20</v>
      </c>
      <c r="F1017" s="4" t="s">
        <v>27</v>
      </c>
      <c r="G1017" s="4" t="s">
        <v>34</v>
      </c>
      <c r="H1017" s="4">
        <v>2</v>
      </c>
      <c r="I1017" s="4">
        <v>7</v>
      </c>
      <c r="J1017" s="5">
        <v>45503</v>
      </c>
      <c r="K1017" s="6">
        <v>0.85021990740740738</v>
      </c>
    </row>
    <row r="1018" spans="1:11" x14ac:dyDescent="0.25">
      <c r="A1018" s="4">
        <v>20</v>
      </c>
      <c r="B1018" s="4" t="s">
        <v>11</v>
      </c>
      <c r="C1018" s="7">
        <v>27.92</v>
      </c>
      <c r="D1018" s="4" t="s">
        <v>19</v>
      </c>
      <c r="E1018" s="4" t="s">
        <v>20</v>
      </c>
      <c r="F1018" s="4" t="s">
        <v>27</v>
      </c>
      <c r="G1018" s="4" t="s">
        <v>34</v>
      </c>
      <c r="H1018" s="4">
        <v>2</v>
      </c>
      <c r="I1018" s="4">
        <v>7</v>
      </c>
      <c r="J1018" s="5">
        <v>45503</v>
      </c>
      <c r="K1018" s="6">
        <v>0.87072916666666667</v>
      </c>
    </row>
    <row r="1019" spans="1:11" x14ac:dyDescent="0.25">
      <c r="A1019" s="4">
        <v>20</v>
      </c>
      <c r="B1019" s="4" t="s">
        <v>11</v>
      </c>
      <c r="C1019" s="7">
        <v>27.92</v>
      </c>
      <c r="D1019" s="4" t="s">
        <v>19</v>
      </c>
      <c r="E1019" s="4" t="s">
        <v>20</v>
      </c>
      <c r="F1019" s="4" t="s">
        <v>27</v>
      </c>
      <c r="G1019" s="4" t="s">
        <v>34</v>
      </c>
      <c r="H1019" s="4">
        <v>2</v>
      </c>
      <c r="I1019" s="4">
        <v>7</v>
      </c>
      <c r="J1019" s="5">
        <v>45503</v>
      </c>
      <c r="K1019" s="6">
        <v>0.87136574074074069</v>
      </c>
    </row>
    <row r="1020" spans="1:11" x14ac:dyDescent="0.25">
      <c r="A1020" s="4">
        <v>20</v>
      </c>
      <c r="B1020" s="4" t="s">
        <v>11</v>
      </c>
      <c r="C1020" s="7">
        <v>27.92</v>
      </c>
      <c r="D1020" s="4" t="s">
        <v>19</v>
      </c>
      <c r="E1020" s="4" t="s">
        <v>20</v>
      </c>
      <c r="F1020" s="4" t="s">
        <v>27</v>
      </c>
      <c r="G1020" s="4" t="s">
        <v>34</v>
      </c>
      <c r="H1020" s="4">
        <v>2</v>
      </c>
      <c r="I1020" s="4">
        <v>7</v>
      </c>
      <c r="J1020" s="5">
        <v>45503</v>
      </c>
      <c r="K1020" s="6">
        <v>0.87293981481481486</v>
      </c>
    </row>
    <row r="1021" spans="1:11" x14ac:dyDescent="0.25">
      <c r="A1021" s="4">
        <v>21</v>
      </c>
      <c r="B1021" s="4" t="s">
        <v>11</v>
      </c>
      <c r="C1021" s="7">
        <v>32.82</v>
      </c>
      <c r="D1021" s="4" t="s">
        <v>12</v>
      </c>
      <c r="E1021" s="4" t="s">
        <v>20</v>
      </c>
      <c r="F1021" s="4" t="s">
        <v>27</v>
      </c>
      <c r="G1021" s="4" t="s">
        <v>34</v>
      </c>
      <c r="H1021" s="4">
        <v>2</v>
      </c>
      <c r="I1021" s="4">
        <v>7</v>
      </c>
      <c r="J1021" s="5">
        <v>45503</v>
      </c>
      <c r="K1021" s="6">
        <v>0.8981365740740741</v>
      </c>
    </row>
    <row r="1022" spans="1:11" x14ac:dyDescent="0.25">
      <c r="A1022" s="4">
        <v>22</v>
      </c>
      <c r="B1022" s="4" t="s">
        <v>11</v>
      </c>
      <c r="C1022" s="7">
        <v>23.02</v>
      </c>
      <c r="D1022" s="4" t="s">
        <v>18</v>
      </c>
      <c r="E1022" s="4" t="s">
        <v>20</v>
      </c>
      <c r="F1022" s="4" t="s">
        <v>27</v>
      </c>
      <c r="G1022" s="4" t="s">
        <v>34</v>
      </c>
      <c r="H1022" s="4">
        <v>2</v>
      </c>
      <c r="I1022" s="4">
        <v>7</v>
      </c>
      <c r="J1022" s="5">
        <v>45503</v>
      </c>
      <c r="K1022" s="6">
        <v>0.92732638888888885</v>
      </c>
    </row>
    <row r="1023" spans="1:11" x14ac:dyDescent="0.25">
      <c r="A1023" s="4">
        <v>22</v>
      </c>
      <c r="B1023" s="4" t="s">
        <v>11</v>
      </c>
      <c r="C1023" s="7">
        <v>32.82</v>
      </c>
      <c r="D1023" s="4" t="s">
        <v>29</v>
      </c>
      <c r="E1023" s="4" t="s">
        <v>20</v>
      </c>
      <c r="F1023" s="4" t="s">
        <v>27</v>
      </c>
      <c r="G1023" s="4" t="s">
        <v>34</v>
      </c>
      <c r="H1023" s="4">
        <v>2</v>
      </c>
      <c r="I1023" s="4">
        <v>7</v>
      </c>
      <c r="J1023" s="5">
        <v>45503</v>
      </c>
      <c r="K1023" s="6">
        <v>0.92799768518518522</v>
      </c>
    </row>
    <row r="1024" spans="1:11" x14ac:dyDescent="0.25">
      <c r="A1024" s="4">
        <v>7</v>
      </c>
      <c r="B1024" s="4" t="s">
        <v>11</v>
      </c>
      <c r="C1024" s="7">
        <v>27.92</v>
      </c>
      <c r="D1024" s="4" t="s">
        <v>19</v>
      </c>
      <c r="E1024" s="4" t="s">
        <v>13</v>
      </c>
      <c r="F1024" s="4" t="s">
        <v>28</v>
      </c>
      <c r="G1024" s="4" t="s">
        <v>34</v>
      </c>
      <c r="H1024" s="4">
        <v>3</v>
      </c>
      <c r="I1024" s="4">
        <v>7</v>
      </c>
      <c r="J1024" s="5">
        <v>45504</v>
      </c>
      <c r="K1024" s="6">
        <v>0.33324074074074073</v>
      </c>
    </row>
    <row r="1025" spans="1:11" x14ac:dyDescent="0.25">
      <c r="A1025" s="4">
        <v>8</v>
      </c>
      <c r="B1025" s="4" t="s">
        <v>11</v>
      </c>
      <c r="C1025" s="7">
        <v>27.92</v>
      </c>
      <c r="D1025" s="4" t="s">
        <v>19</v>
      </c>
      <c r="E1025" s="4" t="s">
        <v>13</v>
      </c>
      <c r="F1025" s="4" t="s">
        <v>28</v>
      </c>
      <c r="G1025" s="4" t="s">
        <v>34</v>
      </c>
      <c r="H1025" s="4">
        <v>3</v>
      </c>
      <c r="I1025" s="4">
        <v>7</v>
      </c>
      <c r="J1025" s="5">
        <v>45504</v>
      </c>
      <c r="K1025" s="6">
        <v>0.35950231481481482</v>
      </c>
    </row>
    <row r="1026" spans="1:11" x14ac:dyDescent="0.25">
      <c r="A1026" s="4">
        <v>8</v>
      </c>
      <c r="B1026" s="4" t="s">
        <v>11</v>
      </c>
      <c r="C1026" s="7">
        <v>27.92</v>
      </c>
      <c r="D1026" s="4" t="s">
        <v>19</v>
      </c>
      <c r="E1026" s="4" t="s">
        <v>13</v>
      </c>
      <c r="F1026" s="4" t="s">
        <v>28</v>
      </c>
      <c r="G1026" s="4" t="s">
        <v>34</v>
      </c>
      <c r="H1026" s="4">
        <v>3</v>
      </c>
      <c r="I1026" s="4">
        <v>7</v>
      </c>
      <c r="J1026" s="5">
        <v>45504</v>
      </c>
      <c r="K1026" s="6">
        <v>0.36016203703703703</v>
      </c>
    </row>
    <row r="1027" spans="1:11" x14ac:dyDescent="0.25">
      <c r="A1027" s="4">
        <v>9</v>
      </c>
      <c r="B1027" s="4" t="s">
        <v>11</v>
      </c>
      <c r="C1027" s="7">
        <v>23.02</v>
      </c>
      <c r="D1027" s="4" t="s">
        <v>18</v>
      </c>
      <c r="E1027" s="4" t="s">
        <v>13</v>
      </c>
      <c r="F1027" s="4" t="s">
        <v>28</v>
      </c>
      <c r="G1027" s="4" t="s">
        <v>34</v>
      </c>
      <c r="H1027" s="4">
        <v>3</v>
      </c>
      <c r="I1027" s="4">
        <v>7</v>
      </c>
      <c r="J1027" s="5">
        <v>45504</v>
      </c>
      <c r="K1027" s="6">
        <v>0.41302083333333334</v>
      </c>
    </row>
    <row r="1028" spans="1:11" x14ac:dyDescent="0.25">
      <c r="A1028" s="4">
        <v>9</v>
      </c>
      <c r="B1028" s="4" t="s">
        <v>11</v>
      </c>
      <c r="C1028" s="7">
        <v>23.02</v>
      </c>
      <c r="D1028" s="4" t="s">
        <v>18</v>
      </c>
      <c r="E1028" s="4" t="s">
        <v>13</v>
      </c>
      <c r="F1028" s="4" t="s">
        <v>28</v>
      </c>
      <c r="G1028" s="4" t="s">
        <v>34</v>
      </c>
      <c r="H1028" s="4">
        <v>3</v>
      </c>
      <c r="I1028" s="4">
        <v>7</v>
      </c>
      <c r="J1028" s="5">
        <v>45504</v>
      </c>
      <c r="K1028" s="6">
        <v>0.41371527777777778</v>
      </c>
    </row>
    <row r="1029" spans="1:11" x14ac:dyDescent="0.25">
      <c r="A1029" s="4">
        <v>9</v>
      </c>
      <c r="B1029" s="4" t="s">
        <v>11</v>
      </c>
      <c r="C1029" s="7">
        <v>27.92</v>
      </c>
      <c r="D1029" s="4" t="s">
        <v>19</v>
      </c>
      <c r="E1029" s="4" t="s">
        <v>13</v>
      </c>
      <c r="F1029" s="4" t="s">
        <v>28</v>
      </c>
      <c r="G1029" s="4" t="s">
        <v>34</v>
      </c>
      <c r="H1029" s="4">
        <v>3</v>
      </c>
      <c r="I1029" s="4">
        <v>7</v>
      </c>
      <c r="J1029" s="5">
        <v>45504</v>
      </c>
      <c r="K1029" s="6">
        <v>0.41545138888888888</v>
      </c>
    </row>
    <row r="1030" spans="1:11" x14ac:dyDescent="0.25">
      <c r="A1030" s="4">
        <v>13</v>
      </c>
      <c r="B1030" s="4" t="s">
        <v>11</v>
      </c>
      <c r="C1030" s="7">
        <v>32.82</v>
      </c>
      <c r="D1030" s="4" t="s">
        <v>21</v>
      </c>
      <c r="E1030" s="4" t="s">
        <v>17</v>
      </c>
      <c r="F1030" s="4" t="s">
        <v>28</v>
      </c>
      <c r="G1030" s="4" t="s">
        <v>34</v>
      </c>
      <c r="H1030" s="4">
        <v>3</v>
      </c>
      <c r="I1030" s="4">
        <v>7</v>
      </c>
      <c r="J1030" s="5">
        <v>45504</v>
      </c>
      <c r="K1030" s="6">
        <v>0.54979166666666668</v>
      </c>
    </row>
    <row r="1031" spans="1:11" x14ac:dyDescent="0.25">
      <c r="A1031" s="4">
        <v>13</v>
      </c>
      <c r="B1031" s="4" t="s">
        <v>11</v>
      </c>
      <c r="C1031" s="7">
        <v>32.82</v>
      </c>
      <c r="D1031" s="4" t="s">
        <v>12</v>
      </c>
      <c r="E1031" s="4" t="s">
        <v>17</v>
      </c>
      <c r="F1031" s="4" t="s">
        <v>28</v>
      </c>
      <c r="G1031" s="4" t="s">
        <v>34</v>
      </c>
      <c r="H1031" s="4">
        <v>3</v>
      </c>
      <c r="I1031" s="4">
        <v>7</v>
      </c>
      <c r="J1031" s="5">
        <v>45504</v>
      </c>
      <c r="K1031" s="6">
        <v>0.55138888888888893</v>
      </c>
    </row>
    <row r="1032" spans="1:11" x14ac:dyDescent="0.25">
      <c r="A1032" s="4">
        <v>13</v>
      </c>
      <c r="B1032" s="4" t="s">
        <v>11</v>
      </c>
      <c r="C1032" s="7">
        <v>27.92</v>
      </c>
      <c r="D1032" s="4" t="s">
        <v>19</v>
      </c>
      <c r="E1032" s="4" t="s">
        <v>17</v>
      </c>
      <c r="F1032" s="4" t="s">
        <v>28</v>
      </c>
      <c r="G1032" s="4" t="s">
        <v>34</v>
      </c>
      <c r="H1032" s="4">
        <v>3</v>
      </c>
      <c r="I1032" s="4">
        <v>7</v>
      </c>
      <c r="J1032" s="5">
        <v>45504</v>
      </c>
      <c r="K1032" s="6">
        <v>0.55890046296296292</v>
      </c>
    </row>
    <row r="1033" spans="1:11" x14ac:dyDescent="0.25">
      <c r="A1033" s="4">
        <v>17</v>
      </c>
      <c r="B1033" s="4" t="s">
        <v>11</v>
      </c>
      <c r="C1033" s="7">
        <v>23.02</v>
      </c>
      <c r="D1033" s="4" t="s">
        <v>24</v>
      </c>
      <c r="E1033" s="4" t="s">
        <v>20</v>
      </c>
      <c r="F1033" s="4" t="s">
        <v>28</v>
      </c>
      <c r="G1033" s="4" t="s">
        <v>34</v>
      </c>
      <c r="H1033" s="4">
        <v>3</v>
      </c>
      <c r="I1033" s="4">
        <v>7</v>
      </c>
      <c r="J1033" s="5">
        <v>45504</v>
      </c>
      <c r="K1033" s="6">
        <v>0.74173611111111115</v>
      </c>
    </row>
    <row r="1034" spans="1:11" x14ac:dyDescent="0.25">
      <c r="A1034" s="4">
        <v>18</v>
      </c>
      <c r="B1034" s="4" t="s">
        <v>11</v>
      </c>
      <c r="C1034" s="7">
        <v>32.82</v>
      </c>
      <c r="D1034" s="4" t="s">
        <v>12</v>
      </c>
      <c r="E1034" s="4" t="s">
        <v>20</v>
      </c>
      <c r="F1034" s="4" t="s">
        <v>28</v>
      </c>
      <c r="G1034" s="4" t="s">
        <v>34</v>
      </c>
      <c r="H1034" s="4">
        <v>3</v>
      </c>
      <c r="I1034" s="4">
        <v>7</v>
      </c>
      <c r="J1034" s="5">
        <v>45504</v>
      </c>
      <c r="K1034" s="6">
        <v>0.75293981481481487</v>
      </c>
    </row>
    <row r="1035" spans="1:11" x14ac:dyDescent="0.25">
      <c r="A1035" s="4">
        <v>19</v>
      </c>
      <c r="B1035" s="4" t="s">
        <v>11</v>
      </c>
      <c r="C1035" s="7">
        <v>23.02</v>
      </c>
      <c r="D1035" s="4" t="s">
        <v>24</v>
      </c>
      <c r="E1035" s="4" t="s">
        <v>20</v>
      </c>
      <c r="F1035" s="4" t="s">
        <v>28</v>
      </c>
      <c r="G1035" s="4" t="s">
        <v>34</v>
      </c>
      <c r="H1035" s="4">
        <v>3</v>
      </c>
      <c r="I1035" s="4">
        <v>7</v>
      </c>
      <c r="J1035" s="5">
        <v>45504</v>
      </c>
      <c r="K1035" s="6">
        <v>0.80738425925925927</v>
      </c>
    </row>
    <row r="1036" spans="1:11" x14ac:dyDescent="0.25">
      <c r="A1036" s="4">
        <v>19</v>
      </c>
      <c r="B1036" s="4" t="s">
        <v>11</v>
      </c>
      <c r="C1036" s="7">
        <v>32.82</v>
      </c>
      <c r="D1036" s="4" t="s">
        <v>12</v>
      </c>
      <c r="E1036" s="4" t="s">
        <v>20</v>
      </c>
      <c r="F1036" s="4" t="s">
        <v>28</v>
      </c>
      <c r="G1036" s="4" t="s">
        <v>34</v>
      </c>
      <c r="H1036" s="4">
        <v>3</v>
      </c>
      <c r="I1036" s="4">
        <v>7</v>
      </c>
      <c r="J1036" s="5">
        <v>45504</v>
      </c>
      <c r="K1036" s="6">
        <v>0.81163194444444442</v>
      </c>
    </row>
    <row r="1037" spans="1:11" x14ac:dyDescent="0.25">
      <c r="A1037" s="4">
        <v>20</v>
      </c>
      <c r="B1037" s="4" t="s">
        <v>11</v>
      </c>
      <c r="C1037" s="7">
        <v>32.82</v>
      </c>
      <c r="D1037" s="4" t="s">
        <v>21</v>
      </c>
      <c r="E1037" s="4" t="s">
        <v>20</v>
      </c>
      <c r="F1037" s="4" t="s">
        <v>28</v>
      </c>
      <c r="G1037" s="4" t="s">
        <v>34</v>
      </c>
      <c r="H1037" s="4">
        <v>3</v>
      </c>
      <c r="I1037" s="4">
        <v>7</v>
      </c>
      <c r="J1037" s="5">
        <v>45504</v>
      </c>
      <c r="K1037" s="6">
        <v>0.86576388888888889</v>
      </c>
    </row>
    <row r="1038" spans="1:11" x14ac:dyDescent="0.25">
      <c r="A1038" s="4">
        <v>20</v>
      </c>
      <c r="B1038" s="4" t="s">
        <v>11</v>
      </c>
      <c r="C1038" s="7">
        <v>23.02</v>
      </c>
      <c r="D1038" s="4" t="s">
        <v>24</v>
      </c>
      <c r="E1038" s="4" t="s">
        <v>20</v>
      </c>
      <c r="F1038" s="4" t="s">
        <v>28</v>
      </c>
      <c r="G1038" s="4" t="s">
        <v>34</v>
      </c>
      <c r="H1038" s="4">
        <v>3</v>
      </c>
      <c r="I1038" s="4">
        <v>7</v>
      </c>
      <c r="J1038" s="5">
        <v>45504</v>
      </c>
      <c r="K1038" s="6">
        <v>0.86813657407407407</v>
      </c>
    </row>
    <row r="1039" spans="1:11" x14ac:dyDescent="0.25">
      <c r="A1039" s="4">
        <v>20</v>
      </c>
      <c r="B1039" s="4" t="s">
        <v>11</v>
      </c>
      <c r="C1039" s="7">
        <v>32.82</v>
      </c>
      <c r="D1039" s="4" t="s">
        <v>12</v>
      </c>
      <c r="E1039" s="4" t="s">
        <v>20</v>
      </c>
      <c r="F1039" s="4" t="s">
        <v>28</v>
      </c>
      <c r="G1039" s="4" t="s">
        <v>34</v>
      </c>
      <c r="H1039" s="4">
        <v>3</v>
      </c>
      <c r="I1039" s="4">
        <v>7</v>
      </c>
      <c r="J1039" s="5">
        <v>45504</v>
      </c>
      <c r="K1039" s="6">
        <v>0.86886574074074074</v>
      </c>
    </row>
    <row r="1040" spans="1:11" x14ac:dyDescent="0.25">
      <c r="A1040" s="4">
        <v>20</v>
      </c>
      <c r="B1040" s="4" t="s">
        <v>11</v>
      </c>
      <c r="C1040" s="7">
        <v>32.82</v>
      </c>
      <c r="D1040" s="4" t="s">
        <v>29</v>
      </c>
      <c r="E1040" s="4" t="s">
        <v>20</v>
      </c>
      <c r="F1040" s="4" t="s">
        <v>28</v>
      </c>
      <c r="G1040" s="4" t="s">
        <v>34</v>
      </c>
      <c r="H1040" s="4">
        <v>3</v>
      </c>
      <c r="I1040" s="4">
        <v>7</v>
      </c>
      <c r="J1040" s="5">
        <v>45504</v>
      </c>
      <c r="K1040" s="6">
        <v>0.86960648148148145</v>
      </c>
    </row>
    <row r="1041" spans="1:11" x14ac:dyDescent="0.25">
      <c r="A1041" s="4">
        <v>20</v>
      </c>
      <c r="B1041" s="4" t="s">
        <v>11</v>
      </c>
      <c r="C1041" s="7">
        <v>23.02</v>
      </c>
      <c r="D1041" s="4" t="s">
        <v>24</v>
      </c>
      <c r="E1041" s="4" t="s">
        <v>20</v>
      </c>
      <c r="F1041" s="4" t="s">
        <v>28</v>
      </c>
      <c r="G1041" s="4" t="s">
        <v>34</v>
      </c>
      <c r="H1041" s="4">
        <v>3</v>
      </c>
      <c r="I1041" s="4">
        <v>7</v>
      </c>
      <c r="J1041" s="5">
        <v>45504</v>
      </c>
      <c r="K1041" s="6">
        <v>0.87054398148148149</v>
      </c>
    </row>
    <row r="1042" spans="1:11" x14ac:dyDescent="0.25">
      <c r="A1042" s="4">
        <v>20</v>
      </c>
      <c r="B1042" s="4" t="s">
        <v>11</v>
      </c>
      <c r="C1042" s="7">
        <v>27.92</v>
      </c>
      <c r="D1042" s="4" t="s">
        <v>19</v>
      </c>
      <c r="E1042" s="4" t="s">
        <v>20</v>
      </c>
      <c r="F1042" s="4" t="s">
        <v>28</v>
      </c>
      <c r="G1042" s="4" t="s">
        <v>34</v>
      </c>
      <c r="H1042" s="4">
        <v>3</v>
      </c>
      <c r="I1042" s="4">
        <v>7</v>
      </c>
      <c r="J1042" s="5">
        <v>45504</v>
      </c>
      <c r="K1042" s="6">
        <v>0.87459490740740742</v>
      </c>
    </row>
    <row r="1043" spans="1:11" x14ac:dyDescent="0.25">
      <c r="A1043" s="4">
        <v>21</v>
      </c>
      <c r="B1043" s="4" t="s">
        <v>11</v>
      </c>
      <c r="C1043" s="7">
        <v>32.82</v>
      </c>
      <c r="D1043" s="4" t="s">
        <v>12</v>
      </c>
      <c r="E1043" s="4" t="s">
        <v>20</v>
      </c>
      <c r="F1043" s="4" t="s">
        <v>28</v>
      </c>
      <c r="G1043" s="4" t="s">
        <v>34</v>
      </c>
      <c r="H1043" s="4">
        <v>3</v>
      </c>
      <c r="I1043" s="4">
        <v>7</v>
      </c>
      <c r="J1043" s="5">
        <v>45504</v>
      </c>
      <c r="K1043" s="6">
        <v>0.8933564814814815</v>
      </c>
    </row>
    <row r="1044" spans="1:11" x14ac:dyDescent="0.25">
      <c r="A1044" s="4">
        <v>21</v>
      </c>
      <c r="B1044" s="4" t="s">
        <v>11</v>
      </c>
      <c r="C1044" s="7">
        <v>32.82</v>
      </c>
      <c r="D1044" s="4" t="s">
        <v>12</v>
      </c>
      <c r="E1044" s="4" t="s">
        <v>20</v>
      </c>
      <c r="F1044" s="4" t="s">
        <v>28</v>
      </c>
      <c r="G1044" s="4" t="s">
        <v>34</v>
      </c>
      <c r="H1044" s="4">
        <v>3</v>
      </c>
      <c r="I1044" s="4">
        <v>7</v>
      </c>
      <c r="J1044" s="5">
        <v>45504</v>
      </c>
      <c r="K1044" s="6">
        <v>0.91262731481481485</v>
      </c>
    </row>
    <row r="1045" spans="1:11" x14ac:dyDescent="0.25">
      <c r="A1045" s="4">
        <v>21</v>
      </c>
      <c r="B1045" s="4" t="s">
        <v>11</v>
      </c>
      <c r="C1045" s="7">
        <v>32.82</v>
      </c>
      <c r="D1045" s="4" t="s">
        <v>12</v>
      </c>
      <c r="E1045" s="4" t="s">
        <v>20</v>
      </c>
      <c r="F1045" s="4" t="s">
        <v>28</v>
      </c>
      <c r="G1045" s="4" t="s">
        <v>34</v>
      </c>
      <c r="H1045" s="4">
        <v>3</v>
      </c>
      <c r="I1045" s="4">
        <v>7</v>
      </c>
      <c r="J1045" s="5">
        <v>45504</v>
      </c>
      <c r="K1045" s="6">
        <v>0.9133796296296296</v>
      </c>
    </row>
    <row r="1046" spans="1:11" x14ac:dyDescent="0.25">
      <c r="A1046" s="4">
        <v>7</v>
      </c>
      <c r="B1046" s="4" t="s">
        <v>11</v>
      </c>
      <c r="C1046" s="7">
        <v>27.92</v>
      </c>
      <c r="D1046" s="4" t="s">
        <v>19</v>
      </c>
      <c r="E1046" s="4" t="s">
        <v>13</v>
      </c>
      <c r="F1046" s="4" t="s">
        <v>30</v>
      </c>
      <c r="G1046" s="4" t="s">
        <v>35</v>
      </c>
      <c r="H1046" s="4">
        <v>4</v>
      </c>
      <c r="I1046" s="4">
        <v>8</v>
      </c>
      <c r="J1046" s="5">
        <v>45505</v>
      </c>
      <c r="K1046" s="6">
        <v>0.31319444444444444</v>
      </c>
    </row>
    <row r="1047" spans="1:11" x14ac:dyDescent="0.25">
      <c r="A1047" s="4">
        <v>9</v>
      </c>
      <c r="B1047" s="4" t="s">
        <v>11</v>
      </c>
      <c r="C1047" s="7">
        <v>27.92</v>
      </c>
      <c r="D1047" s="4" t="s">
        <v>19</v>
      </c>
      <c r="E1047" s="4" t="s">
        <v>13</v>
      </c>
      <c r="F1047" s="4" t="s">
        <v>30</v>
      </c>
      <c r="G1047" s="4" t="s">
        <v>35</v>
      </c>
      <c r="H1047" s="4">
        <v>4</v>
      </c>
      <c r="I1047" s="4">
        <v>8</v>
      </c>
      <c r="J1047" s="5">
        <v>45505</v>
      </c>
      <c r="K1047" s="6">
        <v>0.3925925925925926</v>
      </c>
    </row>
    <row r="1048" spans="1:11" x14ac:dyDescent="0.25">
      <c r="A1048" s="4">
        <v>11</v>
      </c>
      <c r="B1048" s="4" t="s">
        <v>11</v>
      </c>
      <c r="C1048" s="7">
        <v>27.92</v>
      </c>
      <c r="D1048" s="4" t="s">
        <v>19</v>
      </c>
      <c r="E1048" s="4" t="s">
        <v>13</v>
      </c>
      <c r="F1048" s="4" t="s">
        <v>30</v>
      </c>
      <c r="G1048" s="4" t="s">
        <v>35</v>
      </c>
      <c r="H1048" s="4">
        <v>4</v>
      </c>
      <c r="I1048" s="4">
        <v>8</v>
      </c>
      <c r="J1048" s="5">
        <v>45505</v>
      </c>
      <c r="K1048" s="6">
        <v>0.46127314814814813</v>
      </c>
    </row>
    <row r="1049" spans="1:11" x14ac:dyDescent="0.25">
      <c r="A1049" s="4">
        <v>11</v>
      </c>
      <c r="B1049" s="4" t="s">
        <v>11</v>
      </c>
      <c r="C1049" s="7">
        <v>27.92</v>
      </c>
      <c r="D1049" s="4" t="s">
        <v>19</v>
      </c>
      <c r="E1049" s="4" t="s">
        <v>13</v>
      </c>
      <c r="F1049" s="4" t="s">
        <v>30</v>
      </c>
      <c r="G1049" s="4" t="s">
        <v>35</v>
      </c>
      <c r="H1049" s="4">
        <v>4</v>
      </c>
      <c r="I1049" s="4">
        <v>8</v>
      </c>
      <c r="J1049" s="5">
        <v>45505</v>
      </c>
      <c r="K1049" s="6">
        <v>0.47414351851851849</v>
      </c>
    </row>
    <row r="1050" spans="1:11" x14ac:dyDescent="0.25">
      <c r="A1050" s="4">
        <v>13</v>
      </c>
      <c r="B1050" s="4" t="s">
        <v>11</v>
      </c>
      <c r="C1050" s="7">
        <v>23.02</v>
      </c>
      <c r="D1050" s="4" t="s">
        <v>24</v>
      </c>
      <c r="E1050" s="4" t="s">
        <v>17</v>
      </c>
      <c r="F1050" s="4" t="s">
        <v>30</v>
      </c>
      <c r="G1050" s="4" t="s">
        <v>35</v>
      </c>
      <c r="H1050" s="4">
        <v>4</v>
      </c>
      <c r="I1050" s="4">
        <v>8</v>
      </c>
      <c r="J1050" s="5">
        <v>45505</v>
      </c>
      <c r="K1050" s="6">
        <v>0.55747685185185181</v>
      </c>
    </row>
    <row r="1051" spans="1:11" x14ac:dyDescent="0.25">
      <c r="A1051" s="4">
        <v>13</v>
      </c>
      <c r="B1051" s="4" t="s">
        <v>11</v>
      </c>
      <c r="C1051" s="7">
        <v>32.82</v>
      </c>
      <c r="D1051" s="4" t="s">
        <v>29</v>
      </c>
      <c r="E1051" s="4" t="s">
        <v>17</v>
      </c>
      <c r="F1051" s="4" t="s">
        <v>30</v>
      </c>
      <c r="G1051" s="4" t="s">
        <v>35</v>
      </c>
      <c r="H1051" s="4">
        <v>4</v>
      </c>
      <c r="I1051" s="4">
        <v>8</v>
      </c>
      <c r="J1051" s="5">
        <v>45505</v>
      </c>
      <c r="K1051" s="6">
        <v>0.55806712962962968</v>
      </c>
    </row>
    <row r="1052" spans="1:11" x14ac:dyDescent="0.25">
      <c r="A1052" s="4">
        <v>13</v>
      </c>
      <c r="B1052" s="4" t="s">
        <v>11</v>
      </c>
      <c r="C1052" s="7">
        <v>32.82</v>
      </c>
      <c r="D1052" s="4" t="s">
        <v>29</v>
      </c>
      <c r="E1052" s="4" t="s">
        <v>17</v>
      </c>
      <c r="F1052" s="4" t="s">
        <v>30</v>
      </c>
      <c r="G1052" s="4" t="s">
        <v>35</v>
      </c>
      <c r="H1052" s="4">
        <v>4</v>
      </c>
      <c r="I1052" s="4">
        <v>8</v>
      </c>
      <c r="J1052" s="5">
        <v>45505</v>
      </c>
      <c r="K1052" s="6">
        <v>0.575775462962963</v>
      </c>
    </row>
    <row r="1053" spans="1:11" x14ac:dyDescent="0.25">
      <c r="A1053" s="4">
        <v>15</v>
      </c>
      <c r="B1053" s="4" t="s">
        <v>11</v>
      </c>
      <c r="C1053" s="7">
        <v>27.92</v>
      </c>
      <c r="D1053" s="4" t="s">
        <v>19</v>
      </c>
      <c r="E1053" s="4" t="s">
        <v>17</v>
      </c>
      <c r="F1053" s="4" t="s">
        <v>30</v>
      </c>
      <c r="G1053" s="4" t="s">
        <v>35</v>
      </c>
      <c r="H1053" s="4">
        <v>4</v>
      </c>
      <c r="I1053" s="4">
        <v>8</v>
      </c>
      <c r="J1053" s="5">
        <v>45505</v>
      </c>
      <c r="K1053" s="6">
        <v>0.65535879629629634</v>
      </c>
    </row>
    <row r="1054" spans="1:11" x14ac:dyDescent="0.25">
      <c r="A1054" s="4">
        <v>16</v>
      </c>
      <c r="B1054" s="4" t="s">
        <v>11</v>
      </c>
      <c r="C1054" s="7">
        <v>27.92</v>
      </c>
      <c r="D1054" s="4" t="s">
        <v>19</v>
      </c>
      <c r="E1054" s="4" t="s">
        <v>17</v>
      </c>
      <c r="F1054" s="4" t="s">
        <v>30</v>
      </c>
      <c r="G1054" s="4" t="s">
        <v>35</v>
      </c>
      <c r="H1054" s="4">
        <v>4</v>
      </c>
      <c r="I1054" s="4">
        <v>8</v>
      </c>
      <c r="J1054" s="5">
        <v>45505</v>
      </c>
      <c r="K1054" s="6">
        <v>0.68333333333333335</v>
      </c>
    </row>
    <row r="1055" spans="1:11" x14ac:dyDescent="0.25">
      <c r="A1055" s="4">
        <v>16</v>
      </c>
      <c r="B1055" s="4" t="s">
        <v>11</v>
      </c>
      <c r="C1055" s="7">
        <v>23.02</v>
      </c>
      <c r="D1055" s="4" t="s">
        <v>18</v>
      </c>
      <c r="E1055" s="4" t="s">
        <v>17</v>
      </c>
      <c r="F1055" s="4" t="s">
        <v>30</v>
      </c>
      <c r="G1055" s="4" t="s">
        <v>35</v>
      </c>
      <c r="H1055" s="4">
        <v>4</v>
      </c>
      <c r="I1055" s="4">
        <v>8</v>
      </c>
      <c r="J1055" s="5">
        <v>45505</v>
      </c>
      <c r="K1055" s="6">
        <v>0.68480324074074073</v>
      </c>
    </row>
    <row r="1056" spans="1:11" x14ac:dyDescent="0.25">
      <c r="A1056" s="4">
        <v>17</v>
      </c>
      <c r="B1056" s="4" t="s">
        <v>11</v>
      </c>
      <c r="C1056" s="7">
        <v>23.02</v>
      </c>
      <c r="D1056" s="4" t="s">
        <v>18</v>
      </c>
      <c r="E1056" s="4" t="s">
        <v>20</v>
      </c>
      <c r="F1056" s="4" t="s">
        <v>30</v>
      </c>
      <c r="G1056" s="4" t="s">
        <v>35</v>
      </c>
      <c r="H1056" s="4">
        <v>4</v>
      </c>
      <c r="I1056" s="4">
        <v>8</v>
      </c>
      <c r="J1056" s="5">
        <v>45505</v>
      </c>
      <c r="K1056" s="6">
        <v>0.72471064814814812</v>
      </c>
    </row>
    <row r="1057" spans="1:11" x14ac:dyDescent="0.25">
      <c r="A1057" s="4">
        <v>20</v>
      </c>
      <c r="B1057" s="4" t="s">
        <v>11</v>
      </c>
      <c r="C1057" s="7">
        <v>32.82</v>
      </c>
      <c r="D1057" s="4" t="s">
        <v>29</v>
      </c>
      <c r="E1057" s="4" t="s">
        <v>20</v>
      </c>
      <c r="F1057" s="4" t="s">
        <v>30</v>
      </c>
      <c r="G1057" s="4" t="s">
        <v>35</v>
      </c>
      <c r="H1057" s="4">
        <v>4</v>
      </c>
      <c r="I1057" s="4">
        <v>8</v>
      </c>
      <c r="J1057" s="5">
        <v>45505</v>
      </c>
      <c r="K1057" s="6">
        <v>0.86212962962962958</v>
      </c>
    </row>
    <row r="1058" spans="1:11" x14ac:dyDescent="0.25">
      <c r="A1058" s="4">
        <v>9</v>
      </c>
      <c r="B1058" s="4" t="s">
        <v>11</v>
      </c>
      <c r="C1058" s="7">
        <v>27.92</v>
      </c>
      <c r="D1058" s="4" t="s">
        <v>19</v>
      </c>
      <c r="E1058" s="4" t="s">
        <v>13</v>
      </c>
      <c r="F1058" s="4" t="s">
        <v>14</v>
      </c>
      <c r="G1058" s="4" t="s">
        <v>35</v>
      </c>
      <c r="H1058" s="4">
        <v>5</v>
      </c>
      <c r="I1058" s="4">
        <v>8</v>
      </c>
      <c r="J1058" s="5">
        <v>45506</v>
      </c>
      <c r="K1058" s="6">
        <v>0.37631944444444443</v>
      </c>
    </row>
    <row r="1059" spans="1:11" x14ac:dyDescent="0.25">
      <c r="A1059" s="4">
        <v>9</v>
      </c>
      <c r="B1059" s="4" t="s">
        <v>11</v>
      </c>
      <c r="C1059" s="7">
        <v>27.92</v>
      </c>
      <c r="D1059" s="4" t="s">
        <v>19</v>
      </c>
      <c r="E1059" s="4" t="s">
        <v>13</v>
      </c>
      <c r="F1059" s="4" t="s">
        <v>14</v>
      </c>
      <c r="G1059" s="4" t="s">
        <v>35</v>
      </c>
      <c r="H1059" s="4">
        <v>5</v>
      </c>
      <c r="I1059" s="4">
        <v>8</v>
      </c>
      <c r="J1059" s="5">
        <v>45506</v>
      </c>
      <c r="K1059" s="6">
        <v>0.39932870370370371</v>
      </c>
    </row>
    <row r="1060" spans="1:11" x14ac:dyDescent="0.25">
      <c r="A1060" s="4">
        <v>11</v>
      </c>
      <c r="B1060" s="4" t="s">
        <v>11</v>
      </c>
      <c r="C1060" s="7">
        <v>23.02</v>
      </c>
      <c r="D1060" s="4" t="s">
        <v>24</v>
      </c>
      <c r="E1060" s="4" t="s">
        <v>13</v>
      </c>
      <c r="F1060" s="4" t="s">
        <v>14</v>
      </c>
      <c r="G1060" s="4" t="s">
        <v>35</v>
      </c>
      <c r="H1060" s="4">
        <v>5</v>
      </c>
      <c r="I1060" s="4">
        <v>8</v>
      </c>
      <c r="J1060" s="5">
        <v>45506</v>
      </c>
      <c r="K1060" s="6">
        <v>0.46480324074074075</v>
      </c>
    </row>
    <row r="1061" spans="1:11" x14ac:dyDescent="0.25">
      <c r="A1061" s="4">
        <v>18</v>
      </c>
      <c r="B1061" s="4" t="s">
        <v>11</v>
      </c>
      <c r="C1061" s="7">
        <v>27.92</v>
      </c>
      <c r="D1061" s="4" t="s">
        <v>19</v>
      </c>
      <c r="E1061" s="4" t="s">
        <v>20</v>
      </c>
      <c r="F1061" s="4" t="s">
        <v>14</v>
      </c>
      <c r="G1061" s="4" t="s">
        <v>35</v>
      </c>
      <c r="H1061" s="4">
        <v>5</v>
      </c>
      <c r="I1061" s="4">
        <v>8</v>
      </c>
      <c r="J1061" s="5">
        <v>45506</v>
      </c>
      <c r="K1061" s="6">
        <v>0.75596064814814812</v>
      </c>
    </row>
    <row r="1062" spans="1:11" x14ac:dyDescent="0.25">
      <c r="A1062" s="4">
        <v>21</v>
      </c>
      <c r="B1062" s="4" t="s">
        <v>11</v>
      </c>
      <c r="C1062" s="7">
        <v>32.82</v>
      </c>
      <c r="D1062" s="4" t="s">
        <v>12</v>
      </c>
      <c r="E1062" s="4" t="s">
        <v>20</v>
      </c>
      <c r="F1062" s="4" t="s">
        <v>14</v>
      </c>
      <c r="G1062" s="4" t="s">
        <v>35</v>
      </c>
      <c r="H1062" s="4">
        <v>5</v>
      </c>
      <c r="I1062" s="4">
        <v>8</v>
      </c>
      <c r="J1062" s="5">
        <v>45506</v>
      </c>
      <c r="K1062" s="6">
        <v>0.89101851851851854</v>
      </c>
    </row>
    <row r="1063" spans="1:11" x14ac:dyDescent="0.25">
      <c r="A1063" s="4">
        <v>8</v>
      </c>
      <c r="B1063" s="4" t="s">
        <v>11</v>
      </c>
      <c r="C1063" s="7">
        <v>27.92</v>
      </c>
      <c r="D1063" s="4" t="s">
        <v>19</v>
      </c>
      <c r="E1063" s="4" t="s">
        <v>13</v>
      </c>
      <c r="F1063" s="4" t="s">
        <v>22</v>
      </c>
      <c r="G1063" s="4" t="s">
        <v>35</v>
      </c>
      <c r="H1063" s="4">
        <v>6</v>
      </c>
      <c r="I1063" s="4">
        <v>8</v>
      </c>
      <c r="J1063" s="5">
        <v>45507</v>
      </c>
      <c r="K1063" s="6">
        <v>0.3706712962962963</v>
      </c>
    </row>
    <row r="1064" spans="1:11" x14ac:dyDescent="0.25">
      <c r="A1064" s="4">
        <v>9</v>
      </c>
      <c r="B1064" s="4" t="s">
        <v>11</v>
      </c>
      <c r="C1064" s="7">
        <v>27.92</v>
      </c>
      <c r="D1064" s="4" t="s">
        <v>19</v>
      </c>
      <c r="E1064" s="4" t="s">
        <v>13</v>
      </c>
      <c r="F1064" s="4" t="s">
        <v>22</v>
      </c>
      <c r="G1064" s="4" t="s">
        <v>35</v>
      </c>
      <c r="H1064" s="4">
        <v>6</v>
      </c>
      <c r="I1064" s="4">
        <v>8</v>
      </c>
      <c r="J1064" s="5">
        <v>45507</v>
      </c>
      <c r="K1064" s="6">
        <v>0.40091435185185187</v>
      </c>
    </row>
    <row r="1065" spans="1:11" x14ac:dyDescent="0.25">
      <c r="A1065" s="4">
        <v>9</v>
      </c>
      <c r="B1065" s="4" t="s">
        <v>11</v>
      </c>
      <c r="C1065" s="7">
        <v>27.92</v>
      </c>
      <c r="D1065" s="4" t="s">
        <v>19</v>
      </c>
      <c r="E1065" s="4" t="s">
        <v>13</v>
      </c>
      <c r="F1065" s="4" t="s">
        <v>22</v>
      </c>
      <c r="G1065" s="4" t="s">
        <v>35</v>
      </c>
      <c r="H1065" s="4">
        <v>6</v>
      </c>
      <c r="I1065" s="4">
        <v>8</v>
      </c>
      <c r="J1065" s="5">
        <v>45507</v>
      </c>
      <c r="K1065" s="6">
        <v>0.40186342592592594</v>
      </c>
    </row>
    <row r="1066" spans="1:11" x14ac:dyDescent="0.25">
      <c r="A1066" s="4">
        <v>10</v>
      </c>
      <c r="B1066" s="4" t="s">
        <v>11</v>
      </c>
      <c r="C1066" s="7">
        <v>27.92</v>
      </c>
      <c r="D1066" s="4" t="s">
        <v>19</v>
      </c>
      <c r="E1066" s="4" t="s">
        <v>13</v>
      </c>
      <c r="F1066" s="4" t="s">
        <v>22</v>
      </c>
      <c r="G1066" s="4" t="s">
        <v>35</v>
      </c>
      <c r="H1066" s="4">
        <v>6</v>
      </c>
      <c r="I1066" s="4">
        <v>8</v>
      </c>
      <c r="J1066" s="5">
        <v>45507</v>
      </c>
      <c r="K1066" s="6">
        <v>0.42528935185185185</v>
      </c>
    </row>
    <row r="1067" spans="1:11" x14ac:dyDescent="0.25">
      <c r="A1067" s="4">
        <v>11</v>
      </c>
      <c r="B1067" s="4" t="s">
        <v>11</v>
      </c>
      <c r="C1067" s="7">
        <v>23.02</v>
      </c>
      <c r="D1067" s="4" t="s">
        <v>24</v>
      </c>
      <c r="E1067" s="4" t="s">
        <v>13</v>
      </c>
      <c r="F1067" s="4" t="s">
        <v>22</v>
      </c>
      <c r="G1067" s="4" t="s">
        <v>35</v>
      </c>
      <c r="H1067" s="4">
        <v>6</v>
      </c>
      <c r="I1067" s="4">
        <v>8</v>
      </c>
      <c r="J1067" s="5">
        <v>45507</v>
      </c>
      <c r="K1067" s="6">
        <v>0.47252314814814816</v>
      </c>
    </row>
    <row r="1068" spans="1:11" x14ac:dyDescent="0.25">
      <c r="A1068" s="4">
        <v>11</v>
      </c>
      <c r="B1068" s="4" t="s">
        <v>11</v>
      </c>
      <c r="C1068" s="7">
        <v>23.02</v>
      </c>
      <c r="D1068" s="4" t="s">
        <v>24</v>
      </c>
      <c r="E1068" s="4" t="s">
        <v>13</v>
      </c>
      <c r="F1068" s="4" t="s">
        <v>22</v>
      </c>
      <c r="G1068" s="4" t="s">
        <v>35</v>
      </c>
      <c r="H1068" s="4">
        <v>6</v>
      </c>
      <c r="I1068" s="4">
        <v>8</v>
      </c>
      <c r="J1068" s="5">
        <v>45507</v>
      </c>
      <c r="K1068" s="6">
        <v>0.47317129629629628</v>
      </c>
    </row>
    <row r="1069" spans="1:11" x14ac:dyDescent="0.25">
      <c r="A1069" s="4">
        <v>11</v>
      </c>
      <c r="B1069" s="4" t="s">
        <v>11</v>
      </c>
      <c r="C1069" s="7">
        <v>18.12</v>
      </c>
      <c r="D1069" s="4" t="s">
        <v>26</v>
      </c>
      <c r="E1069" s="4" t="s">
        <v>13</v>
      </c>
      <c r="F1069" s="4" t="s">
        <v>22</v>
      </c>
      <c r="G1069" s="4" t="s">
        <v>35</v>
      </c>
      <c r="H1069" s="4">
        <v>6</v>
      </c>
      <c r="I1069" s="4">
        <v>8</v>
      </c>
      <c r="J1069" s="5">
        <v>45507</v>
      </c>
      <c r="K1069" s="6">
        <v>0.49763888888888891</v>
      </c>
    </row>
    <row r="1070" spans="1:11" x14ac:dyDescent="0.25">
      <c r="A1070" s="4">
        <v>11</v>
      </c>
      <c r="B1070" s="4" t="s">
        <v>11</v>
      </c>
      <c r="C1070" s="7">
        <v>27.92</v>
      </c>
      <c r="D1070" s="4" t="s">
        <v>19</v>
      </c>
      <c r="E1070" s="4" t="s">
        <v>13</v>
      </c>
      <c r="F1070" s="4" t="s">
        <v>22</v>
      </c>
      <c r="G1070" s="4" t="s">
        <v>35</v>
      </c>
      <c r="H1070" s="4">
        <v>6</v>
      </c>
      <c r="I1070" s="4">
        <v>8</v>
      </c>
      <c r="J1070" s="5">
        <v>45507</v>
      </c>
      <c r="K1070" s="6">
        <v>0.49827546296296299</v>
      </c>
    </row>
    <row r="1071" spans="1:11" x14ac:dyDescent="0.25">
      <c r="A1071" s="4">
        <v>12</v>
      </c>
      <c r="B1071" s="4" t="s">
        <v>11</v>
      </c>
      <c r="C1071" s="7">
        <v>27.92</v>
      </c>
      <c r="D1071" s="4" t="s">
        <v>19</v>
      </c>
      <c r="E1071" s="4" t="s">
        <v>17</v>
      </c>
      <c r="F1071" s="4" t="s">
        <v>22</v>
      </c>
      <c r="G1071" s="4" t="s">
        <v>35</v>
      </c>
      <c r="H1071" s="4">
        <v>6</v>
      </c>
      <c r="I1071" s="4">
        <v>8</v>
      </c>
      <c r="J1071" s="5">
        <v>45507</v>
      </c>
      <c r="K1071" s="6">
        <v>0.50248842592592591</v>
      </c>
    </row>
    <row r="1072" spans="1:11" x14ac:dyDescent="0.25">
      <c r="A1072" s="4">
        <v>16</v>
      </c>
      <c r="B1072" s="4" t="s">
        <v>11</v>
      </c>
      <c r="C1072" s="7">
        <v>27.92</v>
      </c>
      <c r="D1072" s="4" t="s">
        <v>19</v>
      </c>
      <c r="E1072" s="4" t="s">
        <v>17</v>
      </c>
      <c r="F1072" s="4" t="s">
        <v>22</v>
      </c>
      <c r="G1072" s="4" t="s">
        <v>35</v>
      </c>
      <c r="H1072" s="4">
        <v>6</v>
      </c>
      <c r="I1072" s="4">
        <v>8</v>
      </c>
      <c r="J1072" s="5">
        <v>45507</v>
      </c>
      <c r="K1072" s="6">
        <v>0.70415509259259257</v>
      </c>
    </row>
    <row r="1073" spans="1:11" x14ac:dyDescent="0.25">
      <c r="A1073" s="4">
        <v>18</v>
      </c>
      <c r="B1073" s="4" t="s">
        <v>11</v>
      </c>
      <c r="C1073" s="7">
        <v>32.82</v>
      </c>
      <c r="D1073" s="4" t="s">
        <v>29</v>
      </c>
      <c r="E1073" s="4" t="s">
        <v>20</v>
      </c>
      <c r="F1073" s="4" t="s">
        <v>22</v>
      </c>
      <c r="G1073" s="4" t="s">
        <v>35</v>
      </c>
      <c r="H1073" s="4">
        <v>6</v>
      </c>
      <c r="I1073" s="4">
        <v>8</v>
      </c>
      <c r="J1073" s="5">
        <v>45507</v>
      </c>
      <c r="K1073" s="6">
        <v>0.77687499999999998</v>
      </c>
    </row>
    <row r="1074" spans="1:11" x14ac:dyDescent="0.25">
      <c r="A1074" s="4">
        <v>21</v>
      </c>
      <c r="B1074" s="4" t="s">
        <v>11</v>
      </c>
      <c r="C1074" s="7">
        <v>32.82</v>
      </c>
      <c r="D1074" s="4" t="s">
        <v>12</v>
      </c>
      <c r="E1074" s="4" t="s">
        <v>20</v>
      </c>
      <c r="F1074" s="4" t="s">
        <v>22</v>
      </c>
      <c r="G1074" s="4" t="s">
        <v>35</v>
      </c>
      <c r="H1074" s="4">
        <v>6</v>
      </c>
      <c r="I1074" s="4">
        <v>8</v>
      </c>
      <c r="J1074" s="5">
        <v>45507</v>
      </c>
      <c r="K1074" s="6">
        <v>0.8963888888888889</v>
      </c>
    </row>
    <row r="1075" spans="1:11" x14ac:dyDescent="0.25">
      <c r="A1075" s="4">
        <v>21</v>
      </c>
      <c r="B1075" s="4" t="s">
        <v>11</v>
      </c>
      <c r="C1075" s="7">
        <v>32.82</v>
      </c>
      <c r="D1075" s="4" t="s">
        <v>12</v>
      </c>
      <c r="E1075" s="4" t="s">
        <v>20</v>
      </c>
      <c r="F1075" s="4" t="s">
        <v>22</v>
      </c>
      <c r="G1075" s="4" t="s">
        <v>35</v>
      </c>
      <c r="H1075" s="4">
        <v>6</v>
      </c>
      <c r="I1075" s="4">
        <v>8</v>
      </c>
      <c r="J1075" s="5">
        <v>45507</v>
      </c>
      <c r="K1075" s="6">
        <v>0.89798611111111115</v>
      </c>
    </row>
    <row r="1076" spans="1:11" x14ac:dyDescent="0.25">
      <c r="A1076" s="4">
        <v>8</v>
      </c>
      <c r="B1076" s="4" t="s">
        <v>11</v>
      </c>
      <c r="C1076" s="7">
        <v>32.82</v>
      </c>
      <c r="D1076" s="4" t="s">
        <v>29</v>
      </c>
      <c r="E1076" s="4" t="s">
        <v>13</v>
      </c>
      <c r="F1076" s="4" t="s">
        <v>23</v>
      </c>
      <c r="G1076" s="4" t="s">
        <v>35</v>
      </c>
      <c r="H1076" s="4">
        <v>7</v>
      </c>
      <c r="I1076" s="4">
        <v>8</v>
      </c>
      <c r="J1076" s="5">
        <v>45508</v>
      </c>
      <c r="K1076" s="6">
        <v>0.3462615740740741</v>
      </c>
    </row>
    <row r="1077" spans="1:11" x14ac:dyDescent="0.25">
      <c r="A1077" s="4">
        <v>10</v>
      </c>
      <c r="B1077" s="4" t="s">
        <v>11</v>
      </c>
      <c r="C1077" s="7">
        <v>27.92</v>
      </c>
      <c r="D1077" s="4" t="s">
        <v>19</v>
      </c>
      <c r="E1077" s="4" t="s">
        <v>13</v>
      </c>
      <c r="F1077" s="4" t="s">
        <v>23</v>
      </c>
      <c r="G1077" s="4" t="s">
        <v>35</v>
      </c>
      <c r="H1077" s="4">
        <v>7</v>
      </c>
      <c r="I1077" s="4">
        <v>8</v>
      </c>
      <c r="J1077" s="5">
        <v>45508</v>
      </c>
      <c r="K1077" s="6">
        <v>0.44295138888888891</v>
      </c>
    </row>
    <row r="1078" spans="1:11" x14ac:dyDescent="0.25">
      <c r="A1078" s="4">
        <v>11</v>
      </c>
      <c r="B1078" s="4" t="s">
        <v>11</v>
      </c>
      <c r="C1078" s="7">
        <v>32.82</v>
      </c>
      <c r="D1078" s="4" t="s">
        <v>29</v>
      </c>
      <c r="E1078" s="4" t="s">
        <v>13</v>
      </c>
      <c r="F1078" s="4" t="s">
        <v>23</v>
      </c>
      <c r="G1078" s="4" t="s">
        <v>35</v>
      </c>
      <c r="H1078" s="4">
        <v>7</v>
      </c>
      <c r="I1078" s="4">
        <v>8</v>
      </c>
      <c r="J1078" s="5">
        <v>45508</v>
      </c>
      <c r="K1078" s="6">
        <v>0.49368055555555557</v>
      </c>
    </row>
    <row r="1079" spans="1:11" x14ac:dyDescent="0.25">
      <c r="A1079" s="4">
        <v>11</v>
      </c>
      <c r="B1079" s="4" t="s">
        <v>11</v>
      </c>
      <c r="C1079" s="7">
        <v>27.92</v>
      </c>
      <c r="D1079" s="4" t="s">
        <v>19</v>
      </c>
      <c r="E1079" s="4" t="s">
        <v>13</v>
      </c>
      <c r="F1079" s="4" t="s">
        <v>23</v>
      </c>
      <c r="G1079" s="4" t="s">
        <v>35</v>
      </c>
      <c r="H1079" s="4">
        <v>7</v>
      </c>
      <c r="I1079" s="4">
        <v>8</v>
      </c>
      <c r="J1079" s="5">
        <v>45508</v>
      </c>
      <c r="K1079" s="6">
        <v>0.49482638888888891</v>
      </c>
    </row>
    <row r="1080" spans="1:11" x14ac:dyDescent="0.25">
      <c r="A1080" s="4">
        <v>15</v>
      </c>
      <c r="B1080" s="4" t="s">
        <v>11</v>
      </c>
      <c r="C1080" s="7">
        <v>32.82</v>
      </c>
      <c r="D1080" s="4" t="s">
        <v>29</v>
      </c>
      <c r="E1080" s="4" t="s">
        <v>17</v>
      </c>
      <c r="F1080" s="4" t="s">
        <v>23</v>
      </c>
      <c r="G1080" s="4" t="s">
        <v>35</v>
      </c>
      <c r="H1080" s="4">
        <v>7</v>
      </c>
      <c r="I1080" s="4">
        <v>8</v>
      </c>
      <c r="J1080" s="5">
        <v>45508</v>
      </c>
      <c r="K1080" s="6">
        <v>0.64851851851851849</v>
      </c>
    </row>
    <row r="1081" spans="1:11" x14ac:dyDescent="0.25">
      <c r="A1081" s="4">
        <v>15</v>
      </c>
      <c r="B1081" s="4" t="s">
        <v>11</v>
      </c>
      <c r="C1081" s="7">
        <v>32.82</v>
      </c>
      <c r="D1081" s="4" t="s">
        <v>29</v>
      </c>
      <c r="E1081" s="4" t="s">
        <v>17</v>
      </c>
      <c r="F1081" s="4" t="s">
        <v>23</v>
      </c>
      <c r="G1081" s="4" t="s">
        <v>35</v>
      </c>
      <c r="H1081" s="4">
        <v>7</v>
      </c>
      <c r="I1081" s="4">
        <v>8</v>
      </c>
      <c r="J1081" s="5">
        <v>45508</v>
      </c>
      <c r="K1081" s="6">
        <v>0.64936342592592589</v>
      </c>
    </row>
    <row r="1082" spans="1:11" x14ac:dyDescent="0.25">
      <c r="A1082" s="4">
        <v>8</v>
      </c>
      <c r="B1082" s="4" t="s">
        <v>11</v>
      </c>
      <c r="C1082" s="7">
        <v>23.02</v>
      </c>
      <c r="D1082" s="4" t="s">
        <v>24</v>
      </c>
      <c r="E1082" s="4" t="s">
        <v>13</v>
      </c>
      <c r="F1082" s="4" t="s">
        <v>25</v>
      </c>
      <c r="G1082" s="4" t="s">
        <v>35</v>
      </c>
      <c r="H1082" s="4">
        <v>1</v>
      </c>
      <c r="I1082" s="4">
        <v>8</v>
      </c>
      <c r="J1082" s="5">
        <v>45509</v>
      </c>
      <c r="K1082" s="6">
        <v>0.36811342592592594</v>
      </c>
    </row>
    <row r="1083" spans="1:11" x14ac:dyDescent="0.25">
      <c r="A1083" s="4">
        <v>9</v>
      </c>
      <c r="B1083" s="4" t="s">
        <v>11</v>
      </c>
      <c r="C1083" s="7">
        <v>27.92</v>
      </c>
      <c r="D1083" s="4" t="s">
        <v>19</v>
      </c>
      <c r="E1083" s="4" t="s">
        <v>13</v>
      </c>
      <c r="F1083" s="4" t="s">
        <v>25</v>
      </c>
      <c r="G1083" s="4" t="s">
        <v>35</v>
      </c>
      <c r="H1083" s="4">
        <v>1</v>
      </c>
      <c r="I1083" s="4">
        <v>8</v>
      </c>
      <c r="J1083" s="5">
        <v>45509</v>
      </c>
      <c r="K1083" s="6">
        <v>0.38841435185185186</v>
      </c>
    </row>
    <row r="1084" spans="1:11" x14ac:dyDescent="0.25">
      <c r="A1084" s="4">
        <v>11</v>
      </c>
      <c r="B1084" s="4" t="s">
        <v>11</v>
      </c>
      <c r="C1084" s="7">
        <v>23.02</v>
      </c>
      <c r="D1084" s="4" t="s">
        <v>24</v>
      </c>
      <c r="E1084" s="4" t="s">
        <v>13</v>
      </c>
      <c r="F1084" s="4" t="s">
        <v>25</v>
      </c>
      <c r="G1084" s="4" t="s">
        <v>35</v>
      </c>
      <c r="H1084" s="4">
        <v>1</v>
      </c>
      <c r="I1084" s="4">
        <v>8</v>
      </c>
      <c r="J1084" s="5">
        <v>45509</v>
      </c>
      <c r="K1084" s="6">
        <v>0.4727662037037037</v>
      </c>
    </row>
    <row r="1085" spans="1:11" x14ac:dyDescent="0.25">
      <c r="A1085" s="4">
        <v>13</v>
      </c>
      <c r="B1085" s="4" t="s">
        <v>11</v>
      </c>
      <c r="C1085" s="7">
        <v>32.82</v>
      </c>
      <c r="D1085" s="4" t="s">
        <v>29</v>
      </c>
      <c r="E1085" s="4" t="s">
        <v>17</v>
      </c>
      <c r="F1085" s="4" t="s">
        <v>25</v>
      </c>
      <c r="G1085" s="4" t="s">
        <v>35</v>
      </c>
      <c r="H1085" s="4">
        <v>1</v>
      </c>
      <c r="I1085" s="4">
        <v>8</v>
      </c>
      <c r="J1085" s="5">
        <v>45509</v>
      </c>
      <c r="K1085" s="6">
        <v>0.57317129629629626</v>
      </c>
    </row>
    <row r="1086" spans="1:11" x14ac:dyDescent="0.25">
      <c r="A1086" s="4">
        <v>16</v>
      </c>
      <c r="B1086" s="4" t="s">
        <v>11</v>
      </c>
      <c r="C1086" s="7">
        <v>32.82</v>
      </c>
      <c r="D1086" s="4" t="s">
        <v>12</v>
      </c>
      <c r="E1086" s="4" t="s">
        <v>17</v>
      </c>
      <c r="F1086" s="4" t="s">
        <v>25</v>
      </c>
      <c r="G1086" s="4" t="s">
        <v>35</v>
      </c>
      <c r="H1086" s="4">
        <v>1</v>
      </c>
      <c r="I1086" s="4">
        <v>8</v>
      </c>
      <c r="J1086" s="5">
        <v>45509</v>
      </c>
      <c r="K1086" s="6">
        <v>0.67079861111111116</v>
      </c>
    </row>
    <row r="1087" spans="1:11" x14ac:dyDescent="0.25">
      <c r="A1087" s="4">
        <v>16</v>
      </c>
      <c r="B1087" s="4" t="s">
        <v>11</v>
      </c>
      <c r="C1087" s="7">
        <v>32.82</v>
      </c>
      <c r="D1087" s="4" t="s">
        <v>12</v>
      </c>
      <c r="E1087" s="4" t="s">
        <v>17</v>
      </c>
      <c r="F1087" s="4" t="s">
        <v>25</v>
      </c>
      <c r="G1087" s="4" t="s">
        <v>35</v>
      </c>
      <c r="H1087" s="4">
        <v>1</v>
      </c>
      <c r="I1087" s="4">
        <v>8</v>
      </c>
      <c r="J1087" s="5">
        <v>45509</v>
      </c>
      <c r="K1087" s="6">
        <v>0.67173611111111109</v>
      </c>
    </row>
    <row r="1088" spans="1:11" x14ac:dyDescent="0.25">
      <c r="A1088" s="4">
        <v>17</v>
      </c>
      <c r="B1088" s="4" t="s">
        <v>11</v>
      </c>
      <c r="C1088" s="7">
        <v>32.82</v>
      </c>
      <c r="D1088" s="4" t="s">
        <v>12</v>
      </c>
      <c r="E1088" s="4" t="s">
        <v>20</v>
      </c>
      <c r="F1088" s="4" t="s">
        <v>25</v>
      </c>
      <c r="G1088" s="4" t="s">
        <v>35</v>
      </c>
      <c r="H1088" s="4">
        <v>1</v>
      </c>
      <c r="I1088" s="4">
        <v>8</v>
      </c>
      <c r="J1088" s="5">
        <v>45509</v>
      </c>
      <c r="K1088" s="6">
        <v>0.73916666666666664</v>
      </c>
    </row>
    <row r="1089" spans="1:11" x14ac:dyDescent="0.25">
      <c r="A1089" s="4">
        <v>17</v>
      </c>
      <c r="B1089" s="4" t="s">
        <v>11</v>
      </c>
      <c r="C1089" s="7">
        <v>27.92</v>
      </c>
      <c r="D1089" s="4" t="s">
        <v>19</v>
      </c>
      <c r="E1089" s="4" t="s">
        <v>20</v>
      </c>
      <c r="F1089" s="4" t="s">
        <v>25</v>
      </c>
      <c r="G1089" s="4" t="s">
        <v>35</v>
      </c>
      <c r="H1089" s="4">
        <v>1</v>
      </c>
      <c r="I1089" s="4">
        <v>8</v>
      </c>
      <c r="J1089" s="5">
        <v>45509</v>
      </c>
      <c r="K1089" s="6">
        <v>0.73995370370370372</v>
      </c>
    </row>
    <row r="1090" spans="1:11" x14ac:dyDescent="0.25">
      <c r="A1090" s="4">
        <v>19</v>
      </c>
      <c r="B1090" s="4" t="s">
        <v>11</v>
      </c>
      <c r="C1090" s="7">
        <v>32.82</v>
      </c>
      <c r="D1090" s="4" t="s">
        <v>12</v>
      </c>
      <c r="E1090" s="4" t="s">
        <v>20</v>
      </c>
      <c r="F1090" s="4" t="s">
        <v>25</v>
      </c>
      <c r="G1090" s="4" t="s">
        <v>35</v>
      </c>
      <c r="H1090" s="4">
        <v>1</v>
      </c>
      <c r="I1090" s="4">
        <v>8</v>
      </c>
      <c r="J1090" s="5">
        <v>45509</v>
      </c>
      <c r="K1090" s="6">
        <v>0.80557870370370366</v>
      </c>
    </row>
    <row r="1091" spans="1:11" x14ac:dyDescent="0.25">
      <c r="A1091" s="4">
        <v>19</v>
      </c>
      <c r="B1091" s="4" t="s">
        <v>11</v>
      </c>
      <c r="C1091" s="7">
        <v>32.82</v>
      </c>
      <c r="D1091" s="4" t="s">
        <v>12</v>
      </c>
      <c r="E1091" s="4" t="s">
        <v>20</v>
      </c>
      <c r="F1091" s="4" t="s">
        <v>25</v>
      </c>
      <c r="G1091" s="4" t="s">
        <v>35</v>
      </c>
      <c r="H1091" s="4">
        <v>1</v>
      </c>
      <c r="I1091" s="4">
        <v>8</v>
      </c>
      <c r="J1091" s="5">
        <v>45509</v>
      </c>
      <c r="K1091" s="6">
        <v>0.81586805555555553</v>
      </c>
    </row>
    <row r="1092" spans="1:11" x14ac:dyDescent="0.25">
      <c r="A1092" s="4">
        <v>20</v>
      </c>
      <c r="B1092" s="4" t="s">
        <v>11</v>
      </c>
      <c r="C1092" s="7">
        <v>32.82</v>
      </c>
      <c r="D1092" s="4" t="s">
        <v>21</v>
      </c>
      <c r="E1092" s="4" t="s">
        <v>20</v>
      </c>
      <c r="F1092" s="4" t="s">
        <v>25</v>
      </c>
      <c r="G1092" s="4" t="s">
        <v>35</v>
      </c>
      <c r="H1092" s="4">
        <v>1</v>
      </c>
      <c r="I1092" s="4">
        <v>8</v>
      </c>
      <c r="J1092" s="5">
        <v>45509</v>
      </c>
      <c r="K1092" s="6">
        <v>0.8677083333333333</v>
      </c>
    </row>
    <row r="1093" spans="1:11" x14ac:dyDescent="0.25">
      <c r="A1093" s="4">
        <v>20</v>
      </c>
      <c r="B1093" s="4" t="s">
        <v>11</v>
      </c>
      <c r="C1093" s="7">
        <v>32.82</v>
      </c>
      <c r="D1093" s="4" t="s">
        <v>21</v>
      </c>
      <c r="E1093" s="4" t="s">
        <v>20</v>
      </c>
      <c r="F1093" s="4" t="s">
        <v>25</v>
      </c>
      <c r="G1093" s="4" t="s">
        <v>35</v>
      </c>
      <c r="H1093" s="4">
        <v>1</v>
      </c>
      <c r="I1093" s="4">
        <v>8</v>
      </c>
      <c r="J1093" s="5">
        <v>45509</v>
      </c>
      <c r="K1093" s="6">
        <v>0.86829861111111106</v>
      </c>
    </row>
    <row r="1094" spans="1:11" x14ac:dyDescent="0.25">
      <c r="A1094" s="4">
        <v>22</v>
      </c>
      <c r="B1094" s="4" t="s">
        <v>11</v>
      </c>
      <c r="C1094" s="7">
        <v>27.92</v>
      </c>
      <c r="D1094" s="4" t="s">
        <v>19</v>
      </c>
      <c r="E1094" s="4" t="s">
        <v>20</v>
      </c>
      <c r="F1094" s="4" t="s">
        <v>25</v>
      </c>
      <c r="G1094" s="4" t="s">
        <v>35</v>
      </c>
      <c r="H1094" s="4">
        <v>1</v>
      </c>
      <c r="I1094" s="4">
        <v>8</v>
      </c>
      <c r="J1094" s="5">
        <v>45509</v>
      </c>
      <c r="K1094" s="6">
        <v>0.94708333333333339</v>
      </c>
    </row>
    <row r="1095" spans="1:11" x14ac:dyDescent="0.25">
      <c r="A1095" s="4">
        <v>10</v>
      </c>
      <c r="B1095" s="4" t="s">
        <v>11</v>
      </c>
      <c r="C1095" s="7">
        <v>23.02</v>
      </c>
      <c r="D1095" s="4" t="s">
        <v>24</v>
      </c>
      <c r="E1095" s="4" t="s">
        <v>13</v>
      </c>
      <c r="F1095" s="4" t="s">
        <v>27</v>
      </c>
      <c r="G1095" s="4" t="s">
        <v>35</v>
      </c>
      <c r="H1095" s="4">
        <v>2</v>
      </c>
      <c r="I1095" s="4">
        <v>8</v>
      </c>
      <c r="J1095" s="5">
        <v>45510</v>
      </c>
      <c r="K1095" s="6">
        <v>0.43128472222222225</v>
      </c>
    </row>
    <row r="1096" spans="1:11" x14ac:dyDescent="0.25">
      <c r="A1096" s="4">
        <v>10</v>
      </c>
      <c r="B1096" s="4" t="s">
        <v>11</v>
      </c>
      <c r="C1096" s="7">
        <v>32.82</v>
      </c>
      <c r="D1096" s="4" t="s">
        <v>16</v>
      </c>
      <c r="E1096" s="4" t="s">
        <v>13</v>
      </c>
      <c r="F1096" s="4" t="s">
        <v>27</v>
      </c>
      <c r="G1096" s="4" t="s">
        <v>35</v>
      </c>
      <c r="H1096" s="4">
        <v>2</v>
      </c>
      <c r="I1096" s="4">
        <v>8</v>
      </c>
      <c r="J1096" s="5">
        <v>45510</v>
      </c>
      <c r="K1096" s="6">
        <v>0.43925925925925924</v>
      </c>
    </row>
    <row r="1097" spans="1:11" x14ac:dyDescent="0.25">
      <c r="A1097" s="4">
        <v>17</v>
      </c>
      <c r="B1097" s="4" t="s">
        <v>11</v>
      </c>
      <c r="C1097" s="7">
        <v>32.82</v>
      </c>
      <c r="D1097" s="4" t="s">
        <v>29</v>
      </c>
      <c r="E1097" s="4" t="s">
        <v>20</v>
      </c>
      <c r="F1097" s="4" t="s">
        <v>27</v>
      </c>
      <c r="G1097" s="4" t="s">
        <v>35</v>
      </c>
      <c r="H1097" s="4">
        <v>2</v>
      </c>
      <c r="I1097" s="4">
        <v>8</v>
      </c>
      <c r="J1097" s="5">
        <v>45510</v>
      </c>
      <c r="K1097" s="6">
        <v>0.73667824074074073</v>
      </c>
    </row>
    <row r="1098" spans="1:11" x14ac:dyDescent="0.25">
      <c r="A1098" s="4">
        <v>17</v>
      </c>
      <c r="B1098" s="4" t="s">
        <v>11</v>
      </c>
      <c r="C1098" s="7">
        <v>32.82</v>
      </c>
      <c r="D1098" s="4" t="s">
        <v>12</v>
      </c>
      <c r="E1098" s="4" t="s">
        <v>20</v>
      </c>
      <c r="F1098" s="4" t="s">
        <v>27</v>
      </c>
      <c r="G1098" s="4" t="s">
        <v>35</v>
      </c>
      <c r="H1098" s="4">
        <v>2</v>
      </c>
      <c r="I1098" s="4">
        <v>8</v>
      </c>
      <c r="J1098" s="5">
        <v>45510</v>
      </c>
      <c r="K1098" s="6">
        <v>0.73810185185185184</v>
      </c>
    </row>
    <row r="1099" spans="1:11" x14ac:dyDescent="0.25">
      <c r="A1099" s="4">
        <v>17</v>
      </c>
      <c r="B1099" s="4" t="s">
        <v>11</v>
      </c>
      <c r="C1099" s="7">
        <v>32.82</v>
      </c>
      <c r="D1099" s="4" t="s">
        <v>21</v>
      </c>
      <c r="E1099" s="4" t="s">
        <v>20</v>
      </c>
      <c r="F1099" s="4" t="s">
        <v>27</v>
      </c>
      <c r="G1099" s="4" t="s">
        <v>35</v>
      </c>
      <c r="H1099" s="4">
        <v>2</v>
      </c>
      <c r="I1099" s="4">
        <v>8</v>
      </c>
      <c r="J1099" s="5">
        <v>45510</v>
      </c>
      <c r="K1099" s="6">
        <v>0.73894675925925923</v>
      </c>
    </row>
    <row r="1100" spans="1:11" x14ac:dyDescent="0.25">
      <c r="A1100" s="4">
        <v>19</v>
      </c>
      <c r="B1100" s="4" t="s">
        <v>11</v>
      </c>
      <c r="C1100" s="7">
        <v>32.82</v>
      </c>
      <c r="D1100" s="4" t="s">
        <v>12</v>
      </c>
      <c r="E1100" s="4" t="s">
        <v>20</v>
      </c>
      <c r="F1100" s="4" t="s">
        <v>27</v>
      </c>
      <c r="G1100" s="4" t="s">
        <v>35</v>
      </c>
      <c r="H1100" s="4">
        <v>2</v>
      </c>
      <c r="I1100" s="4">
        <v>8</v>
      </c>
      <c r="J1100" s="5">
        <v>45510</v>
      </c>
      <c r="K1100" s="6">
        <v>0.79449074074074078</v>
      </c>
    </row>
    <row r="1101" spans="1:11" x14ac:dyDescent="0.25">
      <c r="A1101" s="4">
        <v>19</v>
      </c>
      <c r="B1101" s="4" t="s">
        <v>11</v>
      </c>
      <c r="C1101" s="7">
        <v>27.92</v>
      </c>
      <c r="D1101" s="4" t="s">
        <v>19</v>
      </c>
      <c r="E1101" s="4" t="s">
        <v>20</v>
      </c>
      <c r="F1101" s="4" t="s">
        <v>27</v>
      </c>
      <c r="G1101" s="4" t="s">
        <v>35</v>
      </c>
      <c r="H1101" s="4">
        <v>2</v>
      </c>
      <c r="I1101" s="4">
        <v>8</v>
      </c>
      <c r="J1101" s="5">
        <v>45510</v>
      </c>
      <c r="K1101" s="6">
        <v>0.79540509259259262</v>
      </c>
    </row>
    <row r="1102" spans="1:11" x14ac:dyDescent="0.25">
      <c r="A1102" s="4">
        <v>20</v>
      </c>
      <c r="B1102" s="4" t="s">
        <v>11</v>
      </c>
      <c r="C1102" s="7">
        <v>32.82</v>
      </c>
      <c r="D1102" s="4" t="s">
        <v>12</v>
      </c>
      <c r="E1102" s="4" t="s">
        <v>20</v>
      </c>
      <c r="F1102" s="4" t="s">
        <v>27</v>
      </c>
      <c r="G1102" s="4" t="s">
        <v>35</v>
      </c>
      <c r="H1102" s="4">
        <v>2</v>
      </c>
      <c r="I1102" s="4">
        <v>8</v>
      </c>
      <c r="J1102" s="5">
        <v>45510</v>
      </c>
      <c r="K1102" s="6">
        <v>0.83642361111111108</v>
      </c>
    </row>
    <row r="1103" spans="1:11" x14ac:dyDescent="0.25">
      <c r="A1103" s="4">
        <v>8</v>
      </c>
      <c r="B1103" s="4" t="s">
        <v>11</v>
      </c>
      <c r="C1103" s="7">
        <v>27.92</v>
      </c>
      <c r="D1103" s="4" t="s">
        <v>19</v>
      </c>
      <c r="E1103" s="4" t="s">
        <v>13</v>
      </c>
      <c r="F1103" s="4" t="s">
        <v>28</v>
      </c>
      <c r="G1103" s="4" t="s">
        <v>35</v>
      </c>
      <c r="H1103" s="4">
        <v>3</v>
      </c>
      <c r="I1103" s="4">
        <v>8</v>
      </c>
      <c r="J1103" s="5">
        <v>45511</v>
      </c>
      <c r="K1103" s="6">
        <v>0.37208333333333332</v>
      </c>
    </row>
    <row r="1104" spans="1:11" x14ac:dyDescent="0.25">
      <c r="A1104" s="4">
        <v>12</v>
      </c>
      <c r="B1104" s="4" t="s">
        <v>11</v>
      </c>
      <c r="C1104" s="7">
        <v>23.02</v>
      </c>
      <c r="D1104" s="4" t="s">
        <v>18</v>
      </c>
      <c r="E1104" s="4" t="s">
        <v>17</v>
      </c>
      <c r="F1104" s="4" t="s">
        <v>28</v>
      </c>
      <c r="G1104" s="4" t="s">
        <v>35</v>
      </c>
      <c r="H1104" s="4">
        <v>3</v>
      </c>
      <c r="I1104" s="4">
        <v>8</v>
      </c>
      <c r="J1104" s="5">
        <v>45511</v>
      </c>
      <c r="K1104" s="6">
        <v>0.50863425925925931</v>
      </c>
    </row>
    <row r="1105" spans="1:11" x14ac:dyDescent="0.25">
      <c r="A1105" s="4">
        <v>12</v>
      </c>
      <c r="B1105" s="4" t="s">
        <v>11</v>
      </c>
      <c r="C1105" s="7">
        <v>23.02</v>
      </c>
      <c r="D1105" s="4" t="s">
        <v>18</v>
      </c>
      <c r="E1105" s="4" t="s">
        <v>17</v>
      </c>
      <c r="F1105" s="4" t="s">
        <v>28</v>
      </c>
      <c r="G1105" s="4" t="s">
        <v>35</v>
      </c>
      <c r="H1105" s="4">
        <v>3</v>
      </c>
      <c r="I1105" s="4">
        <v>8</v>
      </c>
      <c r="J1105" s="5">
        <v>45511</v>
      </c>
      <c r="K1105" s="6">
        <v>0.50949074074074074</v>
      </c>
    </row>
    <row r="1106" spans="1:11" x14ac:dyDescent="0.25">
      <c r="A1106" s="4">
        <v>13</v>
      </c>
      <c r="B1106" s="4" t="s">
        <v>11</v>
      </c>
      <c r="C1106" s="7">
        <v>18.12</v>
      </c>
      <c r="D1106" s="4" t="s">
        <v>26</v>
      </c>
      <c r="E1106" s="4" t="s">
        <v>17</v>
      </c>
      <c r="F1106" s="4" t="s">
        <v>28</v>
      </c>
      <c r="G1106" s="4" t="s">
        <v>35</v>
      </c>
      <c r="H1106" s="4">
        <v>3</v>
      </c>
      <c r="I1106" s="4">
        <v>8</v>
      </c>
      <c r="J1106" s="5">
        <v>45511</v>
      </c>
      <c r="K1106" s="6">
        <v>0.54949074074074078</v>
      </c>
    </row>
    <row r="1107" spans="1:11" x14ac:dyDescent="0.25">
      <c r="A1107" s="4">
        <v>16</v>
      </c>
      <c r="B1107" s="4" t="s">
        <v>11</v>
      </c>
      <c r="C1107" s="7">
        <v>23.02</v>
      </c>
      <c r="D1107" s="4" t="s">
        <v>18</v>
      </c>
      <c r="E1107" s="4" t="s">
        <v>17</v>
      </c>
      <c r="F1107" s="4" t="s">
        <v>28</v>
      </c>
      <c r="G1107" s="4" t="s">
        <v>35</v>
      </c>
      <c r="H1107" s="4">
        <v>3</v>
      </c>
      <c r="I1107" s="4">
        <v>8</v>
      </c>
      <c r="J1107" s="5">
        <v>45511</v>
      </c>
      <c r="K1107" s="6">
        <v>0.67987268518518518</v>
      </c>
    </row>
    <row r="1108" spans="1:11" x14ac:dyDescent="0.25">
      <c r="A1108" s="4">
        <v>19</v>
      </c>
      <c r="B1108" s="4" t="s">
        <v>11</v>
      </c>
      <c r="C1108" s="7">
        <v>32.82</v>
      </c>
      <c r="D1108" s="4" t="s">
        <v>12</v>
      </c>
      <c r="E1108" s="4" t="s">
        <v>20</v>
      </c>
      <c r="F1108" s="4" t="s">
        <v>28</v>
      </c>
      <c r="G1108" s="4" t="s">
        <v>35</v>
      </c>
      <c r="H1108" s="4">
        <v>3</v>
      </c>
      <c r="I1108" s="4">
        <v>8</v>
      </c>
      <c r="J1108" s="5">
        <v>45511</v>
      </c>
      <c r="K1108" s="6">
        <v>0.81692129629629628</v>
      </c>
    </row>
    <row r="1109" spans="1:11" x14ac:dyDescent="0.25">
      <c r="A1109" s="4">
        <v>20</v>
      </c>
      <c r="B1109" s="4" t="s">
        <v>11</v>
      </c>
      <c r="C1109" s="7">
        <v>32.82</v>
      </c>
      <c r="D1109" s="4" t="s">
        <v>21</v>
      </c>
      <c r="E1109" s="4" t="s">
        <v>20</v>
      </c>
      <c r="F1109" s="4" t="s">
        <v>28</v>
      </c>
      <c r="G1109" s="4" t="s">
        <v>35</v>
      </c>
      <c r="H1109" s="4">
        <v>3</v>
      </c>
      <c r="I1109" s="4">
        <v>8</v>
      </c>
      <c r="J1109" s="5">
        <v>45511</v>
      </c>
      <c r="K1109" s="6">
        <v>0.86121527777777773</v>
      </c>
    </row>
    <row r="1110" spans="1:11" x14ac:dyDescent="0.25">
      <c r="A1110" s="4">
        <v>21</v>
      </c>
      <c r="B1110" s="4" t="s">
        <v>11</v>
      </c>
      <c r="C1110" s="7">
        <v>32.82</v>
      </c>
      <c r="D1110" s="4" t="s">
        <v>29</v>
      </c>
      <c r="E1110" s="4" t="s">
        <v>20</v>
      </c>
      <c r="F1110" s="4" t="s">
        <v>28</v>
      </c>
      <c r="G1110" s="4" t="s">
        <v>35</v>
      </c>
      <c r="H1110" s="4">
        <v>3</v>
      </c>
      <c r="I1110" s="4">
        <v>8</v>
      </c>
      <c r="J1110" s="5">
        <v>45511</v>
      </c>
      <c r="K1110" s="6">
        <v>0.88762731481481483</v>
      </c>
    </row>
    <row r="1111" spans="1:11" x14ac:dyDescent="0.25">
      <c r="A1111" s="4">
        <v>22</v>
      </c>
      <c r="B1111" s="4" t="s">
        <v>11</v>
      </c>
      <c r="C1111" s="7">
        <v>32.82</v>
      </c>
      <c r="D1111" s="4" t="s">
        <v>12</v>
      </c>
      <c r="E1111" s="4" t="s">
        <v>20</v>
      </c>
      <c r="F1111" s="4" t="s">
        <v>28</v>
      </c>
      <c r="G1111" s="4" t="s">
        <v>35</v>
      </c>
      <c r="H1111" s="4">
        <v>3</v>
      </c>
      <c r="I1111" s="4">
        <v>8</v>
      </c>
      <c r="J1111" s="5">
        <v>45511</v>
      </c>
      <c r="K1111" s="6">
        <v>0.93675925925925929</v>
      </c>
    </row>
    <row r="1112" spans="1:11" x14ac:dyDescent="0.25">
      <c r="A1112" s="4">
        <v>22</v>
      </c>
      <c r="B1112" s="4" t="s">
        <v>11</v>
      </c>
      <c r="C1112" s="7">
        <v>32.82</v>
      </c>
      <c r="D1112" s="4" t="s">
        <v>12</v>
      </c>
      <c r="E1112" s="4" t="s">
        <v>20</v>
      </c>
      <c r="F1112" s="4" t="s">
        <v>28</v>
      </c>
      <c r="G1112" s="4" t="s">
        <v>35</v>
      </c>
      <c r="H1112" s="4">
        <v>3</v>
      </c>
      <c r="I1112" s="4">
        <v>8</v>
      </c>
      <c r="J1112" s="5">
        <v>45511</v>
      </c>
      <c r="K1112" s="6">
        <v>0.93906250000000002</v>
      </c>
    </row>
    <row r="1113" spans="1:11" x14ac:dyDescent="0.25">
      <c r="A1113" s="4">
        <v>8</v>
      </c>
      <c r="B1113" s="4" t="s">
        <v>11</v>
      </c>
      <c r="C1113" s="7">
        <v>18.12</v>
      </c>
      <c r="D1113" s="4" t="s">
        <v>26</v>
      </c>
      <c r="E1113" s="4" t="s">
        <v>13</v>
      </c>
      <c r="F1113" s="4" t="s">
        <v>30</v>
      </c>
      <c r="G1113" s="4" t="s">
        <v>35</v>
      </c>
      <c r="H1113" s="4">
        <v>4</v>
      </c>
      <c r="I1113" s="4">
        <v>8</v>
      </c>
      <c r="J1113" s="5">
        <v>45512</v>
      </c>
      <c r="K1113" s="6">
        <v>0.36569444444444443</v>
      </c>
    </row>
    <row r="1114" spans="1:11" x14ac:dyDescent="0.25">
      <c r="A1114" s="4">
        <v>8</v>
      </c>
      <c r="B1114" s="4" t="s">
        <v>11</v>
      </c>
      <c r="C1114" s="7">
        <v>23.02</v>
      </c>
      <c r="D1114" s="4" t="s">
        <v>24</v>
      </c>
      <c r="E1114" s="4" t="s">
        <v>13</v>
      </c>
      <c r="F1114" s="4" t="s">
        <v>30</v>
      </c>
      <c r="G1114" s="4" t="s">
        <v>35</v>
      </c>
      <c r="H1114" s="4">
        <v>4</v>
      </c>
      <c r="I1114" s="4">
        <v>8</v>
      </c>
      <c r="J1114" s="5">
        <v>45512</v>
      </c>
      <c r="K1114" s="6">
        <v>0.36629629629629629</v>
      </c>
    </row>
    <row r="1115" spans="1:11" x14ac:dyDescent="0.25">
      <c r="A1115" s="4">
        <v>12</v>
      </c>
      <c r="B1115" s="4" t="s">
        <v>11</v>
      </c>
      <c r="C1115" s="7">
        <v>27.92</v>
      </c>
      <c r="D1115" s="4" t="s">
        <v>19</v>
      </c>
      <c r="E1115" s="4" t="s">
        <v>17</v>
      </c>
      <c r="F1115" s="4" t="s">
        <v>30</v>
      </c>
      <c r="G1115" s="4" t="s">
        <v>35</v>
      </c>
      <c r="H1115" s="4">
        <v>4</v>
      </c>
      <c r="I1115" s="4">
        <v>8</v>
      </c>
      <c r="J1115" s="5">
        <v>45512</v>
      </c>
      <c r="K1115" s="6">
        <v>0.51880787037037035</v>
      </c>
    </row>
    <row r="1116" spans="1:11" x14ac:dyDescent="0.25">
      <c r="A1116" s="4">
        <v>12</v>
      </c>
      <c r="B1116" s="4" t="s">
        <v>11</v>
      </c>
      <c r="C1116" s="7">
        <v>23.02</v>
      </c>
      <c r="D1116" s="4" t="s">
        <v>24</v>
      </c>
      <c r="E1116" s="4" t="s">
        <v>17</v>
      </c>
      <c r="F1116" s="4" t="s">
        <v>30</v>
      </c>
      <c r="G1116" s="4" t="s">
        <v>35</v>
      </c>
      <c r="H1116" s="4">
        <v>4</v>
      </c>
      <c r="I1116" s="4">
        <v>8</v>
      </c>
      <c r="J1116" s="5">
        <v>45512</v>
      </c>
      <c r="K1116" s="6">
        <v>0.53008101851851852</v>
      </c>
    </row>
    <row r="1117" spans="1:11" x14ac:dyDescent="0.25">
      <c r="A1117" s="4">
        <v>12</v>
      </c>
      <c r="B1117" s="4" t="s">
        <v>11</v>
      </c>
      <c r="C1117" s="7">
        <v>23.02</v>
      </c>
      <c r="D1117" s="4" t="s">
        <v>24</v>
      </c>
      <c r="E1117" s="4" t="s">
        <v>17</v>
      </c>
      <c r="F1117" s="4" t="s">
        <v>30</v>
      </c>
      <c r="G1117" s="4" t="s">
        <v>35</v>
      </c>
      <c r="H1117" s="4">
        <v>4</v>
      </c>
      <c r="I1117" s="4">
        <v>8</v>
      </c>
      <c r="J1117" s="5">
        <v>45512</v>
      </c>
      <c r="K1117" s="6">
        <v>0.53071759259259255</v>
      </c>
    </row>
    <row r="1118" spans="1:11" x14ac:dyDescent="0.25">
      <c r="A1118" s="4">
        <v>16</v>
      </c>
      <c r="B1118" s="4" t="s">
        <v>11</v>
      </c>
      <c r="C1118" s="7">
        <v>32.82</v>
      </c>
      <c r="D1118" s="4" t="s">
        <v>29</v>
      </c>
      <c r="E1118" s="4" t="s">
        <v>17</v>
      </c>
      <c r="F1118" s="4" t="s">
        <v>30</v>
      </c>
      <c r="G1118" s="4" t="s">
        <v>35</v>
      </c>
      <c r="H1118" s="4">
        <v>4</v>
      </c>
      <c r="I1118" s="4">
        <v>8</v>
      </c>
      <c r="J1118" s="5">
        <v>45512</v>
      </c>
      <c r="K1118" s="6">
        <v>0.70686342592592588</v>
      </c>
    </row>
    <row r="1119" spans="1:11" x14ac:dyDescent="0.25">
      <c r="A1119" s="4">
        <v>17</v>
      </c>
      <c r="B1119" s="4" t="s">
        <v>11</v>
      </c>
      <c r="C1119" s="7">
        <v>32.82</v>
      </c>
      <c r="D1119" s="4" t="s">
        <v>29</v>
      </c>
      <c r="E1119" s="4" t="s">
        <v>20</v>
      </c>
      <c r="F1119" s="4" t="s">
        <v>30</v>
      </c>
      <c r="G1119" s="4" t="s">
        <v>35</v>
      </c>
      <c r="H1119" s="4">
        <v>4</v>
      </c>
      <c r="I1119" s="4">
        <v>8</v>
      </c>
      <c r="J1119" s="5">
        <v>45512</v>
      </c>
      <c r="K1119" s="6">
        <v>0.72072916666666664</v>
      </c>
    </row>
    <row r="1120" spans="1:11" x14ac:dyDescent="0.25">
      <c r="A1120" s="4">
        <v>21</v>
      </c>
      <c r="B1120" s="4" t="s">
        <v>11</v>
      </c>
      <c r="C1120" s="7">
        <v>27.92</v>
      </c>
      <c r="D1120" s="4" t="s">
        <v>19</v>
      </c>
      <c r="E1120" s="4" t="s">
        <v>20</v>
      </c>
      <c r="F1120" s="4" t="s">
        <v>30</v>
      </c>
      <c r="G1120" s="4" t="s">
        <v>35</v>
      </c>
      <c r="H1120" s="4">
        <v>4</v>
      </c>
      <c r="I1120" s="4">
        <v>8</v>
      </c>
      <c r="J1120" s="5">
        <v>45512</v>
      </c>
      <c r="K1120" s="6">
        <v>0.89304398148148145</v>
      </c>
    </row>
    <row r="1121" spans="1:11" x14ac:dyDescent="0.25">
      <c r="A1121" s="4">
        <v>7</v>
      </c>
      <c r="B1121" s="4" t="s">
        <v>11</v>
      </c>
      <c r="C1121" s="7">
        <v>32.82</v>
      </c>
      <c r="D1121" s="4" t="s">
        <v>12</v>
      </c>
      <c r="E1121" s="4" t="s">
        <v>13</v>
      </c>
      <c r="F1121" s="4" t="s">
        <v>14</v>
      </c>
      <c r="G1121" s="4" t="s">
        <v>35</v>
      </c>
      <c r="H1121" s="4">
        <v>5</v>
      </c>
      <c r="I1121" s="4">
        <v>8</v>
      </c>
      <c r="J1121" s="5">
        <v>45513</v>
      </c>
      <c r="K1121" s="6">
        <v>0.31622685185185184</v>
      </c>
    </row>
    <row r="1122" spans="1:11" x14ac:dyDescent="0.25">
      <c r="A1122" s="4">
        <v>9</v>
      </c>
      <c r="B1122" s="4" t="s">
        <v>11</v>
      </c>
      <c r="C1122" s="7">
        <v>23.02</v>
      </c>
      <c r="D1122" s="4" t="s">
        <v>18</v>
      </c>
      <c r="E1122" s="4" t="s">
        <v>13</v>
      </c>
      <c r="F1122" s="4" t="s">
        <v>14</v>
      </c>
      <c r="G1122" s="4" t="s">
        <v>35</v>
      </c>
      <c r="H1122" s="4">
        <v>5</v>
      </c>
      <c r="I1122" s="4">
        <v>8</v>
      </c>
      <c r="J1122" s="5">
        <v>45513</v>
      </c>
      <c r="K1122" s="6">
        <v>0.41219907407407408</v>
      </c>
    </row>
    <row r="1123" spans="1:11" x14ac:dyDescent="0.25">
      <c r="A1123" s="4">
        <v>10</v>
      </c>
      <c r="B1123" s="4" t="s">
        <v>11</v>
      </c>
      <c r="C1123" s="7">
        <v>23.02</v>
      </c>
      <c r="D1123" s="4" t="s">
        <v>24</v>
      </c>
      <c r="E1123" s="4" t="s">
        <v>13</v>
      </c>
      <c r="F1123" s="4" t="s">
        <v>14</v>
      </c>
      <c r="G1123" s="4" t="s">
        <v>35</v>
      </c>
      <c r="H1123" s="4">
        <v>5</v>
      </c>
      <c r="I1123" s="4">
        <v>8</v>
      </c>
      <c r="J1123" s="5">
        <v>45513</v>
      </c>
      <c r="K1123" s="6">
        <v>0.42577546296296298</v>
      </c>
    </row>
    <row r="1124" spans="1:11" x14ac:dyDescent="0.25">
      <c r="A1124" s="4">
        <v>10</v>
      </c>
      <c r="B1124" s="4" t="s">
        <v>11</v>
      </c>
      <c r="C1124" s="7">
        <v>27.92</v>
      </c>
      <c r="D1124" s="4" t="s">
        <v>19</v>
      </c>
      <c r="E1124" s="4" t="s">
        <v>13</v>
      </c>
      <c r="F1124" s="4" t="s">
        <v>14</v>
      </c>
      <c r="G1124" s="4" t="s">
        <v>35</v>
      </c>
      <c r="H1124" s="4">
        <v>5</v>
      </c>
      <c r="I1124" s="4">
        <v>8</v>
      </c>
      <c r="J1124" s="5">
        <v>45513</v>
      </c>
      <c r="K1124" s="6">
        <v>0.43526620370370372</v>
      </c>
    </row>
    <row r="1125" spans="1:11" x14ac:dyDescent="0.25">
      <c r="A1125" s="4">
        <v>11</v>
      </c>
      <c r="B1125" s="4" t="s">
        <v>11</v>
      </c>
      <c r="C1125" s="7">
        <v>32.82</v>
      </c>
      <c r="D1125" s="4" t="s">
        <v>12</v>
      </c>
      <c r="E1125" s="4" t="s">
        <v>13</v>
      </c>
      <c r="F1125" s="4" t="s">
        <v>14</v>
      </c>
      <c r="G1125" s="4" t="s">
        <v>35</v>
      </c>
      <c r="H1125" s="4">
        <v>5</v>
      </c>
      <c r="I1125" s="4">
        <v>8</v>
      </c>
      <c r="J1125" s="5">
        <v>45513</v>
      </c>
      <c r="K1125" s="6">
        <v>0.47787037037037039</v>
      </c>
    </row>
    <row r="1126" spans="1:11" x14ac:dyDescent="0.25">
      <c r="A1126" s="4">
        <v>11</v>
      </c>
      <c r="B1126" s="4" t="s">
        <v>11</v>
      </c>
      <c r="C1126" s="7">
        <v>23.02</v>
      </c>
      <c r="D1126" s="4" t="s">
        <v>18</v>
      </c>
      <c r="E1126" s="4" t="s">
        <v>13</v>
      </c>
      <c r="F1126" s="4" t="s">
        <v>14</v>
      </c>
      <c r="G1126" s="4" t="s">
        <v>35</v>
      </c>
      <c r="H1126" s="4">
        <v>5</v>
      </c>
      <c r="I1126" s="4">
        <v>8</v>
      </c>
      <c r="J1126" s="5">
        <v>45513</v>
      </c>
      <c r="K1126" s="6">
        <v>0.47902777777777777</v>
      </c>
    </row>
    <row r="1127" spans="1:11" x14ac:dyDescent="0.25">
      <c r="A1127" s="4">
        <v>18</v>
      </c>
      <c r="B1127" s="4" t="s">
        <v>11</v>
      </c>
      <c r="C1127" s="7">
        <v>23.02</v>
      </c>
      <c r="D1127" s="4" t="s">
        <v>18</v>
      </c>
      <c r="E1127" s="4" t="s">
        <v>20</v>
      </c>
      <c r="F1127" s="4" t="s">
        <v>14</v>
      </c>
      <c r="G1127" s="4" t="s">
        <v>35</v>
      </c>
      <c r="H1127" s="4">
        <v>5</v>
      </c>
      <c r="I1127" s="4">
        <v>8</v>
      </c>
      <c r="J1127" s="5">
        <v>45513</v>
      </c>
      <c r="K1127" s="6">
        <v>0.78920138888888891</v>
      </c>
    </row>
    <row r="1128" spans="1:11" x14ac:dyDescent="0.25">
      <c r="A1128" s="4">
        <v>19</v>
      </c>
      <c r="B1128" s="4" t="s">
        <v>11</v>
      </c>
      <c r="C1128" s="7">
        <v>32.82</v>
      </c>
      <c r="D1128" s="4" t="s">
        <v>16</v>
      </c>
      <c r="E1128" s="4" t="s">
        <v>20</v>
      </c>
      <c r="F1128" s="4" t="s">
        <v>14</v>
      </c>
      <c r="G1128" s="4" t="s">
        <v>35</v>
      </c>
      <c r="H1128" s="4">
        <v>5</v>
      </c>
      <c r="I1128" s="4">
        <v>8</v>
      </c>
      <c r="J1128" s="5">
        <v>45513</v>
      </c>
      <c r="K1128" s="6">
        <v>0.79381944444444441</v>
      </c>
    </row>
    <row r="1129" spans="1:11" x14ac:dyDescent="0.25">
      <c r="A1129" s="4">
        <v>8</v>
      </c>
      <c r="B1129" s="4" t="s">
        <v>11</v>
      </c>
      <c r="C1129" s="7">
        <v>32.82</v>
      </c>
      <c r="D1129" s="4" t="s">
        <v>29</v>
      </c>
      <c r="E1129" s="4" t="s">
        <v>13</v>
      </c>
      <c r="F1129" s="4" t="s">
        <v>22</v>
      </c>
      <c r="G1129" s="4" t="s">
        <v>35</v>
      </c>
      <c r="H1129" s="4">
        <v>6</v>
      </c>
      <c r="I1129" s="4">
        <v>8</v>
      </c>
      <c r="J1129" s="5">
        <v>45514</v>
      </c>
      <c r="K1129" s="6">
        <v>0.3588425925925926</v>
      </c>
    </row>
    <row r="1130" spans="1:11" x14ac:dyDescent="0.25">
      <c r="A1130" s="4">
        <v>8</v>
      </c>
      <c r="B1130" s="4" t="s">
        <v>11</v>
      </c>
      <c r="C1130" s="7">
        <v>27.92</v>
      </c>
      <c r="D1130" s="4" t="s">
        <v>19</v>
      </c>
      <c r="E1130" s="4" t="s">
        <v>13</v>
      </c>
      <c r="F1130" s="4" t="s">
        <v>22</v>
      </c>
      <c r="G1130" s="4" t="s">
        <v>35</v>
      </c>
      <c r="H1130" s="4">
        <v>6</v>
      </c>
      <c r="I1130" s="4">
        <v>8</v>
      </c>
      <c r="J1130" s="5">
        <v>45514</v>
      </c>
      <c r="K1130" s="6">
        <v>0.35968749999999999</v>
      </c>
    </row>
    <row r="1131" spans="1:11" x14ac:dyDescent="0.25">
      <c r="A1131" s="4">
        <v>8</v>
      </c>
      <c r="B1131" s="4" t="s">
        <v>11</v>
      </c>
      <c r="C1131" s="7">
        <v>23.02</v>
      </c>
      <c r="D1131" s="4" t="s">
        <v>24</v>
      </c>
      <c r="E1131" s="4" t="s">
        <v>13</v>
      </c>
      <c r="F1131" s="4" t="s">
        <v>22</v>
      </c>
      <c r="G1131" s="4" t="s">
        <v>35</v>
      </c>
      <c r="H1131" s="4">
        <v>6</v>
      </c>
      <c r="I1131" s="4">
        <v>8</v>
      </c>
      <c r="J1131" s="5">
        <v>45514</v>
      </c>
      <c r="K1131" s="6">
        <v>0.3646875</v>
      </c>
    </row>
    <row r="1132" spans="1:11" x14ac:dyDescent="0.25">
      <c r="A1132" s="4">
        <v>11</v>
      </c>
      <c r="B1132" s="4" t="s">
        <v>11</v>
      </c>
      <c r="C1132" s="7">
        <v>23.02</v>
      </c>
      <c r="D1132" s="4" t="s">
        <v>24</v>
      </c>
      <c r="E1132" s="4" t="s">
        <v>13</v>
      </c>
      <c r="F1132" s="4" t="s">
        <v>22</v>
      </c>
      <c r="G1132" s="4" t="s">
        <v>35</v>
      </c>
      <c r="H1132" s="4">
        <v>6</v>
      </c>
      <c r="I1132" s="4">
        <v>8</v>
      </c>
      <c r="J1132" s="5">
        <v>45514</v>
      </c>
      <c r="K1132" s="6">
        <v>0.49482638888888891</v>
      </c>
    </row>
    <row r="1133" spans="1:11" x14ac:dyDescent="0.25">
      <c r="A1133" s="4">
        <v>11</v>
      </c>
      <c r="B1133" s="4" t="s">
        <v>11</v>
      </c>
      <c r="C1133" s="7">
        <v>23.02</v>
      </c>
      <c r="D1133" s="4" t="s">
        <v>18</v>
      </c>
      <c r="E1133" s="4" t="s">
        <v>13</v>
      </c>
      <c r="F1133" s="4" t="s">
        <v>22</v>
      </c>
      <c r="G1133" s="4" t="s">
        <v>35</v>
      </c>
      <c r="H1133" s="4">
        <v>6</v>
      </c>
      <c r="I1133" s="4">
        <v>8</v>
      </c>
      <c r="J1133" s="5">
        <v>45514</v>
      </c>
      <c r="K1133" s="6">
        <v>0.49609953703703702</v>
      </c>
    </row>
    <row r="1134" spans="1:11" x14ac:dyDescent="0.25">
      <c r="A1134" s="4">
        <v>12</v>
      </c>
      <c r="B1134" s="4" t="s">
        <v>11</v>
      </c>
      <c r="C1134" s="7">
        <v>32.82</v>
      </c>
      <c r="D1134" s="4" t="s">
        <v>12</v>
      </c>
      <c r="E1134" s="4" t="s">
        <v>17</v>
      </c>
      <c r="F1134" s="4" t="s">
        <v>22</v>
      </c>
      <c r="G1134" s="4" t="s">
        <v>35</v>
      </c>
      <c r="H1134" s="4">
        <v>6</v>
      </c>
      <c r="I1134" s="4">
        <v>8</v>
      </c>
      <c r="J1134" s="5">
        <v>45514</v>
      </c>
      <c r="K1134" s="6">
        <v>0.51053240740740746</v>
      </c>
    </row>
    <row r="1135" spans="1:11" x14ac:dyDescent="0.25">
      <c r="A1135" s="4">
        <v>12</v>
      </c>
      <c r="B1135" s="4" t="s">
        <v>11</v>
      </c>
      <c r="C1135" s="7">
        <v>27.92</v>
      </c>
      <c r="D1135" s="4" t="s">
        <v>19</v>
      </c>
      <c r="E1135" s="4" t="s">
        <v>17</v>
      </c>
      <c r="F1135" s="4" t="s">
        <v>22</v>
      </c>
      <c r="G1135" s="4" t="s">
        <v>35</v>
      </c>
      <c r="H1135" s="4">
        <v>6</v>
      </c>
      <c r="I1135" s="4">
        <v>8</v>
      </c>
      <c r="J1135" s="5">
        <v>45514</v>
      </c>
      <c r="K1135" s="6">
        <v>0.52305555555555561</v>
      </c>
    </row>
    <row r="1136" spans="1:11" x14ac:dyDescent="0.25">
      <c r="A1136" s="4">
        <v>16</v>
      </c>
      <c r="B1136" s="4" t="s">
        <v>11</v>
      </c>
      <c r="C1136" s="7">
        <v>32.82</v>
      </c>
      <c r="D1136" s="4" t="s">
        <v>12</v>
      </c>
      <c r="E1136" s="4" t="s">
        <v>17</v>
      </c>
      <c r="F1136" s="4" t="s">
        <v>22</v>
      </c>
      <c r="G1136" s="4" t="s">
        <v>35</v>
      </c>
      <c r="H1136" s="4">
        <v>6</v>
      </c>
      <c r="I1136" s="4">
        <v>8</v>
      </c>
      <c r="J1136" s="5">
        <v>45514</v>
      </c>
      <c r="K1136" s="6">
        <v>0.67097222222222219</v>
      </c>
    </row>
    <row r="1137" spans="1:11" x14ac:dyDescent="0.25">
      <c r="A1137" s="4">
        <v>21</v>
      </c>
      <c r="B1137" s="4" t="s">
        <v>11</v>
      </c>
      <c r="C1137" s="7">
        <v>32.82</v>
      </c>
      <c r="D1137" s="4" t="s">
        <v>21</v>
      </c>
      <c r="E1137" s="4" t="s">
        <v>20</v>
      </c>
      <c r="F1137" s="4" t="s">
        <v>22</v>
      </c>
      <c r="G1137" s="4" t="s">
        <v>35</v>
      </c>
      <c r="H1137" s="4">
        <v>6</v>
      </c>
      <c r="I1137" s="4">
        <v>8</v>
      </c>
      <c r="J1137" s="5">
        <v>45514</v>
      </c>
      <c r="K1137" s="6">
        <v>0.88666666666666671</v>
      </c>
    </row>
    <row r="1138" spans="1:11" x14ac:dyDescent="0.25">
      <c r="A1138" s="4">
        <v>21</v>
      </c>
      <c r="B1138" s="4" t="s">
        <v>11</v>
      </c>
      <c r="C1138" s="7">
        <v>32.82</v>
      </c>
      <c r="D1138" s="4" t="s">
        <v>21</v>
      </c>
      <c r="E1138" s="4" t="s">
        <v>20</v>
      </c>
      <c r="F1138" s="4" t="s">
        <v>22</v>
      </c>
      <c r="G1138" s="4" t="s">
        <v>35</v>
      </c>
      <c r="H1138" s="4">
        <v>6</v>
      </c>
      <c r="I1138" s="4">
        <v>8</v>
      </c>
      <c r="J1138" s="5">
        <v>45514</v>
      </c>
      <c r="K1138" s="6">
        <v>0.88728009259259255</v>
      </c>
    </row>
    <row r="1139" spans="1:11" x14ac:dyDescent="0.25">
      <c r="A1139" s="4">
        <v>21</v>
      </c>
      <c r="B1139" s="4" t="s">
        <v>11</v>
      </c>
      <c r="C1139" s="7">
        <v>32.82</v>
      </c>
      <c r="D1139" s="4" t="s">
        <v>21</v>
      </c>
      <c r="E1139" s="4" t="s">
        <v>20</v>
      </c>
      <c r="F1139" s="4" t="s">
        <v>22</v>
      </c>
      <c r="G1139" s="4" t="s">
        <v>35</v>
      </c>
      <c r="H1139" s="4">
        <v>6</v>
      </c>
      <c r="I1139" s="4">
        <v>8</v>
      </c>
      <c r="J1139" s="5">
        <v>45514</v>
      </c>
      <c r="K1139" s="6">
        <v>0.9011689814814815</v>
      </c>
    </row>
    <row r="1140" spans="1:11" x14ac:dyDescent="0.25">
      <c r="A1140" s="4">
        <v>9</v>
      </c>
      <c r="B1140" s="4" t="s">
        <v>11</v>
      </c>
      <c r="C1140" s="7">
        <v>32.82</v>
      </c>
      <c r="D1140" s="4" t="s">
        <v>12</v>
      </c>
      <c r="E1140" s="4" t="s">
        <v>13</v>
      </c>
      <c r="F1140" s="4" t="s">
        <v>23</v>
      </c>
      <c r="G1140" s="4" t="s">
        <v>35</v>
      </c>
      <c r="H1140" s="4">
        <v>7</v>
      </c>
      <c r="I1140" s="4">
        <v>8</v>
      </c>
      <c r="J1140" s="5">
        <v>45515</v>
      </c>
      <c r="K1140" s="6">
        <v>0.41152777777777777</v>
      </c>
    </row>
    <row r="1141" spans="1:11" x14ac:dyDescent="0.25">
      <c r="A1141" s="4">
        <v>9</v>
      </c>
      <c r="B1141" s="4" t="s">
        <v>11</v>
      </c>
      <c r="C1141" s="7">
        <v>32.82</v>
      </c>
      <c r="D1141" s="4" t="s">
        <v>12</v>
      </c>
      <c r="E1141" s="4" t="s">
        <v>13</v>
      </c>
      <c r="F1141" s="4" t="s">
        <v>23</v>
      </c>
      <c r="G1141" s="4" t="s">
        <v>35</v>
      </c>
      <c r="H1141" s="4">
        <v>7</v>
      </c>
      <c r="I1141" s="4">
        <v>8</v>
      </c>
      <c r="J1141" s="5">
        <v>45515</v>
      </c>
      <c r="K1141" s="6">
        <v>0.41230324074074076</v>
      </c>
    </row>
    <row r="1142" spans="1:11" x14ac:dyDescent="0.25">
      <c r="A1142" s="4">
        <v>10</v>
      </c>
      <c r="B1142" s="4" t="s">
        <v>11</v>
      </c>
      <c r="C1142" s="7">
        <v>27.92</v>
      </c>
      <c r="D1142" s="4" t="s">
        <v>19</v>
      </c>
      <c r="E1142" s="4" t="s">
        <v>13</v>
      </c>
      <c r="F1142" s="4" t="s">
        <v>23</v>
      </c>
      <c r="G1142" s="4" t="s">
        <v>35</v>
      </c>
      <c r="H1142" s="4">
        <v>7</v>
      </c>
      <c r="I1142" s="4">
        <v>8</v>
      </c>
      <c r="J1142" s="5">
        <v>45515</v>
      </c>
      <c r="K1142" s="6">
        <v>0.42873842592592593</v>
      </c>
    </row>
    <row r="1143" spans="1:11" x14ac:dyDescent="0.25">
      <c r="A1143" s="4">
        <v>11</v>
      </c>
      <c r="B1143" s="4" t="s">
        <v>11</v>
      </c>
      <c r="C1143" s="7">
        <v>32.82</v>
      </c>
      <c r="D1143" s="4" t="s">
        <v>29</v>
      </c>
      <c r="E1143" s="4" t="s">
        <v>13</v>
      </c>
      <c r="F1143" s="4" t="s">
        <v>23</v>
      </c>
      <c r="G1143" s="4" t="s">
        <v>35</v>
      </c>
      <c r="H1143" s="4">
        <v>7</v>
      </c>
      <c r="I1143" s="4">
        <v>8</v>
      </c>
      <c r="J1143" s="5">
        <v>45515</v>
      </c>
      <c r="K1143" s="6">
        <v>0.49769675925925927</v>
      </c>
    </row>
    <row r="1144" spans="1:11" x14ac:dyDescent="0.25">
      <c r="A1144" s="4">
        <v>11</v>
      </c>
      <c r="B1144" s="4" t="s">
        <v>11</v>
      </c>
      <c r="C1144" s="7">
        <v>27.92</v>
      </c>
      <c r="D1144" s="4" t="s">
        <v>19</v>
      </c>
      <c r="E1144" s="4" t="s">
        <v>13</v>
      </c>
      <c r="F1144" s="4" t="s">
        <v>23</v>
      </c>
      <c r="G1144" s="4" t="s">
        <v>35</v>
      </c>
      <c r="H1144" s="4">
        <v>7</v>
      </c>
      <c r="I1144" s="4">
        <v>8</v>
      </c>
      <c r="J1144" s="5">
        <v>45515</v>
      </c>
      <c r="K1144" s="6">
        <v>0.49839120370370371</v>
      </c>
    </row>
    <row r="1145" spans="1:11" x14ac:dyDescent="0.25">
      <c r="A1145" s="4">
        <v>12</v>
      </c>
      <c r="B1145" s="4" t="s">
        <v>11</v>
      </c>
      <c r="C1145" s="7">
        <v>23.02</v>
      </c>
      <c r="D1145" s="4" t="s">
        <v>24</v>
      </c>
      <c r="E1145" s="4" t="s">
        <v>17</v>
      </c>
      <c r="F1145" s="4" t="s">
        <v>23</v>
      </c>
      <c r="G1145" s="4" t="s">
        <v>35</v>
      </c>
      <c r="H1145" s="4">
        <v>7</v>
      </c>
      <c r="I1145" s="4">
        <v>8</v>
      </c>
      <c r="J1145" s="5">
        <v>45515</v>
      </c>
      <c r="K1145" s="6">
        <v>0.51410879629629624</v>
      </c>
    </row>
    <row r="1146" spans="1:11" x14ac:dyDescent="0.25">
      <c r="A1146" s="4">
        <v>15</v>
      </c>
      <c r="B1146" s="4" t="s">
        <v>11</v>
      </c>
      <c r="C1146" s="7">
        <v>32.82</v>
      </c>
      <c r="D1146" s="4" t="s">
        <v>12</v>
      </c>
      <c r="E1146" s="4" t="s">
        <v>17</v>
      </c>
      <c r="F1146" s="4" t="s">
        <v>23</v>
      </c>
      <c r="G1146" s="4" t="s">
        <v>35</v>
      </c>
      <c r="H1146" s="4">
        <v>7</v>
      </c>
      <c r="I1146" s="4">
        <v>8</v>
      </c>
      <c r="J1146" s="5">
        <v>45515</v>
      </c>
      <c r="K1146" s="6">
        <v>0.66239583333333329</v>
      </c>
    </row>
    <row r="1147" spans="1:11" x14ac:dyDescent="0.25">
      <c r="A1147" s="4">
        <v>15</v>
      </c>
      <c r="B1147" s="4" t="s">
        <v>11</v>
      </c>
      <c r="C1147" s="7">
        <v>27.92</v>
      </c>
      <c r="D1147" s="4" t="s">
        <v>19</v>
      </c>
      <c r="E1147" s="4" t="s">
        <v>17</v>
      </c>
      <c r="F1147" s="4" t="s">
        <v>23</v>
      </c>
      <c r="G1147" s="4" t="s">
        <v>35</v>
      </c>
      <c r="H1147" s="4">
        <v>7</v>
      </c>
      <c r="I1147" s="4">
        <v>8</v>
      </c>
      <c r="J1147" s="5">
        <v>45515</v>
      </c>
      <c r="K1147" s="6">
        <v>0.66335648148148152</v>
      </c>
    </row>
    <row r="1148" spans="1:11" x14ac:dyDescent="0.25">
      <c r="A1148" s="4">
        <v>15</v>
      </c>
      <c r="B1148" s="4" t="s">
        <v>11</v>
      </c>
      <c r="C1148" s="7">
        <v>32.82</v>
      </c>
      <c r="D1148" s="4" t="s">
        <v>21</v>
      </c>
      <c r="E1148" s="4" t="s">
        <v>17</v>
      </c>
      <c r="F1148" s="4" t="s">
        <v>23</v>
      </c>
      <c r="G1148" s="4" t="s">
        <v>35</v>
      </c>
      <c r="H1148" s="4">
        <v>7</v>
      </c>
      <c r="I1148" s="4">
        <v>8</v>
      </c>
      <c r="J1148" s="5">
        <v>45515</v>
      </c>
      <c r="K1148" s="6">
        <v>0.66420138888888891</v>
      </c>
    </row>
    <row r="1149" spans="1:11" x14ac:dyDescent="0.25">
      <c r="A1149" s="4">
        <v>16</v>
      </c>
      <c r="B1149" s="4" t="s">
        <v>11</v>
      </c>
      <c r="C1149" s="7">
        <v>32.82</v>
      </c>
      <c r="D1149" s="4" t="s">
        <v>29</v>
      </c>
      <c r="E1149" s="4" t="s">
        <v>17</v>
      </c>
      <c r="F1149" s="4" t="s">
        <v>23</v>
      </c>
      <c r="G1149" s="4" t="s">
        <v>35</v>
      </c>
      <c r="H1149" s="4">
        <v>7</v>
      </c>
      <c r="I1149" s="4">
        <v>8</v>
      </c>
      <c r="J1149" s="5">
        <v>45515</v>
      </c>
      <c r="K1149" s="6">
        <v>0.68582175925925926</v>
      </c>
    </row>
    <row r="1150" spans="1:11" x14ac:dyDescent="0.25">
      <c r="A1150" s="4">
        <v>16</v>
      </c>
      <c r="B1150" s="4" t="s">
        <v>11</v>
      </c>
      <c r="C1150" s="7">
        <v>18.12</v>
      </c>
      <c r="D1150" s="4" t="s">
        <v>26</v>
      </c>
      <c r="E1150" s="4" t="s">
        <v>17</v>
      </c>
      <c r="F1150" s="4" t="s">
        <v>23</v>
      </c>
      <c r="G1150" s="4" t="s">
        <v>35</v>
      </c>
      <c r="H1150" s="4">
        <v>7</v>
      </c>
      <c r="I1150" s="4">
        <v>8</v>
      </c>
      <c r="J1150" s="5">
        <v>45515</v>
      </c>
      <c r="K1150" s="6">
        <v>0.68655092592592593</v>
      </c>
    </row>
    <row r="1151" spans="1:11" x14ac:dyDescent="0.25">
      <c r="A1151" s="4">
        <v>21</v>
      </c>
      <c r="B1151" s="4" t="s">
        <v>11</v>
      </c>
      <c r="C1151" s="7">
        <v>23.02</v>
      </c>
      <c r="D1151" s="4" t="s">
        <v>24</v>
      </c>
      <c r="E1151" s="4" t="s">
        <v>20</v>
      </c>
      <c r="F1151" s="4" t="s">
        <v>23</v>
      </c>
      <c r="G1151" s="4" t="s">
        <v>35</v>
      </c>
      <c r="H1151" s="4">
        <v>7</v>
      </c>
      <c r="I1151" s="4">
        <v>8</v>
      </c>
      <c r="J1151" s="5">
        <v>45515</v>
      </c>
      <c r="K1151" s="6">
        <v>0.89620370370370372</v>
      </c>
    </row>
    <row r="1152" spans="1:11" x14ac:dyDescent="0.25">
      <c r="A1152" s="4">
        <v>21</v>
      </c>
      <c r="B1152" s="4" t="s">
        <v>11</v>
      </c>
      <c r="C1152" s="7">
        <v>32.82</v>
      </c>
      <c r="D1152" s="4" t="s">
        <v>12</v>
      </c>
      <c r="E1152" s="4" t="s">
        <v>20</v>
      </c>
      <c r="F1152" s="4" t="s">
        <v>23</v>
      </c>
      <c r="G1152" s="4" t="s">
        <v>35</v>
      </c>
      <c r="H1152" s="4">
        <v>7</v>
      </c>
      <c r="I1152" s="4">
        <v>8</v>
      </c>
      <c r="J1152" s="5">
        <v>45515</v>
      </c>
      <c r="K1152" s="6">
        <v>0.90357638888888892</v>
      </c>
    </row>
    <row r="1153" spans="1:11" x14ac:dyDescent="0.25">
      <c r="A1153" s="4">
        <v>21</v>
      </c>
      <c r="B1153" s="4" t="s">
        <v>11</v>
      </c>
      <c r="C1153" s="7">
        <v>32.82</v>
      </c>
      <c r="D1153" s="4" t="s">
        <v>12</v>
      </c>
      <c r="E1153" s="4" t="s">
        <v>20</v>
      </c>
      <c r="F1153" s="4" t="s">
        <v>23</v>
      </c>
      <c r="G1153" s="4" t="s">
        <v>35</v>
      </c>
      <c r="H1153" s="4">
        <v>7</v>
      </c>
      <c r="I1153" s="4">
        <v>8</v>
      </c>
      <c r="J1153" s="5">
        <v>45515</v>
      </c>
      <c r="K1153" s="6">
        <v>0.90497685185185184</v>
      </c>
    </row>
    <row r="1154" spans="1:11" x14ac:dyDescent="0.25">
      <c r="A1154" s="4">
        <v>22</v>
      </c>
      <c r="B1154" s="4" t="s">
        <v>11</v>
      </c>
      <c r="C1154" s="7">
        <v>32.82</v>
      </c>
      <c r="D1154" s="4" t="s">
        <v>29</v>
      </c>
      <c r="E1154" s="4" t="s">
        <v>20</v>
      </c>
      <c r="F1154" s="4" t="s">
        <v>23</v>
      </c>
      <c r="G1154" s="4" t="s">
        <v>35</v>
      </c>
      <c r="H1154" s="4">
        <v>7</v>
      </c>
      <c r="I1154" s="4">
        <v>8</v>
      </c>
      <c r="J1154" s="5">
        <v>45515</v>
      </c>
      <c r="K1154" s="6">
        <v>0.9440856481481481</v>
      </c>
    </row>
    <row r="1155" spans="1:11" x14ac:dyDescent="0.25">
      <c r="A1155" s="4">
        <v>8</v>
      </c>
      <c r="B1155" s="4" t="s">
        <v>11</v>
      </c>
      <c r="C1155" s="7">
        <v>32.82</v>
      </c>
      <c r="D1155" s="4" t="s">
        <v>16</v>
      </c>
      <c r="E1155" s="4" t="s">
        <v>13</v>
      </c>
      <c r="F1155" s="4" t="s">
        <v>25</v>
      </c>
      <c r="G1155" s="4" t="s">
        <v>35</v>
      </c>
      <c r="H1155" s="4">
        <v>1</v>
      </c>
      <c r="I1155" s="4">
        <v>8</v>
      </c>
      <c r="J1155" s="5">
        <v>45516</v>
      </c>
      <c r="K1155" s="6">
        <v>0.35160879629629632</v>
      </c>
    </row>
    <row r="1156" spans="1:11" x14ac:dyDescent="0.25">
      <c r="A1156" s="4">
        <v>11</v>
      </c>
      <c r="B1156" s="4" t="s">
        <v>11</v>
      </c>
      <c r="C1156" s="7">
        <v>27.92</v>
      </c>
      <c r="D1156" s="4" t="s">
        <v>19</v>
      </c>
      <c r="E1156" s="4" t="s">
        <v>13</v>
      </c>
      <c r="F1156" s="4" t="s">
        <v>25</v>
      </c>
      <c r="G1156" s="4" t="s">
        <v>35</v>
      </c>
      <c r="H1156" s="4">
        <v>1</v>
      </c>
      <c r="I1156" s="4">
        <v>8</v>
      </c>
      <c r="J1156" s="5">
        <v>45516</v>
      </c>
      <c r="K1156" s="6">
        <v>0.46879629629629632</v>
      </c>
    </row>
    <row r="1157" spans="1:11" x14ac:dyDescent="0.25">
      <c r="A1157" s="4">
        <v>11</v>
      </c>
      <c r="B1157" s="4" t="s">
        <v>11</v>
      </c>
      <c r="C1157" s="7">
        <v>23.02</v>
      </c>
      <c r="D1157" s="4" t="s">
        <v>18</v>
      </c>
      <c r="E1157" s="4" t="s">
        <v>13</v>
      </c>
      <c r="F1157" s="4" t="s">
        <v>25</v>
      </c>
      <c r="G1157" s="4" t="s">
        <v>35</v>
      </c>
      <c r="H1157" s="4">
        <v>1</v>
      </c>
      <c r="I1157" s="4">
        <v>8</v>
      </c>
      <c r="J1157" s="5">
        <v>45516</v>
      </c>
      <c r="K1157" s="6">
        <v>0.47186342592592595</v>
      </c>
    </row>
    <row r="1158" spans="1:11" x14ac:dyDescent="0.25">
      <c r="A1158" s="4">
        <v>11</v>
      </c>
      <c r="B1158" s="4" t="s">
        <v>11</v>
      </c>
      <c r="C1158" s="7">
        <v>32.82</v>
      </c>
      <c r="D1158" s="4" t="s">
        <v>12</v>
      </c>
      <c r="E1158" s="4" t="s">
        <v>13</v>
      </c>
      <c r="F1158" s="4" t="s">
        <v>25</v>
      </c>
      <c r="G1158" s="4" t="s">
        <v>35</v>
      </c>
      <c r="H1158" s="4">
        <v>1</v>
      </c>
      <c r="I1158" s="4">
        <v>8</v>
      </c>
      <c r="J1158" s="5">
        <v>45516</v>
      </c>
      <c r="K1158" s="6">
        <v>0.47248842592592594</v>
      </c>
    </row>
    <row r="1159" spans="1:11" x14ac:dyDescent="0.25">
      <c r="A1159" s="4">
        <v>11</v>
      </c>
      <c r="B1159" s="4" t="s">
        <v>11</v>
      </c>
      <c r="C1159" s="7">
        <v>32.82</v>
      </c>
      <c r="D1159" s="4" t="s">
        <v>12</v>
      </c>
      <c r="E1159" s="4" t="s">
        <v>13</v>
      </c>
      <c r="F1159" s="4" t="s">
        <v>25</v>
      </c>
      <c r="G1159" s="4" t="s">
        <v>35</v>
      </c>
      <c r="H1159" s="4">
        <v>1</v>
      </c>
      <c r="I1159" s="4">
        <v>8</v>
      </c>
      <c r="J1159" s="5">
        <v>45516</v>
      </c>
      <c r="K1159" s="6">
        <v>0.48921296296296296</v>
      </c>
    </row>
    <row r="1160" spans="1:11" x14ac:dyDescent="0.25">
      <c r="A1160" s="4">
        <v>14</v>
      </c>
      <c r="B1160" s="4" t="s">
        <v>11</v>
      </c>
      <c r="C1160" s="7">
        <v>18.12</v>
      </c>
      <c r="D1160" s="4" t="s">
        <v>26</v>
      </c>
      <c r="E1160" s="4" t="s">
        <v>17</v>
      </c>
      <c r="F1160" s="4" t="s">
        <v>25</v>
      </c>
      <c r="G1160" s="4" t="s">
        <v>35</v>
      </c>
      <c r="H1160" s="4">
        <v>1</v>
      </c>
      <c r="I1160" s="4">
        <v>8</v>
      </c>
      <c r="J1160" s="5">
        <v>45516</v>
      </c>
      <c r="K1160" s="6">
        <v>0.58614583333333337</v>
      </c>
    </row>
    <row r="1161" spans="1:11" x14ac:dyDescent="0.25">
      <c r="A1161" s="4">
        <v>14</v>
      </c>
      <c r="B1161" s="4" t="s">
        <v>11</v>
      </c>
      <c r="C1161" s="7">
        <v>27.92</v>
      </c>
      <c r="D1161" s="4" t="s">
        <v>19</v>
      </c>
      <c r="E1161" s="4" t="s">
        <v>17</v>
      </c>
      <c r="F1161" s="4" t="s">
        <v>25</v>
      </c>
      <c r="G1161" s="4" t="s">
        <v>35</v>
      </c>
      <c r="H1161" s="4">
        <v>1</v>
      </c>
      <c r="I1161" s="4">
        <v>8</v>
      </c>
      <c r="J1161" s="5">
        <v>45516</v>
      </c>
      <c r="K1161" s="6">
        <v>0.58687500000000004</v>
      </c>
    </row>
    <row r="1162" spans="1:11" x14ac:dyDescent="0.25">
      <c r="A1162" s="4">
        <v>15</v>
      </c>
      <c r="B1162" s="4" t="s">
        <v>11</v>
      </c>
      <c r="C1162" s="7">
        <v>27.92</v>
      </c>
      <c r="D1162" s="4" t="s">
        <v>19</v>
      </c>
      <c r="E1162" s="4" t="s">
        <v>17</v>
      </c>
      <c r="F1162" s="4" t="s">
        <v>25</v>
      </c>
      <c r="G1162" s="4" t="s">
        <v>35</v>
      </c>
      <c r="H1162" s="4">
        <v>1</v>
      </c>
      <c r="I1162" s="4">
        <v>8</v>
      </c>
      <c r="J1162" s="5">
        <v>45516</v>
      </c>
      <c r="K1162" s="6">
        <v>0.64829861111111109</v>
      </c>
    </row>
    <row r="1163" spans="1:11" x14ac:dyDescent="0.25">
      <c r="A1163" s="4">
        <v>18</v>
      </c>
      <c r="B1163" s="4" t="s">
        <v>11</v>
      </c>
      <c r="C1163" s="7">
        <v>27.92</v>
      </c>
      <c r="D1163" s="4" t="s">
        <v>19</v>
      </c>
      <c r="E1163" s="4" t="s">
        <v>20</v>
      </c>
      <c r="F1163" s="4" t="s">
        <v>25</v>
      </c>
      <c r="G1163" s="4" t="s">
        <v>35</v>
      </c>
      <c r="H1163" s="4">
        <v>1</v>
      </c>
      <c r="I1163" s="4">
        <v>8</v>
      </c>
      <c r="J1163" s="5">
        <v>45516</v>
      </c>
      <c r="K1163" s="6">
        <v>0.75351851851851848</v>
      </c>
    </row>
    <row r="1164" spans="1:11" x14ac:dyDescent="0.25">
      <c r="A1164" s="4">
        <v>21</v>
      </c>
      <c r="B1164" s="4" t="s">
        <v>11</v>
      </c>
      <c r="C1164" s="7">
        <v>27.92</v>
      </c>
      <c r="D1164" s="4" t="s">
        <v>19</v>
      </c>
      <c r="E1164" s="4" t="s">
        <v>20</v>
      </c>
      <c r="F1164" s="4" t="s">
        <v>25</v>
      </c>
      <c r="G1164" s="4" t="s">
        <v>35</v>
      </c>
      <c r="H1164" s="4">
        <v>1</v>
      </c>
      <c r="I1164" s="4">
        <v>8</v>
      </c>
      <c r="J1164" s="5">
        <v>45516</v>
      </c>
      <c r="K1164" s="6">
        <v>0.89292824074074073</v>
      </c>
    </row>
    <row r="1165" spans="1:11" x14ac:dyDescent="0.25">
      <c r="A1165" s="4">
        <v>21</v>
      </c>
      <c r="B1165" s="4" t="s">
        <v>11</v>
      </c>
      <c r="C1165" s="7">
        <v>32.82</v>
      </c>
      <c r="D1165" s="4" t="s">
        <v>12</v>
      </c>
      <c r="E1165" s="4" t="s">
        <v>20</v>
      </c>
      <c r="F1165" s="4" t="s">
        <v>25</v>
      </c>
      <c r="G1165" s="4" t="s">
        <v>35</v>
      </c>
      <c r="H1165" s="4">
        <v>1</v>
      </c>
      <c r="I1165" s="4">
        <v>8</v>
      </c>
      <c r="J1165" s="5">
        <v>45516</v>
      </c>
      <c r="K1165" s="6">
        <v>0.90113425925925927</v>
      </c>
    </row>
    <row r="1166" spans="1:11" x14ac:dyDescent="0.25">
      <c r="A1166" s="4">
        <v>22</v>
      </c>
      <c r="B1166" s="4" t="s">
        <v>11</v>
      </c>
      <c r="C1166" s="7">
        <v>32.82</v>
      </c>
      <c r="D1166" s="4" t="s">
        <v>29</v>
      </c>
      <c r="E1166" s="4" t="s">
        <v>20</v>
      </c>
      <c r="F1166" s="4" t="s">
        <v>25</v>
      </c>
      <c r="G1166" s="4" t="s">
        <v>35</v>
      </c>
      <c r="H1166" s="4">
        <v>1</v>
      </c>
      <c r="I1166" s="4">
        <v>8</v>
      </c>
      <c r="J1166" s="5">
        <v>45516</v>
      </c>
      <c r="K1166" s="6">
        <v>0.95717592592592593</v>
      </c>
    </row>
    <row r="1167" spans="1:11" x14ac:dyDescent="0.25">
      <c r="A1167" s="4">
        <v>22</v>
      </c>
      <c r="B1167" s="4" t="s">
        <v>11</v>
      </c>
      <c r="C1167" s="7">
        <v>32.82</v>
      </c>
      <c r="D1167" s="4" t="s">
        <v>29</v>
      </c>
      <c r="E1167" s="4" t="s">
        <v>20</v>
      </c>
      <c r="F1167" s="4" t="s">
        <v>25</v>
      </c>
      <c r="G1167" s="4" t="s">
        <v>35</v>
      </c>
      <c r="H1167" s="4">
        <v>1</v>
      </c>
      <c r="I1167" s="4">
        <v>8</v>
      </c>
      <c r="J1167" s="5">
        <v>45516</v>
      </c>
      <c r="K1167" s="6">
        <v>0.95784722222222218</v>
      </c>
    </row>
    <row r="1168" spans="1:11" x14ac:dyDescent="0.25">
      <c r="A1168" s="4">
        <v>8</v>
      </c>
      <c r="B1168" s="4" t="s">
        <v>11</v>
      </c>
      <c r="C1168" s="7">
        <v>27.92</v>
      </c>
      <c r="D1168" s="4" t="s">
        <v>19</v>
      </c>
      <c r="E1168" s="4" t="s">
        <v>13</v>
      </c>
      <c r="F1168" s="4" t="s">
        <v>27</v>
      </c>
      <c r="G1168" s="4" t="s">
        <v>35</v>
      </c>
      <c r="H1168" s="4">
        <v>2</v>
      </c>
      <c r="I1168" s="4">
        <v>8</v>
      </c>
      <c r="J1168" s="5">
        <v>45517</v>
      </c>
      <c r="K1168" s="6">
        <v>0.36423611111111109</v>
      </c>
    </row>
    <row r="1169" spans="1:11" x14ac:dyDescent="0.25">
      <c r="A1169" s="4">
        <v>9</v>
      </c>
      <c r="B1169" s="4" t="s">
        <v>11</v>
      </c>
      <c r="C1169" s="7">
        <v>27.92</v>
      </c>
      <c r="D1169" s="4" t="s">
        <v>19</v>
      </c>
      <c r="E1169" s="4" t="s">
        <v>13</v>
      </c>
      <c r="F1169" s="4" t="s">
        <v>27</v>
      </c>
      <c r="G1169" s="4" t="s">
        <v>35</v>
      </c>
      <c r="H1169" s="4">
        <v>2</v>
      </c>
      <c r="I1169" s="4">
        <v>8</v>
      </c>
      <c r="J1169" s="5">
        <v>45517</v>
      </c>
      <c r="K1169" s="6">
        <v>0.38496527777777778</v>
      </c>
    </row>
    <row r="1170" spans="1:11" x14ac:dyDescent="0.25">
      <c r="A1170" s="4">
        <v>9</v>
      </c>
      <c r="B1170" s="4" t="s">
        <v>11</v>
      </c>
      <c r="C1170" s="7">
        <v>27.92</v>
      </c>
      <c r="D1170" s="4" t="s">
        <v>19</v>
      </c>
      <c r="E1170" s="4" t="s">
        <v>13</v>
      </c>
      <c r="F1170" s="4" t="s">
        <v>27</v>
      </c>
      <c r="G1170" s="4" t="s">
        <v>35</v>
      </c>
      <c r="H1170" s="4">
        <v>2</v>
      </c>
      <c r="I1170" s="4">
        <v>8</v>
      </c>
      <c r="J1170" s="5">
        <v>45517</v>
      </c>
      <c r="K1170" s="6">
        <v>0.40689814814814818</v>
      </c>
    </row>
    <row r="1171" spans="1:11" x14ac:dyDescent="0.25">
      <c r="A1171" s="4">
        <v>10</v>
      </c>
      <c r="B1171" s="4" t="s">
        <v>11</v>
      </c>
      <c r="C1171" s="7">
        <v>23.02</v>
      </c>
      <c r="D1171" s="4" t="s">
        <v>24</v>
      </c>
      <c r="E1171" s="4" t="s">
        <v>13</v>
      </c>
      <c r="F1171" s="4" t="s">
        <v>27</v>
      </c>
      <c r="G1171" s="4" t="s">
        <v>35</v>
      </c>
      <c r="H1171" s="4">
        <v>2</v>
      </c>
      <c r="I1171" s="4">
        <v>8</v>
      </c>
      <c r="J1171" s="5">
        <v>45517</v>
      </c>
      <c r="K1171" s="6">
        <v>0.44592592592592595</v>
      </c>
    </row>
    <row r="1172" spans="1:11" x14ac:dyDescent="0.25">
      <c r="A1172" s="4">
        <v>11</v>
      </c>
      <c r="B1172" s="4" t="s">
        <v>11</v>
      </c>
      <c r="C1172" s="7">
        <v>32.82</v>
      </c>
      <c r="D1172" s="4" t="s">
        <v>12</v>
      </c>
      <c r="E1172" s="4" t="s">
        <v>13</v>
      </c>
      <c r="F1172" s="4" t="s">
        <v>27</v>
      </c>
      <c r="G1172" s="4" t="s">
        <v>35</v>
      </c>
      <c r="H1172" s="4">
        <v>2</v>
      </c>
      <c r="I1172" s="4">
        <v>8</v>
      </c>
      <c r="J1172" s="5">
        <v>45517</v>
      </c>
      <c r="K1172" s="6">
        <v>0.49984953703703705</v>
      </c>
    </row>
    <row r="1173" spans="1:11" x14ac:dyDescent="0.25">
      <c r="A1173" s="4">
        <v>13</v>
      </c>
      <c r="B1173" s="4" t="s">
        <v>11</v>
      </c>
      <c r="C1173" s="7">
        <v>27.92</v>
      </c>
      <c r="D1173" s="4" t="s">
        <v>19</v>
      </c>
      <c r="E1173" s="4" t="s">
        <v>17</v>
      </c>
      <c r="F1173" s="4" t="s">
        <v>27</v>
      </c>
      <c r="G1173" s="4" t="s">
        <v>35</v>
      </c>
      <c r="H1173" s="4">
        <v>2</v>
      </c>
      <c r="I1173" s="4">
        <v>8</v>
      </c>
      <c r="J1173" s="5">
        <v>45517</v>
      </c>
      <c r="K1173" s="6">
        <v>0.54283564814814811</v>
      </c>
    </row>
    <row r="1174" spans="1:11" x14ac:dyDescent="0.25">
      <c r="A1174" s="4">
        <v>14</v>
      </c>
      <c r="B1174" s="4" t="s">
        <v>11</v>
      </c>
      <c r="C1174" s="7">
        <v>32.82</v>
      </c>
      <c r="D1174" s="4" t="s">
        <v>12</v>
      </c>
      <c r="E1174" s="4" t="s">
        <v>17</v>
      </c>
      <c r="F1174" s="4" t="s">
        <v>27</v>
      </c>
      <c r="G1174" s="4" t="s">
        <v>35</v>
      </c>
      <c r="H1174" s="4">
        <v>2</v>
      </c>
      <c r="I1174" s="4">
        <v>8</v>
      </c>
      <c r="J1174" s="5">
        <v>45517</v>
      </c>
      <c r="K1174" s="6">
        <v>0.61503472222222222</v>
      </c>
    </row>
    <row r="1175" spans="1:11" x14ac:dyDescent="0.25">
      <c r="A1175" s="4">
        <v>15</v>
      </c>
      <c r="B1175" s="4" t="s">
        <v>11</v>
      </c>
      <c r="C1175" s="7">
        <v>32.82</v>
      </c>
      <c r="D1175" s="4" t="s">
        <v>29</v>
      </c>
      <c r="E1175" s="4" t="s">
        <v>17</v>
      </c>
      <c r="F1175" s="4" t="s">
        <v>27</v>
      </c>
      <c r="G1175" s="4" t="s">
        <v>35</v>
      </c>
      <c r="H1175" s="4">
        <v>2</v>
      </c>
      <c r="I1175" s="4">
        <v>8</v>
      </c>
      <c r="J1175" s="5">
        <v>45517</v>
      </c>
      <c r="K1175" s="6">
        <v>0.65828703703703706</v>
      </c>
    </row>
    <row r="1176" spans="1:11" x14ac:dyDescent="0.25">
      <c r="A1176" s="4">
        <v>15</v>
      </c>
      <c r="B1176" s="4" t="s">
        <v>11</v>
      </c>
      <c r="C1176" s="7">
        <v>27.92</v>
      </c>
      <c r="D1176" s="4" t="s">
        <v>19</v>
      </c>
      <c r="E1176" s="4" t="s">
        <v>17</v>
      </c>
      <c r="F1176" s="4" t="s">
        <v>27</v>
      </c>
      <c r="G1176" s="4" t="s">
        <v>35</v>
      </c>
      <c r="H1176" s="4">
        <v>2</v>
      </c>
      <c r="I1176" s="4">
        <v>8</v>
      </c>
      <c r="J1176" s="5">
        <v>45517</v>
      </c>
      <c r="K1176" s="6">
        <v>0.66353009259259255</v>
      </c>
    </row>
    <row r="1177" spans="1:11" x14ac:dyDescent="0.25">
      <c r="A1177" s="4">
        <v>20</v>
      </c>
      <c r="B1177" s="4" t="s">
        <v>11</v>
      </c>
      <c r="C1177" s="7">
        <v>32.82</v>
      </c>
      <c r="D1177" s="4" t="s">
        <v>12</v>
      </c>
      <c r="E1177" s="4" t="s">
        <v>20</v>
      </c>
      <c r="F1177" s="4" t="s">
        <v>27</v>
      </c>
      <c r="G1177" s="4" t="s">
        <v>35</v>
      </c>
      <c r="H1177" s="4">
        <v>2</v>
      </c>
      <c r="I1177" s="4">
        <v>8</v>
      </c>
      <c r="J1177" s="5">
        <v>45517</v>
      </c>
      <c r="K1177" s="6">
        <v>0.85386574074074073</v>
      </c>
    </row>
    <row r="1178" spans="1:11" x14ac:dyDescent="0.25">
      <c r="A1178" s="4">
        <v>20</v>
      </c>
      <c r="B1178" s="4" t="s">
        <v>11</v>
      </c>
      <c r="C1178" s="7">
        <v>32.82</v>
      </c>
      <c r="D1178" s="4" t="s">
        <v>21</v>
      </c>
      <c r="E1178" s="4" t="s">
        <v>20</v>
      </c>
      <c r="F1178" s="4" t="s">
        <v>27</v>
      </c>
      <c r="G1178" s="4" t="s">
        <v>35</v>
      </c>
      <c r="H1178" s="4">
        <v>2</v>
      </c>
      <c r="I1178" s="4">
        <v>8</v>
      </c>
      <c r="J1178" s="5">
        <v>45517</v>
      </c>
      <c r="K1178" s="6">
        <v>0.8545949074074074</v>
      </c>
    </row>
    <row r="1179" spans="1:11" x14ac:dyDescent="0.25">
      <c r="A1179" s="4">
        <v>20</v>
      </c>
      <c r="B1179" s="4" t="s">
        <v>11</v>
      </c>
      <c r="C1179" s="7">
        <v>32.82</v>
      </c>
      <c r="D1179" s="4" t="s">
        <v>29</v>
      </c>
      <c r="E1179" s="4" t="s">
        <v>20</v>
      </c>
      <c r="F1179" s="4" t="s">
        <v>27</v>
      </c>
      <c r="G1179" s="4" t="s">
        <v>35</v>
      </c>
      <c r="H1179" s="4">
        <v>2</v>
      </c>
      <c r="I1179" s="4">
        <v>8</v>
      </c>
      <c r="J1179" s="5">
        <v>45517</v>
      </c>
      <c r="K1179" s="6">
        <v>0.86414351851851856</v>
      </c>
    </row>
    <row r="1180" spans="1:11" x14ac:dyDescent="0.25">
      <c r="A1180" s="4">
        <v>21</v>
      </c>
      <c r="B1180" s="4" t="s">
        <v>11</v>
      </c>
      <c r="C1180" s="7">
        <v>23.02</v>
      </c>
      <c r="D1180" s="4" t="s">
        <v>24</v>
      </c>
      <c r="E1180" s="4" t="s">
        <v>20</v>
      </c>
      <c r="F1180" s="4" t="s">
        <v>27</v>
      </c>
      <c r="G1180" s="4" t="s">
        <v>35</v>
      </c>
      <c r="H1180" s="4">
        <v>2</v>
      </c>
      <c r="I1180" s="4">
        <v>8</v>
      </c>
      <c r="J1180" s="5">
        <v>45517</v>
      </c>
      <c r="K1180" s="6">
        <v>0.87550925925925926</v>
      </c>
    </row>
    <row r="1181" spans="1:11" x14ac:dyDescent="0.25">
      <c r="A1181" s="4">
        <v>7</v>
      </c>
      <c r="B1181" s="4" t="s">
        <v>11</v>
      </c>
      <c r="C1181" s="7">
        <v>32.82</v>
      </c>
      <c r="D1181" s="4" t="s">
        <v>12</v>
      </c>
      <c r="E1181" s="4" t="s">
        <v>13</v>
      </c>
      <c r="F1181" s="4" t="s">
        <v>28</v>
      </c>
      <c r="G1181" s="4" t="s">
        <v>35</v>
      </c>
      <c r="H1181" s="4">
        <v>3</v>
      </c>
      <c r="I1181" s="4">
        <v>8</v>
      </c>
      <c r="J1181" s="5">
        <v>45518</v>
      </c>
      <c r="K1181" s="6">
        <v>0.3165277777777778</v>
      </c>
    </row>
    <row r="1182" spans="1:11" x14ac:dyDescent="0.25">
      <c r="A1182" s="4">
        <v>7</v>
      </c>
      <c r="B1182" s="4" t="s">
        <v>11</v>
      </c>
      <c r="C1182" s="7">
        <v>32.82</v>
      </c>
      <c r="D1182" s="4" t="s">
        <v>29</v>
      </c>
      <c r="E1182" s="4" t="s">
        <v>13</v>
      </c>
      <c r="F1182" s="4" t="s">
        <v>28</v>
      </c>
      <c r="G1182" s="4" t="s">
        <v>35</v>
      </c>
      <c r="H1182" s="4">
        <v>3</v>
      </c>
      <c r="I1182" s="4">
        <v>8</v>
      </c>
      <c r="J1182" s="5">
        <v>45518</v>
      </c>
      <c r="K1182" s="6">
        <v>0.31730324074074073</v>
      </c>
    </row>
    <row r="1183" spans="1:11" x14ac:dyDescent="0.25">
      <c r="A1183" s="4">
        <v>10</v>
      </c>
      <c r="B1183" s="4" t="s">
        <v>11</v>
      </c>
      <c r="C1183" s="7">
        <v>23.02</v>
      </c>
      <c r="D1183" s="4" t="s">
        <v>24</v>
      </c>
      <c r="E1183" s="4" t="s">
        <v>13</v>
      </c>
      <c r="F1183" s="4" t="s">
        <v>28</v>
      </c>
      <c r="G1183" s="4" t="s">
        <v>35</v>
      </c>
      <c r="H1183" s="4">
        <v>3</v>
      </c>
      <c r="I1183" s="4">
        <v>8</v>
      </c>
      <c r="J1183" s="5">
        <v>45518</v>
      </c>
      <c r="K1183" s="6">
        <v>0.42325231481481479</v>
      </c>
    </row>
    <row r="1184" spans="1:11" x14ac:dyDescent="0.25">
      <c r="A1184" s="4">
        <v>11</v>
      </c>
      <c r="B1184" s="4" t="s">
        <v>11</v>
      </c>
      <c r="C1184" s="7">
        <v>18.12</v>
      </c>
      <c r="D1184" s="4" t="s">
        <v>26</v>
      </c>
      <c r="E1184" s="4" t="s">
        <v>13</v>
      </c>
      <c r="F1184" s="4" t="s">
        <v>28</v>
      </c>
      <c r="G1184" s="4" t="s">
        <v>35</v>
      </c>
      <c r="H1184" s="4">
        <v>3</v>
      </c>
      <c r="I1184" s="4">
        <v>8</v>
      </c>
      <c r="J1184" s="5">
        <v>45518</v>
      </c>
      <c r="K1184" s="6">
        <v>0.48549768518518521</v>
      </c>
    </row>
    <row r="1185" spans="1:11" x14ac:dyDescent="0.25">
      <c r="A1185" s="4">
        <v>12</v>
      </c>
      <c r="B1185" s="4" t="s">
        <v>11</v>
      </c>
      <c r="C1185" s="7">
        <v>23.02</v>
      </c>
      <c r="D1185" s="4" t="s">
        <v>18</v>
      </c>
      <c r="E1185" s="4" t="s">
        <v>17</v>
      </c>
      <c r="F1185" s="4" t="s">
        <v>28</v>
      </c>
      <c r="G1185" s="4" t="s">
        <v>35</v>
      </c>
      <c r="H1185" s="4">
        <v>3</v>
      </c>
      <c r="I1185" s="4">
        <v>8</v>
      </c>
      <c r="J1185" s="5">
        <v>45518</v>
      </c>
      <c r="K1185" s="6">
        <v>0.53421296296296295</v>
      </c>
    </row>
    <row r="1186" spans="1:11" x14ac:dyDescent="0.25">
      <c r="A1186" s="4">
        <v>12</v>
      </c>
      <c r="B1186" s="4" t="s">
        <v>11</v>
      </c>
      <c r="C1186" s="7">
        <v>23.02</v>
      </c>
      <c r="D1186" s="4" t="s">
        <v>18</v>
      </c>
      <c r="E1186" s="4" t="s">
        <v>17</v>
      </c>
      <c r="F1186" s="4" t="s">
        <v>28</v>
      </c>
      <c r="G1186" s="4" t="s">
        <v>35</v>
      </c>
      <c r="H1186" s="4">
        <v>3</v>
      </c>
      <c r="I1186" s="4">
        <v>8</v>
      </c>
      <c r="J1186" s="5">
        <v>45518</v>
      </c>
      <c r="K1186" s="6">
        <v>0.53546296296296292</v>
      </c>
    </row>
    <row r="1187" spans="1:11" x14ac:dyDescent="0.25">
      <c r="A1187" s="4">
        <v>15</v>
      </c>
      <c r="B1187" s="4" t="s">
        <v>11</v>
      </c>
      <c r="C1187" s="7">
        <v>32.82</v>
      </c>
      <c r="D1187" s="4" t="s">
        <v>12</v>
      </c>
      <c r="E1187" s="4" t="s">
        <v>17</v>
      </c>
      <c r="F1187" s="4" t="s">
        <v>28</v>
      </c>
      <c r="G1187" s="4" t="s">
        <v>35</v>
      </c>
      <c r="H1187" s="4">
        <v>3</v>
      </c>
      <c r="I1187" s="4">
        <v>8</v>
      </c>
      <c r="J1187" s="5">
        <v>45518</v>
      </c>
      <c r="K1187" s="6">
        <v>0.63989583333333333</v>
      </c>
    </row>
    <row r="1188" spans="1:11" x14ac:dyDescent="0.25">
      <c r="A1188" s="4">
        <v>17</v>
      </c>
      <c r="B1188" s="4" t="s">
        <v>11</v>
      </c>
      <c r="C1188" s="7">
        <v>23.02</v>
      </c>
      <c r="D1188" s="4" t="s">
        <v>18</v>
      </c>
      <c r="E1188" s="4" t="s">
        <v>20</v>
      </c>
      <c r="F1188" s="4" t="s">
        <v>28</v>
      </c>
      <c r="G1188" s="4" t="s">
        <v>35</v>
      </c>
      <c r="H1188" s="4">
        <v>3</v>
      </c>
      <c r="I1188" s="4">
        <v>8</v>
      </c>
      <c r="J1188" s="5">
        <v>45518</v>
      </c>
      <c r="K1188" s="6">
        <v>0.72525462962962961</v>
      </c>
    </row>
    <row r="1189" spans="1:11" x14ac:dyDescent="0.25">
      <c r="A1189" s="4">
        <v>18</v>
      </c>
      <c r="B1189" s="4" t="s">
        <v>11</v>
      </c>
      <c r="C1189" s="7">
        <v>23.02</v>
      </c>
      <c r="D1189" s="4" t="s">
        <v>24</v>
      </c>
      <c r="E1189" s="4" t="s">
        <v>20</v>
      </c>
      <c r="F1189" s="4" t="s">
        <v>28</v>
      </c>
      <c r="G1189" s="4" t="s">
        <v>35</v>
      </c>
      <c r="H1189" s="4">
        <v>3</v>
      </c>
      <c r="I1189" s="4">
        <v>8</v>
      </c>
      <c r="J1189" s="5">
        <v>45518</v>
      </c>
      <c r="K1189" s="6">
        <v>0.75697916666666665</v>
      </c>
    </row>
    <row r="1190" spans="1:11" x14ac:dyDescent="0.25">
      <c r="A1190" s="4">
        <v>18</v>
      </c>
      <c r="B1190" s="4" t="s">
        <v>11</v>
      </c>
      <c r="C1190" s="7">
        <v>27.92</v>
      </c>
      <c r="D1190" s="4" t="s">
        <v>19</v>
      </c>
      <c r="E1190" s="4" t="s">
        <v>20</v>
      </c>
      <c r="F1190" s="4" t="s">
        <v>28</v>
      </c>
      <c r="G1190" s="4" t="s">
        <v>35</v>
      </c>
      <c r="H1190" s="4">
        <v>3</v>
      </c>
      <c r="I1190" s="4">
        <v>8</v>
      </c>
      <c r="J1190" s="5">
        <v>45518</v>
      </c>
      <c r="K1190" s="6">
        <v>0.79118055555555555</v>
      </c>
    </row>
    <row r="1191" spans="1:11" x14ac:dyDescent="0.25">
      <c r="A1191" s="4">
        <v>19</v>
      </c>
      <c r="B1191" s="4" t="s">
        <v>11</v>
      </c>
      <c r="C1191" s="7">
        <v>32.82</v>
      </c>
      <c r="D1191" s="4" t="s">
        <v>12</v>
      </c>
      <c r="E1191" s="4" t="s">
        <v>20</v>
      </c>
      <c r="F1191" s="4" t="s">
        <v>28</v>
      </c>
      <c r="G1191" s="4" t="s">
        <v>35</v>
      </c>
      <c r="H1191" s="4">
        <v>3</v>
      </c>
      <c r="I1191" s="4">
        <v>8</v>
      </c>
      <c r="J1191" s="5">
        <v>45518</v>
      </c>
      <c r="K1191" s="6">
        <v>0.81586805555555553</v>
      </c>
    </row>
    <row r="1192" spans="1:11" x14ac:dyDescent="0.25">
      <c r="A1192" s="4">
        <v>19</v>
      </c>
      <c r="B1192" s="4" t="s">
        <v>11</v>
      </c>
      <c r="C1192" s="7">
        <v>23.02</v>
      </c>
      <c r="D1192" s="4" t="s">
        <v>24</v>
      </c>
      <c r="E1192" s="4" t="s">
        <v>20</v>
      </c>
      <c r="F1192" s="4" t="s">
        <v>28</v>
      </c>
      <c r="G1192" s="4" t="s">
        <v>35</v>
      </c>
      <c r="H1192" s="4">
        <v>3</v>
      </c>
      <c r="I1192" s="4">
        <v>8</v>
      </c>
      <c r="J1192" s="5">
        <v>45518</v>
      </c>
      <c r="K1192" s="6">
        <v>0.81652777777777774</v>
      </c>
    </row>
    <row r="1193" spans="1:11" x14ac:dyDescent="0.25">
      <c r="A1193" s="4">
        <v>21</v>
      </c>
      <c r="B1193" s="4" t="s">
        <v>11</v>
      </c>
      <c r="C1193" s="7">
        <v>32.82</v>
      </c>
      <c r="D1193" s="4" t="s">
        <v>12</v>
      </c>
      <c r="E1193" s="4" t="s">
        <v>20</v>
      </c>
      <c r="F1193" s="4" t="s">
        <v>28</v>
      </c>
      <c r="G1193" s="4" t="s">
        <v>35</v>
      </c>
      <c r="H1193" s="4">
        <v>3</v>
      </c>
      <c r="I1193" s="4">
        <v>8</v>
      </c>
      <c r="J1193" s="5">
        <v>45518</v>
      </c>
      <c r="K1193" s="6">
        <v>0.90385416666666663</v>
      </c>
    </row>
    <row r="1194" spans="1:11" x14ac:dyDescent="0.25">
      <c r="A1194" s="4">
        <v>9</v>
      </c>
      <c r="B1194" s="4" t="s">
        <v>11</v>
      </c>
      <c r="C1194" s="7">
        <v>23.02</v>
      </c>
      <c r="D1194" s="4" t="s">
        <v>24</v>
      </c>
      <c r="E1194" s="4" t="s">
        <v>13</v>
      </c>
      <c r="F1194" s="4" t="s">
        <v>30</v>
      </c>
      <c r="G1194" s="4" t="s">
        <v>35</v>
      </c>
      <c r="H1194" s="4">
        <v>4</v>
      </c>
      <c r="I1194" s="4">
        <v>8</v>
      </c>
      <c r="J1194" s="5">
        <v>45519</v>
      </c>
      <c r="K1194" s="6">
        <v>0.40012731481481484</v>
      </c>
    </row>
    <row r="1195" spans="1:11" x14ac:dyDescent="0.25">
      <c r="A1195" s="4">
        <v>9</v>
      </c>
      <c r="B1195" s="4" t="s">
        <v>11</v>
      </c>
      <c r="C1195" s="7">
        <v>32.82</v>
      </c>
      <c r="D1195" s="4" t="s">
        <v>29</v>
      </c>
      <c r="E1195" s="4" t="s">
        <v>13</v>
      </c>
      <c r="F1195" s="4" t="s">
        <v>30</v>
      </c>
      <c r="G1195" s="4" t="s">
        <v>35</v>
      </c>
      <c r="H1195" s="4">
        <v>4</v>
      </c>
      <c r="I1195" s="4">
        <v>8</v>
      </c>
      <c r="J1195" s="5">
        <v>45519</v>
      </c>
      <c r="K1195" s="6">
        <v>0.4007175925925926</v>
      </c>
    </row>
    <row r="1196" spans="1:11" x14ac:dyDescent="0.25">
      <c r="A1196" s="4">
        <v>9</v>
      </c>
      <c r="B1196" s="4" t="s">
        <v>11</v>
      </c>
      <c r="C1196" s="7">
        <v>32.82</v>
      </c>
      <c r="D1196" s="4" t="s">
        <v>16</v>
      </c>
      <c r="E1196" s="4" t="s">
        <v>13</v>
      </c>
      <c r="F1196" s="4" t="s">
        <v>30</v>
      </c>
      <c r="G1196" s="4" t="s">
        <v>35</v>
      </c>
      <c r="H1196" s="4">
        <v>4</v>
      </c>
      <c r="I1196" s="4">
        <v>8</v>
      </c>
      <c r="J1196" s="5">
        <v>45519</v>
      </c>
      <c r="K1196" s="6">
        <v>0.40143518518518517</v>
      </c>
    </row>
    <row r="1197" spans="1:11" x14ac:dyDescent="0.25">
      <c r="A1197" s="4">
        <v>9</v>
      </c>
      <c r="B1197" s="4" t="s">
        <v>11</v>
      </c>
      <c r="C1197" s="7">
        <v>32.82</v>
      </c>
      <c r="D1197" s="4" t="s">
        <v>12</v>
      </c>
      <c r="E1197" s="4" t="s">
        <v>13</v>
      </c>
      <c r="F1197" s="4" t="s">
        <v>30</v>
      </c>
      <c r="G1197" s="4" t="s">
        <v>35</v>
      </c>
      <c r="H1197" s="4">
        <v>4</v>
      </c>
      <c r="I1197" s="4">
        <v>8</v>
      </c>
      <c r="J1197" s="5">
        <v>45519</v>
      </c>
      <c r="K1197" s="6">
        <v>0.40195601851851853</v>
      </c>
    </row>
    <row r="1198" spans="1:11" x14ac:dyDescent="0.25">
      <c r="A1198" s="4">
        <v>12</v>
      </c>
      <c r="B1198" s="4" t="s">
        <v>11</v>
      </c>
      <c r="C1198" s="7">
        <v>32.82</v>
      </c>
      <c r="D1198" s="4" t="s">
        <v>12</v>
      </c>
      <c r="E1198" s="4" t="s">
        <v>17</v>
      </c>
      <c r="F1198" s="4" t="s">
        <v>30</v>
      </c>
      <c r="G1198" s="4" t="s">
        <v>35</v>
      </c>
      <c r="H1198" s="4">
        <v>4</v>
      </c>
      <c r="I1198" s="4">
        <v>8</v>
      </c>
      <c r="J1198" s="5">
        <v>45519</v>
      </c>
      <c r="K1198" s="6">
        <v>0.52681712962962968</v>
      </c>
    </row>
    <row r="1199" spans="1:11" x14ac:dyDescent="0.25">
      <c r="A1199" s="4">
        <v>13</v>
      </c>
      <c r="B1199" s="4" t="s">
        <v>11</v>
      </c>
      <c r="C1199" s="7">
        <v>32.82</v>
      </c>
      <c r="D1199" s="4" t="s">
        <v>12</v>
      </c>
      <c r="E1199" s="4" t="s">
        <v>17</v>
      </c>
      <c r="F1199" s="4" t="s">
        <v>30</v>
      </c>
      <c r="G1199" s="4" t="s">
        <v>35</v>
      </c>
      <c r="H1199" s="4">
        <v>4</v>
      </c>
      <c r="I1199" s="4">
        <v>8</v>
      </c>
      <c r="J1199" s="5">
        <v>45519</v>
      </c>
      <c r="K1199" s="6">
        <v>0.57515046296296302</v>
      </c>
    </row>
    <row r="1200" spans="1:11" x14ac:dyDescent="0.25">
      <c r="A1200" s="4">
        <v>14</v>
      </c>
      <c r="B1200" s="4" t="s">
        <v>11</v>
      </c>
      <c r="C1200" s="7">
        <v>23.02</v>
      </c>
      <c r="D1200" s="4" t="s">
        <v>18</v>
      </c>
      <c r="E1200" s="4" t="s">
        <v>17</v>
      </c>
      <c r="F1200" s="4" t="s">
        <v>30</v>
      </c>
      <c r="G1200" s="4" t="s">
        <v>35</v>
      </c>
      <c r="H1200" s="4">
        <v>4</v>
      </c>
      <c r="I1200" s="4">
        <v>8</v>
      </c>
      <c r="J1200" s="5">
        <v>45519</v>
      </c>
      <c r="K1200" s="6">
        <v>0.59569444444444442</v>
      </c>
    </row>
    <row r="1201" spans="1:11" x14ac:dyDescent="0.25">
      <c r="A1201" s="4">
        <v>14</v>
      </c>
      <c r="B1201" s="4" t="s">
        <v>11</v>
      </c>
      <c r="C1201" s="7">
        <v>18.12</v>
      </c>
      <c r="D1201" s="4" t="s">
        <v>26</v>
      </c>
      <c r="E1201" s="4" t="s">
        <v>17</v>
      </c>
      <c r="F1201" s="4" t="s">
        <v>30</v>
      </c>
      <c r="G1201" s="4" t="s">
        <v>35</v>
      </c>
      <c r="H1201" s="4">
        <v>4</v>
      </c>
      <c r="I1201" s="4">
        <v>8</v>
      </c>
      <c r="J1201" s="5">
        <v>45519</v>
      </c>
      <c r="K1201" s="6">
        <v>0.59641203703703705</v>
      </c>
    </row>
    <row r="1202" spans="1:11" x14ac:dyDescent="0.25">
      <c r="A1202" s="4">
        <v>17</v>
      </c>
      <c r="B1202" s="4" t="s">
        <v>11</v>
      </c>
      <c r="C1202" s="7">
        <v>27.92</v>
      </c>
      <c r="D1202" s="4" t="s">
        <v>19</v>
      </c>
      <c r="E1202" s="4" t="s">
        <v>20</v>
      </c>
      <c r="F1202" s="4" t="s">
        <v>30</v>
      </c>
      <c r="G1202" s="4" t="s">
        <v>35</v>
      </c>
      <c r="H1202" s="4">
        <v>4</v>
      </c>
      <c r="I1202" s="4">
        <v>8</v>
      </c>
      <c r="J1202" s="5">
        <v>45519</v>
      </c>
      <c r="K1202" s="6">
        <v>0.7457407407407407</v>
      </c>
    </row>
    <row r="1203" spans="1:11" x14ac:dyDescent="0.25">
      <c r="A1203" s="4">
        <v>19</v>
      </c>
      <c r="B1203" s="4" t="s">
        <v>11</v>
      </c>
      <c r="C1203" s="7">
        <v>32.82</v>
      </c>
      <c r="D1203" s="4" t="s">
        <v>16</v>
      </c>
      <c r="E1203" s="4" t="s">
        <v>20</v>
      </c>
      <c r="F1203" s="4" t="s">
        <v>30</v>
      </c>
      <c r="G1203" s="4" t="s">
        <v>35</v>
      </c>
      <c r="H1203" s="4">
        <v>4</v>
      </c>
      <c r="I1203" s="4">
        <v>8</v>
      </c>
      <c r="J1203" s="5">
        <v>45519</v>
      </c>
      <c r="K1203" s="6">
        <v>0.79928240740740741</v>
      </c>
    </row>
    <row r="1204" spans="1:11" x14ac:dyDescent="0.25">
      <c r="A1204" s="4">
        <v>19</v>
      </c>
      <c r="B1204" s="4" t="s">
        <v>11</v>
      </c>
      <c r="C1204" s="7">
        <v>27.92</v>
      </c>
      <c r="D1204" s="4" t="s">
        <v>19</v>
      </c>
      <c r="E1204" s="4" t="s">
        <v>20</v>
      </c>
      <c r="F1204" s="4" t="s">
        <v>30</v>
      </c>
      <c r="G1204" s="4" t="s">
        <v>35</v>
      </c>
      <c r="H1204" s="4">
        <v>4</v>
      </c>
      <c r="I1204" s="4">
        <v>8</v>
      </c>
      <c r="J1204" s="5">
        <v>45519</v>
      </c>
      <c r="K1204" s="6">
        <v>0.79993055555555559</v>
      </c>
    </row>
    <row r="1205" spans="1:11" x14ac:dyDescent="0.25">
      <c r="A1205" s="4">
        <v>19</v>
      </c>
      <c r="B1205" s="4" t="s">
        <v>11</v>
      </c>
      <c r="C1205" s="7">
        <v>27.92</v>
      </c>
      <c r="D1205" s="4" t="s">
        <v>19</v>
      </c>
      <c r="E1205" s="4" t="s">
        <v>20</v>
      </c>
      <c r="F1205" s="4" t="s">
        <v>30</v>
      </c>
      <c r="G1205" s="4" t="s">
        <v>35</v>
      </c>
      <c r="H1205" s="4">
        <v>4</v>
      </c>
      <c r="I1205" s="4">
        <v>8</v>
      </c>
      <c r="J1205" s="5">
        <v>45519</v>
      </c>
      <c r="K1205" s="6">
        <v>0.82048611111111114</v>
      </c>
    </row>
    <row r="1206" spans="1:11" x14ac:dyDescent="0.25">
      <c r="A1206" s="4">
        <v>19</v>
      </c>
      <c r="B1206" s="4" t="s">
        <v>11</v>
      </c>
      <c r="C1206" s="7">
        <v>23.02</v>
      </c>
      <c r="D1206" s="4" t="s">
        <v>18</v>
      </c>
      <c r="E1206" s="4" t="s">
        <v>20</v>
      </c>
      <c r="F1206" s="4" t="s">
        <v>30</v>
      </c>
      <c r="G1206" s="4" t="s">
        <v>35</v>
      </c>
      <c r="H1206" s="4">
        <v>4</v>
      </c>
      <c r="I1206" s="4">
        <v>8</v>
      </c>
      <c r="J1206" s="5">
        <v>45519</v>
      </c>
      <c r="K1206" s="6">
        <v>0.82126157407407407</v>
      </c>
    </row>
    <row r="1207" spans="1:11" x14ac:dyDescent="0.25">
      <c r="A1207" s="4">
        <v>20</v>
      </c>
      <c r="B1207" s="4" t="s">
        <v>11</v>
      </c>
      <c r="C1207" s="7">
        <v>32.82</v>
      </c>
      <c r="D1207" s="4" t="s">
        <v>29</v>
      </c>
      <c r="E1207" s="4" t="s">
        <v>20</v>
      </c>
      <c r="F1207" s="4" t="s">
        <v>30</v>
      </c>
      <c r="G1207" s="4" t="s">
        <v>35</v>
      </c>
      <c r="H1207" s="4">
        <v>4</v>
      </c>
      <c r="I1207" s="4">
        <v>8</v>
      </c>
      <c r="J1207" s="5">
        <v>45519</v>
      </c>
      <c r="K1207" s="6">
        <v>0.8615856481481482</v>
      </c>
    </row>
    <row r="1208" spans="1:11" x14ac:dyDescent="0.25">
      <c r="A1208" s="4">
        <v>21</v>
      </c>
      <c r="B1208" s="4" t="s">
        <v>11</v>
      </c>
      <c r="C1208" s="7">
        <v>18.12</v>
      </c>
      <c r="D1208" s="4" t="s">
        <v>26</v>
      </c>
      <c r="E1208" s="4" t="s">
        <v>20</v>
      </c>
      <c r="F1208" s="4" t="s">
        <v>30</v>
      </c>
      <c r="G1208" s="4" t="s">
        <v>35</v>
      </c>
      <c r="H1208" s="4">
        <v>4</v>
      </c>
      <c r="I1208" s="4">
        <v>8</v>
      </c>
      <c r="J1208" s="5">
        <v>45519</v>
      </c>
      <c r="K1208" s="6">
        <v>0.89953703703703702</v>
      </c>
    </row>
    <row r="1209" spans="1:11" x14ac:dyDescent="0.25">
      <c r="A1209" s="4">
        <v>21</v>
      </c>
      <c r="B1209" s="4" t="s">
        <v>11</v>
      </c>
      <c r="C1209" s="7">
        <v>27.92</v>
      </c>
      <c r="D1209" s="4" t="s">
        <v>19</v>
      </c>
      <c r="E1209" s="4" t="s">
        <v>20</v>
      </c>
      <c r="F1209" s="4" t="s">
        <v>30</v>
      </c>
      <c r="G1209" s="4" t="s">
        <v>35</v>
      </c>
      <c r="H1209" s="4">
        <v>4</v>
      </c>
      <c r="I1209" s="4">
        <v>8</v>
      </c>
      <c r="J1209" s="5">
        <v>45519</v>
      </c>
      <c r="K1209" s="6">
        <v>0.90012731481481478</v>
      </c>
    </row>
    <row r="1210" spans="1:11" x14ac:dyDescent="0.25">
      <c r="A1210" s="4">
        <v>12</v>
      </c>
      <c r="B1210" s="4" t="s">
        <v>11</v>
      </c>
      <c r="C1210" s="7">
        <v>32.82</v>
      </c>
      <c r="D1210" s="4" t="s">
        <v>12</v>
      </c>
      <c r="E1210" s="4" t="s">
        <v>17</v>
      </c>
      <c r="F1210" s="4" t="s">
        <v>14</v>
      </c>
      <c r="G1210" s="4" t="s">
        <v>35</v>
      </c>
      <c r="H1210" s="4">
        <v>5</v>
      </c>
      <c r="I1210" s="4">
        <v>8</v>
      </c>
      <c r="J1210" s="5">
        <v>45520</v>
      </c>
      <c r="K1210" s="6">
        <v>0.52032407407407411</v>
      </c>
    </row>
    <row r="1211" spans="1:11" x14ac:dyDescent="0.25">
      <c r="A1211" s="4">
        <v>12</v>
      </c>
      <c r="B1211" s="4" t="s">
        <v>11</v>
      </c>
      <c r="C1211" s="7">
        <v>23.02</v>
      </c>
      <c r="D1211" s="4" t="s">
        <v>18</v>
      </c>
      <c r="E1211" s="4" t="s">
        <v>17</v>
      </c>
      <c r="F1211" s="4" t="s">
        <v>14</v>
      </c>
      <c r="G1211" s="4" t="s">
        <v>35</v>
      </c>
      <c r="H1211" s="4">
        <v>5</v>
      </c>
      <c r="I1211" s="4">
        <v>8</v>
      </c>
      <c r="J1211" s="5">
        <v>45520</v>
      </c>
      <c r="K1211" s="6">
        <v>0.5376967592592593</v>
      </c>
    </row>
    <row r="1212" spans="1:11" x14ac:dyDescent="0.25">
      <c r="A1212" s="4">
        <v>13</v>
      </c>
      <c r="B1212" s="4" t="s">
        <v>11</v>
      </c>
      <c r="C1212" s="7">
        <v>27.92</v>
      </c>
      <c r="D1212" s="4" t="s">
        <v>19</v>
      </c>
      <c r="E1212" s="4" t="s">
        <v>17</v>
      </c>
      <c r="F1212" s="4" t="s">
        <v>14</v>
      </c>
      <c r="G1212" s="4" t="s">
        <v>35</v>
      </c>
      <c r="H1212" s="4">
        <v>5</v>
      </c>
      <c r="I1212" s="4">
        <v>8</v>
      </c>
      <c r="J1212" s="5">
        <v>45520</v>
      </c>
      <c r="K1212" s="6">
        <v>0.56680555555555556</v>
      </c>
    </row>
    <row r="1213" spans="1:11" x14ac:dyDescent="0.25">
      <c r="A1213" s="4">
        <v>15</v>
      </c>
      <c r="B1213" s="4" t="s">
        <v>11</v>
      </c>
      <c r="C1213" s="7">
        <v>18.12</v>
      </c>
      <c r="D1213" s="4" t="s">
        <v>26</v>
      </c>
      <c r="E1213" s="4" t="s">
        <v>17</v>
      </c>
      <c r="F1213" s="4" t="s">
        <v>14</v>
      </c>
      <c r="G1213" s="4" t="s">
        <v>35</v>
      </c>
      <c r="H1213" s="4">
        <v>5</v>
      </c>
      <c r="I1213" s="4">
        <v>8</v>
      </c>
      <c r="J1213" s="5">
        <v>45520</v>
      </c>
      <c r="K1213" s="6">
        <v>0.63809027777777783</v>
      </c>
    </row>
    <row r="1214" spans="1:11" x14ac:dyDescent="0.25">
      <c r="A1214" s="4">
        <v>15</v>
      </c>
      <c r="B1214" s="4" t="s">
        <v>11</v>
      </c>
      <c r="C1214" s="7">
        <v>18.12</v>
      </c>
      <c r="D1214" s="4" t="s">
        <v>26</v>
      </c>
      <c r="E1214" s="4" t="s">
        <v>17</v>
      </c>
      <c r="F1214" s="4" t="s">
        <v>14</v>
      </c>
      <c r="G1214" s="4" t="s">
        <v>35</v>
      </c>
      <c r="H1214" s="4">
        <v>5</v>
      </c>
      <c r="I1214" s="4">
        <v>8</v>
      </c>
      <c r="J1214" s="5">
        <v>45520</v>
      </c>
      <c r="K1214" s="6">
        <v>0.63864583333333336</v>
      </c>
    </row>
    <row r="1215" spans="1:11" x14ac:dyDescent="0.25">
      <c r="A1215" s="4">
        <v>9</v>
      </c>
      <c r="B1215" s="4" t="s">
        <v>11</v>
      </c>
      <c r="C1215" s="7">
        <v>27.92</v>
      </c>
      <c r="D1215" s="4" t="s">
        <v>19</v>
      </c>
      <c r="E1215" s="4" t="s">
        <v>13</v>
      </c>
      <c r="F1215" s="4" t="s">
        <v>22</v>
      </c>
      <c r="G1215" s="4" t="s">
        <v>35</v>
      </c>
      <c r="H1215" s="4">
        <v>6</v>
      </c>
      <c r="I1215" s="4">
        <v>8</v>
      </c>
      <c r="J1215" s="5">
        <v>45521</v>
      </c>
      <c r="K1215" s="6">
        <v>0.38672453703703702</v>
      </c>
    </row>
    <row r="1216" spans="1:11" x14ac:dyDescent="0.25">
      <c r="A1216" s="4">
        <v>9</v>
      </c>
      <c r="B1216" s="4" t="s">
        <v>11</v>
      </c>
      <c r="C1216" s="7">
        <v>32.82</v>
      </c>
      <c r="D1216" s="4" t="s">
        <v>29</v>
      </c>
      <c r="E1216" s="4" t="s">
        <v>13</v>
      </c>
      <c r="F1216" s="4" t="s">
        <v>22</v>
      </c>
      <c r="G1216" s="4" t="s">
        <v>35</v>
      </c>
      <c r="H1216" s="4">
        <v>6</v>
      </c>
      <c r="I1216" s="4">
        <v>8</v>
      </c>
      <c r="J1216" s="5">
        <v>45521</v>
      </c>
      <c r="K1216" s="6">
        <v>0.3875925925925926</v>
      </c>
    </row>
    <row r="1217" spans="1:11" x14ac:dyDescent="0.25">
      <c r="A1217" s="4">
        <v>10</v>
      </c>
      <c r="B1217" s="4" t="s">
        <v>11</v>
      </c>
      <c r="C1217" s="7">
        <v>27.92</v>
      </c>
      <c r="D1217" s="4" t="s">
        <v>19</v>
      </c>
      <c r="E1217" s="4" t="s">
        <v>13</v>
      </c>
      <c r="F1217" s="4" t="s">
        <v>22</v>
      </c>
      <c r="G1217" s="4" t="s">
        <v>35</v>
      </c>
      <c r="H1217" s="4">
        <v>6</v>
      </c>
      <c r="I1217" s="4">
        <v>8</v>
      </c>
      <c r="J1217" s="5">
        <v>45521</v>
      </c>
      <c r="K1217" s="6">
        <v>0.45394675925925926</v>
      </c>
    </row>
    <row r="1218" spans="1:11" x14ac:dyDescent="0.25">
      <c r="A1218" s="4">
        <v>11</v>
      </c>
      <c r="B1218" s="4" t="s">
        <v>11</v>
      </c>
      <c r="C1218" s="7">
        <v>23.02</v>
      </c>
      <c r="D1218" s="4" t="s">
        <v>24</v>
      </c>
      <c r="E1218" s="4" t="s">
        <v>13</v>
      </c>
      <c r="F1218" s="4" t="s">
        <v>22</v>
      </c>
      <c r="G1218" s="4" t="s">
        <v>35</v>
      </c>
      <c r="H1218" s="4">
        <v>6</v>
      </c>
      <c r="I1218" s="4">
        <v>8</v>
      </c>
      <c r="J1218" s="5">
        <v>45521</v>
      </c>
      <c r="K1218" s="6">
        <v>0.49908564814814815</v>
      </c>
    </row>
    <row r="1219" spans="1:11" x14ac:dyDescent="0.25">
      <c r="A1219" s="4">
        <v>11</v>
      </c>
      <c r="B1219" s="4" t="s">
        <v>11</v>
      </c>
      <c r="C1219" s="7">
        <v>23.02</v>
      </c>
      <c r="D1219" s="4" t="s">
        <v>24</v>
      </c>
      <c r="E1219" s="4" t="s">
        <v>13</v>
      </c>
      <c r="F1219" s="4" t="s">
        <v>22</v>
      </c>
      <c r="G1219" s="4" t="s">
        <v>35</v>
      </c>
      <c r="H1219" s="4">
        <v>6</v>
      </c>
      <c r="I1219" s="4">
        <v>8</v>
      </c>
      <c r="J1219" s="5">
        <v>45521</v>
      </c>
      <c r="K1219" s="6">
        <v>0.49962962962962965</v>
      </c>
    </row>
    <row r="1220" spans="1:11" x14ac:dyDescent="0.25">
      <c r="A1220" s="4">
        <v>13</v>
      </c>
      <c r="B1220" s="4" t="s">
        <v>11</v>
      </c>
      <c r="C1220" s="7">
        <v>27.92</v>
      </c>
      <c r="D1220" s="4" t="s">
        <v>19</v>
      </c>
      <c r="E1220" s="4" t="s">
        <v>17</v>
      </c>
      <c r="F1220" s="4" t="s">
        <v>22</v>
      </c>
      <c r="G1220" s="4" t="s">
        <v>35</v>
      </c>
      <c r="H1220" s="4">
        <v>6</v>
      </c>
      <c r="I1220" s="4">
        <v>8</v>
      </c>
      <c r="J1220" s="5">
        <v>45521</v>
      </c>
      <c r="K1220" s="6">
        <v>0.55462962962962958</v>
      </c>
    </row>
    <row r="1221" spans="1:11" x14ac:dyDescent="0.25">
      <c r="A1221" s="4">
        <v>16</v>
      </c>
      <c r="B1221" s="4" t="s">
        <v>11</v>
      </c>
      <c r="C1221" s="7">
        <v>23.02</v>
      </c>
      <c r="D1221" s="4" t="s">
        <v>24</v>
      </c>
      <c r="E1221" s="4" t="s">
        <v>17</v>
      </c>
      <c r="F1221" s="4" t="s">
        <v>22</v>
      </c>
      <c r="G1221" s="4" t="s">
        <v>35</v>
      </c>
      <c r="H1221" s="4">
        <v>6</v>
      </c>
      <c r="I1221" s="4">
        <v>8</v>
      </c>
      <c r="J1221" s="5">
        <v>45521</v>
      </c>
      <c r="K1221" s="6">
        <v>0.68881944444444443</v>
      </c>
    </row>
    <row r="1222" spans="1:11" x14ac:dyDescent="0.25">
      <c r="A1222" s="4">
        <v>16</v>
      </c>
      <c r="B1222" s="4" t="s">
        <v>11</v>
      </c>
      <c r="C1222" s="7">
        <v>32.82</v>
      </c>
      <c r="D1222" s="4" t="s">
        <v>12</v>
      </c>
      <c r="E1222" s="4" t="s">
        <v>17</v>
      </c>
      <c r="F1222" s="4" t="s">
        <v>22</v>
      </c>
      <c r="G1222" s="4" t="s">
        <v>35</v>
      </c>
      <c r="H1222" s="4">
        <v>6</v>
      </c>
      <c r="I1222" s="4">
        <v>8</v>
      </c>
      <c r="J1222" s="5">
        <v>45521</v>
      </c>
      <c r="K1222" s="6">
        <v>0.69013888888888886</v>
      </c>
    </row>
    <row r="1223" spans="1:11" x14ac:dyDescent="0.25">
      <c r="A1223" s="4">
        <v>18</v>
      </c>
      <c r="B1223" s="4" t="s">
        <v>11</v>
      </c>
      <c r="C1223" s="7">
        <v>32.82</v>
      </c>
      <c r="D1223" s="4" t="s">
        <v>29</v>
      </c>
      <c r="E1223" s="4" t="s">
        <v>20</v>
      </c>
      <c r="F1223" s="4" t="s">
        <v>22</v>
      </c>
      <c r="G1223" s="4" t="s">
        <v>35</v>
      </c>
      <c r="H1223" s="4">
        <v>6</v>
      </c>
      <c r="I1223" s="4">
        <v>8</v>
      </c>
      <c r="J1223" s="5">
        <v>45521</v>
      </c>
      <c r="K1223" s="6">
        <v>0.78400462962962958</v>
      </c>
    </row>
    <row r="1224" spans="1:11" x14ac:dyDescent="0.25">
      <c r="A1224" s="4">
        <v>21</v>
      </c>
      <c r="B1224" s="4" t="s">
        <v>11</v>
      </c>
      <c r="C1224" s="7">
        <v>27.92</v>
      </c>
      <c r="D1224" s="4" t="s">
        <v>19</v>
      </c>
      <c r="E1224" s="4" t="s">
        <v>20</v>
      </c>
      <c r="F1224" s="4" t="s">
        <v>22</v>
      </c>
      <c r="G1224" s="4" t="s">
        <v>35</v>
      </c>
      <c r="H1224" s="4">
        <v>6</v>
      </c>
      <c r="I1224" s="4">
        <v>8</v>
      </c>
      <c r="J1224" s="5">
        <v>45521</v>
      </c>
      <c r="K1224" s="6">
        <v>0.88814814814814813</v>
      </c>
    </row>
    <row r="1225" spans="1:11" x14ac:dyDescent="0.25">
      <c r="A1225" s="4">
        <v>22</v>
      </c>
      <c r="B1225" s="4" t="s">
        <v>11</v>
      </c>
      <c r="C1225" s="7">
        <v>32.82</v>
      </c>
      <c r="D1225" s="4" t="s">
        <v>12</v>
      </c>
      <c r="E1225" s="4" t="s">
        <v>20</v>
      </c>
      <c r="F1225" s="4" t="s">
        <v>22</v>
      </c>
      <c r="G1225" s="4" t="s">
        <v>35</v>
      </c>
      <c r="H1225" s="4">
        <v>6</v>
      </c>
      <c r="I1225" s="4">
        <v>8</v>
      </c>
      <c r="J1225" s="5">
        <v>45521</v>
      </c>
      <c r="K1225" s="6">
        <v>0.94628472222222226</v>
      </c>
    </row>
    <row r="1226" spans="1:11" x14ac:dyDescent="0.25">
      <c r="A1226" s="4">
        <v>8</v>
      </c>
      <c r="B1226" s="4" t="s">
        <v>11</v>
      </c>
      <c r="C1226" s="7">
        <v>32.82</v>
      </c>
      <c r="D1226" s="4" t="s">
        <v>29</v>
      </c>
      <c r="E1226" s="4" t="s">
        <v>13</v>
      </c>
      <c r="F1226" s="4" t="s">
        <v>23</v>
      </c>
      <c r="G1226" s="4" t="s">
        <v>35</v>
      </c>
      <c r="H1226" s="4">
        <v>7</v>
      </c>
      <c r="I1226" s="4">
        <v>8</v>
      </c>
      <c r="J1226" s="5">
        <v>45522</v>
      </c>
      <c r="K1226" s="6">
        <v>0.34006944444444442</v>
      </c>
    </row>
    <row r="1227" spans="1:11" x14ac:dyDescent="0.25">
      <c r="A1227" s="4">
        <v>8</v>
      </c>
      <c r="B1227" s="4" t="s">
        <v>11</v>
      </c>
      <c r="C1227" s="7">
        <v>32.82</v>
      </c>
      <c r="D1227" s="4" t="s">
        <v>29</v>
      </c>
      <c r="E1227" s="4" t="s">
        <v>13</v>
      </c>
      <c r="F1227" s="4" t="s">
        <v>23</v>
      </c>
      <c r="G1227" s="4" t="s">
        <v>35</v>
      </c>
      <c r="H1227" s="4">
        <v>7</v>
      </c>
      <c r="I1227" s="4">
        <v>8</v>
      </c>
      <c r="J1227" s="5">
        <v>45522</v>
      </c>
      <c r="K1227" s="6">
        <v>0.35561342592592593</v>
      </c>
    </row>
    <row r="1228" spans="1:11" x14ac:dyDescent="0.25">
      <c r="A1228" s="4">
        <v>8</v>
      </c>
      <c r="B1228" s="4" t="s">
        <v>11</v>
      </c>
      <c r="C1228" s="7">
        <v>23.02</v>
      </c>
      <c r="D1228" s="4" t="s">
        <v>24</v>
      </c>
      <c r="E1228" s="4" t="s">
        <v>13</v>
      </c>
      <c r="F1228" s="4" t="s">
        <v>23</v>
      </c>
      <c r="G1228" s="4" t="s">
        <v>35</v>
      </c>
      <c r="H1228" s="4">
        <v>7</v>
      </c>
      <c r="I1228" s="4">
        <v>8</v>
      </c>
      <c r="J1228" s="5">
        <v>45522</v>
      </c>
      <c r="K1228" s="6">
        <v>0.361875</v>
      </c>
    </row>
    <row r="1229" spans="1:11" x14ac:dyDescent="0.25">
      <c r="A1229" s="4">
        <v>8</v>
      </c>
      <c r="B1229" s="4" t="s">
        <v>11</v>
      </c>
      <c r="C1229" s="7">
        <v>27.92</v>
      </c>
      <c r="D1229" s="4" t="s">
        <v>19</v>
      </c>
      <c r="E1229" s="4" t="s">
        <v>13</v>
      </c>
      <c r="F1229" s="4" t="s">
        <v>23</v>
      </c>
      <c r="G1229" s="4" t="s">
        <v>35</v>
      </c>
      <c r="H1229" s="4">
        <v>7</v>
      </c>
      <c r="I1229" s="4">
        <v>8</v>
      </c>
      <c r="J1229" s="5">
        <v>45522</v>
      </c>
      <c r="K1229" s="6">
        <v>0.37223379629629627</v>
      </c>
    </row>
    <row r="1230" spans="1:11" x14ac:dyDescent="0.25">
      <c r="A1230" s="4">
        <v>12</v>
      </c>
      <c r="B1230" s="4" t="s">
        <v>11</v>
      </c>
      <c r="C1230" s="7">
        <v>32.82</v>
      </c>
      <c r="D1230" s="4" t="s">
        <v>29</v>
      </c>
      <c r="E1230" s="4" t="s">
        <v>17</v>
      </c>
      <c r="F1230" s="4" t="s">
        <v>23</v>
      </c>
      <c r="G1230" s="4" t="s">
        <v>35</v>
      </c>
      <c r="H1230" s="4">
        <v>7</v>
      </c>
      <c r="I1230" s="4">
        <v>8</v>
      </c>
      <c r="J1230" s="5">
        <v>45522</v>
      </c>
      <c r="K1230" s="6">
        <v>0.5219907407407407</v>
      </c>
    </row>
    <row r="1231" spans="1:11" x14ac:dyDescent="0.25">
      <c r="A1231" s="4">
        <v>14</v>
      </c>
      <c r="B1231" s="4" t="s">
        <v>11</v>
      </c>
      <c r="C1231" s="7">
        <v>27.92</v>
      </c>
      <c r="D1231" s="4" t="s">
        <v>19</v>
      </c>
      <c r="E1231" s="4" t="s">
        <v>17</v>
      </c>
      <c r="F1231" s="4" t="s">
        <v>23</v>
      </c>
      <c r="G1231" s="4" t="s">
        <v>35</v>
      </c>
      <c r="H1231" s="4">
        <v>7</v>
      </c>
      <c r="I1231" s="4">
        <v>8</v>
      </c>
      <c r="J1231" s="5">
        <v>45522</v>
      </c>
      <c r="K1231" s="6">
        <v>0.60440972222222222</v>
      </c>
    </row>
    <row r="1232" spans="1:11" x14ac:dyDescent="0.25">
      <c r="A1232" s="4">
        <v>18</v>
      </c>
      <c r="B1232" s="4" t="s">
        <v>11</v>
      </c>
      <c r="C1232" s="7">
        <v>27.92</v>
      </c>
      <c r="D1232" s="4" t="s">
        <v>19</v>
      </c>
      <c r="E1232" s="4" t="s">
        <v>20</v>
      </c>
      <c r="F1232" s="4" t="s">
        <v>23</v>
      </c>
      <c r="G1232" s="4" t="s">
        <v>35</v>
      </c>
      <c r="H1232" s="4">
        <v>7</v>
      </c>
      <c r="I1232" s="4">
        <v>8</v>
      </c>
      <c r="J1232" s="5">
        <v>45522</v>
      </c>
      <c r="K1232" s="6">
        <v>0.76678240740740744</v>
      </c>
    </row>
    <row r="1233" spans="1:11" x14ac:dyDescent="0.25">
      <c r="A1233" s="4">
        <v>18</v>
      </c>
      <c r="B1233" s="4" t="s">
        <v>11</v>
      </c>
      <c r="C1233" s="7">
        <v>27.92</v>
      </c>
      <c r="D1233" s="4" t="s">
        <v>19</v>
      </c>
      <c r="E1233" s="4" t="s">
        <v>20</v>
      </c>
      <c r="F1233" s="4" t="s">
        <v>23</v>
      </c>
      <c r="G1233" s="4" t="s">
        <v>35</v>
      </c>
      <c r="H1233" s="4">
        <v>7</v>
      </c>
      <c r="I1233" s="4">
        <v>8</v>
      </c>
      <c r="J1233" s="5">
        <v>45522</v>
      </c>
      <c r="K1233" s="6">
        <v>0.76809027777777783</v>
      </c>
    </row>
    <row r="1234" spans="1:11" x14ac:dyDescent="0.25">
      <c r="A1234" s="4">
        <v>18</v>
      </c>
      <c r="B1234" s="4" t="s">
        <v>11</v>
      </c>
      <c r="C1234" s="7">
        <v>23.02</v>
      </c>
      <c r="D1234" s="4" t="s">
        <v>18</v>
      </c>
      <c r="E1234" s="4" t="s">
        <v>20</v>
      </c>
      <c r="F1234" s="4" t="s">
        <v>23</v>
      </c>
      <c r="G1234" s="4" t="s">
        <v>35</v>
      </c>
      <c r="H1234" s="4">
        <v>7</v>
      </c>
      <c r="I1234" s="4">
        <v>8</v>
      </c>
      <c r="J1234" s="5">
        <v>45522</v>
      </c>
      <c r="K1234" s="6">
        <v>0.76894675925925926</v>
      </c>
    </row>
    <row r="1235" spans="1:11" x14ac:dyDescent="0.25">
      <c r="A1235" s="4">
        <v>18</v>
      </c>
      <c r="B1235" s="4" t="s">
        <v>11</v>
      </c>
      <c r="C1235" s="7">
        <v>23.02</v>
      </c>
      <c r="D1235" s="4" t="s">
        <v>18</v>
      </c>
      <c r="E1235" s="4" t="s">
        <v>20</v>
      </c>
      <c r="F1235" s="4" t="s">
        <v>23</v>
      </c>
      <c r="G1235" s="4" t="s">
        <v>35</v>
      </c>
      <c r="H1235" s="4">
        <v>7</v>
      </c>
      <c r="I1235" s="4">
        <v>8</v>
      </c>
      <c r="J1235" s="5">
        <v>45522</v>
      </c>
      <c r="K1235" s="6">
        <v>0.76959490740740744</v>
      </c>
    </row>
    <row r="1236" spans="1:11" x14ac:dyDescent="0.25">
      <c r="A1236" s="4">
        <v>15</v>
      </c>
      <c r="B1236" s="4" t="s">
        <v>11</v>
      </c>
      <c r="C1236" s="7">
        <v>27.92</v>
      </c>
      <c r="D1236" s="4" t="s">
        <v>19</v>
      </c>
      <c r="E1236" s="4" t="s">
        <v>17</v>
      </c>
      <c r="F1236" s="4" t="s">
        <v>25</v>
      </c>
      <c r="G1236" s="4" t="s">
        <v>35</v>
      </c>
      <c r="H1236" s="4">
        <v>1</v>
      </c>
      <c r="I1236" s="4">
        <v>8</v>
      </c>
      <c r="J1236" s="5">
        <v>45523</v>
      </c>
      <c r="K1236" s="6">
        <v>0.63180555555555551</v>
      </c>
    </row>
    <row r="1237" spans="1:11" x14ac:dyDescent="0.25">
      <c r="A1237" s="4">
        <v>15</v>
      </c>
      <c r="B1237" s="4" t="s">
        <v>11</v>
      </c>
      <c r="C1237" s="7">
        <v>27.92</v>
      </c>
      <c r="D1237" s="4" t="s">
        <v>19</v>
      </c>
      <c r="E1237" s="4" t="s">
        <v>17</v>
      </c>
      <c r="F1237" s="4" t="s">
        <v>25</v>
      </c>
      <c r="G1237" s="4" t="s">
        <v>35</v>
      </c>
      <c r="H1237" s="4">
        <v>1</v>
      </c>
      <c r="I1237" s="4">
        <v>8</v>
      </c>
      <c r="J1237" s="5">
        <v>45523</v>
      </c>
      <c r="K1237" s="6">
        <v>0.63253472222222218</v>
      </c>
    </row>
    <row r="1238" spans="1:11" x14ac:dyDescent="0.25">
      <c r="A1238" s="4">
        <v>21</v>
      </c>
      <c r="B1238" s="4" t="s">
        <v>11</v>
      </c>
      <c r="C1238" s="7">
        <v>32.82</v>
      </c>
      <c r="D1238" s="4" t="s">
        <v>12</v>
      </c>
      <c r="E1238" s="4" t="s">
        <v>20</v>
      </c>
      <c r="F1238" s="4" t="s">
        <v>25</v>
      </c>
      <c r="G1238" s="4" t="s">
        <v>35</v>
      </c>
      <c r="H1238" s="4">
        <v>1</v>
      </c>
      <c r="I1238" s="4">
        <v>8</v>
      </c>
      <c r="J1238" s="5">
        <v>45523</v>
      </c>
      <c r="K1238" s="6">
        <v>0.88972222222222219</v>
      </c>
    </row>
    <row r="1239" spans="1:11" x14ac:dyDescent="0.25">
      <c r="A1239" s="4">
        <v>21</v>
      </c>
      <c r="B1239" s="4" t="s">
        <v>11</v>
      </c>
      <c r="C1239" s="7">
        <v>32.82</v>
      </c>
      <c r="D1239" s="4" t="s">
        <v>21</v>
      </c>
      <c r="E1239" s="4" t="s">
        <v>20</v>
      </c>
      <c r="F1239" s="4" t="s">
        <v>25</v>
      </c>
      <c r="G1239" s="4" t="s">
        <v>35</v>
      </c>
      <c r="H1239" s="4">
        <v>1</v>
      </c>
      <c r="I1239" s="4">
        <v>8</v>
      </c>
      <c r="J1239" s="5">
        <v>45523</v>
      </c>
      <c r="K1239" s="6">
        <v>0.89718750000000003</v>
      </c>
    </row>
    <row r="1240" spans="1:11" x14ac:dyDescent="0.25">
      <c r="A1240" s="4">
        <v>8</v>
      </c>
      <c r="B1240" s="4" t="s">
        <v>11</v>
      </c>
      <c r="C1240" s="7">
        <v>23.02</v>
      </c>
      <c r="D1240" s="4" t="s">
        <v>24</v>
      </c>
      <c r="E1240" s="4" t="s">
        <v>13</v>
      </c>
      <c r="F1240" s="4" t="s">
        <v>27</v>
      </c>
      <c r="G1240" s="4" t="s">
        <v>35</v>
      </c>
      <c r="H1240" s="4">
        <v>2</v>
      </c>
      <c r="I1240" s="4">
        <v>8</v>
      </c>
      <c r="J1240" s="5">
        <v>45524</v>
      </c>
      <c r="K1240" s="6">
        <v>0.35226851851851854</v>
      </c>
    </row>
    <row r="1241" spans="1:11" x14ac:dyDescent="0.25">
      <c r="A1241" s="4">
        <v>8</v>
      </c>
      <c r="B1241" s="4" t="s">
        <v>11</v>
      </c>
      <c r="C1241" s="7">
        <v>32.82</v>
      </c>
      <c r="D1241" s="4" t="s">
        <v>12</v>
      </c>
      <c r="E1241" s="4" t="s">
        <v>13</v>
      </c>
      <c r="F1241" s="4" t="s">
        <v>27</v>
      </c>
      <c r="G1241" s="4" t="s">
        <v>35</v>
      </c>
      <c r="H1241" s="4">
        <v>2</v>
      </c>
      <c r="I1241" s="4">
        <v>8</v>
      </c>
      <c r="J1241" s="5">
        <v>45524</v>
      </c>
      <c r="K1241" s="6">
        <v>0.35363425925925923</v>
      </c>
    </row>
    <row r="1242" spans="1:11" x14ac:dyDescent="0.25">
      <c r="A1242" s="4">
        <v>8</v>
      </c>
      <c r="B1242" s="4" t="s">
        <v>11</v>
      </c>
      <c r="C1242" s="7">
        <v>18.12</v>
      </c>
      <c r="D1242" s="4" t="s">
        <v>26</v>
      </c>
      <c r="E1242" s="4" t="s">
        <v>13</v>
      </c>
      <c r="F1242" s="4" t="s">
        <v>27</v>
      </c>
      <c r="G1242" s="4" t="s">
        <v>35</v>
      </c>
      <c r="H1242" s="4">
        <v>2</v>
      </c>
      <c r="I1242" s="4">
        <v>8</v>
      </c>
      <c r="J1242" s="5">
        <v>45524</v>
      </c>
      <c r="K1242" s="6">
        <v>0.36790509259259258</v>
      </c>
    </row>
    <row r="1243" spans="1:11" x14ac:dyDescent="0.25">
      <c r="A1243" s="4">
        <v>8</v>
      </c>
      <c r="B1243" s="4" t="s">
        <v>11</v>
      </c>
      <c r="C1243" s="7">
        <v>23.02</v>
      </c>
      <c r="D1243" s="4" t="s">
        <v>24</v>
      </c>
      <c r="E1243" s="4" t="s">
        <v>13</v>
      </c>
      <c r="F1243" s="4" t="s">
        <v>27</v>
      </c>
      <c r="G1243" s="4" t="s">
        <v>35</v>
      </c>
      <c r="H1243" s="4">
        <v>2</v>
      </c>
      <c r="I1243" s="4">
        <v>8</v>
      </c>
      <c r="J1243" s="5">
        <v>45524</v>
      </c>
      <c r="K1243" s="6">
        <v>0.3684722222222222</v>
      </c>
    </row>
    <row r="1244" spans="1:11" x14ac:dyDescent="0.25">
      <c r="A1244" s="4">
        <v>9</v>
      </c>
      <c r="B1244" s="4" t="s">
        <v>11</v>
      </c>
      <c r="C1244" s="7">
        <v>27.92</v>
      </c>
      <c r="D1244" s="4" t="s">
        <v>19</v>
      </c>
      <c r="E1244" s="4" t="s">
        <v>13</v>
      </c>
      <c r="F1244" s="4" t="s">
        <v>27</v>
      </c>
      <c r="G1244" s="4" t="s">
        <v>35</v>
      </c>
      <c r="H1244" s="4">
        <v>2</v>
      </c>
      <c r="I1244" s="4">
        <v>8</v>
      </c>
      <c r="J1244" s="5">
        <v>45524</v>
      </c>
      <c r="K1244" s="6">
        <v>0.38534722222222223</v>
      </c>
    </row>
    <row r="1245" spans="1:11" x14ac:dyDescent="0.25">
      <c r="A1245" s="4">
        <v>11</v>
      </c>
      <c r="B1245" s="4" t="s">
        <v>11</v>
      </c>
      <c r="C1245" s="7">
        <v>23.02</v>
      </c>
      <c r="D1245" s="4" t="s">
        <v>18</v>
      </c>
      <c r="E1245" s="4" t="s">
        <v>13</v>
      </c>
      <c r="F1245" s="4" t="s">
        <v>27</v>
      </c>
      <c r="G1245" s="4" t="s">
        <v>35</v>
      </c>
      <c r="H1245" s="4">
        <v>2</v>
      </c>
      <c r="I1245" s="4">
        <v>8</v>
      </c>
      <c r="J1245" s="5">
        <v>45524</v>
      </c>
      <c r="K1245" s="6">
        <v>0.46521990740740743</v>
      </c>
    </row>
    <row r="1246" spans="1:11" x14ac:dyDescent="0.25">
      <c r="A1246" s="4">
        <v>11</v>
      </c>
      <c r="B1246" s="4" t="s">
        <v>11</v>
      </c>
      <c r="C1246" s="7">
        <v>23.02</v>
      </c>
      <c r="D1246" s="4" t="s">
        <v>18</v>
      </c>
      <c r="E1246" s="4" t="s">
        <v>13</v>
      </c>
      <c r="F1246" s="4" t="s">
        <v>27</v>
      </c>
      <c r="G1246" s="4" t="s">
        <v>35</v>
      </c>
      <c r="H1246" s="4">
        <v>2</v>
      </c>
      <c r="I1246" s="4">
        <v>8</v>
      </c>
      <c r="J1246" s="5">
        <v>45524</v>
      </c>
      <c r="K1246" s="6">
        <v>0.46642361111111114</v>
      </c>
    </row>
    <row r="1247" spans="1:11" x14ac:dyDescent="0.25">
      <c r="A1247" s="4">
        <v>11</v>
      </c>
      <c r="B1247" s="4" t="s">
        <v>11</v>
      </c>
      <c r="C1247" s="7">
        <v>23.02</v>
      </c>
      <c r="D1247" s="4" t="s">
        <v>18</v>
      </c>
      <c r="E1247" s="4" t="s">
        <v>13</v>
      </c>
      <c r="F1247" s="4" t="s">
        <v>27</v>
      </c>
      <c r="G1247" s="4" t="s">
        <v>35</v>
      </c>
      <c r="H1247" s="4">
        <v>2</v>
      </c>
      <c r="I1247" s="4">
        <v>8</v>
      </c>
      <c r="J1247" s="5">
        <v>45524</v>
      </c>
      <c r="K1247" s="6">
        <v>0.46702546296296299</v>
      </c>
    </row>
    <row r="1248" spans="1:11" x14ac:dyDescent="0.25">
      <c r="A1248" s="4">
        <v>11</v>
      </c>
      <c r="B1248" s="4" t="s">
        <v>11</v>
      </c>
      <c r="C1248" s="7">
        <v>32.82</v>
      </c>
      <c r="D1248" s="4" t="s">
        <v>12</v>
      </c>
      <c r="E1248" s="4" t="s">
        <v>13</v>
      </c>
      <c r="F1248" s="4" t="s">
        <v>27</v>
      </c>
      <c r="G1248" s="4" t="s">
        <v>35</v>
      </c>
      <c r="H1248" s="4">
        <v>2</v>
      </c>
      <c r="I1248" s="4">
        <v>8</v>
      </c>
      <c r="J1248" s="5">
        <v>45524</v>
      </c>
      <c r="K1248" s="6">
        <v>0.48773148148148149</v>
      </c>
    </row>
    <row r="1249" spans="1:11" x14ac:dyDescent="0.25">
      <c r="A1249" s="4">
        <v>20</v>
      </c>
      <c r="B1249" s="4" t="s">
        <v>11</v>
      </c>
      <c r="C1249" s="7">
        <v>32.82</v>
      </c>
      <c r="D1249" s="4" t="s">
        <v>12</v>
      </c>
      <c r="E1249" s="4" t="s">
        <v>20</v>
      </c>
      <c r="F1249" s="4" t="s">
        <v>27</v>
      </c>
      <c r="G1249" s="4" t="s">
        <v>35</v>
      </c>
      <c r="H1249" s="4">
        <v>2</v>
      </c>
      <c r="I1249" s="4">
        <v>8</v>
      </c>
      <c r="J1249" s="5">
        <v>45524</v>
      </c>
      <c r="K1249" s="6">
        <v>0.86296296296296293</v>
      </c>
    </row>
    <row r="1250" spans="1:11" x14ac:dyDescent="0.25">
      <c r="A1250" s="4">
        <v>20</v>
      </c>
      <c r="B1250" s="4" t="s">
        <v>11</v>
      </c>
      <c r="C1250" s="7">
        <v>32.82</v>
      </c>
      <c r="D1250" s="4" t="s">
        <v>12</v>
      </c>
      <c r="E1250" s="4" t="s">
        <v>20</v>
      </c>
      <c r="F1250" s="4" t="s">
        <v>27</v>
      </c>
      <c r="G1250" s="4" t="s">
        <v>35</v>
      </c>
      <c r="H1250" s="4">
        <v>2</v>
      </c>
      <c r="I1250" s="4">
        <v>8</v>
      </c>
      <c r="J1250" s="5">
        <v>45524</v>
      </c>
      <c r="K1250" s="6">
        <v>0.86405092592592592</v>
      </c>
    </row>
    <row r="1251" spans="1:11" x14ac:dyDescent="0.25">
      <c r="A1251" s="4">
        <v>20</v>
      </c>
      <c r="B1251" s="4" t="s">
        <v>11</v>
      </c>
      <c r="C1251" s="7">
        <v>32.82</v>
      </c>
      <c r="D1251" s="4" t="s">
        <v>12</v>
      </c>
      <c r="E1251" s="4" t="s">
        <v>20</v>
      </c>
      <c r="F1251" s="4" t="s">
        <v>27</v>
      </c>
      <c r="G1251" s="4" t="s">
        <v>35</v>
      </c>
      <c r="H1251" s="4">
        <v>2</v>
      </c>
      <c r="I1251" s="4">
        <v>8</v>
      </c>
      <c r="J1251" s="5">
        <v>45524</v>
      </c>
      <c r="K1251" s="6">
        <v>0.86472222222222217</v>
      </c>
    </row>
    <row r="1252" spans="1:11" x14ac:dyDescent="0.25">
      <c r="A1252" s="4">
        <v>20</v>
      </c>
      <c r="B1252" s="4" t="s">
        <v>11</v>
      </c>
      <c r="C1252" s="7">
        <v>32.82</v>
      </c>
      <c r="D1252" s="4" t="s">
        <v>12</v>
      </c>
      <c r="E1252" s="4" t="s">
        <v>20</v>
      </c>
      <c r="F1252" s="4" t="s">
        <v>27</v>
      </c>
      <c r="G1252" s="4" t="s">
        <v>35</v>
      </c>
      <c r="H1252" s="4">
        <v>2</v>
      </c>
      <c r="I1252" s="4">
        <v>8</v>
      </c>
      <c r="J1252" s="5">
        <v>45524</v>
      </c>
      <c r="K1252" s="6">
        <v>0.86531250000000004</v>
      </c>
    </row>
    <row r="1253" spans="1:11" x14ac:dyDescent="0.25">
      <c r="A1253" s="4">
        <v>7</v>
      </c>
      <c r="B1253" s="4" t="s">
        <v>11</v>
      </c>
      <c r="C1253" s="7">
        <v>27.92</v>
      </c>
      <c r="D1253" s="4" t="s">
        <v>19</v>
      </c>
      <c r="E1253" s="4" t="s">
        <v>13</v>
      </c>
      <c r="F1253" s="4" t="s">
        <v>28</v>
      </c>
      <c r="G1253" s="4" t="s">
        <v>35</v>
      </c>
      <c r="H1253" s="4">
        <v>3</v>
      </c>
      <c r="I1253" s="4">
        <v>8</v>
      </c>
      <c r="J1253" s="5">
        <v>45525</v>
      </c>
      <c r="K1253" s="6">
        <v>0.33278935185185188</v>
      </c>
    </row>
    <row r="1254" spans="1:11" x14ac:dyDescent="0.25">
      <c r="A1254" s="4">
        <v>8</v>
      </c>
      <c r="B1254" s="4" t="s">
        <v>11</v>
      </c>
      <c r="C1254" s="7">
        <v>23.02</v>
      </c>
      <c r="D1254" s="4" t="s">
        <v>24</v>
      </c>
      <c r="E1254" s="4" t="s">
        <v>13</v>
      </c>
      <c r="F1254" s="4" t="s">
        <v>28</v>
      </c>
      <c r="G1254" s="4" t="s">
        <v>35</v>
      </c>
      <c r="H1254" s="4">
        <v>3</v>
      </c>
      <c r="I1254" s="4">
        <v>8</v>
      </c>
      <c r="J1254" s="5">
        <v>45525</v>
      </c>
      <c r="K1254" s="6">
        <v>0.3614236111111111</v>
      </c>
    </row>
    <row r="1255" spans="1:11" x14ac:dyDescent="0.25">
      <c r="A1255" s="4">
        <v>10</v>
      </c>
      <c r="B1255" s="4" t="s">
        <v>11</v>
      </c>
      <c r="C1255" s="7">
        <v>23.02</v>
      </c>
      <c r="D1255" s="4" t="s">
        <v>18</v>
      </c>
      <c r="E1255" s="4" t="s">
        <v>13</v>
      </c>
      <c r="F1255" s="4" t="s">
        <v>28</v>
      </c>
      <c r="G1255" s="4" t="s">
        <v>35</v>
      </c>
      <c r="H1255" s="4">
        <v>3</v>
      </c>
      <c r="I1255" s="4">
        <v>8</v>
      </c>
      <c r="J1255" s="5">
        <v>45525</v>
      </c>
      <c r="K1255" s="6">
        <v>0.42606481481481484</v>
      </c>
    </row>
    <row r="1256" spans="1:11" x14ac:dyDescent="0.25">
      <c r="A1256" s="4">
        <v>10</v>
      </c>
      <c r="B1256" s="4" t="s">
        <v>11</v>
      </c>
      <c r="C1256" s="7">
        <v>27.92</v>
      </c>
      <c r="D1256" s="4" t="s">
        <v>19</v>
      </c>
      <c r="E1256" s="4" t="s">
        <v>13</v>
      </c>
      <c r="F1256" s="4" t="s">
        <v>28</v>
      </c>
      <c r="G1256" s="4" t="s">
        <v>35</v>
      </c>
      <c r="H1256" s="4">
        <v>3</v>
      </c>
      <c r="I1256" s="4">
        <v>8</v>
      </c>
      <c r="J1256" s="5">
        <v>45525</v>
      </c>
      <c r="K1256" s="6">
        <v>0.4435648148148148</v>
      </c>
    </row>
    <row r="1257" spans="1:11" x14ac:dyDescent="0.25">
      <c r="A1257" s="4">
        <v>11</v>
      </c>
      <c r="B1257" s="4" t="s">
        <v>11</v>
      </c>
      <c r="C1257" s="7">
        <v>23.02</v>
      </c>
      <c r="D1257" s="4" t="s">
        <v>24</v>
      </c>
      <c r="E1257" s="4" t="s">
        <v>13</v>
      </c>
      <c r="F1257" s="4" t="s">
        <v>28</v>
      </c>
      <c r="G1257" s="4" t="s">
        <v>35</v>
      </c>
      <c r="H1257" s="4">
        <v>3</v>
      </c>
      <c r="I1257" s="4">
        <v>8</v>
      </c>
      <c r="J1257" s="5">
        <v>45525</v>
      </c>
      <c r="K1257" s="6">
        <v>0.49422453703703706</v>
      </c>
    </row>
    <row r="1258" spans="1:11" x14ac:dyDescent="0.25">
      <c r="A1258" s="4">
        <v>13</v>
      </c>
      <c r="B1258" s="4" t="s">
        <v>11</v>
      </c>
      <c r="C1258" s="7">
        <v>32.82</v>
      </c>
      <c r="D1258" s="4" t="s">
        <v>12</v>
      </c>
      <c r="E1258" s="4" t="s">
        <v>17</v>
      </c>
      <c r="F1258" s="4" t="s">
        <v>28</v>
      </c>
      <c r="G1258" s="4" t="s">
        <v>35</v>
      </c>
      <c r="H1258" s="4">
        <v>3</v>
      </c>
      <c r="I1258" s="4">
        <v>8</v>
      </c>
      <c r="J1258" s="5">
        <v>45525</v>
      </c>
      <c r="K1258" s="6">
        <v>0.55358796296296298</v>
      </c>
    </row>
    <row r="1259" spans="1:11" x14ac:dyDescent="0.25">
      <c r="A1259" s="4">
        <v>19</v>
      </c>
      <c r="B1259" s="4" t="s">
        <v>11</v>
      </c>
      <c r="C1259" s="7">
        <v>32.82</v>
      </c>
      <c r="D1259" s="4" t="s">
        <v>12</v>
      </c>
      <c r="E1259" s="4" t="s">
        <v>20</v>
      </c>
      <c r="F1259" s="4" t="s">
        <v>28</v>
      </c>
      <c r="G1259" s="4" t="s">
        <v>35</v>
      </c>
      <c r="H1259" s="4">
        <v>3</v>
      </c>
      <c r="I1259" s="4">
        <v>8</v>
      </c>
      <c r="J1259" s="5">
        <v>45525</v>
      </c>
      <c r="K1259" s="6">
        <v>0.82086805555555553</v>
      </c>
    </row>
    <row r="1260" spans="1:11" x14ac:dyDescent="0.25">
      <c r="A1260" s="4">
        <v>9</v>
      </c>
      <c r="B1260" s="4" t="s">
        <v>11</v>
      </c>
      <c r="C1260" s="7">
        <v>23.02</v>
      </c>
      <c r="D1260" s="4" t="s">
        <v>24</v>
      </c>
      <c r="E1260" s="4" t="s">
        <v>13</v>
      </c>
      <c r="F1260" s="4" t="s">
        <v>30</v>
      </c>
      <c r="G1260" s="4" t="s">
        <v>35</v>
      </c>
      <c r="H1260" s="4">
        <v>4</v>
      </c>
      <c r="I1260" s="4">
        <v>8</v>
      </c>
      <c r="J1260" s="5">
        <v>45526</v>
      </c>
      <c r="K1260" s="6">
        <v>0.39057870370370368</v>
      </c>
    </row>
    <row r="1261" spans="1:11" x14ac:dyDescent="0.25">
      <c r="A1261" s="4">
        <v>10</v>
      </c>
      <c r="B1261" s="4" t="s">
        <v>11</v>
      </c>
      <c r="C1261" s="7">
        <v>27.92</v>
      </c>
      <c r="D1261" s="4" t="s">
        <v>19</v>
      </c>
      <c r="E1261" s="4" t="s">
        <v>13</v>
      </c>
      <c r="F1261" s="4" t="s">
        <v>30</v>
      </c>
      <c r="G1261" s="4" t="s">
        <v>35</v>
      </c>
      <c r="H1261" s="4">
        <v>4</v>
      </c>
      <c r="I1261" s="4">
        <v>8</v>
      </c>
      <c r="J1261" s="5">
        <v>45526</v>
      </c>
      <c r="K1261" s="6">
        <v>0.42318287037037039</v>
      </c>
    </row>
    <row r="1262" spans="1:11" x14ac:dyDescent="0.25">
      <c r="A1262" s="4">
        <v>10</v>
      </c>
      <c r="B1262" s="4" t="s">
        <v>11</v>
      </c>
      <c r="C1262" s="7">
        <v>27.92</v>
      </c>
      <c r="D1262" s="4" t="s">
        <v>19</v>
      </c>
      <c r="E1262" s="4" t="s">
        <v>13</v>
      </c>
      <c r="F1262" s="4" t="s">
        <v>30</v>
      </c>
      <c r="G1262" s="4" t="s">
        <v>35</v>
      </c>
      <c r="H1262" s="4">
        <v>4</v>
      </c>
      <c r="I1262" s="4">
        <v>8</v>
      </c>
      <c r="J1262" s="5">
        <v>45526</v>
      </c>
      <c r="K1262" s="6">
        <v>0.44998842592592592</v>
      </c>
    </row>
    <row r="1263" spans="1:11" x14ac:dyDescent="0.25">
      <c r="A1263" s="4">
        <v>14</v>
      </c>
      <c r="B1263" s="4" t="s">
        <v>11</v>
      </c>
      <c r="C1263" s="7">
        <v>32.82</v>
      </c>
      <c r="D1263" s="4" t="s">
        <v>12</v>
      </c>
      <c r="E1263" s="4" t="s">
        <v>17</v>
      </c>
      <c r="F1263" s="4" t="s">
        <v>30</v>
      </c>
      <c r="G1263" s="4" t="s">
        <v>35</v>
      </c>
      <c r="H1263" s="4">
        <v>4</v>
      </c>
      <c r="I1263" s="4">
        <v>8</v>
      </c>
      <c r="J1263" s="5">
        <v>45526</v>
      </c>
      <c r="K1263" s="6">
        <v>0.59458333333333335</v>
      </c>
    </row>
    <row r="1264" spans="1:11" x14ac:dyDescent="0.25">
      <c r="A1264" s="4">
        <v>14</v>
      </c>
      <c r="B1264" s="4" t="s">
        <v>11</v>
      </c>
      <c r="C1264" s="7">
        <v>32.82</v>
      </c>
      <c r="D1264" s="4" t="s">
        <v>12</v>
      </c>
      <c r="E1264" s="4" t="s">
        <v>17</v>
      </c>
      <c r="F1264" s="4" t="s">
        <v>30</v>
      </c>
      <c r="G1264" s="4" t="s">
        <v>35</v>
      </c>
      <c r="H1264" s="4">
        <v>4</v>
      </c>
      <c r="I1264" s="4">
        <v>8</v>
      </c>
      <c r="J1264" s="5">
        <v>45526</v>
      </c>
      <c r="K1264" s="6">
        <v>0.60206018518518523</v>
      </c>
    </row>
    <row r="1265" spans="1:11" x14ac:dyDescent="0.25">
      <c r="A1265" s="4">
        <v>15</v>
      </c>
      <c r="B1265" s="4" t="s">
        <v>11</v>
      </c>
      <c r="C1265" s="7">
        <v>32.82</v>
      </c>
      <c r="D1265" s="4" t="s">
        <v>29</v>
      </c>
      <c r="E1265" s="4" t="s">
        <v>17</v>
      </c>
      <c r="F1265" s="4" t="s">
        <v>30</v>
      </c>
      <c r="G1265" s="4" t="s">
        <v>35</v>
      </c>
      <c r="H1265" s="4">
        <v>4</v>
      </c>
      <c r="I1265" s="4">
        <v>8</v>
      </c>
      <c r="J1265" s="5">
        <v>45526</v>
      </c>
      <c r="K1265" s="6">
        <v>0.62994212962962959</v>
      </c>
    </row>
    <row r="1266" spans="1:11" x14ac:dyDescent="0.25">
      <c r="A1266" s="4">
        <v>15</v>
      </c>
      <c r="B1266" s="4" t="s">
        <v>11</v>
      </c>
      <c r="C1266" s="7">
        <v>23.02</v>
      </c>
      <c r="D1266" s="4" t="s">
        <v>18</v>
      </c>
      <c r="E1266" s="4" t="s">
        <v>17</v>
      </c>
      <c r="F1266" s="4" t="s">
        <v>30</v>
      </c>
      <c r="G1266" s="4" t="s">
        <v>35</v>
      </c>
      <c r="H1266" s="4">
        <v>4</v>
      </c>
      <c r="I1266" s="4">
        <v>8</v>
      </c>
      <c r="J1266" s="5">
        <v>45526</v>
      </c>
      <c r="K1266" s="6">
        <v>0.64406249999999998</v>
      </c>
    </row>
    <row r="1267" spans="1:11" x14ac:dyDescent="0.25">
      <c r="A1267" s="4">
        <v>7</v>
      </c>
      <c r="B1267" s="4" t="s">
        <v>11</v>
      </c>
      <c r="C1267" s="7">
        <v>32.82</v>
      </c>
      <c r="D1267" s="4" t="s">
        <v>12</v>
      </c>
      <c r="E1267" s="4" t="s">
        <v>13</v>
      </c>
      <c r="F1267" s="4" t="s">
        <v>14</v>
      </c>
      <c r="G1267" s="4" t="s">
        <v>35</v>
      </c>
      <c r="H1267" s="4">
        <v>5</v>
      </c>
      <c r="I1267" s="4">
        <v>8</v>
      </c>
      <c r="J1267" s="5">
        <v>45527</v>
      </c>
      <c r="K1267" s="6">
        <v>0.32171296296296298</v>
      </c>
    </row>
    <row r="1268" spans="1:11" x14ac:dyDescent="0.25">
      <c r="A1268" s="4">
        <v>8</v>
      </c>
      <c r="B1268" s="4" t="s">
        <v>11</v>
      </c>
      <c r="C1268" s="7">
        <v>23.02</v>
      </c>
      <c r="D1268" s="4" t="s">
        <v>24</v>
      </c>
      <c r="E1268" s="4" t="s">
        <v>13</v>
      </c>
      <c r="F1268" s="4" t="s">
        <v>14</v>
      </c>
      <c r="G1268" s="4" t="s">
        <v>35</v>
      </c>
      <c r="H1268" s="4">
        <v>5</v>
      </c>
      <c r="I1268" s="4">
        <v>8</v>
      </c>
      <c r="J1268" s="5">
        <v>45527</v>
      </c>
      <c r="K1268" s="6">
        <v>0.34847222222222224</v>
      </c>
    </row>
    <row r="1269" spans="1:11" x14ac:dyDescent="0.25">
      <c r="A1269" s="4">
        <v>8</v>
      </c>
      <c r="B1269" s="4" t="s">
        <v>11</v>
      </c>
      <c r="C1269" s="7">
        <v>32.82</v>
      </c>
      <c r="D1269" s="4" t="s">
        <v>12</v>
      </c>
      <c r="E1269" s="4" t="s">
        <v>13</v>
      </c>
      <c r="F1269" s="4" t="s">
        <v>14</v>
      </c>
      <c r="G1269" s="4" t="s">
        <v>35</v>
      </c>
      <c r="H1269" s="4">
        <v>5</v>
      </c>
      <c r="I1269" s="4">
        <v>8</v>
      </c>
      <c r="J1269" s="5">
        <v>45527</v>
      </c>
      <c r="K1269" s="6">
        <v>0.34925925925925927</v>
      </c>
    </row>
    <row r="1270" spans="1:11" x14ac:dyDescent="0.25">
      <c r="A1270" s="4">
        <v>8</v>
      </c>
      <c r="B1270" s="4" t="s">
        <v>11</v>
      </c>
      <c r="C1270" s="7">
        <v>23.02</v>
      </c>
      <c r="D1270" s="4" t="s">
        <v>18</v>
      </c>
      <c r="E1270" s="4" t="s">
        <v>13</v>
      </c>
      <c r="F1270" s="4" t="s">
        <v>14</v>
      </c>
      <c r="G1270" s="4" t="s">
        <v>35</v>
      </c>
      <c r="H1270" s="4">
        <v>5</v>
      </c>
      <c r="I1270" s="4">
        <v>8</v>
      </c>
      <c r="J1270" s="5">
        <v>45527</v>
      </c>
      <c r="K1270" s="6">
        <v>0.35668981481481482</v>
      </c>
    </row>
    <row r="1271" spans="1:11" x14ac:dyDescent="0.25">
      <c r="A1271" s="4">
        <v>8</v>
      </c>
      <c r="B1271" s="4" t="s">
        <v>11</v>
      </c>
      <c r="C1271" s="7">
        <v>23.02</v>
      </c>
      <c r="D1271" s="4" t="s">
        <v>18</v>
      </c>
      <c r="E1271" s="4" t="s">
        <v>13</v>
      </c>
      <c r="F1271" s="4" t="s">
        <v>14</v>
      </c>
      <c r="G1271" s="4" t="s">
        <v>35</v>
      </c>
      <c r="H1271" s="4">
        <v>5</v>
      </c>
      <c r="I1271" s="4">
        <v>8</v>
      </c>
      <c r="J1271" s="5">
        <v>45527</v>
      </c>
      <c r="K1271" s="6">
        <v>0.35734953703703703</v>
      </c>
    </row>
    <row r="1272" spans="1:11" x14ac:dyDescent="0.25">
      <c r="A1272" s="4">
        <v>9</v>
      </c>
      <c r="B1272" s="4" t="s">
        <v>11</v>
      </c>
      <c r="C1272" s="7">
        <v>27.92</v>
      </c>
      <c r="D1272" s="4" t="s">
        <v>19</v>
      </c>
      <c r="E1272" s="4" t="s">
        <v>13</v>
      </c>
      <c r="F1272" s="4" t="s">
        <v>14</v>
      </c>
      <c r="G1272" s="4" t="s">
        <v>35</v>
      </c>
      <c r="H1272" s="4">
        <v>5</v>
      </c>
      <c r="I1272" s="4">
        <v>8</v>
      </c>
      <c r="J1272" s="5">
        <v>45527</v>
      </c>
      <c r="K1272" s="6">
        <v>0.3853240740740741</v>
      </c>
    </row>
    <row r="1273" spans="1:11" x14ac:dyDescent="0.25">
      <c r="A1273" s="4">
        <v>10</v>
      </c>
      <c r="B1273" s="4" t="s">
        <v>11</v>
      </c>
      <c r="C1273" s="7">
        <v>32.82</v>
      </c>
      <c r="D1273" s="4" t="s">
        <v>21</v>
      </c>
      <c r="E1273" s="4" t="s">
        <v>13</v>
      </c>
      <c r="F1273" s="4" t="s">
        <v>14</v>
      </c>
      <c r="G1273" s="4" t="s">
        <v>35</v>
      </c>
      <c r="H1273" s="4">
        <v>5</v>
      </c>
      <c r="I1273" s="4">
        <v>8</v>
      </c>
      <c r="J1273" s="5">
        <v>45527</v>
      </c>
      <c r="K1273" s="6">
        <v>0.42428240740740741</v>
      </c>
    </row>
    <row r="1274" spans="1:11" x14ac:dyDescent="0.25">
      <c r="A1274" s="4">
        <v>10</v>
      </c>
      <c r="B1274" s="4" t="s">
        <v>11</v>
      </c>
      <c r="C1274" s="7">
        <v>23.02</v>
      </c>
      <c r="D1274" s="4" t="s">
        <v>18</v>
      </c>
      <c r="E1274" s="4" t="s">
        <v>13</v>
      </c>
      <c r="F1274" s="4" t="s">
        <v>14</v>
      </c>
      <c r="G1274" s="4" t="s">
        <v>35</v>
      </c>
      <c r="H1274" s="4">
        <v>5</v>
      </c>
      <c r="I1274" s="4">
        <v>8</v>
      </c>
      <c r="J1274" s="5">
        <v>45527</v>
      </c>
      <c r="K1274" s="6">
        <v>0.42494212962962963</v>
      </c>
    </row>
    <row r="1275" spans="1:11" x14ac:dyDescent="0.25">
      <c r="A1275" s="4">
        <v>10</v>
      </c>
      <c r="B1275" s="4" t="s">
        <v>11</v>
      </c>
      <c r="C1275" s="7">
        <v>23.02</v>
      </c>
      <c r="D1275" s="4" t="s">
        <v>24</v>
      </c>
      <c r="E1275" s="4" t="s">
        <v>13</v>
      </c>
      <c r="F1275" s="4" t="s">
        <v>14</v>
      </c>
      <c r="G1275" s="4" t="s">
        <v>35</v>
      </c>
      <c r="H1275" s="4">
        <v>5</v>
      </c>
      <c r="I1275" s="4">
        <v>8</v>
      </c>
      <c r="J1275" s="5">
        <v>45527</v>
      </c>
      <c r="K1275" s="6">
        <v>0.44388888888888889</v>
      </c>
    </row>
    <row r="1276" spans="1:11" x14ac:dyDescent="0.25">
      <c r="A1276" s="4">
        <v>11</v>
      </c>
      <c r="B1276" s="4" t="s">
        <v>11</v>
      </c>
      <c r="C1276" s="7">
        <v>32.82</v>
      </c>
      <c r="D1276" s="4" t="s">
        <v>16</v>
      </c>
      <c r="E1276" s="4" t="s">
        <v>13</v>
      </c>
      <c r="F1276" s="4" t="s">
        <v>14</v>
      </c>
      <c r="G1276" s="4" t="s">
        <v>35</v>
      </c>
      <c r="H1276" s="4">
        <v>5</v>
      </c>
      <c r="I1276" s="4">
        <v>8</v>
      </c>
      <c r="J1276" s="5">
        <v>45527</v>
      </c>
      <c r="K1276" s="6">
        <v>0.46734953703703702</v>
      </c>
    </row>
    <row r="1277" spans="1:11" x14ac:dyDescent="0.25">
      <c r="A1277" s="4">
        <v>13</v>
      </c>
      <c r="B1277" s="4" t="s">
        <v>11</v>
      </c>
      <c r="C1277" s="7">
        <v>23.02</v>
      </c>
      <c r="D1277" s="4" t="s">
        <v>18</v>
      </c>
      <c r="E1277" s="4" t="s">
        <v>17</v>
      </c>
      <c r="F1277" s="4" t="s">
        <v>14</v>
      </c>
      <c r="G1277" s="4" t="s">
        <v>35</v>
      </c>
      <c r="H1277" s="4">
        <v>5</v>
      </c>
      <c r="I1277" s="4">
        <v>8</v>
      </c>
      <c r="J1277" s="5">
        <v>45527</v>
      </c>
      <c r="K1277" s="6">
        <v>0.55895833333333333</v>
      </c>
    </row>
    <row r="1278" spans="1:11" x14ac:dyDescent="0.25">
      <c r="A1278" s="4">
        <v>15</v>
      </c>
      <c r="B1278" s="4" t="s">
        <v>11</v>
      </c>
      <c r="C1278" s="7">
        <v>23.02</v>
      </c>
      <c r="D1278" s="4" t="s">
        <v>18</v>
      </c>
      <c r="E1278" s="4" t="s">
        <v>17</v>
      </c>
      <c r="F1278" s="4" t="s">
        <v>14</v>
      </c>
      <c r="G1278" s="4" t="s">
        <v>35</v>
      </c>
      <c r="H1278" s="4">
        <v>5</v>
      </c>
      <c r="I1278" s="4">
        <v>8</v>
      </c>
      <c r="J1278" s="5">
        <v>45527</v>
      </c>
      <c r="K1278" s="6">
        <v>0.64504629629629628</v>
      </c>
    </row>
    <row r="1279" spans="1:11" x14ac:dyDescent="0.25">
      <c r="A1279" s="4">
        <v>19</v>
      </c>
      <c r="B1279" s="4" t="s">
        <v>11</v>
      </c>
      <c r="C1279" s="7">
        <v>32.82</v>
      </c>
      <c r="D1279" s="4" t="s">
        <v>12</v>
      </c>
      <c r="E1279" s="4" t="s">
        <v>20</v>
      </c>
      <c r="F1279" s="4" t="s">
        <v>14</v>
      </c>
      <c r="G1279" s="4" t="s">
        <v>35</v>
      </c>
      <c r="H1279" s="4">
        <v>5</v>
      </c>
      <c r="I1279" s="4">
        <v>8</v>
      </c>
      <c r="J1279" s="5">
        <v>45527</v>
      </c>
      <c r="K1279" s="6">
        <v>0.82502314814814814</v>
      </c>
    </row>
    <row r="1280" spans="1:11" x14ac:dyDescent="0.25">
      <c r="A1280" s="4">
        <v>8</v>
      </c>
      <c r="B1280" s="4" t="s">
        <v>11</v>
      </c>
      <c r="C1280" s="7">
        <v>23.02</v>
      </c>
      <c r="D1280" s="4" t="s">
        <v>24</v>
      </c>
      <c r="E1280" s="4" t="s">
        <v>13</v>
      </c>
      <c r="F1280" s="4" t="s">
        <v>22</v>
      </c>
      <c r="G1280" s="4" t="s">
        <v>35</v>
      </c>
      <c r="H1280" s="4">
        <v>6</v>
      </c>
      <c r="I1280" s="4">
        <v>8</v>
      </c>
      <c r="J1280" s="5">
        <v>45528</v>
      </c>
      <c r="K1280" s="6">
        <v>0.34284722222222225</v>
      </c>
    </row>
    <row r="1281" spans="1:11" x14ac:dyDescent="0.25">
      <c r="A1281" s="4">
        <v>8</v>
      </c>
      <c r="B1281" s="4" t="s">
        <v>11</v>
      </c>
      <c r="C1281" s="7">
        <v>23.02</v>
      </c>
      <c r="D1281" s="4" t="s">
        <v>24</v>
      </c>
      <c r="E1281" s="4" t="s">
        <v>13</v>
      </c>
      <c r="F1281" s="4" t="s">
        <v>22</v>
      </c>
      <c r="G1281" s="4" t="s">
        <v>35</v>
      </c>
      <c r="H1281" s="4">
        <v>6</v>
      </c>
      <c r="I1281" s="4">
        <v>8</v>
      </c>
      <c r="J1281" s="5">
        <v>45528</v>
      </c>
      <c r="K1281" s="6">
        <v>0.34359953703703705</v>
      </c>
    </row>
    <row r="1282" spans="1:11" x14ac:dyDescent="0.25">
      <c r="A1282" s="4">
        <v>8</v>
      </c>
      <c r="B1282" s="4" t="s">
        <v>11</v>
      </c>
      <c r="C1282" s="7">
        <v>23.02</v>
      </c>
      <c r="D1282" s="4" t="s">
        <v>24</v>
      </c>
      <c r="E1282" s="4" t="s">
        <v>13</v>
      </c>
      <c r="F1282" s="4" t="s">
        <v>22</v>
      </c>
      <c r="G1282" s="4" t="s">
        <v>35</v>
      </c>
      <c r="H1282" s="4">
        <v>6</v>
      </c>
      <c r="I1282" s="4">
        <v>8</v>
      </c>
      <c r="J1282" s="5">
        <v>45528</v>
      </c>
      <c r="K1282" s="6">
        <v>0.36401620370370369</v>
      </c>
    </row>
    <row r="1283" spans="1:11" x14ac:dyDescent="0.25">
      <c r="A1283" s="4">
        <v>10</v>
      </c>
      <c r="B1283" s="4" t="s">
        <v>11</v>
      </c>
      <c r="C1283" s="7">
        <v>18.12</v>
      </c>
      <c r="D1283" s="4" t="s">
        <v>26</v>
      </c>
      <c r="E1283" s="4" t="s">
        <v>13</v>
      </c>
      <c r="F1283" s="4" t="s">
        <v>22</v>
      </c>
      <c r="G1283" s="4" t="s">
        <v>35</v>
      </c>
      <c r="H1283" s="4">
        <v>6</v>
      </c>
      <c r="I1283" s="4">
        <v>8</v>
      </c>
      <c r="J1283" s="5">
        <v>45528</v>
      </c>
      <c r="K1283" s="6">
        <v>0.42927083333333332</v>
      </c>
    </row>
    <row r="1284" spans="1:11" x14ac:dyDescent="0.25">
      <c r="A1284" s="4">
        <v>10</v>
      </c>
      <c r="B1284" s="4" t="s">
        <v>11</v>
      </c>
      <c r="C1284" s="7">
        <v>18.12</v>
      </c>
      <c r="D1284" s="4" t="s">
        <v>26</v>
      </c>
      <c r="E1284" s="4" t="s">
        <v>13</v>
      </c>
      <c r="F1284" s="4" t="s">
        <v>22</v>
      </c>
      <c r="G1284" s="4" t="s">
        <v>35</v>
      </c>
      <c r="H1284" s="4">
        <v>6</v>
      </c>
      <c r="I1284" s="4">
        <v>8</v>
      </c>
      <c r="J1284" s="5">
        <v>45528</v>
      </c>
      <c r="K1284" s="6">
        <v>0.42976851851851849</v>
      </c>
    </row>
    <row r="1285" spans="1:11" x14ac:dyDescent="0.25">
      <c r="A1285" s="4">
        <v>10</v>
      </c>
      <c r="B1285" s="4" t="s">
        <v>11</v>
      </c>
      <c r="C1285" s="7">
        <v>23.02</v>
      </c>
      <c r="D1285" s="4" t="s">
        <v>18</v>
      </c>
      <c r="E1285" s="4" t="s">
        <v>13</v>
      </c>
      <c r="F1285" s="4" t="s">
        <v>22</v>
      </c>
      <c r="G1285" s="4" t="s">
        <v>35</v>
      </c>
      <c r="H1285" s="4">
        <v>6</v>
      </c>
      <c r="I1285" s="4">
        <v>8</v>
      </c>
      <c r="J1285" s="5">
        <v>45528</v>
      </c>
      <c r="K1285" s="6">
        <v>0.43042824074074076</v>
      </c>
    </row>
    <row r="1286" spans="1:11" x14ac:dyDescent="0.25">
      <c r="A1286" s="4">
        <v>8</v>
      </c>
      <c r="B1286" s="4" t="s">
        <v>11</v>
      </c>
      <c r="C1286" s="7">
        <v>23.02</v>
      </c>
      <c r="D1286" s="4" t="s">
        <v>24</v>
      </c>
      <c r="E1286" s="4" t="s">
        <v>13</v>
      </c>
      <c r="F1286" s="4" t="s">
        <v>23</v>
      </c>
      <c r="G1286" s="4" t="s">
        <v>35</v>
      </c>
      <c r="H1286" s="4">
        <v>7</v>
      </c>
      <c r="I1286" s="4">
        <v>8</v>
      </c>
      <c r="J1286" s="5">
        <v>45529</v>
      </c>
      <c r="K1286" s="6">
        <v>0.34348379629629627</v>
      </c>
    </row>
    <row r="1287" spans="1:11" x14ac:dyDescent="0.25">
      <c r="A1287" s="4">
        <v>8</v>
      </c>
      <c r="B1287" s="4" t="s">
        <v>11</v>
      </c>
      <c r="C1287" s="7">
        <v>23.02</v>
      </c>
      <c r="D1287" s="4" t="s">
        <v>18</v>
      </c>
      <c r="E1287" s="4" t="s">
        <v>13</v>
      </c>
      <c r="F1287" s="4" t="s">
        <v>23</v>
      </c>
      <c r="G1287" s="4" t="s">
        <v>35</v>
      </c>
      <c r="H1287" s="4">
        <v>7</v>
      </c>
      <c r="I1287" s="4">
        <v>8</v>
      </c>
      <c r="J1287" s="5">
        <v>45529</v>
      </c>
      <c r="K1287" s="6">
        <v>0.35170138888888891</v>
      </c>
    </row>
    <row r="1288" spans="1:11" x14ac:dyDescent="0.25">
      <c r="A1288" s="4">
        <v>8</v>
      </c>
      <c r="B1288" s="4" t="s">
        <v>11</v>
      </c>
      <c r="C1288" s="7">
        <v>23.02</v>
      </c>
      <c r="D1288" s="4" t="s">
        <v>18</v>
      </c>
      <c r="E1288" s="4" t="s">
        <v>13</v>
      </c>
      <c r="F1288" s="4" t="s">
        <v>23</v>
      </c>
      <c r="G1288" s="4" t="s">
        <v>35</v>
      </c>
      <c r="H1288" s="4">
        <v>7</v>
      </c>
      <c r="I1288" s="4">
        <v>8</v>
      </c>
      <c r="J1288" s="5">
        <v>45529</v>
      </c>
      <c r="K1288" s="6">
        <v>0.35249999999999998</v>
      </c>
    </row>
    <row r="1289" spans="1:11" x14ac:dyDescent="0.25">
      <c r="A1289" s="4">
        <v>9</v>
      </c>
      <c r="B1289" s="4" t="s">
        <v>11</v>
      </c>
      <c r="C1289" s="7">
        <v>32.82</v>
      </c>
      <c r="D1289" s="4" t="s">
        <v>29</v>
      </c>
      <c r="E1289" s="4" t="s">
        <v>13</v>
      </c>
      <c r="F1289" s="4" t="s">
        <v>23</v>
      </c>
      <c r="G1289" s="4" t="s">
        <v>35</v>
      </c>
      <c r="H1289" s="4">
        <v>7</v>
      </c>
      <c r="I1289" s="4">
        <v>8</v>
      </c>
      <c r="J1289" s="5">
        <v>45529</v>
      </c>
      <c r="K1289" s="6">
        <v>0.3919212962962963</v>
      </c>
    </row>
    <row r="1290" spans="1:11" x14ac:dyDescent="0.25">
      <c r="A1290" s="4">
        <v>12</v>
      </c>
      <c r="B1290" s="4" t="s">
        <v>11</v>
      </c>
      <c r="C1290" s="7">
        <v>32.82</v>
      </c>
      <c r="D1290" s="4" t="s">
        <v>29</v>
      </c>
      <c r="E1290" s="4" t="s">
        <v>17</v>
      </c>
      <c r="F1290" s="4" t="s">
        <v>23</v>
      </c>
      <c r="G1290" s="4" t="s">
        <v>35</v>
      </c>
      <c r="H1290" s="4">
        <v>7</v>
      </c>
      <c r="I1290" s="4">
        <v>8</v>
      </c>
      <c r="J1290" s="5">
        <v>45529</v>
      </c>
      <c r="K1290" s="6">
        <v>0.52895833333333331</v>
      </c>
    </row>
    <row r="1291" spans="1:11" x14ac:dyDescent="0.25">
      <c r="A1291" s="4">
        <v>14</v>
      </c>
      <c r="B1291" s="4" t="s">
        <v>11</v>
      </c>
      <c r="C1291" s="7">
        <v>32.82</v>
      </c>
      <c r="D1291" s="4" t="s">
        <v>12</v>
      </c>
      <c r="E1291" s="4" t="s">
        <v>17</v>
      </c>
      <c r="F1291" s="4" t="s">
        <v>23</v>
      </c>
      <c r="G1291" s="4" t="s">
        <v>35</v>
      </c>
      <c r="H1291" s="4">
        <v>7</v>
      </c>
      <c r="I1291" s="4">
        <v>8</v>
      </c>
      <c r="J1291" s="5">
        <v>45529</v>
      </c>
      <c r="K1291" s="6">
        <v>0.62016203703703698</v>
      </c>
    </row>
    <row r="1292" spans="1:11" x14ac:dyDescent="0.25">
      <c r="A1292" s="4">
        <v>8</v>
      </c>
      <c r="B1292" s="4" t="s">
        <v>11</v>
      </c>
      <c r="C1292" s="7">
        <v>23.02</v>
      </c>
      <c r="D1292" s="4" t="s">
        <v>24</v>
      </c>
      <c r="E1292" s="4" t="s">
        <v>13</v>
      </c>
      <c r="F1292" s="4" t="s">
        <v>25</v>
      </c>
      <c r="G1292" s="4" t="s">
        <v>35</v>
      </c>
      <c r="H1292" s="4">
        <v>1</v>
      </c>
      <c r="I1292" s="4">
        <v>8</v>
      </c>
      <c r="J1292" s="5">
        <v>45530</v>
      </c>
      <c r="K1292" s="6">
        <v>0.34151620370370372</v>
      </c>
    </row>
    <row r="1293" spans="1:11" x14ac:dyDescent="0.25">
      <c r="A1293" s="4">
        <v>8</v>
      </c>
      <c r="B1293" s="4" t="s">
        <v>11</v>
      </c>
      <c r="C1293" s="7">
        <v>23.02</v>
      </c>
      <c r="D1293" s="4" t="s">
        <v>18</v>
      </c>
      <c r="E1293" s="4" t="s">
        <v>13</v>
      </c>
      <c r="F1293" s="4" t="s">
        <v>25</v>
      </c>
      <c r="G1293" s="4" t="s">
        <v>35</v>
      </c>
      <c r="H1293" s="4">
        <v>1</v>
      </c>
      <c r="I1293" s="4">
        <v>8</v>
      </c>
      <c r="J1293" s="5">
        <v>45530</v>
      </c>
      <c r="K1293" s="6">
        <v>0.34454861111111112</v>
      </c>
    </row>
    <row r="1294" spans="1:11" x14ac:dyDescent="0.25">
      <c r="A1294" s="4">
        <v>8</v>
      </c>
      <c r="B1294" s="4" t="s">
        <v>11</v>
      </c>
      <c r="C1294" s="7">
        <v>23.02</v>
      </c>
      <c r="D1294" s="4" t="s">
        <v>18</v>
      </c>
      <c r="E1294" s="4" t="s">
        <v>13</v>
      </c>
      <c r="F1294" s="4" t="s">
        <v>25</v>
      </c>
      <c r="G1294" s="4" t="s">
        <v>35</v>
      </c>
      <c r="H1294" s="4">
        <v>1</v>
      </c>
      <c r="I1294" s="4">
        <v>8</v>
      </c>
      <c r="J1294" s="5">
        <v>45530</v>
      </c>
      <c r="K1294" s="6">
        <v>0.34540509259259261</v>
      </c>
    </row>
    <row r="1295" spans="1:11" x14ac:dyDescent="0.25">
      <c r="A1295" s="4">
        <v>9</v>
      </c>
      <c r="B1295" s="4" t="s">
        <v>11</v>
      </c>
      <c r="C1295" s="7">
        <v>27.92</v>
      </c>
      <c r="D1295" s="4" t="s">
        <v>19</v>
      </c>
      <c r="E1295" s="4" t="s">
        <v>13</v>
      </c>
      <c r="F1295" s="4" t="s">
        <v>25</v>
      </c>
      <c r="G1295" s="4" t="s">
        <v>35</v>
      </c>
      <c r="H1295" s="4">
        <v>1</v>
      </c>
      <c r="I1295" s="4">
        <v>8</v>
      </c>
      <c r="J1295" s="5">
        <v>45530</v>
      </c>
      <c r="K1295" s="6">
        <v>0.39</v>
      </c>
    </row>
    <row r="1296" spans="1:11" x14ac:dyDescent="0.25">
      <c r="A1296" s="4">
        <v>10</v>
      </c>
      <c r="B1296" s="4" t="s">
        <v>11</v>
      </c>
      <c r="C1296" s="7">
        <v>32.82</v>
      </c>
      <c r="D1296" s="4" t="s">
        <v>12</v>
      </c>
      <c r="E1296" s="4" t="s">
        <v>13</v>
      </c>
      <c r="F1296" s="4" t="s">
        <v>25</v>
      </c>
      <c r="G1296" s="4" t="s">
        <v>35</v>
      </c>
      <c r="H1296" s="4">
        <v>1</v>
      </c>
      <c r="I1296" s="4">
        <v>8</v>
      </c>
      <c r="J1296" s="5">
        <v>45530</v>
      </c>
      <c r="K1296" s="6">
        <v>0.44287037037037036</v>
      </c>
    </row>
    <row r="1297" spans="1:11" x14ac:dyDescent="0.25">
      <c r="A1297" s="4">
        <v>10</v>
      </c>
      <c r="B1297" s="4" t="s">
        <v>11</v>
      </c>
      <c r="C1297" s="7">
        <v>32.82</v>
      </c>
      <c r="D1297" s="4" t="s">
        <v>29</v>
      </c>
      <c r="E1297" s="4" t="s">
        <v>13</v>
      </c>
      <c r="F1297" s="4" t="s">
        <v>25</v>
      </c>
      <c r="G1297" s="4" t="s">
        <v>35</v>
      </c>
      <c r="H1297" s="4">
        <v>1</v>
      </c>
      <c r="I1297" s="4">
        <v>8</v>
      </c>
      <c r="J1297" s="5">
        <v>45530</v>
      </c>
      <c r="K1297" s="6">
        <v>0.44362268518518516</v>
      </c>
    </row>
    <row r="1298" spans="1:11" x14ac:dyDescent="0.25">
      <c r="A1298" s="4">
        <v>12</v>
      </c>
      <c r="B1298" s="4" t="s">
        <v>11</v>
      </c>
      <c r="C1298" s="7">
        <v>23.02</v>
      </c>
      <c r="D1298" s="4" t="s">
        <v>18</v>
      </c>
      <c r="E1298" s="4" t="s">
        <v>17</v>
      </c>
      <c r="F1298" s="4" t="s">
        <v>25</v>
      </c>
      <c r="G1298" s="4" t="s">
        <v>35</v>
      </c>
      <c r="H1298" s="4">
        <v>1</v>
      </c>
      <c r="I1298" s="4">
        <v>8</v>
      </c>
      <c r="J1298" s="5">
        <v>45530</v>
      </c>
      <c r="K1298" s="6">
        <v>0.53140046296296295</v>
      </c>
    </row>
    <row r="1299" spans="1:11" x14ac:dyDescent="0.25">
      <c r="A1299" s="4">
        <v>12</v>
      </c>
      <c r="B1299" s="4" t="s">
        <v>11</v>
      </c>
      <c r="C1299" s="7">
        <v>23.02</v>
      </c>
      <c r="D1299" s="4" t="s">
        <v>18</v>
      </c>
      <c r="E1299" s="4" t="s">
        <v>17</v>
      </c>
      <c r="F1299" s="4" t="s">
        <v>25</v>
      </c>
      <c r="G1299" s="4" t="s">
        <v>35</v>
      </c>
      <c r="H1299" s="4">
        <v>1</v>
      </c>
      <c r="I1299" s="4">
        <v>8</v>
      </c>
      <c r="J1299" s="5">
        <v>45530</v>
      </c>
      <c r="K1299" s="6">
        <v>0.53221064814814811</v>
      </c>
    </row>
    <row r="1300" spans="1:11" x14ac:dyDescent="0.25">
      <c r="A1300" s="4">
        <v>18</v>
      </c>
      <c r="B1300" s="4" t="s">
        <v>11</v>
      </c>
      <c r="C1300" s="7">
        <v>27.92</v>
      </c>
      <c r="D1300" s="4" t="s">
        <v>19</v>
      </c>
      <c r="E1300" s="4" t="s">
        <v>20</v>
      </c>
      <c r="F1300" s="4" t="s">
        <v>25</v>
      </c>
      <c r="G1300" s="4" t="s">
        <v>35</v>
      </c>
      <c r="H1300" s="4">
        <v>1</v>
      </c>
      <c r="I1300" s="4">
        <v>8</v>
      </c>
      <c r="J1300" s="5">
        <v>45530</v>
      </c>
      <c r="K1300" s="6">
        <v>0.78711805555555558</v>
      </c>
    </row>
    <row r="1301" spans="1:11" x14ac:dyDescent="0.25">
      <c r="A1301" s="4">
        <v>18</v>
      </c>
      <c r="B1301" s="4" t="s">
        <v>11</v>
      </c>
      <c r="C1301" s="7">
        <v>32.82</v>
      </c>
      <c r="D1301" s="4" t="s">
        <v>12</v>
      </c>
      <c r="E1301" s="4" t="s">
        <v>20</v>
      </c>
      <c r="F1301" s="4" t="s">
        <v>25</v>
      </c>
      <c r="G1301" s="4" t="s">
        <v>35</v>
      </c>
      <c r="H1301" s="4">
        <v>1</v>
      </c>
      <c r="I1301" s="4">
        <v>8</v>
      </c>
      <c r="J1301" s="5">
        <v>45530</v>
      </c>
      <c r="K1301" s="6">
        <v>0.78785879629629629</v>
      </c>
    </row>
    <row r="1302" spans="1:11" x14ac:dyDescent="0.25">
      <c r="A1302" s="4">
        <v>22</v>
      </c>
      <c r="B1302" s="4" t="s">
        <v>11</v>
      </c>
      <c r="C1302" s="7">
        <v>27.92</v>
      </c>
      <c r="D1302" s="4" t="s">
        <v>19</v>
      </c>
      <c r="E1302" s="4" t="s">
        <v>20</v>
      </c>
      <c r="F1302" s="4" t="s">
        <v>25</v>
      </c>
      <c r="G1302" s="4" t="s">
        <v>35</v>
      </c>
      <c r="H1302" s="4">
        <v>1</v>
      </c>
      <c r="I1302" s="4">
        <v>8</v>
      </c>
      <c r="J1302" s="5">
        <v>45530</v>
      </c>
      <c r="K1302" s="6">
        <v>0.95531250000000001</v>
      </c>
    </row>
    <row r="1303" spans="1:11" x14ac:dyDescent="0.25">
      <c r="A1303" s="4">
        <v>10</v>
      </c>
      <c r="B1303" s="4" t="s">
        <v>11</v>
      </c>
      <c r="C1303" s="7">
        <v>32.82</v>
      </c>
      <c r="D1303" s="4" t="s">
        <v>12</v>
      </c>
      <c r="E1303" s="4" t="s">
        <v>13</v>
      </c>
      <c r="F1303" s="4" t="s">
        <v>27</v>
      </c>
      <c r="G1303" s="4" t="s">
        <v>35</v>
      </c>
      <c r="H1303" s="4">
        <v>2</v>
      </c>
      <c r="I1303" s="4">
        <v>8</v>
      </c>
      <c r="J1303" s="5">
        <v>45531</v>
      </c>
      <c r="K1303" s="6">
        <v>0.41949074074074072</v>
      </c>
    </row>
    <row r="1304" spans="1:11" x14ac:dyDescent="0.25">
      <c r="A1304" s="4">
        <v>12</v>
      </c>
      <c r="B1304" s="4" t="s">
        <v>11</v>
      </c>
      <c r="C1304" s="7">
        <v>27.92</v>
      </c>
      <c r="D1304" s="4" t="s">
        <v>19</v>
      </c>
      <c r="E1304" s="4" t="s">
        <v>17</v>
      </c>
      <c r="F1304" s="4" t="s">
        <v>28</v>
      </c>
      <c r="G1304" s="4" t="s">
        <v>35</v>
      </c>
      <c r="H1304" s="4">
        <v>3</v>
      </c>
      <c r="I1304" s="4">
        <v>8</v>
      </c>
      <c r="J1304" s="5">
        <v>45532</v>
      </c>
      <c r="K1304" s="6">
        <v>0.5057638888888889</v>
      </c>
    </row>
    <row r="1305" spans="1:11" x14ac:dyDescent="0.25">
      <c r="A1305" s="4">
        <v>12</v>
      </c>
      <c r="B1305" s="4" t="s">
        <v>11</v>
      </c>
      <c r="C1305" s="7">
        <v>32.82</v>
      </c>
      <c r="D1305" s="4" t="s">
        <v>29</v>
      </c>
      <c r="E1305" s="4" t="s">
        <v>17</v>
      </c>
      <c r="F1305" s="4" t="s">
        <v>28</v>
      </c>
      <c r="G1305" s="4" t="s">
        <v>35</v>
      </c>
      <c r="H1305" s="4">
        <v>3</v>
      </c>
      <c r="I1305" s="4">
        <v>8</v>
      </c>
      <c r="J1305" s="5">
        <v>45532</v>
      </c>
      <c r="K1305" s="6">
        <v>0.50699074074074069</v>
      </c>
    </row>
    <row r="1306" spans="1:11" x14ac:dyDescent="0.25">
      <c r="A1306" s="4">
        <v>12</v>
      </c>
      <c r="B1306" s="4" t="s">
        <v>11</v>
      </c>
      <c r="C1306" s="7">
        <v>23.02</v>
      </c>
      <c r="D1306" s="4" t="s">
        <v>18</v>
      </c>
      <c r="E1306" s="4" t="s">
        <v>17</v>
      </c>
      <c r="F1306" s="4" t="s">
        <v>28</v>
      </c>
      <c r="G1306" s="4" t="s">
        <v>35</v>
      </c>
      <c r="H1306" s="4">
        <v>3</v>
      </c>
      <c r="I1306" s="4">
        <v>8</v>
      </c>
      <c r="J1306" s="5">
        <v>45532</v>
      </c>
      <c r="K1306" s="6">
        <v>0.52437500000000004</v>
      </c>
    </row>
    <row r="1307" spans="1:11" x14ac:dyDescent="0.25">
      <c r="A1307" s="4">
        <v>13</v>
      </c>
      <c r="B1307" s="4" t="s">
        <v>11</v>
      </c>
      <c r="C1307" s="7">
        <v>27.92</v>
      </c>
      <c r="D1307" s="4" t="s">
        <v>19</v>
      </c>
      <c r="E1307" s="4" t="s">
        <v>17</v>
      </c>
      <c r="F1307" s="4" t="s">
        <v>28</v>
      </c>
      <c r="G1307" s="4" t="s">
        <v>35</v>
      </c>
      <c r="H1307" s="4">
        <v>3</v>
      </c>
      <c r="I1307" s="4">
        <v>8</v>
      </c>
      <c r="J1307" s="5">
        <v>45532</v>
      </c>
      <c r="K1307" s="6">
        <v>0.57540509259259254</v>
      </c>
    </row>
    <row r="1308" spans="1:11" x14ac:dyDescent="0.25">
      <c r="A1308" s="4">
        <v>7</v>
      </c>
      <c r="B1308" s="4" t="s">
        <v>11</v>
      </c>
      <c r="C1308" s="7">
        <v>23.02</v>
      </c>
      <c r="D1308" s="4" t="s">
        <v>18</v>
      </c>
      <c r="E1308" s="4" t="s">
        <v>13</v>
      </c>
      <c r="F1308" s="4" t="s">
        <v>30</v>
      </c>
      <c r="G1308" s="4" t="s">
        <v>35</v>
      </c>
      <c r="H1308" s="4">
        <v>4</v>
      </c>
      <c r="I1308" s="4">
        <v>8</v>
      </c>
      <c r="J1308" s="5">
        <v>45533</v>
      </c>
      <c r="K1308" s="6">
        <v>0.31215277777777778</v>
      </c>
    </row>
    <row r="1309" spans="1:11" x14ac:dyDescent="0.25">
      <c r="A1309" s="4">
        <v>17</v>
      </c>
      <c r="B1309" s="4" t="s">
        <v>11</v>
      </c>
      <c r="C1309" s="7">
        <v>32.82</v>
      </c>
      <c r="D1309" s="4" t="s">
        <v>12</v>
      </c>
      <c r="E1309" s="4" t="s">
        <v>20</v>
      </c>
      <c r="F1309" s="4" t="s">
        <v>14</v>
      </c>
      <c r="G1309" s="4" t="s">
        <v>35</v>
      </c>
      <c r="H1309" s="4">
        <v>5</v>
      </c>
      <c r="I1309" s="4">
        <v>8</v>
      </c>
      <c r="J1309" s="5">
        <v>45534</v>
      </c>
      <c r="K1309" s="6">
        <v>0.71770833333333328</v>
      </c>
    </row>
    <row r="1310" spans="1:11" x14ac:dyDescent="0.25">
      <c r="A1310" s="4">
        <v>17</v>
      </c>
      <c r="B1310" s="4" t="s">
        <v>11</v>
      </c>
      <c r="C1310" s="7">
        <v>27.92</v>
      </c>
      <c r="D1310" s="4" t="s">
        <v>19</v>
      </c>
      <c r="E1310" s="4" t="s">
        <v>20</v>
      </c>
      <c r="F1310" s="4" t="s">
        <v>14</v>
      </c>
      <c r="G1310" s="4" t="s">
        <v>35</v>
      </c>
      <c r="H1310" s="4">
        <v>5</v>
      </c>
      <c r="I1310" s="4">
        <v>8</v>
      </c>
      <c r="J1310" s="5">
        <v>45534</v>
      </c>
      <c r="K1310" s="6">
        <v>0.71842592592592591</v>
      </c>
    </row>
    <row r="1311" spans="1:11" x14ac:dyDescent="0.25">
      <c r="A1311" s="4">
        <v>17</v>
      </c>
      <c r="B1311" s="4" t="s">
        <v>11</v>
      </c>
      <c r="C1311" s="7">
        <v>27.92</v>
      </c>
      <c r="D1311" s="4" t="s">
        <v>19</v>
      </c>
      <c r="E1311" s="4" t="s">
        <v>20</v>
      </c>
      <c r="F1311" s="4" t="s">
        <v>14</v>
      </c>
      <c r="G1311" s="4" t="s">
        <v>35</v>
      </c>
      <c r="H1311" s="4">
        <v>5</v>
      </c>
      <c r="I1311" s="4">
        <v>8</v>
      </c>
      <c r="J1311" s="5">
        <v>45534</v>
      </c>
      <c r="K1311" s="6">
        <v>0.71915509259259258</v>
      </c>
    </row>
    <row r="1312" spans="1:11" x14ac:dyDescent="0.25">
      <c r="A1312" s="4">
        <v>9</v>
      </c>
      <c r="B1312" s="4" t="s">
        <v>11</v>
      </c>
      <c r="C1312" s="7">
        <v>23.02</v>
      </c>
      <c r="D1312" s="4" t="s">
        <v>24</v>
      </c>
      <c r="E1312" s="4" t="s">
        <v>13</v>
      </c>
      <c r="F1312" s="4" t="s">
        <v>22</v>
      </c>
      <c r="G1312" s="4" t="s">
        <v>35</v>
      </c>
      <c r="H1312" s="4">
        <v>6</v>
      </c>
      <c r="I1312" s="4">
        <v>8</v>
      </c>
      <c r="J1312" s="5">
        <v>45535</v>
      </c>
      <c r="K1312" s="6">
        <v>0.38092592592592595</v>
      </c>
    </row>
    <row r="1313" spans="1:11" x14ac:dyDescent="0.25">
      <c r="A1313" s="4">
        <v>10</v>
      </c>
      <c r="B1313" s="4" t="s">
        <v>11</v>
      </c>
      <c r="C1313" s="7">
        <v>27.92</v>
      </c>
      <c r="D1313" s="4" t="s">
        <v>19</v>
      </c>
      <c r="E1313" s="4" t="s">
        <v>13</v>
      </c>
      <c r="F1313" s="4" t="s">
        <v>22</v>
      </c>
      <c r="G1313" s="4" t="s">
        <v>35</v>
      </c>
      <c r="H1313" s="4">
        <v>6</v>
      </c>
      <c r="I1313" s="4">
        <v>8</v>
      </c>
      <c r="J1313" s="5">
        <v>45535</v>
      </c>
      <c r="K1313" s="6">
        <v>0.41814814814814816</v>
      </c>
    </row>
    <row r="1314" spans="1:11" x14ac:dyDescent="0.25">
      <c r="A1314" s="4">
        <v>10</v>
      </c>
      <c r="B1314" s="4" t="s">
        <v>11</v>
      </c>
      <c r="C1314" s="7">
        <v>18.12</v>
      </c>
      <c r="D1314" s="4" t="s">
        <v>26</v>
      </c>
      <c r="E1314" s="4" t="s">
        <v>13</v>
      </c>
      <c r="F1314" s="4" t="s">
        <v>22</v>
      </c>
      <c r="G1314" s="4" t="s">
        <v>35</v>
      </c>
      <c r="H1314" s="4">
        <v>6</v>
      </c>
      <c r="I1314" s="4">
        <v>8</v>
      </c>
      <c r="J1314" s="5">
        <v>45535</v>
      </c>
      <c r="K1314" s="6">
        <v>0.43224537037037036</v>
      </c>
    </row>
    <row r="1315" spans="1:11" x14ac:dyDescent="0.25">
      <c r="A1315" s="4">
        <v>11</v>
      </c>
      <c r="B1315" s="4" t="s">
        <v>11</v>
      </c>
      <c r="C1315" s="7">
        <v>27.92</v>
      </c>
      <c r="D1315" s="4" t="s">
        <v>19</v>
      </c>
      <c r="E1315" s="4" t="s">
        <v>13</v>
      </c>
      <c r="F1315" s="4" t="s">
        <v>22</v>
      </c>
      <c r="G1315" s="4" t="s">
        <v>35</v>
      </c>
      <c r="H1315" s="4">
        <v>6</v>
      </c>
      <c r="I1315" s="4">
        <v>8</v>
      </c>
      <c r="J1315" s="5">
        <v>45535</v>
      </c>
      <c r="K1315" s="6">
        <v>0.47909722222222223</v>
      </c>
    </row>
    <row r="1316" spans="1:11" x14ac:dyDescent="0.25">
      <c r="A1316" s="4">
        <v>11</v>
      </c>
      <c r="B1316" s="4" t="s">
        <v>11</v>
      </c>
      <c r="C1316" s="7">
        <v>23.02</v>
      </c>
      <c r="D1316" s="4" t="s">
        <v>24</v>
      </c>
      <c r="E1316" s="4" t="s">
        <v>13</v>
      </c>
      <c r="F1316" s="4" t="s">
        <v>22</v>
      </c>
      <c r="G1316" s="4" t="s">
        <v>35</v>
      </c>
      <c r="H1316" s="4">
        <v>6</v>
      </c>
      <c r="I1316" s="4">
        <v>8</v>
      </c>
      <c r="J1316" s="5">
        <v>45535</v>
      </c>
      <c r="K1316" s="6">
        <v>0.48170138888888892</v>
      </c>
    </row>
    <row r="1317" spans="1:11" x14ac:dyDescent="0.25">
      <c r="A1317" s="4">
        <v>11</v>
      </c>
      <c r="B1317" s="4" t="s">
        <v>11</v>
      </c>
      <c r="C1317" s="7">
        <v>23.02</v>
      </c>
      <c r="D1317" s="4" t="s">
        <v>24</v>
      </c>
      <c r="E1317" s="4" t="s">
        <v>13</v>
      </c>
      <c r="F1317" s="4" t="s">
        <v>22</v>
      </c>
      <c r="G1317" s="4" t="s">
        <v>35</v>
      </c>
      <c r="H1317" s="4">
        <v>6</v>
      </c>
      <c r="I1317" s="4">
        <v>8</v>
      </c>
      <c r="J1317" s="5">
        <v>45535</v>
      </c>
      <c r="K1317" s="6">
        <v>0.48231481481481481</v>
      </c>
    </row>
    <row r="1318" spans="1:11" x14ac:dyDescent="0.25">
      <c r="A1318" s="4">
        <v>9</v>
      </c>
      <c r="B1318" s="4" t="s">
        <v>11</v>
      </c>
      <c r="C1318" s="7">
        <v>23.02</v>
      </c>
      <c r="D1318" s="4" t="s">
        <v>24</v>
      </c>
      <c r="E1318" s="4" t="s">
        <v>13</v>
      </c>
      <c r="F1318" s="4" t="s">
        <v>23</v>
      </c>
      <c r="G1318" s="4" t="s">
        <v>36</v>
      </c>
      <c r="H1318" s="4">
        <v>7</v>
      </c>
      <c r="I1318" s="4">
        <v>9</v>
      </c>
      <c r="J1318" s="5">
        <v>45536</v>
      </c>
      <c r="K1318" s="6">
        <v>0.39878472222222222</v>
      </c>
    </row>
    <row r="1319" spans="1:11" x14ac:dyDescent="0.25">
      <c r="A1319" s="4">
        <v>12</v>
      </c>
      <c r="B1319" s="4" t="s">
        <v>11</v>
      </c>
      <c r="C1319" s="7">
        <v>32.82</v>
      </c>
      <c r="D1319" s="4" t="s">
        <v>29</v>
      </c>
      <c r="E1319" s="4" t="s">
        <v>17</v>
      </c>
      <c r="F1319" s="4" t="s">
        <v>23</v>
      </c>
      <c r="G1319" s="4" t="s">
        <v>36</v>
      </c>
      <c r="H1319" s="4">
        <v>7</v>
      </c>
      <c r="I1319" s="4">
        <v>9</v>
      </c>
      <c r="J1319" s="5">
        <v>45536</v>
      </c>
      <c r="K1319" s="6">
        <v>0.50791666666666668</v>
      </c>
    </row>
    <row r="1320" spans="1:11" x14ac:dyDescent="0.25">
      <c r="A1320" s="4">
        <v>12</v>
      </c>
      <c r="B1320" s="4" t="s">
        <v>11</v>
      </c>
      <c r="C1320" s="7">
        <v>27.92</v>
      </c>
      <c r="D1320" s="4" t="s">
        <v>19</v>
      </c>
      <c r="E1320" s="4" t="s">
        <v>17</v>
      </c>
      <c r="F1320" s="4" t="s">
        <v>23</v>
      </c>
      <c r="G1320" s="4" t="s">
        <v>36</v>
      </c>
      <c r="H1320" s="4">
        <v>7</v>
      </c>
      <c r="I1320" s="4">
        <v>9</v>
      </c>
      <c r="J1320" s="5">
        <v>45536</v>
      </c>
      <c r="K1320" s="6">
        <v>0.5209259259259259</v>
      </c>
    </row>
    <row r="1321" spans="1:11" x14ac:dyDescent="0.25">
      <c r="A1321" s="4">
        <v>12</v>
      </c>
      <c r="B1321" s="4" t="s">
        <v>11</v>
      </c>
      <c r="C1321" s="7">
        <v>23.02</v>
      </c>
      <c r="D1321" s="4" t="s">
        <v>18</v>
      </c>
      <c r="E1321" s="4" t="s">
        <v>17</v>
      </c>
      <c r="F1321" s="4" t="s">
        <v>23</v>
      </c>
      <c r="G1321" s="4" t="s">
        <v>36</v>
      </c>
      <c r="H1321" s="4">
        <v>7</v>
      </c>
      <c r="I1321" s="4">
        <v>9</v>
      </c>
      <c r="J1321" s="5">
        <v>45536</v>
      </c>
      <c r="K1321" s="6">
        <v>0.52247685185185189</v>
      </c>
    </row>
    <row r="1322" spans="1:11" x14ac:dyDescent="0.25">
      <c r="A1322" s="4">
        <v>12</v>
      </c>
      <c r="B1322" s="4" t="s">
        <v>11</v>
      </c>
      <c r="C1322" s="7">
        <v>27.92</v>
      </c>
      <c r="D1322" s="4" t="s">
        <v>19</v>
      </c>
      <c r="E1322" s="4" t="s">
        <v>17</v>
      </c>
      <c r="F1322" s="4" t="s">
        <v>23</v>
      </c>
      <c r="G1322" s="4" t="s">
        <v>36</v>
      </c>
      <c r="H1322" s="4">
        <v>7</v>
      </c>
      <c r="I1322" s="4">
        <v>9</v>
      </c>
      <c r="J1322" s="5">
        <v>45536</v>
      </c>
      <c r="K1322" s="6">
        <v>0.53491898148148154</v>
      </c>
    </row>
    <row r="1323" spans="1:11" x14ac:dyDescent="0.25">
      <c r="A1323" s="4">
        <v>13</v>
      </c>
      <c r="B1323" s="4" t="s">
        <v>11</v>
      </c>
      <c r="C1323" s="7">
        <v>32.82</v>
      </c>
      <c r="D1323" s="4" t="s">
        <v>12</v>
      </c>
      <c r="E1323" s="4" t="s">
        <v>17</v>
      </c>
      <c r="F1323" s="4" t="s">
        <v>23</v>
      </c>
      <c r="G1323" s="4" t="s">
        <v>36</v>
      </c>
      <c r="H1323" s="4">
        <v>7</v>
      </c>
      <c r="I1323" s="4">
        <v>9</v>
      </c>
      <c r="J1323" s="5">
        <v>45536</v>
      </c>
      <c r="K1323" s="6">
        <v>0.58163194444444444</v>
      </c>
    </row>
    <row r="1324" spans="1:11" x14ac:dyDescent="0.25">
      <c r="A1324" s="4">
        <v>14</v>
      </c>
      <c r="B1324" s="4" t="s">
        <v>11</v>
      </c>
      <c r="C1324" s="7">
        <v>27.92</v>
      </c>
      <c r="D1324" s="4" t="s">
        <v>19</v>
      </c>
      <c r="E1324" s="4" t="s">
        <v>17</v>
      </c>
      <c r="F1324" s="4" t="s">
        <v>23</v>
      </c>
      <c r="G1324" s="4" t="s">
        <v>36</v>
      </c>
      <c r="H1324" s="4">
        <v>7</v>
      </c>
      <c r="I1324" s="4">
        <v>9</v>
      </c>
      <c r="J1324" s="5">
        <v>45536</v>
      </c>
      <c r="K1324" s="6">
        <v>0.61393518518518519</v>
      </c>
    </row>
    <row r="1325" spans="1:11" x14ac:dyDescent="0.25">
      <c r="A1325" s="4">
        <v>17</v>
      </c>
      <c r="B1325" s="4" t="s">
        <v>11</v>
      </c>
      <c r="C1325" s="7">
        <v>32.82</v>
      </c>
      <c r="D1325" s="4" t="s">
        <v>12</v>
      </c>
      <c r="E1325" s="4" t="s">
        <v>20</v>
      </c>
      <c r="F1325" s="4" t="s">
        <v>23</v>
      </c>
      <c r="G1325" s="4" t="s">
        <v>36</v>
      </c>
      <c r="H1325" s="4">
        <v>7</v>
      </c>
      <c r="I1325" s="4">
        <v>9</v>
      </c>
      <c r="J1325" s="5">
        <v>45536</v>
      </c>
      <c r="K1325" s="6">
        <v>0.72275462962962966</v>
      </c>
    </row>
    <row r="1326" spans="1:11" x14ac:dyDescent="0.25">
      <c r="A1326" s="4">
        <v>17</v>
      </c>
      <c r="B1326" s="4" t="s">
        <v>11</v>
      </c>
      <c r="C1326" s="7">
        <v>32.82</v>
      </c>
      <c r="D1326" s="4" t="s">
        <v>12</v>
      </c>
      <c r="E1326" s="4" t="s">
        <v>20</v>
      </c>
      <c r="F1326" s="4" t="s">
        <v>23</v>
      </c>
      <c r="G1326" s="4" t="s">
        <v>36</v>
      </c>
      <c r="H1326" s="4">
        <v>7</v>
      </c>
      <c r="I1326" s="4">
        <v>9</v>
      </c>
      <c r="J1326" s="5">
        <v>45536</v>
      </c>
      <c r="K1326" s="6">
        <v>0.72445601851851849</v>
      </c>
    </row>
    <row r="1327" spans="1:11" x14ac:dyDescent="0.25">
      <c r="A1327" s="4">
        <v>17</v>
      </c>
      <c r="B1327" s="4" t="s">
        <v>11</v>
      </c>
      <c r="C1327" s="7">
        <v>32.82</v>
      </c>
      <c r="D1327" s="4" t="s">
        <v>12</v>
      </c>
      <c r="E1327" s="4" t="s">
        <v>20</v>
      </c>
      <c r="F1327" s="4" t="s">
        <v>23</v>
      </c>
      <c r="G1327" s="4" t="s">
        <v>36</v>
      </c>
      <c r="H1327" s="4">
        <v>7</v>
      </c>
      <c r="I1327" s="4">
        <v>9</v>
      </c>
      <c r="J1327" s="5">
        <v>45536</v>
      </c>
      <c r="K1327" s="6">
        <v>0.72556712962962966</v>
      </c>
    </row>
    <row r="1328" spans="1:11" x14ac:dyDescent="0.25">
      <c r="A1328" s="4">
        <v>8</v>
      </c>
      <c r="B1328" s="4" t="s">
        <v>11</v>
      </c>
      <c r="C1328" s="7">
        <v>32.82</v>
      </c>
      <c r="D1328" s="4" t="s">
        <v>12</v>
      </c>
      <c r="E1328" s="4" t="s">
        <v>13</v>
      </c>
      <c r="F1328" s="4" t="s">
        <v>25</v>
      </c>
      <c r="G1328" s="4" t="s">
        <v>36</v>
      </c>
      <c r="H1328" s="4">
        <v>1</v>
      </c>
      <c r="I1328" s="4">
        <v>9</v>
      </c>
      <c r="J1328" s="5">
        <v>45537</v>
      </c>
      <c r="K1328" s="6">
        <v>0.35045138888888888</v>
      </c>
    </row>
    <row r="1329" spans="1:11" x14ac:dyDescent="0.25">
      <c r="A1329" s="4">
        <v>8</v>
      </c>
      <c r="B1329" s="4" t="s">
        <v>11</v>
      </c>
      <c r="C1329" s="7">
        <v>27.92</v>
      </c>
      <c r="D1329" s="4" t="s">
        <v>19</v>
      </c>
      <c r="E1329" s="4" t="s">
        <v>13</v>
      </c>
      <c r="F1329" s="4" t="s">
        <v>25</v>
      </c>
      <c r="G1329" s="4" t="s">
        <v>36</v>
      </c>
      <c r="H1329" s="4">
        <v>1</v>
      </c>
      <c r="I1329" s="4">
        <v>9</v>
      </c>
      <c r="J1329" s="5">
        <v>45537</v>
      </c>
      <c r="K1329" s="6">
        <v>0.3682523148148148</v>
      </c>
    </row>
    <row r="1330" spans="1:11" x14ac:dyDescent="0.25">
      <c r="A1330" s="4">
        <v>8</v>
      </c>
      <c r="B1330" s="4" t="s">
        <v>11</v>
      </c>
      <c r="C1330" s="7">
        <v>32.82</v>
      </c>
      <c r="D1330" s="4" t="s">
        <v>12</v>
      </c>
      <c r="E1330" s="4" t="s">
        <v>13</v>
      </c>
      <c r="F1330" s="4" t="s">
        <v>25</v>
      </c>
      <c r="G1330" s="4" t="s">
        <v>36</v>
      </c>
      <c r="H1330" s="4">
        <v>1</v>
      </c>
      <c r="I1330" s="4">
        <v>9</v>
      </c>
      <c r="J1330" s="5">
        <v>45537</v>
      </c>
      <c r="K1330" s="6">
        <v>0.36913194444444447</v>
      </c>
    </row>
    <row r="1331" spans="1:11" x14ac:dyDescent="0.25">
      <c r="A1331" s="4">
        <v>14</v>
      </c>
      <c r="B1331" s="4" t="s">
        <v>11</v>
      </c>
      <c r="C1331" s="7">
        <v>27.92</v>
      </c>
      <c r="D1331" s="4" t="s">
        <v>19</v>
      </c>
      <c r="E1331" s="4" t="s">
        <v>17</v>
      </c>
      <c r="F1331" s="4" t="s">
        <v>25</v>
      </c>
      <c r="G1331" s="4" t="s">
        <v>36</v>
      </c>
      <c r="H1331" s="4">
        <v>1</v>
      </c>
      <c r="I1331" s="4">
        <v>9</v>
      </c>
      <c r="J1331" s="5">
        <v>45537</v>
      </c>
      <c r="K1331" s="6">
        <v>0.62415509259259261</v>
      </c>
    </row>
    <row r="1332" spans="1:11" x14ac:dyDescent="0.25">
      <c r="A1332" s="4">
        <v>20</v>
      </c>
      <c r="B1332" s="4" t="s">
        <v>11</v>
      </c>
      <c r="C1332" s="7">
        <v>32.82</v>
      </c>
      <c r="D1332" s="4" t="s">
        <v>29</v>
      </c>
      <c r="E1332" s="4" t="s">
        <v>20</v>
      </c>
      <c r="F1332" s="4" t="s">
        <v>25</v>
      </c>
      <c r="G1332" s="4" t="s">
        <v>36</v>
      </c>
      <c r="H1332" s="4">
        <v>1</v>
      </c>
      <c r="I1332" s="4">
        <v>9</v>
      </c>
      <c r="J1332" s="5">
        <v>45537</v>
      </c>
      <c r="K1332" s="6">
        <v>0.84008101851851846</v>
      </c>
    </row>
    <row r="1333" spans="1:11" x14ac:dyDescent="0.25">
      <c r="A1333" s="4">
        <v>20</v>
      </c>
      <c r="B1333" s="4" t="s">
        <v>11</v>
      </c>
      <c r="C1333" s="7">
        <v>32.82</v>
      </c>
      <c r="D1333" s="4" t="s">
        <v>21</v>
      </c>
      <c r="E1333" s="4" t="s">
        <v>20</v>
      </c>
      <c r="F1333" s="4" t="s">
        <v>25</v>
      </c>
      <c r="G1333" s="4" t="s">
        <v>36</v>
      </c>
      <c r="H1333" s="4">
        <v>1</v>
      </c>
      <c r="I1333" s="4">
        <v>9</v>
      </c>
      <c r="J1333" s="5">
        <v>45537</v>
      </c>
      <c r="K1333" s="6">
        <v>0.84116898148148145</v>
      </c>
    </row>
    <row r="1334" spans="1:11" x14ac:dyDescent="0.25">
      <c r="A1334" s="4">
        <v>20</v>
      </c>
      <c r="B1334" s="4" t="s">
        <v>11</v>
      </c>
      <c r="C1334" s="7">
        <v>23.02</v>
      </c>
      <c r="D1334" s="4" t="s">
        <v>18</v>
      </c>
      <c r="E1334" s="4" t="s">
        <v>20</v>
      </c>
      <c r="F1334" s="4" t="s">
        <v>25</v>
      </c>
      <c r="G1334" s="4" t="s">
        <v>36</v>
      </c>
      <c r="H1334" s="4">
        <v>1</v>
      </c>
      <c r="I1334" s="4">
        <v>9</v>
      </c>
      <c r="J1334" s="5">
        <v>45537</v>
      </c>
      <c r="K1334" s="6">
        <v>0.86980324074074078</v>
      </c>
    </row>
    <row r="1335" spans="1:11" x14ac:dyDescent="0.25">
      <c r="A1335" s="4">
        <v>20</v>
      </c>
      <c r="B1335" s="4" t="s">
        <v>11</v>
      </c>
      <c r="C1335" s="7">
        <v>23.02</v>
      </c>
      <c r="D1335" s="4" t="s">
        <v>18</v>
      </c>
      <c r="E1335" s="4" t="s">
        <v>20</v>
      </c>
      <c r="F1335" s="4" t="s">
        <v>25</v>
      </c>
      <c r="G1335" s="4" t="s">
        <v>36</v>
      </c>
      <c r="H1335" s="4">
        <v>1</v>
      </c>
      <c r="I1335" s="4">
        <v>9</v>
      </c>
      <c r="J1335" s="5">
        <v>45537</v>
      </c>
      <c r="K1335" s="6">
        <v>0.87047453703703703</v>
      </c>
    </row>
    <row r="1336" spans="1:11" x14ac:dyDescent="0.25">
      <c r="A1336" s="4">
        <v>8</v>
      </c>
      <c r="B1336" s="4" t="s">
        <v>11</v>
      </c>
      <c r="C1336" s="7">
        <v>32.82</v>
      </c>
      <c r="D1336" s="4" t="s">
        <v>21</v>
      </c>
      <c r="E1336" s="4" t="s">
        <v>13</v>
      </c>
      <c r="F1336" s="4" t="s">
        <v>27</v>
      </c>
      <c r="G1336" s="4" t="s">
        <v>36</v>
      </c>
      <c r="H1336" s="4">
        <v>2</v>
      </c>
      <c r="I1336" s="4">
        <v>9</v>
      </c>
      <c r="J1336" s="5">
        <v>45538</v>
      </c>
      <c r="K1336" s="6">
        <v>0.34878472222222223</v>
      </c>
    </row>
    <row r="1337" spans="1:11" x14ac:dyDescent="0.25">
      <c r="A1337" s="4">
        <v>8</v>
      </c>
      <c r="B1337" s="4" t="s">
        <v>11</v>
      </c>
      <c r="C1337" s="7">
        <v>32.82</v>
      </c>
      <c r="D1337" s="4" t="s">
        <v>29</v>
      </c>
      <c r="E1337" s="4" t="s">
        <v>13</v>
      </c>
      <c r="F1337" s="4" t="s">
        <v>27</v>
      </c>
      <c r="G1337" s="4" t="s">
        <v>36</v>
      </c>
      <c r="H1337" s="4">
        <v>2</v>
      </c>
      <c r="I1337" s="4">
        <v>9</v>
      </c>
      <c r="J1337" s="5">
        <v>45538</v>
      </c>
      <c r="K1337" s="6">
        <v>0.35291666666666666</v>
      </c>
    </row>
    <row r="1338" spans="1:11" x14ac:dyDescent="0.25">
      <c r="A1338" s="4">
        <v>8</v>
      </c>
      <c r="B1338" s="4" t="s">
        <v>11</v>
      </c>
      <c r="C1338" s="7">
        <v>32.82</v>
      </c>
      <c r="D1338" s="4" t="s">
        <v>12</v>
      </c>
      <c r="E1338" s="4" t="s">
        <v>13</v>
      </c>
      <c r="F1338" s="4" t="s">
        <v>27</v>
      </c>
      <c r="G1338" s="4" t="s">
        <v>36</v>
      </c>
      <c r="H1338" s="4">
        <v>2</v>
      </c>
      <c r="I1338" s="4">
        <v>9</v>
      </c>
      <c r="J1338" s="5">
        <v>45538</v>
      </c>
      <c r="K1338" s="6">
        <v>0.36193287037037036</v>
      </c>
    </row>
    <row r="1339" spans="1:11" x14ac:dyDescent="0.25">
      <c r="A1339" s="4">
        <v>9</v>
      </c>
      <c r="B1339" s="4" t="s">
        <v>11</v>
      </c>
      <c r="C1339" s="7">
        <v>27.92</v>
      </c>
      <c r="D1339" s="4" t="s">
        <v>19</v>
      </c>
      <c r="E1339" s="4" t="s">
        <v>13</v>
      </c>
      <c r="F1339" s="4" t="s">
        <v>27</v>
      </c>
      <c r="G1339" s="4" t="s">
        <v>36</v>
      </c>
      <c r="H1339" s="4">
        <v>2</v>
      </c>
      <c r="I1339" s="4">
        <v>9</v>
      </c>
      <c r="J1339" s="5">
        <v>45538</v>
      </c>
      <c r="K1339" s="6">
        <v>0.37722222222222224</v>
      </c>
    </row>
    <row r="1340" spans="1:11" x14ac:dyDescent="0.25">
      <c r="A1340" s="4">
        <v>9</v>
      </c>
      <c r="B1340" s="4" t="s">
        <v>11</v>
      </c>
      <c r="C1340" s="7">
        <v>32.82</v>
      </c>
      <c r="D1340" s="4" t="s">
        <v>29</v>
      </c>
      <c r="E1340" s="4" t="s">
        <v>13</v>
      </c>
      <c r="F1340" s="4" t="s">
        <v>27</v>
      </c>
      <c r="G1340" s="4" t="s">
        <v>36</v>
      </c>
      <c r="H1340" s="4">
        <v>2</v>
      </c>
      <c r="I1340" s="4">
        <v>9</v>
      </c>
      <c r="J1340" s="5">
        <v>45538</v>
      </c>
      <c r="K1340" s="6">
        <v>0.37790509259259258</v>
      </c>
    </row>
    <row r="1341" spans="1:11" x14ac:dyDescent="0.25">
      <c r="A1341" s="4">
        <v>9</v>
      </c>
      <c r="B1341" s="4" t="s">
        <v>11</v>
      </c>
      <c r="C1341" s="7">
        <v>32.82</v>
      </c>
      <c r="D1341" s="4" t="s">
        <v>21</v>
      </c>
      <c r="E1341" s="4" t="s">
        <v>13</v>
      </c>
      <c r="F1341" s="4" t="s">
        <v>27</v>
      </c>
      <c r="G1341" s="4" t="s">
        <v>36</v>
      </c>
      <c r="H1341" s="4">
        <v>2</v>
      </c>
      <c r="I1341" s="4">
        <v>9</v>
      </c>
      <c r="J1341" s="5">
        <v>45538</v>
      </c>
      <c r="K1341" s="6">
        <v>0.38388888888888889</v>
      </c>
    </row>
    <row r="1342" spans="1:11" x14ac:dyDescent="0.25">
      <c r="A1342" s="4">
        <v>9</v>
      </c>
      <c r="B1342" s="4" t="s">
        <v>11</v>
      </c>
      <c r="C1342" s="7">
        <v>32.82</v>
      </c>
      <c r="D1342" s="4" t="s">
        <v>21</v>
      </c>
      <c r="E1342" s="4" t="s">
        <v>13</v>
      </c>
      <c r="F1342" s="4" t="s">
        <v>27</v>
      </c>
      <c r="G1342" s="4" t="s">
        <v>36</v>
      </c>
      <c r="H1342" s="4">
        <v>2</v>
      </c>
      <c r="I1342" s="4">
        <v>9</v>
      </c>
      <c r="J1342" s="5">
        <v>45538</v>
      </c>
      <c r="K1342" s="6">
        <v>0.38440972222222225</v>
      </c>
    </row>
    <row r="1343" spans="1:11" x14ac:dyDescent="0.25">
      <c r="A1343" s="4">
        <v>9</v>
      </c>
      <c r="B1343" s="4" t="s">
        <v>11</v>
      </c>
      <c r="C1343" s="7">
        <v>27.92</v>
      </c>
      <c r="D1343" s="4" t="s">
        <v>19</v>
      </c>
      <c r="E1343" s="4" t="s">
        <v>13</v>
      </c>
      <c r="F1343" s="4" t="s">
        <v>27</v>
      </c>
      <c r="G1343" s="4" t="s">
        <v>36</v>
      </c>
      <c r="H1343" s="4">
        <v>2</v>
      </c>
      <c r="I1343" s="4">
        <v>9</v>
      </c>
      <c r="J1343" s="5">
        <v>45538</v>
      </c>
      <c r="K1343" s="6">
        <v>0.3868287037037037</v>
      </c>
    </row>
    <row r="1344" spans="1:11" x14ac:dyDescent="0.25">
      <c r="A1344" s="4">
        <v>9</v>
      </c>
      <c r="B1344" s="4" t="s">
        <v>11</v>
      </c>
      <c r="C1344" s="7">
        <v>27.92</v>
      </c>
      <c r="D1344" s="4" t="s">
        <v>19</v>
      </c>
      <c r="E1344" s="4" t="s">
        <v>13</v>
      </c>
      <c r="F1344" s="4" t="s">
        <v>27</v>
      </c>
      <c r="G1344" s="4" t="s">
        <v>36</v>
      </c>
      <c r="H1344" s="4">
        <v>2</v>
      </c>
      <c r="I1344" s="4">
        <v>9</v>
      </c>
      <c r="J1344" s="5">
        <v>45538</v>
      </c>
      <c r="K1344" s="6">
        <v>0.38908564814814817</v>
      </c>
    </row>
    <row r="1345" spans="1:11" x14ac:dyDescent="0.25">
      <c r="A1345" s="4">
        <v>9</v>
      </c>
      <c r="B1345" s="4" t="s">
        <v>11</v>
      </c>
      <c r="C1345" s="7">
        <v>32.82</v>
      </c>
      <c r="D1345" s="4" t="s">
        <v>12</v>
      </c>
      <c r="E1345" s="4" t="s">
        <v>13</v>
      </c>
      <c r="F1345" s="4" t="s">
        <v>27</v>
      </c>
      <c r="G1345" s="4" t="s">
        <v>36</v>
      </c>
      <c r="H1345" s="4">
        <v>2</v>
      </c>
      <c r="I1345" s="4">
        <v>9</v>
      </c>
      <c r="J1345" s="5">
        <v>45538</v>
      </c>
      <c r="K1345" s="6">
        <v>0.40129629629629632</v>
      </c>
    </row>
    <row r="1346" spans="1:11" x14ac:dyDescent="0.25">
      <c r="A1346" s="4">
        <v>9</v>
      </c>
      <c r="B1346" s="4" t="s">
        <v>11</v>
      </c>
      <c r="C1346" s="7">
        <v>32.82</v>
      </c>
      <c r="D1346" s="4" t="s">
        <v>21</v>
      </c>
      <c r="E1346" s="4" t="s">
        <v>13</v>
      </c>
      <c r="F1346" s="4" t="s">
        <v>27</v>
      </c>
      <c r="G1346" s="4" t="s">
        <v>36</v>
      </c>
      <c r="H1346" s="4">
        <v>2</v>
      </c>
      <c r="I1346" s="4">
        <v>9</v>
      </c>
      <c r="J1346" s="5">
        <v>45538</v>
      </c>
      <c r="K1346" s="6">
        <v>0.40203703703703703</v>
      </c>
    </row>
    <row r="1347" spans="1:11" x14ac:dyDescent="0.25">
      <c r="A1347" s="4">
        <v>12</v>
      </c>
      <c r="B1347" s="4" t="s">
        <v>11</v>
      </c>
      <c r="C1347" s="7">
        <v>23.02</v>
      </c>
      <c r="D1347" s="4" t="s">
        <v>24</v>
      </c>
      <c r="E1347" s="4" t="s">
        <v>17</v>
      </c>
      <c r="F1347" s="4" t="s">
        <v>27</v>
      </c>
      <c r="G1347" s="4" t="s">
        <v>36</v>
      </c>
      <c r="H1347" s="4">
        <v>2</v>
      </c>
      <c r="I1347" s="4">
        <v>9</v>
      </c>
      <c r="J1347" s="5">
        <v>45538</v>
      </c>
      <c r="K1347" s="6">
        <v>0.53950231481481481</v>
      </c>
    </row>
    <row r="1348" spans="1:11" x14ac:dyDescent="0.25">
      <c r="A1348" s="4">
        <v>14</v>
      </c>
      <c r="B1348" s="4" t="s">
        <v>11</v>
      </c>
      <c r="C1348" s="7">
        <v>27.92</v>
      </c>
      <c r="D1348" s="4" t="s">
        <v>19</v>
      </c>
      <c r="E1348" s="4" t="s">
        <v>17</v>
      </c>
      <c r="F1348" s="4" t="s">
        <v>27</v>
      </c>
      <c r="G1348" s="4" t="s">
        <v>36</v>
      </c>
      <c r="H1348" s="4">
        <v>2</v>
      </c>
      <c r="I1348" s="4">
        <v>9</v>
      </c>
      <c r="J1348" s="5">
        <v>45538</v>
      </c>
      <c r="K1348" s="6">
        <v>0.59364583333333332</v>
      </c>
    </row>
    <row r="1349" spans="1:11" x14ac:dyDescent="0.25">
      <c r="A1349" s="4">
        <v>14</v>
      </c>
      <c r="B1349" s="4" t="s">
        <v>11</v>
      </c>
      <c r="C1349" s="7">
        <v>27.92</v>
      </c>
      <c r="D1349" s="4" t="s">
        <v>19</v>
      </c>
      <c r="E1349" s="4" t="s">
        <v>17</v>
      </c>
      <c r="F1349" s="4" t="s">
        <v>27</v>
      </c>
      <c r="G1349" s="4" t="s">
        <v>36</v>
      </c>
      <c r="H1349" s="4">
        <v>2</v>
      </c>
      <c r="I1349" s="4">
        <v>9</v>
      </c>
      <c r="J1349" s="5">
        <v>45538</v>
      </c>
      <c r="K1349" s="6">
        <v>0.59464120370370366</v>
      </c>
    </row>
    <row r="1350" spans="1:11" x14ac:dyDescent="0.25">
      <c r="A1350" s="4">
        <v>18</v>
      </c>
      <c r="B1350" s="4" t="s">
        <v>11</v>
      </c>
      <c r="C1350" s="7">
        <v>27.92</v>
      </c>
      <c r="D1350" s="4" t="s">
        <v>19</v>
      </c>
      <c r="E1350" s="4" t="s">
        <v>20</v>
      </c>
      <c r="F1350" s="4" t="s">
        <v>27</v>
      </c>
      <c r="G1350" s="4" t="s">
        <v>36</v>
      </c>
      <c r="H1350" s="4">
        <v>2</v>
      </c>
      <c r="I1350" s="4">
        <v>9</v>
      </c>
      <c r="J1350" s="5">
        <v>45538</v>
      </c>
      <c r="K1350" s="6">
        <v>0.78372685185185187</v>
      </c>
    </row>
    <row r="1351" spans="1:11" x14ac:dyDescent="0.25">
      <c r="A1351" s="4">
        <v>19</v>
      </c>
      <c r="B1351" s="4" t="s">
        <v>11</v>
      </c>
      <c r="C1351" s="7">
        <v>32.82</v>
      </c>
      <c r="D1351" s="4" t="s">
        <v>12</v>
      </c>
      <c r="E1351" s="4" t="s">
        <v>20</v>
      </c>
      <c r="F1351" s="4" t="s">
        <v>27</v>
      </c>
      <c r="G1351" s="4" t="s">
        <v>36</v>
      </c>
      <c r="H1351" s="4">
        <v>2</v>
      </c>
      <c r="I1351" s="4">
        <v>9</v>
      </c>
      <c r="J1351" s="5">
        <v>45538</v>
      </c>
      <c r="K1351" s="6">
        <v>0.7994444444444444</v>
      </c>
    </row>
    <row r="1352" spans="1:11" x14ac:dyDescent="0.25">
      <c r="A1352" s="4">
        <v>19</v>
      </c>
      <c r="B1352" s="4" t="s">
        <v>11</v>
      </c>
      <c r="C1352" s="7">
        <v>27.92</v>
      </c>
      <c r="D1352" s="4" t="s">
        <v>19</v>
      </c>
      <c r="E1352" s="4" t="s">
        <v>20</v>
      </c>
      <c r="F1352" s="4" t="s">
        <v>27</v>
      </c>
      <c r="G1352" s="4" t="s">
        <v>36</v>
      </c>
      <c r="H1352" s="4">
        <v>2</v>
      </c>
      <c r="I1352" s="4">
        <v>9</v>
      </c>
      <c r="J1352" s="5">
        <v>45538</v>
      </c>
      <c r="K1352" s="6">
        <v>0.8036226851851852</v>
      </c>
    </row>
    <row r="1353" spans="1:11" x14ac:dyDescent="0.25">
      <c r="A1353" s="4">
        <v>11</v>
      </c>
      <c r="B1353" s="4" t="s">
        <v>11</v>
      </c>
      <c r="C1353" s="7">
        <v>27.92</v>
      </c>
      <c r="D1353" s="4" t="s">
        <v>19</v>
      </c>
      <c r="E1353" s="4" t="s">
        <v>13</v>
      </c>
      <c r="F1353" s="4" t="s">
        <v>28</v>
      </c>
      <c r="G1353" s="4" t="s">
        <v>36</v>
      </c>
      <c r="H1353" s="4">
        <v>3</v>
      </c>
      <c r="I1353" s="4">
        <v>9</v>
      </c>
      <c r="J1353" s="5">
        <v>45539</v>
      </c>
      <c r="K1353" s="6">
        <v>0.46621527777777777</v>
      </c>
    </row>
    <row r="1354" spans="1:11" x14ac:dyDescent="0.25">
      <c r="A1354" s="4">
        <v>11</v>
      </c>
      <c r="B1354" s="4" t="s">
        <v>11</v>
      </c>
      <c r="C1354" s="7">
        <v>32.82</v>
      </c>
      <c r="D1354" s="4" t="s">
        <v>12</v>
      </c>
      <c r="E1354" s="4" t="s">
        <v>13</v>
      </c>
      <c r="F1354" s="4" t="s">
        <v>28</v>
      </c>
      <c r="G1354" s="4" t="s">
        <v>36</v>
      </c>
      <c r="H1354" s="4">
        <v>3</v>
      </c>
      <c r="I1354" s="4">
        <v>9</v>
      </c>
      <c r="J1354" s="5">
        <v>45539</v>
      </c>
      <c r="K1354" s="6">
        <v>0.48166666666666669</v>
      </c>
    </row>
    <row r="1355" spans="1:11" x14ac:dyDescent="0.25">
      <c r="A1355" s="4">
        <v>11</v>
      </c>
      <c r="B1355" s="4" t="s">
        <v>11</v>
      </c>
      <c r="C1355" s="7">
        <v>23.02</v>
      </c>
      <c r="D1355" s="4" t="s">
        <v>18</v>
      </c>
      <c r="E1355" s="4" t="s">
        <v>13</v>
      </c>
      <c r="F1355" s="4" t="s">
        <v>28</v>
      </c>
      <c r="G1355" s="4" t="s">
        <v>36</v>
      </c>
      <c r="H1355" s="4">
        <v>3</v>
      </c>
      <c r="I1355" s="4">
        <v>9</v>
      </c>
      <c r="J1355" s="5">
        <v>45539</v>
      </c>
      <c r="K1355" s="6">
        <v>0.49170138888888887</v>
      </c>
    </row>
    <row r="1356" spans="1:11" x14ac:dyDescent="0.25">
      <c r="A1356" s="4">
        <v>11</v>
      </c>
      <c r="B1356" s="4" t="s">
        <v>11</v>
      </c>
      <c r="C1356" s="7">
        <v>27.92</v>
      </c>
      <c r="D1356" s="4" t="s">
        <v>19</v>
      </c>
      <c r="E1356" s="4" t="s">
        <v>13</v>
      </c>
      <c r="F1356" s="4" t="s">
        <v>28</v>
      </c>
      <c r="G1356" s="4" t="s">
        <v>36</v>
      </c>
      <c r="H1356" s="4">
        <v>3</v>
      </c>
      <c r="I1356" s="4">
        <v>9</v>
      </c>
      <c r="J1356" s="5">
        <v>45539</v>
      </c>
      <c r="K1356" s="6">
        <v>0.49692129629629628</v>
      </c>
    </row>
    <row r="1357" spans="1:11" x14ac:dyDescent="0.25">
      <c r="A1357" s="4">
        <v>12</v>
      </c>
      <c r="B1357" s="4" t="s">
        <v>11</v>
      </c>
      <c r="C1357" s="7">
        <v>32.82</v>
      </c>
      <c r="D1357" s="4" t="s">
        <v>12</v>
      </c>
      <c r="E1357" s="4" t="s">
        <v>17</v>
      </c>
      <c r="F1357" s="4" t="s">
        <v>28</v>
      </c>
      <c r="G1357" s="4" t="s">
        <v>36</v>
      </c>
      <c r="H1357" s="4">
        <v>3</v>
      </c>
      <c r="I1357" s="4">
        <v>9</v>
      </c>
      <c r="J1357" s="5">
        <v>45539</v>
      </c>
      <c r="K1357" s="6">
        <v>0.53716435185185185</v>
      </c>
    </row>
    <row r="1358" spans="1:11" x14ac:dyDescent="0.25">
      <c r="A1358" s="4">
        <v>13</v>
      </c>
      <c r="B1358" s="4" t="s">
        <v>11</v>
      </c>
      <c r="C1358" s="7">
        <v>32.82</v>
      </c>
      <c r="D1358" s="4" t="s">
        <v>12</v>
      </c>
      <c r="E1358" s="4" t="s">
        <v>17</v>
      </c>
      <c r="F1358" s="4" t="s">
        <v>28</v>
      </c>
      <c r="G1358" s="4" t="s">
        <v>36</v>
      </c>
      <c r="H1358" s="4">
        <v>3</v>
      </c>
      <c r="I1358" s="4">
        <v>9</v>
      </c>
      <c r="J1358" s="5">
        <v>45539</v>
      </c>
      <c r="K1358" s="6">
        <v>0.54432870370370368</v>
      </c>
    </row>
    <row r="1359" spans="1:11" x14ac:dyDescent="0.25">
      <c r="A1359" s="4">
        <v>13</v>
      </c>
      <c r="B1359" s="4" t="s">
        <v>11</v>
      </c>
      <c r="C1359" s="7">
        <v>27.92</v>
      </c>
      <c r="D1359" s="4" t="s">
        <v>19</v>
      </c>
      <c r="E1359" s="4" t="s">
        <v>17</v>
      </c>
      <c r="F1359" s="4" t="s">
        <v>28</v>
      </c>
      <c r="G1359" s="4" t="s">
        <v>36</v>
      </c>
      <c r="H1359" s="4">
        <v>3</v>
      </c>
      <c r="I1359" s="4">
        <v>9</v>
      </c>
      <c r="J1359" s="5">
        <v>45539</v>
      </c>
      <c r="K1359" s="6">
        <v>0.54532407407407413</v>
      </c>
    </row>
    <row r="1360" spans="1:11" x14ac:dyDescent="0.25">
      <c r="A1360" s="4">
        <v>18</v>
      </c>
      <c r="B1360" s="4" t="s">
        <v>11</v>
      </c>
      <c r="C1360" s="7">
        <v>32.82</v>
      </c>
      <c r="D1360" s="4" t="s">
        <v>29</v>
      </c>
      <c r="E1360" s="4" t="s">
        <v>20</v>
      </c>
      <c r="F1360" s="4" t="s">
        <v>28</v>
      </c>
      <c r="G1360" s="4" t="s">
        <v>36</v>
      </c>
      <c r="H1360" s="4">
        <v>3</v>
      </c>
      <c r="I1360" s="4">
        <v>9</v>
      </c>
      <c r="J1360" s="5">
        <v>45539</v>
      </c>
      <c r="K1360" s="6">
        <v>0.75261574074074078</v>
      </c>
    </row>
    <row r="1361" spans="1:11" x14ac:dyDescent="0.25">
      <c r="A1361" s="4">
        <v>19</v>
      </c>
      <c r="B1361" s="4" t="s">
        <v>11</v>
      </c>
      <c r="C1361" s="7">
        <v>27.92</v>
      </c>
      <c r="D1361" s="4" t="s">
        <v>19</v>
      </c>
      <c r="E1361" s="4" t="s">
        <v>20</v>
      </c>
      <c r="F1361" s="4" t="s">
        <v>28</v>
      </c>
      <c r="G1361" s="4" t="s">
        <v>36</v>
      </c>
      <c r="H1361" s="4">
        <v>3</v>
      </c>
      <c r="I1361" s="4">
        <v>9</v>
      </c>
      <c r="J1361" s="5">
        <v>45539</v>
      </c>
      <c r="K1361" s="6">
        <v>0.8206134259259259</v>
      </c>
    </row>
    <row r="1362" spans="1:11" x14ac:dyDescent="0.25">
      <c r="A1362" s="4">
        <v>21</v>
      </c>
      <c r="B1362" s="4" t="s">
        <v>11</v>
      </c>
      <c r="C1362" s="7">
        <v>32.82</v>
      </c>
      <c r="D1362" s="4" t="s">
        <v>12</v>
      </c>
      <c r="E1362" s="4" t="s">
        <v>20</v>
      </c>
      <c r="F1362" s="4" t="s">
        <v>28</v>
      </c>
      <c r="G1362" s="4" t="s">
        <v>36</v>
      </c>
      <c r="H1362" s="4">
        <v>3</v>
      </c>
      <c r="I1362" s="4">
        <v>9</v>
      </c>
      <c r="J1362" s="5">
        <v>45539</v>
      </c>
      <c r="K1362" s="6">
        <v>0.88859953703703709</v>
      </c>
    </row>
    <row r="1363" spans="1:11" x14ac:dyDescent="0.25">
      <c r="A1363" s="4">
        <v>9</v>
      </c>
      <c r="B1363" s="4" t="s">
        <v>11</v>
      </c>
      <c r="C1363" s="7">
        <v>27.92</v>
      </c>
      <c r="D1363" s="4" t="s">
        <v>19</v>
      </c>
      <c r="E1363" s="4" t="s">
        <v>13</v>
      </c>
      <c r="F1363" s="4" t="s">
        <v>30</v>
      </c>
      <c r="G1363" s="4" t="s">
        <v>36</v>
      </c>
      <c r="H1363" s="4">
        <v>4</v>
      </c>
      <c r="I1363" s="4">
        <v>9</v>
      </c>
      <c r="J1363" s="5">
        <v>45540</v>
      </c>
      <c r="K1363" s="6">
        <v>0.39672453703703703</v>
      </c>
    </row>
    <row r="1364" spans="1:11" x14ac:dyDescent="0.25">
      <c r="A1364" s="4">
        <v>10</v>
      </c>
      <c r="B1364" s="4" t="s">
        <v>11</v>
      </c>
      <c r="C1364" s="7">
        <v>27.92</v>
      </c>
      <c r="D1364" s="4" t="s">
        <v>19</v>
      </c>
      <c r="E1364" s="4" t="s">
        <v>13</v>
      </c>
      <c r="F1364" s="4" t="s">
        <v>30</v>
      </c>
      <c r="G1364" s="4" t="s">
        <v>36</v>
      </c>
      <c r="H1364" s="4">
        <v>4</v>
      </c>
      <c r="I1364" s="4">
        <v>9</v>
      </c>
      <c r="J1364" s="5">
        <v>45540</v>
      </c>
      <c r="K1364" s="6">
        <v>0.43675925925925924</v>
      </c>
    </row>
    <row r="1365" spans="1:11" x14ac:dyDescent="0.25">
      <c r="A1365" s="4">
        <v>11</v>
      </c>
      <c r="B1365" s="4" t="s">
        <v>11</v>
      </c>
      <c r="C1365" s="7">
        <v>23.02</v>
      </c>
      <c r="D1365" s="4" t="s">
        <v>18</v>
      </c>
      <c r="E1365" s="4" t="s">
        <v>13</v>
      </c>
      <c r="F1365" s="4" t="s">
        <v>30</v>
      </c>
      <c r="G1365" s="4" t="s">
        <v>36</v>
      </c>
      <c r="H1365" s="4">
        <v>4</v>
      </c>
      <c r="I1365" s="4">
        <v>9</v>
      </c>
      <c r="J1365" s="5">
        <v>45540</v>
      </c>
      <c r="K1365" s="6">
        <v>0.46284722222222224</v>
      </c>
    </row>
    <row r="1366" spans="1:11" x14ac:dyDescent="0.25">
      <c r="A1366" s="4">
        <v>14</v>
      </c>
      <c r="B1366" s="4" t="s">
        <v>11</v>
      </c>
      <c r="C1366" s="7">
        <v>32.82</v>
      </c>
      <c r="D1366" s="4" t="s">
        <v>12</v>
      </c>
      <c r="E1366" s="4" t="s">
        <v>17</v>
      </c>
      <c r="F1366" s="4" t="s">
        <v>30</v>
      </c>
      <c r="G1366" s="4" t="s">
        <v>36</v>
      </c>
      <c r="H1366" s="4">
        <v>4</v>
      </c>
      <c r="I1366" s="4">
        <v>9</v>
      </c>
      <c r="J1366" s="5">
        <v>45540</v>
      </c>
      <c r="K1366" s="6">
        <v>0.58364583333333331</v>
      </c>
    </row>
    <row r="1367" spans="1:11" x14ac:dyDescent="0.25">
      <c r="A1367" s="4">
        <v>15</v>
      </c>
      <c r="B1367" s="4" t="s">
        <v>11</v>
      </c>
      <c r="C1367" s="7">
        <v>32.82</v>
      </c>
      <c r="D1367" s="4" t="s">
        <v>12</v>
      </c>
      <c r="E1367" s="4" t="s">
        <v>17</v>
      </c>
      <c r="F1367" s="4" t="s">
        <v>30</v>
      </c>
      <c r="G1367" s="4" t="s">
        <v>36</v>
      </c>
      <c r="H1367" s="4">
        <v>4</v>
      </c>
      <c r="I1367" s="4">
        <v>9</v>
      </c>
      <c r="J1367" s="5">
        <v>45540</v>
      </c>
      <c r="K1367" s="6">
        <v>0.64249999999999996</v>
      </c>
    </row>
    <row r="1368" spans="1:11" x14ac:dyDescent="0.25">
      <c r="A1368" s="4">
        <v>16</v>
      </c>
      <c r="B1368" s="4" t="s">
        <v>11</v>
      </c>
      <c r="C1368" s="7">
        <v>23.02</v>
      </c>
      <c r="D1368" s="4" t="s">
        <v>18</v>
      </c>
      <c r="E1368" s="4" t="s">
        <v>17</v>
      </c>
      <c r="F1368" s="4" t="s">
        <v>30</v>
      </c>
      <c r="G1368" s="4" t="s">
        <v>36</v>
      </c>
      <c r="H1368" s="4">
        <v>4</v>
      </c>
      <c r="I1368" s="4">
        <v>9</v>
      </c>
      <c r="J1368" s="5">
        <v>45540</v>
      </c>
      <c r="K1368" s="6">
        <v>0.69363425925925926</v>
      </c>
    </row>
    <row r="1369" spans="1:11" x14ac:dyDescent="0.25">
      <c r="A1369" s="4">
        <v>16</v>
      </c>
      <c r="B1369" s="4" t="s">
        <v>11</v>
      </c>
      <c r="C1369" s="7">
        <v>27.92</v>
      </c>
      <c r="D1369" s="4" t="s">
        <v>19</v>
      </c>
      <c r="E1369" s="4" t="s">
        <v>17</v>
      </c>
      <c r="F1369" s="4" t="s">
        <v>30</v>
      </c>
      <c r="G1369" s="4" t="s">
        <v>36</v>
      </c>
      <c r="H1369" s="4">
        <v>4</v>
      </c>
      <c r="I1369" s="4">
        <v>9</v>
      </c>
      <c r="J1369" s="5">
        <v>45540</v>
      </c>
      <c r="K1369" s="6">
        <v>0.69443287037037038</v>
      </c>
    </row>
    <row r="1370" spans="1:11" x14ac:dyDescent="0.25">
      <c r="A1370" s="4">
        <v>17</v>
      </c>
      <c r="B1370" s="4" t="s">
        <v>11</v>
      </c>
      <c r="C1370" s="7">
        <v>32.82</v>
      </c>
      <c r="D1370" s="4" t="s">
        <v>29</v>
      </c>
      <c r="E1370" s="4" t="s">
        <v>20</v>
      </c>
      <c r="F1370" s="4" t="s">
        <v>30</v>
      </c>
      <c r="G1370" s="4" t="s">
        <v>36</v>
      </c>
      <c r="H1370" s="4">
        <v>4</v>
      </c>
      <c r="I1370" s="4">
        <v>9</v>
      </c>
      <c r="J1370" s="5">
        <v>45540</v>
      </c>
      <c r="K1370" s="6">
        <v>0.71143518518518523</v>
      </c>
    </row>
    <row r="1371" spans="1:11" x14ac:dyDescent="0.25">
      <c r="A1371" s="4">
        <v>17</v>
      </c>
      <c r="B1371" s="4" t="s">
        <v>11</v>
      </c>
      <c r="C1371" s="7">
        <v>32.82</v>
      </c>
      <c r="D1371" s="4" t="s">
        <v>29</v>
      </c>
      <c r="E1371" s="4" t="s">
        <v>20</v>
      </c>
      <c r="F1371" s="4" t="s">
        <v>30</v>
      </c>
      <c r="G1371" s="4" t="s">
        <v>36</v>
      </c>
      <c r="H1371" s="4">
        <v>4</v>
      </c>
      <c r="I1371" s="4">
        <v>9</v>
      </c>
      <c r="J1371" s="5">
        <v>45540</v>
      </c>
      <c r="K1371" s="6">
        <v>0.7121643518518519</v>
      </c>
    </row>
    <row r="1372" spans="1:11" x14ac:dyDescent="0.25">
      <c r="A1372" s="4">
        <v>20</v>
      </c>
      <c r="B1372" s="4" t="s">
        <v>11</v>
      </c>
      <c r="C1372" s="7">
        <v>32.82</v>
      </c>
      <c r="D1372" s="4" t="s">
        <v>29</v>
      </c>
      <c r="E1372" s="4" t="s">
        <v>20</v>
      </c>
      <c r="F1372" s="4" t="s">
        <v>30</v>
      </c>
      <c r="G1372" s="4" t="s">
        <v>36</v>
      </c>
      <c r="H1372" s="4">
        <v>4</v>
      </c>
      <c r="I1372" s="4">
        <v>9</v>
      </c>
      <c r="J1372" s="5">
        <v>45540</v>
      </c>
      <c r="K1372" s="6">
        <v>0.85432870370370373</v>
      </c>
    </row>
    <row r="1373" spans="1:11" x14ac:dyDescent="0.25">
      <c r="A1373" s="4">
        <v>20</v>
      </c>
      <c r="B1373" s="4" t="s">
        <v>11</v>
      </c>
      <c r="C1373" s="7">
        <v>23.02</v>
      </c>
      <c r="D1373" s="4" t="s">
        <v>18</v>
      </c>
      <c r="E1373" s="4" t="s">
        <v>20</v>
      </c>
      <c r="F1373" s="4" t="s">
        <v>30</v>
      </c>
      <c r="G1373" s="4" t="s">
        <v>36</v>
      </c>
      <c r="H1373" s="4">
        <v>4</v>
      </c>
      <c r="I1373" s="4">
        <v>9</v>
      </c>
      <c r="J1373" s="5">
        <v>45540</v>
      </c>
      <c r="K1373" s="6">
        <v>0.87111111111111106</v>
      </c>
    </row>
    <row r="1374" spans="1:11" x14ac:dyDescent="0.25">
      <c r="A1374" s="4">
        <v>20</v>
      </c>
      <c r="B1374" s="4" t="s">
        <v>11</v>
      </c>
      <c r="C1374" s="7">
        <v>32.82</v>
      </c>
      <c r="D1374" s="4" t="s">
        <v>29</v>
      </c>
      <c r="E1374" s="4" t="s">
        <v>20</v>
      </c>
      <c r="F1374" s="4" t="s">
        <v>30</v>
      </c>
      <c r="G1374" s="4" t="s">
        <v>36</v>
      </c>
      <c r="H1374" s="4">
        <v>4</v>
      </c>
      <c r="I1374" s="4">
        <v>9</v>
      </c>
      <c r="J1374" s="5">
        <v>45540</v>
      </c>
      <c r="K1374" s="6">
        <v>0.87188657407407411</v>
      </c>
    </row>
    <row r="1375" spans="1:11" x14ac:dyDescent="0.25">
      <c r="A1375" s="4">
        <v>21</v>
      </c>
      <c r="B1375" s="4" t="s">
        <v>11</v>
      </c>
      <c r="C1375" s="7">
        <v>27.92</v>
      </c>
      <c r="D1375" s="4" t="s">
        <v>19</v>
      </c>
      <c r="E1375" s="4" t="s">
        <v>20</v>
      </c>
      <c r="F1375" s="4" t="s">
        <v>30</v>
      </c>
      <c r="G1375" s="4" t="s">
        <v>36</v>
      </c>
      <c r="H1375" s="4">
        <v>4</v>
      </c>
      <c r="I1375" s="4">
        <v>9</v>
      </c>
      <c r="J1375" s="5">
        <v>45540</v>
      </c>
      <c r="K1375" s="6">
        <v>0.89337962962962958</v>
      </c>
    </row>
    <row r="1376" spans="1:11" x14ac:dyDescent="0.25">
      <c r="A1376" s="4">
        <v>21</v>
      </c>
      <c r="B1376" s="4" t="s">
        <v>11</v>
      </c>
      <c r="C1376" s="7">
        <v>27.92</v>
      </c>
      <c r="D1376" s="4" t="s">
        <v>19</v>
      </c>
      <c r="E1376" s="4" t="s">
        <v>20</v>
      </c>
      <c r="F1376" s="4" t="s">
        <v>30</v>
      </c>
      <c r="G1376" s="4" t="s">
        <v>36</v>
      </c>
      <c r="H1376" s="4">
        <v>4</v>
      </c>
      <c r="I1376" s="4">
        <v>9</v>
      </c>
      <c r="J1376" s="5">
        <v>45540</v>
      </c>
      <c r="K1376" s="6">
        <v>0.89408564814814817</v>
      </c>
    </row>
    <row r="1377" spans="1:11" x14ac:dyDescent="0.25">
      <c r="A1377" s="4">
        <v>8</v>
      </c>
      <c r="B1377" s="4" t="s">
        <v>11</v>
      </c>
      <c r="C1377" s="7">
        <v>32.82</v>
      </c>
      <c r="D1377" s="4" t="s">
        <v>29</v>
      </c>
      <c r="E1377" s="4" t="s">
        <v>13</v>
      </c>
      <c r="F1377" s="4" t="s">
        <v>14</v>
      </c>
      <c r="G1377" s="4" t="s">
        <v>36</v>
      </c>
      <c r="H1377" s="4">
        <v>5</v>
      </c>
      <c r="I1377" s="4">
        <v>9</v>
      </c>
      <c r="J1377" s="5">
        <v>45541</v>
      </c>
      <c r="K1377" s="6">
        <v>0.35107638888888887</v>
      </c>
    </row>
    <row r="1378" spans="1:11" x14ac:dyDescent="0.25">
      <c r="A1378" s="4">
        <v>8</v>
      </c>
      <c r="B1378" s="4" t="s">
        <v>11</v>
      </c>
      <c r="C1378" s="7">
        <v>32.82</v>
      </c>
      <c r="D1378" s="4" t="s">
        <v>12</v>
      </c>
      <c r="E1378" s="4" t="s">
        <v>13</v>
      </c>
      <c r="F1378" s="4" t="s">
        <v>14</v>
      </c>
      <c r="G1378" s="4" t="s">
        <v>36</v>
      </c>
      <c r="H1378" s="4">
        <v>5</v>
      </c>
      <c r="I1378" s="4">
        <v>9</v>
      </c>
      <c r="J1378" s="5">
        <v>45541</v>
      </c>
      <c r="K1378" s="6">
        <v>0.35747685185185185</v>
      </c>
    </row>
    <row r="1379" spans="1:11" x14ac:dyDescent="0.25">
      <c r="A1379" s="4">
        <v>8</v>
      </c>
      <c r="B1379" s="4" t="s">
        <v>11</v>
      </c>
      <c r="C1379" s="7">
        <v>23.02</v>
      </c>
      <c r="D1379" s="4" t="s">
        <v>18</v>
      </c>
      <c r="E1379" s="4" t="s">
        <v>13</v>
      </c>
      <c r="F1379" s="4" t="s">
        <v>14</v>
      </c>
      <c r="G1379" s="4" t="s">
        <v>36</v>
      </c>
      <c r="H1379" s="4">
        <v>5</v>
      </c>
      <c r="I1379" s="4">
        <v>9</v>
      </c>
      <c r="J1379" s="5">
        <v>45541</v>
      </c>
      <c r="K1379" s="6">
        <v>0.37130787037037039</v>
      </c>
    </row>
    <row r="1380" spans="1:11" x14ac:dyDescent="0.25">
      <c r="A1380" s="4">
        <v>9</v>
      </c>
      <c r="B1380" s="4" t="s">
        <v>11</v>
      </c>
      <c r="C1380" s="7">
        <v>18.12</v>
      </c>
      <c r="D1380" s="4" t="s">
        <v>26</v>
      </c>
      <c r="E1380" s="4" t="s">
        <v>13</v>
      </c>
      <c r="F1380" s="4" t="s">
        <v>14</v>
      </c>
      <c r="G1380" s="4" t="s">
        <v>36</v>
      </c>
      <c r="H1380" s="4">
        <v>5</v>
      </c>
      <c r="I1380" s="4">
        <v>9</v>
      </c>
      <c r="J1380" s="5">
        <v>45541</v>
      </c>
      <c r="K1380" s="6">
        <v>0.41017361111111111</v>
      </c>
    </row>
    <row r="1381" spans="1:11" x14ac:dyDescent="0.25">
      <c r="A1381" s="4">
        <v>9</v>
      </c>
      <c r="B1381" s="4" t="s">
        <v>11</v>
      </c>
      <c r="C1381" s="7">
        <v>32.82</v>
      </c>
      <c r="D1381" s="4" t="s">
        <v>12</v>
      </c>
      <c r="E1381" s="4" t="s">
        <v>13</v>
      </c>
      <c r="F1381" s="4" t="s">
        <v>14</v>
      </c>
      <c r="G1381" s="4" t="s">
        <v>36</v>
      </c>
      <c r="H1381" s="4">
        <v>5</v>
      </c>
      <c r="I1381" s="4">
        <v>9</v>
      </c>
      <c r="J1381" s="5">
        <v>45541</v>
      </c>
      <c r="K1381" s="6">
        <v>0.41101851851851851</v>
      </c>
    </row>
    <row r="1382" spans="1:11" x14ac:dyDescent="0.25">
      <c r="A1382" s="4">
        <v>10</v>
      </c>
      <c r="B1382" s="4" t="s">
        <v>11</v>
      </c>
      <c r="C1382" s="7">
        <v>32.82</v>
      </c>
      <c r="D1382" s="4" t="s">
        <v>16</v>
      </c>
      <c r="E1382" s="4" t="s">
        <v>13</v>
      </c>
      <c r="F1382" s="4" t="s">
        <v>14</v>
      </c>
      <c r="G1382" s="4" t="s">
        <v>36</v>
      </c>
      <c r="H1382" s="4">
        <v>5</v>
      </c>
      <c r="I1382" s="4">
        <v>9</v>
      </c>
      <c r="J1382" s="5">
        <v>45541</v>
      </c>
      <c r="K1382" s="6">
        <v>0.43756944444444446</v>
      </c>
    </row>
    <row r="1383" spans="1:11" x14ac:dyDescent="0.25">
      <c r="A1383" s="4">
        <v>11</v>
      </c>
      <c r="B1383" s="4" t="s">
        <v>11</v>
      </c>
      <c r="C1383" s="7">
        <v>18.12</v>
      </c>
      <c r="D1383" s="4" t="s">
        <v>26</v>
      </c>
      <c r="E1383" s="4" t="s">
        <v>13</v>
      </c>
      <c r="F1383" s="4" t="s">
        <v>14</v>
      </c>
      <c r="G1383" s="4" t="s">
        <v>36</v>
      </c>
      <c r="H1383" s="4">
        <v>5</v>
      </c>
      <c r="I1383" s="4">
        <v>9</v>
      </c>
      <c r="J1383" s="5">
        <v>45541</v>
      </c>
      <c r="K1383" s="6">
        <v>0.4745949074074074</v>
      </c>
    </row>
    <row r="1384" spans="1:11" x14ac:dyDescent="0.25">
      <c r="A1384" s="4">
        <v>11</v>
      </c>
      <c r="B1384" s="4" t="s">
        <v>11</v>
      </c>
      <c r="C1384" s="7">
        <v>18.12</v>
      </c>
      <c r="D1384" s="4" t="s">
        <v>26</v>
      </c>
      <c r="E1384" s="4" t="s">
        <v>13</v>
      </c>
      <c r="F1384" s="4" t="s">
        <v>14</v>
      </c>
      <c r="G1384" s="4" t="s">
        <v>36</v>
      </c>
      <c r="H1384" s="4">
        <v>5</v>
      </c>
      <c r="I1384" s="4">
        <v>9</v>
      </c>
      <c r="J1384" s="5">
        <v>45541</v>
      </c>
      <c r="K1384" s="6">
        <v>0.47533564814814816</v>
      </c>
    </row>
    <row r="1385" spans="1:11" x14ac:dyDescent="0.25">
      <c r="A1385" s="4">
        <v>20</v>
      </c>
      <c r="B1385" s="4" t="s">
        <v>11</v>
      </c>
      <c r="C1385" s="7">
        <v>32.82</v>
      </c>
      <c r="D1385" s="4" t="s">
        <v>12</v>
      </c>
      <c r="E1385" s="4" t="s">
        <v>20</v>
      </c>
      <c r="F1385" s="4" t="s">
        <v>14</v>
      </c>
      <c r="G1385" s="4" t="s">
        <v>36</v>
      </c>
      <c r="H1385" s="4">
        <v>5</v>
      </c>
      <c r="I1385" s="4">
        <v>9</v>
      </c>
      <c r="J1385" s="5">
        <v>45541</v>
      </c>
      <c r="K1385" s="6">
        <v>0.83347222222222217</v>
      </c>
    </row>
    <row r="1386" spans="1:11" x14ac:dyDescent="0.25">
      <c r="A1386" s="4">
        <v>21</v>
      </c>
      <c r="B1386" s="4" t="s">
        <v>11</v>
      </c>
      <c r="C1386" s="7">
        <v>32.82</v>
      </c>
      <c r="D1386" s="4" t="s">
        <v>12</v>
      </c>
      <c r="E1386" s="4" t="s">
        <v>20</v>
      </c>
      <c r="F1386" s="4" t="s">
        <v>14</v>
      </c>
      <c r="G1386" s="4" t="s">
        <v>36</v>
      </c>
      <c r="H1386" s="4">
        <v>5</v>
      </c>
      <c r="I1386" s="4">
        <v>9</v>
      </c>
      <c r="J1386" s="5">
        <v>45541</v>
      </c>
      <c r="K1386" s="6">
        <v>0.88160879629629629</v>
      </c>
    </row>
    <row r="1387" spans="1:11" x14ac:dyDescent="0.25">
      <c r="A1387" s="4">
        <v>8</v>
      </c>
      <c r="B1387" s="4" t="s">
        <v>11</v>
      </c>
      <c r="C1387" s="7">
        <v>32.82</v>
      </c>
      <c r="D1387" s="4" t="s">
        <v>12</v>
      </c>
      <c r="E1387" s="4" t="s">
        <v>13</v>
      </c>
      <c r="F1387" s="4" t="s">
        <v>22</v>
      </c>
      <c r="G1387" s="4" t="s">
        <v>36</v>
      </c>
      <c r="H1387" s="4">
        <v>6</v>
      </c>
      <c r="I1387" s="4">
        <v>9</v>
      </c>
      <c r="J1387" s="5">
        <v>45542</v>
      </c>
      <c r="K1387" s="6">
        <v>0.36732638888888891</v>
      </c>
    </row>
    <row r="1388" spans="1:11" x14ac:dyDescent="0.25">
      <c r="A1388" s="4">
        <v>9</v>
      </c>
      <c r="B1388" s="4" t="s">
        <v>11</v>
      </c>
      <c r="C1388" s="7">
        <v>23.02</v>
      </c>
      <c r="D1388" s="4" t="s">
        <v>24</v>
      </c>
      <c r="E1388" s="4" t="s">
        <v>13</v>
      </c>
      <c r="F1388" s="4" t="s">
        <v>22</v>
      </c>
      <c r="G1388" s="4" t="s">
        <v>36</v>
      </c>
      <c r="H1388" s="4">
        <v>6</v>
      </c>
      <c r="I1388" s="4">
        <v>9</v>
      </c>
      <c r="J1388" s="5">
        <v>45542</v>
      </c>
      <c r="K1388" s="6">
        <v>0.41113425925925928</v>
      </c>
    </row>
    <row r="1389" spans="1:11" x14ac:dyDescent="0.25">
      <c r="A1389" s="4">
        <v>9</v>
      </c>
      <c r="B1389" s="4" t="s">
        <v>11</v>
      </c>
      <c r="C1389" s="7">
        <v>23.02</v>
      </c>
      <c r="D1389" s="4" t="s">
        <v>24</v>
      </c>
      <c r="E1389" s="4" t="s">
        <v>13</v>
      </c>
      <c r="F1389" s="4" t="s">
        <v>22</v>
      </c>
      <c r="G1389" s="4" t="s">
        <v>36</v>
      </c>
      <c r="H1389" s="4">
        <v>6</v>
      </c>
      <c r="I1389" s="4">
        <v>9</v>
      </c>
      <c r="J1389" s="5">
        <v>45542</v>
      </c>
      <c r="K1389" s="6">
        <v>0.41184027777777776</v>
      </c>
    </row>
    <row r="1390" spans="1:11" x14ac:dyDescent="0.25">
      <c r="A1390" s="4">
        <v>9</v>
      </c>
      <c r="B1390" s="4" t="s">
        <v>11</v>
      </c>
      <c r="C1390" s="7">
        <v>23.02</v>
      </c>
      <c r="D1390" s="4" t="s">
        <v>24</v>
      </c>
      <c r="E1390" s="4" t="s">
        <v>13</v>
      </c>
      <c r="F1390" s="4" t="s">
        <v>22</v>
      </c>
      <c r="G1390" s="4" t="s">
        <v>36</v>
      </c>
      <c r="H1390" s="4">
        <v>6</v>
      </c>
      <c r="I1390" s="4">
        <v>9</v>
      </c>
      <c r="J1390" s="5">
        <v>45542</v>
      </c>
      <c r="K1390" s="6">
        <v>0.41297453703703701</v>
      </c>
    </row>
    <row r="1391" spans="1:11" x14ac:dyDescent="0.25">
      <c r="A1391" s="4">
        <v>9</v>
      </c>
      <c r="B1391" s="4" t="s">
        <v>11</v>
      </c>
      <c r="C1391" s="7">
        <v>27.92</v>
      </c>
      <c r="D1391" s="4" t="s">
        <v>19</v>
      </c>
      <c r="E1391" s="4" t="s">
        <v>13</v>
      </c>
      <c r="F1391" s="4" t="s">
        <v>22</v>
      </c>
      <c r="G1391" s="4" t="s">
        <v>36</v>
      </c>
      <c r="H1391" s="4">
        <v>6</v>
      </c>
      <c r="I1391" s="4">
        <v>9</v>
      </c>
      <c r="J1391" s="5">
        <v>45542</v>
      </c>
      <c r="K1391" s="6">
        <v>0.4151273148148148</v>
      </c>
    </row>
    <row r="1392" spans="1:11" x14ac:dyDescent="0.25">
      <c r="A1392" s="4">
        <v>9</v>
      </c>
      <c r="B1392" s="4" t="s">
        <v>11</v>
      </c>
      <c r="C1392" s="7">
        <v>27.92</v>
      </c>
      <c r="D1392" s="4" t="s">
        <v>19</v>
      </c>
      <c r="E1392" s="4" t="s">
        <v>13</v>
      </c>
      <c r="F1392" s="4" t="s">
        <v>22</v>
      </c>
      <c r="G1392" s="4" t="s">
        <v>36</v>
      </c>
      <c r="H1392" s="4">
        <v>6</v>
      </c>
      <c r="I1392" s="4">
        <v>9</v>
      </c>
      <c r="J1392" s="5">
        <v>45542</v>
      </c>
      <c r="K1392" s="6">
        <v>0.41599537037037038</v>
      </c>
    </row>
    <row r="1393" spans="1:11" x14ac:dyDescent="0.25">
      <c r="A1393" s="4">
        <v>10</v>
      </c>
      <c r="B1393" s="4" t="s">
        <v>11</v>
      </c>
      <c r="C1393" s="7">
        <v>23.02</v>
      </c>
      <c r="D1393" s="4" t="s">
        <v>24</v>
      </c>
      <c r="E1393" s="4" t="s">
        <v>13</v>
      </c>
      <c r="F1393" s="4" t="s">
        <v>22</v>
      </c>
      <c r="G1393" s="4" t="s">
        <v>36</v>
      </c>
      <c r="H1393" s="4">
        <v>6</v>
      </c>
      <c r="I1393" s="4">
        <v>9</v>
      </c>
      <c r="J1393" s="5">
        <v>45542</v>
      </c>
      <c r="K1393" s="6">
        <v>0.41688657407407409</v>
      </c>
    </row>
    <row r="1394" spans="1:11" x14ac:dyDescent="0.25">
      <c r="A1394" s="4">
        <v>10</v>
      </c>
      <c r="B1394" s="4" t="s">
        <v>11</v>
      </c>
      <c r="C1394" s="7">
        <v>23.02</v>
      </c>
      <c r="D1394" s="4" t="s">
        <v>18</v>
      </c>
      <c r="E1394" s="4" t="s">
        <v>13</v>
      </c>
      <c r="F1394" s="4" t="s">
        <v>22</v>
      </c>
      <c r="G1394" s="4" t="s">
        <v>36</v>
      </c>
      <c r="H1394" s="4">
        <v>6</v>
      </c>
      <c r="I1394" s="4">
        <v>9</v>
      </c>
      <c r="J1394" s="5">
        <v>45542</v>
      </c>
      <c r="K1394" s="6">
        <v>0.43245370370370373</v>
      </c>
    </row>
    <row r="1395" spans="1:11" x14ac:dyDescent="0.25">
      <c r="A1395" s="4">
        <v>10</v>
      </c>
      <c r="B1395" s="4" t="s">
        <v>11</v>
      </c>
      <c r="C1395" s="7">
        <v>18.12</v>
      </c>
      <c r="D1395" s="4" t="s">
        <v>26</v>
      </c>
      <c r="E1395" s="4" t="s">
        <v>13</v>
      </c>
      <c r="F1395" s="4" t="s">
        <v>22</v>
      </c>
      <c r="G1395" s="4" t="s">
        <v>36</v>
      </c>
      <c r="H1395" s="4">
        <v>6</v>
      </c>
      <c r="I1395" s="4">
        <v>9</v>
      </c>
      <c r="J1395" s="5">
        <v>45542</v>
      </c>
      <c r="K1395" s="6">
        <v>0.44296296296296295</v>
      </c>
    </row>
    <row r="1396" spans="1:11" x14ac:dyDescent="0.25">
      <c r="A1396" s="4">
        <v>10</v>
      </c>
      <c r="B1396" s="4" t="s">
        <v>11</v>
      </c>
      <c r="C1396" s="7">
        <v>18.12</v>
      </c>
      <c r="D1396" s="4" t="s">
        <v>26</v>
      </c>
      <c r="E1396" s="4" t="s">
        <v>13</v>
      </c>
      <c r="F1396" s="4" t="s">
        <v>22</v>
      </c>
      <c r="G1396" s="4" t="s">
        <v>36</v>
      </c>
      <c r="H1396" s="4">
        <v>6</v>
      </c>
      <c r="I1396" s="4">
        <v>9</v>
      </c>
      <c r="J1396" s="5">
        <v>45542</v>
      </c>
      <c r="K1396" s="6">
        <v>0.44458333333333333</v>
      </c>
    </row>
    <row r="1397" spans="1:11" x14ac:dyDescent="0.25">
      <c r="A1397" s="4">
        <v>10</v>
      </c>
      <c r="B1397" s="4" t="s">
        <v>11</v>
      </c>
      <c r="C1397" s="7">
        <v>32.82</v>
      </c>
      <c r="D1397" s="4" t="s">
        <v>12</v>
      </c>
      <c r="E1397" s="4" t="s">
        <v>13</v>
      </c>
      <c r="F1397" s="4" t="s">
        <v>22</v>
      </c>
      <c r="G1397" s="4" t="s">
        <v>36</v>
      </c>
      <c r="H1397" s="4">
        <v>6</v>
      </c>
      <c r="I1397" s="4">
        <v>9</v>
      </c>
      <c r="J1397" s="5">
        <v>45542</v>
      </c>
      <c r="K1397" s="6">
        <v>0.45384259259259258</v>
      </c>
    </row>
    <row r="1398" spans="1:11" x14ac:dyDescent="0.25">
      <c r="A1398" s="4">
        <v>11</v>
      </c>
      <c r="B1398" s="4" t="s">
        <v>11</v>
      </c>
      <c r="C1398" s="7">
        <v>27.92</v>
      </c>
      <c r="D1398" s="4" t="s">
        <v>19</v>
      </c>
      <c r="E1398" s="4" t="s">
        <v>13</v>
      </c>
      <c r="F1398" s="4" t="s">
        <v>22</v>
      </c>
      <c r="G1398" s="4" t="s">
        <v>36</v>
      </c>
      <c r="H1398" s="4">
        <v>6</v>
      </c>
      <c r="I1398" s="4">
        <v>9</v>
      </c>
      <c r="J1398" s="5">
        <v>45542</v>
      </c>
      <c r="K1398" s="6">
        <v>0.4714814814814815</v>
      </c>
    </row>
    <row r="1399" spans="1:11" x14ac:dyDescent="0.25">
      <c r="A1399" s="4">
        <v>11</v>
      </c>
      <c r="B1399" s="4" t="s">
        <v>11</v>
      </c>
      <c r="C1399" s="7">
        <v>23.02</v>
      </c>
      <c r="D1399" s="4" t="s">
        <v>18</v>
      </c>
      <c r="E1399" s="4" t="s">
        <v>13</v>
      </c>
      <c r="F1399" s="4" t="s">
        <v>22</v>
      </c>
      <c r="G1399" s="4" t="s">
        <v>36</v>
      </c>
      <c r="H1399" s="4">
        <v>6</v>
      </c>
      <c r="I1399" s="4">
        <v>9</v>
      </c>
      <c r="J1399" s="5">
        <v>45542</v>
      </c>
      <c r="K1399" s="6">
        <v>0.47222222222222221</v>
      </c>
    </row>
    <row r="1400" spans="1:11" x14ac:dyDescent="0.25">
      <c r="A1400" s="4">
        <v>11</v>
      </c>
      <c r="B1400" s="4" t="s">
        <v>11</v>
      </c>
      <c r="C1400" s="7">
        <v>18.12</v>
      </c>
      <c r="D1400" s="4" t="s">
        <v>26</v>
      </c>
      <c r="E1400" s="4" t="s">
        <v>13</v>
      </c>
      <c r="F1400" s="4" t="s">
        <v>22</v>
      </c>
      <c r="G1400" s="4" t="s">
        <v>36</v>
      </c>
      <c r="H1400" s="4">
        <v>6</v>
      </c>
      <c r="I1400" s="4">
        <v>9</v>
      </c>
      <c r="J1400" s="5">
        <v>45542</v>
      </c>
      <c r="K1400" s="6">
        <v>0.47288194444444442</v>
      </c>
    </row>
    <row r="1401" spans="1:11" x14ac:dyDescent="0.25">
      <c r="A1401" s="4">
        <v>15</v>
      </c>
      <c r="B1401" s="4" t="s">
        <v>11</v>
      </c>
      <c r="C1401" s="7">
        <v>32.82</v>
      </c>
      <c r="D1401" s="4" t="s">
        <v>12</v>
      </c>
      <c r="E1401" s="4" t="s">
        <v>17</v>
      </c>
      <c r="F1401" s="4" t="s">
        <v>22</v>
      </c>
      <c r="G1401" s="4" t="s">
        <v>36</v>
      </c>
      <c r="H1401" s="4">
        <v>6</v>
      </c>
      <c r="I1401" s="4">
        <v>9</v>
      </c>
      <c r="J1401" s="5">
        <v>45542</v>
      </c>
      <c r="K1401" s="6">
        <v>0.66328703703703706</v>
      </c>
    </row>
    <row r="1402" spans="1:11" x14ac:dyDescent="0.25">
      <c r="A1402" s="4">
        <v>16</v>
      </c>
      <c r="B1402" s="4" t="s">
        <v>11</v>
      </c>
      <c r="C1402" s="7">
        <v>23.02</v>
      </c>
      <c r="D1402" s="4" t="s">
        <v>18</v>
      </c>
      <c r="E1402" s="4" t="s">
        <v>17</v>
      </c>
      <c r="F1402" s="4" t="s">
        <v>22</v>
      </c>
      <c r="G1402" s="4" t="s">
        <v>36</v>
      </c>
      <c r="H1402" s="4">
        <v>6</v>
      </c>
      <c r="I1402" s="4">
        <v>9</v>
      </c>
      <c r="J1402" s="5">
        <v>45542</v>
      </c>
      <c r="K1402" s="6">
        <v>0.68056712962962962</v>
      </c>
    </row>
    <row r="1403" spans="1:11" x14ac:dyDescent="0.25">
      <c r="A1403" s="4">
        <v>16</v>
      </c>
      <c r="B1403" s="4" t="s">
        <v>11</v>
      </c>
      <c r="C1403" s="7">
        <v>18.12</v>
      </c>
      <c r="D1403" s="4" t="s">
        <v>26</v>
      </c>
      <c r="E1403" s="4" t="s">
        <v>17</v>
      </c>
      <c r="F1403" s="4" t="s">
        <v>22</v>
      </c>
      <c r="G1403" s="4" t="s">
        <v>36</v>
      </c>
      <c r="H1403" s="4">
        <v>6</v>
      </c>
      <c r="I1403" s="4">
        <v>9</v>
      </c>
      <c r="J1403" s="5">
        <v>45542</v>
      </c>
      <c r="K1403" s="6">
        <v>0.68123842592592587</v>
      </c>
    </row>
    <row r="1404" spans="1:11" x14ac:dyDescent="0.25">
      <c r="A1404" s="4">
        <v>19</v>
      </c>
      <c r="B1404" s="4" t="s">
        <v>11</v>
      </c>
      <c r="C1404" s="7">
        <v>32.82</v>
      </c>
      <c r="D1404" s="4" t="s">
        <v>21</v>
      </c>
      <c r="E1404" s="4" t="s">
        <v>20</v>
      </c>
      <c r="F1404" s="4" t="s">
        <v>22</v>
      </c>
      <c r="G1404" s="4" t="s">
        <v>36</v>
      </c>
      <c r="H1404" s="4">
        <v>6</v>
      </c>
      <c r="I1404" s="4">
        <v>9</v>
      </c>
      <c r="J1404" s="5">
        <v>45542</v>
      </c>
      <c r="K1404" s="6">
        <v>0.81601851851851848</v>
      </c>
    </row>
    <row r="1405" spans="1:11" x14ac:dyDescent="0.25">
      <c r="A1405" s="4">
        <v>19</v>
      </c>
      <c r="B1405" s="4" t="s">
        <v>11</v>
      </c>
      <c r="C1405" s="7">
        <v>32.82</v>
      </c>
      <c r="D1405" s="4" t="s">
        <v>12</v>
      </c>
      <c r="E1405" s="4" t="s">
        <v>20</v>
      </c>
      <c r="F1405" s="4" t="s">
        <v>22</v>
      </c>
      <c r="G1405" s="4" t="s">
        <v>36</v>
      </c>
      <c r="H1405" s="4">
        <v>6</v>
      </c>
      <c r="I1405" s="4">
        <v>9</v>
      </c>
      <c r="J1405" s="5">
        <v>45542</v>
      </c>
      <c r="K1405" s="6">
        <v>0.81672453703703707</v>
      </c>
    </row>
    <row r="1406" spans="1:11" x14ac:dyDescent="0.25">
      <c r="A1406" s="4">
        <v>19</v>
      </c>
      <c r="B1406" s="4" t="s">
        <v>11</v>
      </c>
      <c r="C1406" s="7">
        <v>32.82</v>
      </c>
      <c r="D1406" s="4" t="s">
        <v>12</v>
      </c>
      <c r="E1406" s="4" t="s">
        <v>20</v>
      </c>
      <c r="F1406" s="4" t="s">
        <v>22</v>
      </c>
      <c r="G1406" s="4" t="s">
        <v>36</v>
      </c>
      <c r="H1406" s="4">
        <v>6</v>
      </c>
      <c r="I1406" s="4">
        <v>9</v>
      </c>
      <c r="J1406" s="5">
        <v>45542</v>
      </c>
      <c r="K1406" s="6">
        <v>0.81753472222222223</v>
      </c>
    </row>
    <row r="1407" spans="1:11" x14ac:dyDescent="0.25">
      <c r="A1407" s="4">
        <v>20</v>
      </c>
      <c r="B1407" s="4" t="s">
        <v>11</v>
      </c>
      <c r="C1407" s="7">
        <v>32.82</v>
      </c>
      <c r="D1407" s="4" t="s">
        <v>12</v>
      </c>
      <c r="E1407" s="4" t="s">
        <v>20</v>
      </c>
      <c r="F1407" s="4" t="s">
        <v>22</v>
      </c>
      <c r="G1407" s="4" t="s">
        <v>36</v>
      </c>
      <c r="H1407" s="4">
        <v>6</v>
      </c>
      <c r="I1407" s="4">
        <v>9</v>
      </c>
      <c r="J1407" s="5">
        <v>45542</v>
      </c>
      <c r="K1407" s="6">
        <v>0.84295138888888888</v>
      </c>
    </row>
    <row r="1408" spans="1:11" x14ac:dyDescent="0.25">
      <c r="A1408" s="4">
        <v>20</v>
      </c>
      <c r="B1408" s="4" t="s">
        <v>11</v>
      </c>
      <c r="C1408" s="7">
        <v>32.82</v>
      </c>
      <c r="D1408" s="4" t="s">
        <v>12</v>
      </c>
      <c r="E1408" s="4" t="s">
        <v>20</v>
      </c>
      <c r="F1408" s="4" t="s">
        <v>22</v>
      </c>
      <c r="G1408" s="4" t="s">
        <v>36</v>
      </c>
      <c r="H1408" s="4">
        <v>6</v>
      </c>
      <c r="I1408" s="4">
        <v>9</v>
      </c>
      <c r="J1408" s="5">
        <v>45542</v>
      </c>
      <c r="K1408" s="6">
        <v>0.84373842592592596</v>
      </c>
    </row>
    <row r="1409" spans="1:11" x14ac:dyDescent="0.25">
      <c r="A1409" s="4">
        <v>8</v>
      </c>
      <c r="B1409" s="4" t="s">
        <v>11</v>
      </c>
      <c r="C1409" s="7">
        <v>23.02</v>
      </c>
      <c r="D1409" s="4" t="s">
        <v>24</v>
      </c>
      <c r="E1409" s="4" t="s">
        <v>13</v>
      </c>
      <c r="F1409" s="4" t="s">
        <v>23</v>
      </c>
      <c r="G1409" s="4" t="s">
        <v>36</v>
      </c>
      <c r="H1409" s="4">
        <v>7</v>
      </c>
      <c r="I1409" s="4">
        <v>9</v>
      </c>
      <c r="J1409" s="5">
        <v>45543</v>
      </c>
      <c r="K1409" s="6">
        <v>0.34421296296296294</v>
      </c>
    </row>
    <row r="1410" spans="1:11" x14ac:dyDescent="0.25">
      <c r="A1410" s="4">
        <v>9</v>
      </c>
      <c r="B1410" s="4" t="s">
        <v>11</v>
      </c>
      <c r="C1410" s="7">
        <v>23.02</v>
      </c>
      <c r="D1410" s="4" t="s">
        <v>24</v>
      </c>
      <c r="E1410" s="4" t="s">
        <v>13</v>
      </c>
      <c r="F1410" s="4" t="s">
        <v>23</v>
      </c>
      <c r="G1410" s="4" t="s">
        <v>36</v>
      </c>
      <c r="H1410" s="4">
        <v>7</v>
      </c>
      <c r="I1410" s="4">
        <v>9</v>
      </c>
      <c r="J1410" s="5">
        <v>45543</v>
      </c>
      <c r="K1410" s="6">
        <v>0.38769675925925928</v>
      </c>
    </row>
    <row r="1411" spans="1:11" x14ac:dyDescent="0.25">
      <c r="A1411" s="4">
        <v>9</v>
      </c>
      <c r="B1411" s="4" t="s">
        <v>11</v>
      </c>
      <c r="C1411" s="7">
        <v>23.02</v>
      </c>
      <c r="D1411" s="4" t="s">
        <v>24</v>
      </c>
      <c r="E1411" s="4" t="s">
        <v>13</v>
      </c>
      <c r="F1411" s="4" t="s">
        <v>23</v>
      </c>
      <c r="G1411" s="4" t="s">
        <v>36</v>
      </c>
      <c r="H1411" s="4">
        <v>7</v>
      </c>
      <c r="I1411" s="4">
        <v>9</v>
      </c>
      <c r="J1411" s="5">
        <v>45543</v>
      </c>
      <c r="K1411" s="6">
        <v>0.38833333333333331</v>
      </c>
    </row>
    <row r="1412" spans="1:11" x14ac:dyDescent="0.25">
      <c r="A1412" s="4">
        <v>10</v>
      </c>
      <c r="B1412" s="4" t="s">
        <v>11</v>
      </c>
      <c r="C1412" s="7">
        <v>23.02</v>
      </c>
      <c r="D1412" s="4" t="s">
        <v>24</v>
      </c>
      <c r="E1412" s="4" t="s">
        <v>13</v>
      </c>
      <c r="F1412" s="4" t="s">
        <v>23</v>
      </c>
      <c r="G1412" s="4" t="s">
        <v>36</v>
      </c>
      <c r="H1412" s="4">
        <v>7</v>
      </c>
      <c r="I1412" s="4">
        <v>9</v>
      </c>
      <c r="J1412" s="5">
        <v>45543</v>
      </c>
      <c r="K1412" s="6">
        <v>0.42078703703703701</v>
      </c>
    </row>
    <row r="1413" spans="1:11" x14ac:dyDescent="0.25">
      <c r="A1413" s="4">
        <v>12</v>
      </c>
      <c r="B1413" s="4" t="s">
        <v>11</v>
      </c>
      <c r="C1413" s="7">
        <v>23.02</v>
      </c>
      <c r="D1413" s="4" t="s">
        <v>24</v>
      </c>
      <c r="E1413" s="4" t="s">
        <v>17</v>
      </c>
      <c r="F1413" s="4" t="s">
        <v>23</v>
      </c>
      <c r="G1413" s="4" t="s">
        <v>36</v>
      </c>
      <c r="H1413" s="4">
        <v>7</v>
      </c>
      <c r="I1413" s="4">
        <v>9</v>
      </c>
      <c r="J1413" s="5">
        <v>45543</v>
      </c>
      <c r="K1413" s="6">
        <v>0.5301851851851852</v>
      </c>
    </row>
    <row r="1414" spans="1:11" x14ac:dyDescent="0.25">
      <c r="A1414" s="4">
        <v>20</v>
      </c>
      <c r="B1414" s="4" t="s">
        <v>11</v>
      </c>
      <c r="C1414" s="7">
        <v>23.02</v>
      </c>
      <c r="D1414" s="4" t="s">
        <v>18</v>
      </c>
      <c r="E1414" s="4" t="s">
        <v>20</v>
      </c>
      <c r="F1414" s="4" t="s">
        <v>23</v>
      </c>
      <c r="G1414" s="4" t="s">
        <v>36</v>
      </c>
      <c r="H1414" s="4">
        <v>7</v>
      </c>
      <c r="I1414" s="4">
        <v>9</v>
      </c>
      <c r="J1414" s="5">
        <v>45543</v>
      </c>
      <c r="K1414" s="6">
        <v>0.84273148148148147</v>
      </c>
    </row>
    <row r="1415" spans="1:11" x14ac:dyDescent="0.25">
      <c r="A1415" s="4">
        <v>7</v>
      </c>
      <c r="B1415" s="4" t="s">
        <v>11</v>
      </c>
      <c r="C1415" s="7">
        <v>32.82</v>
      </c>
      <c r="D1415" s="4" t="s">
        <v>12</v>
      </c>
      <c r="E1415" s="4" t="s">
        <v>13</v>
      </c>
      <c r="F1415" s="4" t="s">
        <v>25</v>
      </c>
      <c r="G1415" s="4" t="s">
        <v>36</v>
      </c>
      <c r="H1415" s="4">
        <v>1</v>
      </c>
      <c r="I1415" s="4">
        <v>9</v>
      </c>
      <c r="J1415" s="5">
        <v>45544</v>
      </c>
      <c r="K1415" s="6">
        <v>0.32723379629629629</v>
      </c>
    </row>
    <row r="1416" spans="1:11" x14ac:dyDescent="0.25">
      <c r="A1416" s="4">
        <v>7</v>
      </c>
      <c r="B1416" s="4" t="s">
        <v>11</v>
      </c>
      <c r="C1416" s="7">
        <v>32.82</v>
      </c>
      <c r="D1416" s="4" t="s">
        <v>29</v>
      </c>
      <c r="E1416" s="4" t="s">
        <v>13</v>
      </c>
      <c r="F1416" s="4" t="s">
        <v>25</v>
      </c>
      <c r="G1416" s="4" t="s">
        <v>36</v>
      </c>
      <c r="H1416" s="4">
        <v>1</v>
      </c>
      <c r="I1416" s="4">
        <v>9</v>
      </c>
      <c r="J1416" s="5">
        <v>45544</v>
      </c>
      <c r="K1416" s="6">
        <v>0.32906249999999998</v>
      </c>
    </row>
    <row r="1417" spans="1:11" x14ac:dyDescent="0.25">
      <c r="A1417" s="4">
        <v>7</v>
      </c>
      <c r="B1417" s="4" t="s">
        <v>11</v>
      </c>
      <c r="C1417" s="7">
        <v>27.92</v>
      </c>
      <c r="D1417" s="4" t="s">
        <v>19</v>
      </c>
      <c r="E1417" s="4" t="s">
        <v>13</v>
      </c>
      <c r="F1417" s="4" t="s">
        <v>25</v>
      </c>
      <c r="G1417" s="4" t="s">
        <v>36</v>
      </c>
      <c r="H1417" s="4">
        <v>1</v>
      </c>
      <c r="I1417" s="4">
        <v>9</v>
      </c>
      <c r="J1417" s="5">
        <v>45544</v>
      </c>
      <c r="K1417" s="6">
        <v>0.33010416666666664</v>
      </c>
    </row>
    <row r="1418" spans="1:11" x14ac:dyDescent="0.25">
      <c r="A1418" s="4">
        <v>7</v>
      </c>
      <c r="B1418" s="4" t="s">
        <v>11</v>
      </c>
      <c r="C1418" s="7">
        <v>32.82</v>
      </c>
      <c r="D1418" s="4" t="s">
        <v>12</v>
      </c>
      <c r="E1418" s="4" t="s">
        <v>13</v>
      </c>
      <c r="F1418" s="4" t="s">
        <v>25</v>
      </c>
      <c r="G1418" s="4" t="s">
        <v>36</v>
      </c>
      <c r="H1418" s="4">
        <v>1</v>
      </c>
      <c r="I1418" s="4">
        <v>9</v>
      </c>
      <c r="J1418" s="5">
        <v>45544</v>
      </c>
      <c r="K1418" s="6">
        <v>0.33098379629629632</v>
      </c>
    </row>
    <row r="1419" spans="1:11" x14ac:dyDescent="0.25">
      <c r="A1419" s="4">
        <v>9</v>
      </c>
      <c r="B1419" s="4" t="s">
        <v>11</v>
      </c>
      <c r="C1419" s="7">
        <v>32.82</v>
      </c>
      <c r="D1419" s="4" t="s">
        <v>12</v>
      </c>
      <c r="E1419" s="4" t="s">
        <v>13</v>
      </c>
      <c r="F1419" s="4" t="s">
        <v>25</v>
      </c>
      <c r="G1419" s="4" t="s">
        <v>36</v>
      </c>
      <c r="H1419" s="4">
        <v>1</v>
      </c>
      <c r="I1419" s="4">
        <v>9</v>
      </c>
      <c r="J1419" s="5">
        <v>45544</v>
      </c>
      <c r="K1419" s="6">
        <v>0.40960648148148149</v>
      </c>
    </row>
    <row r="1420" spans="1:11" x14ac:dyDescent="0.25">
      <c r="A1420" s="4">
        <v>9</v>
      </c>
      <c r="B1420" s="4" t="s">
        <v>11</v>
      </c>
      <c r="C1420" s="7">
        <v>32.82</v>
      </c>
      <c r="D1420" s="4" t="s">
        <v>16</v>
      </c>
      <c r="E1420" s="4" t="s">
        <v>13</v>
      </c>
      <c r="F1420" s="4" t="s">
        <v>25</v>
      </c>
      <c r="G1420" s="4" t="s">
        <v>36</v>
      </c>
      <c r="H1420" s="4">
        <v>1</v>
      </c>
      <c r="I1420" s="4">
        <v>9</v>
      </c>
      <c r="J1420" s="5">
        <v>45544</v>
      </c>
      <c r="K1420" s="6">
        <v>0.41031250000000002</v>
      </c>
    </row>
    <row r="1421" spans="1:11" x14ac:dyDescent="0.25">
      <c r="A1421" s="4">
        <v>9</v>
      </c>
      <c r="B1421" s="4" t="s">
        <v>11</v>
      </c>
      <c r="C1421" s="7">
        <v>32.82</v>
      </c>
      <c r="D1421" s="4" t="s">
        <v>12</v>
      </c>
      <c r="E1421" s="4" t="s">
        <v>13</v>
      </c>
      <c r="F1421" s="4" t="s">
        <v>25</v>
      </c>
      <c r="G1421" s="4" t="s">
        <v>36</v>
      </c>
      <c r="H1421" s="4">
        <v>1</v>
      </c>
      <c r="I1421" s="4">
        <v>9</v>
      </c>
      <c r="J1421" s="5">
        <v>45544</v>
      </c>
      <c r="K1421" s="6">
        <v>0.41608796296296297</v>
      </c>
    </row>
    <row r="1422" spans="1:11" x14ac:dyDescent="0.25">
      <c r="A1422" s="4">
        <v>11</v>
      </c>
      <c r="B1422" s="4" t="s">
        <v>11</v>
      </c>
      <c r="C1422" s="7">
        <v>27.92</v>
      </c>
      <c r="D1422" s="4" t="s">
        <v>19</v>
      </c>
      <c r="E1422" s="4" t="s">
        <v>13</v>
      </c>
      <c r="F1422" s="4" t="s">
        <v>25</v>
      </c>
      <c r="G1422" s="4" t="s">
        <v>36</v>
      </c>
      <c r="H1422" s="4">
        <v>1</v>
      </c>
      <c r="I1422" s="4">
        <v>9</v>
      </c>
      <c r="J1422" s="5">
        <v>45544</v>
      </c>
      <c r="K1422" s="6">
        <v>0.46638888888888891</v>
      </c>
    </row>
    <row r="1423" spans="1:11" x14ac:dyDescent="0.25">
      <c r="A1423" s="4">
        <v>11</v>
      </c>
      <c r="B1423" s="4" t="s">
        <v>11</v>
      </c>
      <c r="C1423" s="7">
        <v>27.92</v>
      </c>
      <c r="D1423" s="4" t="s">
        <v>19</v>
      </c>
      <c r="E1423" s="4" t="s">
        <v>13</v>
      </c>
      <c r="F1423" s="4" t="s">
        <v>25</v>
      </c>
      <c r="G1423" s="4" t="s">
        <v>36</v>
      </c>
      <c r="H1423" s="4">
        <v>1</v>
      </c>
      <c r="I1423" s="4">
        <v>9</v>
      </c>
      <c r="J1423" s="5">
        <v>45544</v>
      </c>
      <c r="K1423" s="6">
        <v>0.46724537037037039</v>
      </c>
    </row>
    <row r="1424" spans="1:11" x14ac:dyDescent="0.25">
      <c r="A1424" s="4">
        <v>11</v>
      </c>
      <c r="B1424" s="4" t="s">
        <v>11</v>
      </c>
      <c r="C1424" s="7">
        <v>32.82</v>
      </c>
      <c r="D1424" s="4" t="s">
        <v>12</v>
      </c>
      <c r="E1424" s="4" t="s">
        <v>13</v>
      </c>
      <c r="F1424" s="4" t="s">
        <v>25</v>
      </c>
      <c r="G1424" s="4" t="s">
        <v>36</v>
      </c>
      <c r="H1424" s="4">
        <v>1</v>
      </c>
      <c r="I1424" s="4">
        <v>9</v>
      </c>
      <c r="J1424" s="5">
        <v>45544</v>
      </c>
      <c r="K1424" s="6">
        <v>0.47903935185185187</v>
      </c>
    </row>
    <row r="1425" spans="1:11" x14ac:dyDescent="0.25">
      <c r="A1425" s="4">
        <v>12</v>
      </c>
      <c r="B1425" s="4" t="s">
        <v>11</v>
      </c>
      <c r="C1425" s="7">
        <v>18.12</v>
      </c>
      <c r="D1425" s="4" t="s">
        <v>26</v>
      </c>
      <c r="E1425" s="4" t="s">
        <v>17</v>
      </c>
      <c r="F1425" s="4" t="s">
        <v>25</v>
      </c>
      <c r="G1425" s="4" t="s">
        <v>36</v>
      </c>
      <c r="H1425" s="4">
        <v>1</v>
      </c>
      <c r="I1425" s="4">
        <v>9</v>
      </c>
      <c r="J1425" s="5">
        <v>45544</v>
      </c>
      <c r="K1425" s="6">
        <v>0.50484953703703705</v>
      </c>
    </row>
    <row r="1426" spans="1:11" x14ac:dyDescent="0.25">
      <c r="A1426" s="4">
        <v>15</v>
      </c>
      <c r="B1426" s="4" t="s">
        <v>11</v>
      </c>
      <c r="C1426" s="7">
        <v>32.82</v>
      </c>
      <c r="D1426" s="4" t="s">
        <v>12</v>
      </c>
      <c r="E1426" s="4" t="s">
        <v>17</v>
      </c>
      <c r="F1426" s="4" t="s">
        <v>25</v>
      </c>
      <c r="G1426" s="4" t="s">
        <v>36</v>
      </c>
      <c r="H1426" s="4">
        <v>1</v>
      </c>
      <c r="I1426" s="4">
        <v>9</v>
      </c>
      <c r="J1426" s="5">
        <v>45544</v>
      </c>
      <c r="K1426" s="6">
        <v>0.63348379629629625</v>
      </c>
    </row>
    <row r="1427" spans="1:11" x14ac:dyDescent="0.25">
      <c r="A1427" s="4">
        <v>15</v>
      </c>
      <c r="B1427" s="4" t="s">
        <v>11</v>
      </c>
      <c r="C1427" s="7">
        <v>23.02</v>
      </c>
      <c r="D1427" s="4" t="s">
        <v>18</v>
      </c>
      <c r="E1427" s="4" t="s">
        <v>17</v>
      </c>
      <c r="F1427" s="4" t="s">
        <v>25</v>
      </c>
      <c r="G1427" s="4" t="s">
        <v>36</v>
      </c>
      <c r="H1427" s="4">
        <v>1</v>
      </c>
      <c r="I1427" s="4">
        <v>9</v>
      </c>
      <c r="J1427" s="5">
        <v>45544</v>
      </c>
      <c r="K1427" s="6">
        <v>0.63430555555555557</v>
      </c>
    </row>
    <row r="1428" spans="1:11" x14ac:dyDescent="0.25">
      <c r="A1428" s="4">
        <v>17</v>
      </c>
      <c r="B1428" s="4" t="s">
        <v>11</v>
      </c>
      <c r="C1428" s="7">
        <v>32.82</v>
      </c>
      <c r="D1428" s="4" t="s">
        <v>12</v>
      </c>
      <c r="E1428" s="4" t="s">
        <v>20</v>
      </c>
      <c r="F1428" s="4" t="s">
        <v>25</v>
      </c>
      <c r="G1428" s="4" t="s">
        <v>36</v>
      </c>
      <c r="H1428" s="4">
        <v>1</v>
      </c>
      <c r="I1428" s="4">
        <v>9</v>
      </c>
      <c r="J1428" s="5">
        <v>45544</v>
      </c>
      <c r="K1428" s="6">
        <v>0.7251157407407407</v>
      </c>
    </row>
    <row r="1429" spans="1:11" x14ac:dyDescent="0.25">
      <c r="A1429" s="4">
        <v>18</v>
      </c>
      <c r="B1429" s="4" t="s">
        <v>11</v>
      </c>
      <c r="C1429" s="7">
        <v>32.82</v>
      </c>
      <c r="D1429" s="4" t="s">
        <v>12</v>
      </c>
      <c r="E1429" s="4" t="s">
        <v>20</v>
      </c>
      <c r="F1429" s="4" t="s">
        <v>25</v>
      </c>
      <c r="G1429" s="4" t="s">
        <v>36</v>
      </c>
      <c r="H1429" s="4">
        <v>1</v>
      </c>
      <c r="I1429" s="4">
        <v>9</v>
      </c>
      <c r="J1429" s="5">
        <v>45544</v>
      </c>
      <c r="K1429" s="6">
        <v>0.7595601851851852</v>
      </c>
    </row>
    <row r="1430" spans="1:11" x14ac:dyDescent="0.25">
      <c r="A1430" s="4">
        <v>20</v>
      </c>
      <c r="B1430" s="4" t="s">
        <v>11</v>
      </c>
      <c r="C1430" s="7">
        <v>32.82</v>
      </c>
      <c r="D1430" s="4" t="s">
        <v>29</v>
      </c>
      <c r="E1430" s="4" t="s">
        <v>20</v>
      </c>
      <c r="F1430" s="4" t="s">
        <v>25</v>
      </c>
      <c r="G1430" s="4" t="s">
        <v>36</v>
      </c>
      <c r="H1430" s="4">
        <v>1</v>
      </c>
      <c r="I1430" s="4">
        <v>9</v>
      </c>
      <c r="J1430" s="5">
        <v>45544</v>
      </c>
      <c r="K1430" s="6">
        <v>0.83861111111111108</v>
      </c>
    </row>
    <row r="1431" spans="1:11" x14ac:dyDescent="0.25">
      <c r="A1431" s="4">
        <v>20</v>
      </c>
      <c r="B1431" s="4" t="s">
        <v>11</v>
      </c>
      <c r="C1431" s="7">
        <v>32.82</v>
      </c>
      <c r="D1431" s="4" t="s">
        <v>12</v>
      </c>
      <c r="E1431" s="4" t="s">
        <v>20</v>
      </c>
      <c r="F1431" s="4" t="s">
        <v>25</v>
      </c>
      <c r="G1431" s="4" t="s">
        <v>36</v>
      </c>
      <c r="H1431" s="4">
        <v>1</v>
      </c>
      <c r="I1431" s="4">
        <v>9</v>
      </c>
      <c r="J1431" s="5">
        <v>45544</v>
      </c>
      <c r="K1431" s="6">
        <v>0.84285879629629634</v>
      </c>
    </row>
    <row r="1432" spans="1:11" x14ac:dyDescent="0.25">
      <c r="A1432" s="4">
        <v>8</v>
      </c>
      <c r="B1432" s="4" t="s">
        <v>11</v>
      </c>
      <c r="C1432" s="7">
        <v>32.82</v>
      </c>
      <c r="D1432" s="4" t="s">
        <v>16</v>
      </c>
      <c r="E1432" s="4" t="s">
        <v>13</v>
      </c>
      <c r="F1432" s="4" t="s">
        <v>27</v>
      </c>
      <c r="G1432" s="4" t="s">
        <v>36</v>
      </c>
      <c r="H1432" s="4">
        <v>2</v>
      </c>
      <c r="I1432" s="4">
        <v>9</v>
      </c>
      <c r="J1432" s="5">
        <v>45545</v>
      </c>
      <c r="K1432" s="6">
        <v>0.34168981481481481</v>
      </c>
    </row>
    <row r="1433" spans="1:11" x14ac:dyDescent="0.25">
      <c r="A1433" s="4">
        <v>9</v>
      </c>
      <c r="B1433" s="4" t="s">
        <v>11</v>
      </c>
      <c r="C1433" s="7">
        <v>32.82</v>
      </c>
      <c r="D1433" s="4" t="s">
        <v>29</v>
      </c>
      <c r="E1433" s="4" t="s">
        <v>13</v>
      </c>
      <c r="F1433" s="4" t="s">
        <v>27</v>
      </c>
      <c r="G1433" s="4" t="s">
        <v>36</v>
      </c>
      <c r="H1433" s="4">
        <v>2</v>
      </c>
      <c r="I1433" s="4">
        <v>9</v>
      </c>
      <c r="J1433" s="5">
        <v>45545</v>
      </c>
      <c r="K1433" s="6">
        <v>0.39775462962962965</v>
      </c>
    </row>
    <row r="1434" spans="1:11" x14ac:dyDescent="0.25">
      <c r="A1434" s="4">
        <v>15</v>
      </c>
      <c r="B1434" s="4" t="s">
        <v>11</v>
      </c>
      <c r="C1434" s="7">
        <v>23.02</v>
      </c>
      <c r="D1434" s="4" t="s">
        <v>24</v>
      </c>
      <c r="E1434" s="4" t="s">
        <v>17</v>
      </c>
      <c r="F1434" s="4" t="s">
        <v>27</v>
      </c>
      <c r="G1434" s="4" t="s">
        <v>36</v>
      </c>
      <c r="H1434" s="4">
        <v>2</v>
      </c>
      <c r="I1434" s="4">
        <v>9</v>
      </c>
      <c r="J1434" s="5">
        <v>45545</v>
      </c>
      <c r="K1434" s="6">
        <v>0.64020833333333338</v>
      </c>
    </row>
    <row r="1435" spans="1:11" x14ac:dyDescent="0.25">
      <c r="A1435" s="4">
        <v>15</v>
      </c>
      <c r="B1435" s="4" t="s">
        <v>11</v>
      </c>
      <c r="C1435" s="7">
        <v>23.02</v>
      </c>
      <c r="D1435" s="4" t="s">
        <v>24</v>
      </c>
      <c r="E1435" s="4" t="s">
        <v>17</v>
      </c>
      <c r="F1435" s="4" t="s">
        <v>27</v>
      </c>
      <c r="G1435" s="4" t="s">
        <v>36</v>
      </c>
      <c r="H1435" s="4">
        <v>2</v>
      </c>
      <c r="I1435" s="4">
        <v>9</v>
      </c>
      <c r="J1435" s="5">
        <v>45545</v>
      </c>
      <c r="K1435" s="6">
        <v>0.64103009259259258</v>
      </c>
    </row>
    <row r="1436" spans="1:11" x14ac:dyDescent="0.25">
      <c r="A1436" s="4">
        <v>18</v>
      </c>
      <c r="B1436" s="4" t="s">
        <v>11</v>
      </c>
      <c r="C1436" s="7">
        <v>32.82</v>
      </c>
      <c r="D1436" s="4" t="s">
        <v>29</v>
      </c>
      <c r="E1436" s="4" t="s">
        <v>20</v>
      </c>
      <c r="F1436" s="4" t="s">
        <v>27</v>
      </c>
      <c r="G1436" s="4" t="s">
        <v>36</v>
      </c>
      <c r="H1436" s="4">
        <v>2</v>
      </c>
      <c r="I1436" s="4">
        <v>9</v>
      </c>
      <c r="J1436" s="5">
        <v>45545</v>
      </c>
      <c r="K1436" s="6">
        <v>0.78033564814814815</v>
      </c>
    </row>
    <row r="1437" spans="1:11" x14ac:dyDescent="0.25">
      <c r="A1437" s="4">
        <v>18</v>
      </c>
      <c r="B1437" s="4" t="s">
        <v>11</v>
      </c>
      <c r="C1437" s="7">
        <v>27.92</v>
      </c>
      <c r="D1437" s="4" t="s">
        <v>19</v>
      </c>
      <c r="E1437" s="4" t="s">
        <v>20</v>
      </c>
      <c r="F1437" s="4" t="s">
        <v>27</v>
      </c>
      <c r="G1437" s="4" t="s">
        <v>36</v>
      </c>
      <c r="H1437" s="4">
        <v>2</v>
      </c>
      <c r="I1437" s="4">
        <v>9</v>
      </c>
      <c r="J1437" s="5">
        <v>45545</v>
      </c>
      <c r="K1437" s="6">
        <v>0.78150462962962963</v>
      </c>
    </row>
    <row r="1438" spans="1:11" x14ac:dyDescent="0.25">
      <c r="A1438" s="4">
        <v>19</v>
      </c>
      <c r="B1438" s="4" t="s">
        <v>11</v>
      </c>
      <c r="C1438" s="7">
        <v>32.82</v>
      </c>
      <c r="D1438" s="4" t="s">
        <v>12</v>
      </c>
      <c r="E1438" s="4" t="s">
        <v>20</v>
      </c>
      <c r="F1438" s="4" t="s">
        <v>27</v>
      </c>
      <c r="G1438" s="4" t="s">
        <v>36</v>
      </c>
      <c r="H1438" s="4">
        <v>2</v>
      </c>
      <c r="I1438" s="4">
        <v>9</v>
      </c>
      <c r="J1438" s="5">
        <v>45545</v>
      </c>
      <c r="K1438" s="6">
        <v>0.79355324074074074</v>
      </c>
    </row>
    <row r="1439" spans="1:11" x14ac:dyDescent="0.25">
      <c r="A1439" s="4">
        <v>19</v>
      </c>
      <c r="B1439" s="4" t="s">
        <v>11</v>
      </c>
      <c r="C1439" s="7">
        <v>32.82</v>
      </c>
      <c r="D1439" s="4" t="s">
        <v>12</v>
      </c>
      <c r="E1439" s="4" t="s">
        <v>20</v>
      </c>
      <c r="F1439" s="4" t="s">
        <v>27</v>
      </c>
      <c r="G1439" s="4" t="s">
        <v>36</v>
      </c>
      <c r="H1439" s="4">
        <v>2</v>
      </c>
      <c r="I1439" s="4">
        <v>9</v>
      </c>
      <c r="J1439" s="5">
        <v>45545</v>
      </c>
      <c r="K1439" s="6">
        <v>0.7943634259259259</v>
      </c>
    </row>
    <row r="1440" spans="1:11" x14ac:dyDescent="0.25">
      <c r="A1440" s="4">
        <v>21</v>
      </c>
      <c r="B1440" s="4" t="s">
        <v>11</v>
      </c>
      <c r="C1440" s="7">
        <v>27.92</v>
      </c>
      <c r="D1440" s="4" t="s">
        <v>19</v>
      </c>
      <c r="E1440" s="4" t="s">
        <v>20</v>
      </c>
      <c r="F1440" s="4" t="s">
        <v>27</v>
      </c>
      <c r="G1440" s="4" t="s">
        <v>36</v>
      </c>
      <c r="H1440" s="4">
        <v>2</v>
      </c>
      <c r="I1440" s="4">
        <v>9</v>
      </c>
      <c r="J1440" s="5">
        <v>45545</v>
      </c>
      <c r="K1440" s="6">
        <v>0.89553240740740736</v>
      </c>
    </row>
    <row r="1441" spans="1:11" x14ac:dyDescent="0.25">
      <c r="A1441" s="4">
        <v>21</v>
      </c>
      <c r="B1441" s="4" t="s">
        <v>11</v>
      </c>
      <c r="C1441" s="7">
        <v>23.02</v>
      </c>
      <c r="D1441" s="4" t="s">
        <v>18</v>
      </c>
      <c r="E1441" s="4" t="s">
        <v>20</v>
      </c>
      <c r="F1441" s="4" t="s">
        <v>27</v>
      </c>
      <c r="G1441" s="4" t="s">
        <v>36</v>
      </c>
      <c r="H1441" s="4">
        <v>2</v>
      </c>
      <c r="I1441" s="4">
        <v>9</v>
      </c>
      <c r="J1441" s="5">
        <v>45545</v>
      </c>
      <c r="K1441" s="6">
        <v>0.89614583333333331</v>
      </c>
    </row>
    <row r="1442" spans="1:11" x14ac:dyDescent="0.25">
      <c r="A1442" s="4">
        <v>8</v>
      </c>
      <c r="B1442" s="4" t="s">
        <v>11</v>
      </c>
      <c r="C1442" s="7">
        <v>32.82</v>
      </c>
      <c r="D1442" s="4" t="s">
        <v>12</v>
      </c>
      <c r="E1442" s="4" t="s">
        <v>13</v>
      </c>
      <c r="F1442" s="4" t="s">
        <v>28</v>
      </c>
      <c r="G1442" s="4" t="s">
        <v>36</v>
      </c>
      <c r="H1442" s="4">
        <v>3</v>
      </c>
      <c r="I1442" s="4">
        <v>9</v>
      </c>
      <c r="J1442" s="5">
        <v>45546</v>
      </c>
      <c r="K1442" s="6">
        <v>0.36622685185185183</v>
      </c>
    </row>
    <row r="1443" spans="1:11" x14ac:dyDescent="0.25">
      <c r="A1443" s="4">
        <v>9</v>
      </c>
      <c r="B1443" s="4" t="s">
        <v>11</v>
      </c>
      <c r="C1443" s="7">
        <v>27.92</v>
      </c>
      <c r="D1443" s="4" t="s">
        <v>19</v>
      </c>
      <c r="E1443" s="4" t="s">
        <v>13</v>
      </c>
      <c r="F1443" s="4" t="s">
        <v>28</v>
      </c>
      <c r="G1443" s="4" t="s">
        <v>36</v>
      </c>
      <c r="H1443" s="4">
        <v>3</v>
      </c>
      <c r="I1443" s="4">
        <v>9</v>
      </c>
      <c r="J1443" s="5">
        <v>45546</v>
      </c>
      <c r="K1443" s="6">
        <v>0.39497685185185183</v>
      </c>
    </row>
    <row r="1444" spans="1:11" x14ac:dyDescent="0.25">
      <c r="A1444" s="4">
        <v>10</v>
      </c>
      <c r="B1444" s="4" t="s">
        <v>11</v>
      </c>
      <c r="C1444" s="7">
        <v>32.82</v>
      </c>
      <c r="D1444" s="4" t="s">
        <v>12</v>
      </c>
      <c r="E1444" s="4" t="s">
        <v>13</v>
      </c>
      <c r="F1444" s="4" t="s">
        <v>28</v>
      </c>
      <c r="G1444" s="4" t="s">
        <v>36</v>
      </c>
      <c r="H1444" s="4">
        <v>3</v>
      </c>
      <c r="I1444" s="4">
        <v>9</v>
      </c>
      <c r="J1444" s="5">
        <v>45546</v>
      </c>
      <c r="K1444" s="6">
        <v>0.45288194444444446</v>
      </c>
    </row>
    <row r="1445" spans="1:11" x14ac:dyDescent="0.25">
      <c r="A1445" s="4">
        <v>19</v>
      </c>
      <c r="B1445" s="4" t="s">
        <v>11</v>
      </c>
      <c r="C1445" s="7">
        <v>32.82</v>
      </c>
      <c r="D1445" s="4" t="s">
        <v>29</v>
      </c>
      <c r="E1445" s="4" t="s">
        <v>20</v>
      </c>
      <c r="F1445" s="4" t="s">
        <v>28</v>
      </c>
      <c r="G1445" s="4" t="s">
        <v>36</v>
      </c>
      <c r="H1445" s="4">
        <v>3</v>
      </c>
      <c r="I1445" s="4">
        <v>9</v>
      </c>
      <c r="J1445" s="5">
        <v>45546</v>
      </c>
      <c r="K1445" s="6">
        <v>0.82861111111111108</v>
      </c>
    </row>
    <row r="1446" spans="1:11" x14ac:dyDescent="0.25">
      <c r="A1446" s="4">
        <v>20</v>
      </c>
      <c r="B1446" s="4" t="s">
        <v>11</v>
      </c>
      <c r="C1446" s="7">
        <v>27.92</v>
      </c>
      <c r="D1446" s="4" t="s">
        <v>19</v>
      </c>
      <c r="E1446" s="4" t="s">
        <v>20</v>
      </c>
      <c r="F1446" s="4" t="s">
        <v>28</v>
      </c>
      <c r="G1446" s="4" t="s">
        <v>36</v>
      </c>
      <c r="H1446" s="4">
        <v>3</v>
      </c>
      <c r="I1446" s="4">
        <v>9</v>
      </c>
      <c r="J1446" s="5">
        <v>45546</v>
      </c>
      <c r="K1446" s="6">
        <v>0.8425231481481481</v>
      </c>
    </row>
    <row r="1447" spans="1:11" x14ac:dyDescent="0.25">
      <c r="A1447" s="4">
        <v>20</v>
      </c>
      <c r="B1447" s="4" t="s">
        <v>11</v>
      </c>
      <c r="C1447" s="7">
        <v>32.82</v>
      </c>
      <c r="D1447" s="4" t="s">
        <v>12</v>
      </c>
      <c r="E1447" s="4" t="s">
        <v>20</v>
      </c>
      <c r="F1447" s="4" t="s">
        <v>28</v>
      </c>
      <c r="G1447" s="4" t="s">
        <v>36</v>
      </c>
      <c r="H1447" s="4">
        <v>3</v>
      </c>
      <c r="I1447" s="4">
        <v>9</v>
      </c>
      <c r="J1447" s="5">
        <v>45546</v>
      </c>
      <c r="K1447" s="6">
        <v>0.84326388888888892</v>
      </c>
    </row>
    <row r="1448" spans="1:11" x14ac:dyDescent="0.25">
      <c r="A1448" s="4">
        <v>20</v>
      </c>
      <c r="B1448" s="4" t="s">
        <v>11</v>
      </c>
      <c r="C1448" s="7">
        <v>32.82</v>
      </c>
      <c r="D1448" s="4" t="s">
        <v>12</v>
      </c>
      <c r="E1448" s="4" t="s">
        <v>20</v>
      </c>
      <c r="F1448" s="4" t="s">
        <v>28</v>
      </c>
      <c r="G1448" s="4" t="s">
        <v>36</v>
      </c>
      <c r="H1448" s="4">
        <v>3</v>
      </c>
      <c r="I1448" s="4">
        <v>9</v>
      </c>
      <c r="J1448" s="5">
        <v>45546</v>
      </c>
      <c r="K1448" s="6">
        <v>0.8439699074074074</v>
      </c>
    </row>
    <row r="1449" spans="1:11" x14ac:dyDescent="0.25">
      <c r="A1449" s="4">
        <v>21</v>
      </c>
      <c r="B1449" s="4" t="s">
        <v>11</v>
      </c>
      <c r="C1449" s="7">
        <v>23.02</v>
      </c>
      <c r="D1449" s="4" t="s">
        <v>24</v>
      </c>
      <c r="E1449" s="4" t="s">
        <v>20</v>
      </c>
      <c r="F1449" s="4" t="s">
        <v>28</v>
      </c>
      <c r="G1449" s="4" t="s">
        <v>36</v>
      </c>
      <c r="H1449" s="4">
        <v>3</v>
      </c>
      <c r="I1449" s="4">
        <v>9</v>
      </c>
      <c r="J1449" s="5">
        <v>45546</v>
      </c>
      <c r="K1449" s="6">
        <v>0.87608796296296299</v>
      </c>
    </row>
    <row r="1450" spans="1:11" x14ac:dyDescent="0.25">
      <c r="A1450" s="4">
        <v>10</v>
      </c>
      <c r="B1450" s="4" t="s">
        <v>11</v>
      </c>
      <c r="C1450" s="7">
        <v>18.12</v>
      </c>
      <c r="D1450" s="4" t="s">
        <v>26</v>
      </c>
      <c r="E1450" s="4" t="s">
        <v>13</v>
      </c>
      <c r="F1450" s="4" t="s">
        <v>30</v>
      </c>
      <c r="G1450" s="4" t="s">
        <v>36</v>
      </c>
      <c r="H1450" s="4">
        <v>4</v>
      </c>
      <c r="I1450" s="4">
        <v>9</v>
      </c>
      <c r="J1450" s="5">
        <v>45547</v>
      </c>
      <c r="K1450" s="6">
        <v>0.45653935185185185</v>
      </c>
    </row>
    <row r="1451" spans="1:11" x14ac:dyDescent="0.25">
      <c r="A1451" s="4">
        <v>10</v>
      </c>
      <c r="B1451" s="4" t="s">
        <v>11</v>
      </c>
      <c r="C1451" s="7">
        <v>27.92</v>
      </c>
      <c r="D1451" s="4" t="s">
        <v>19</v>
      </c>
      <c r="E1451" s="4" t="s">
        <v>13</v>
      </c>
      <c r="F1451" s="4" t="s">
        <v>30</v>
      </c>
      <c r="G1451" s="4" t="s">
        <v>36</v>
      </c>
      <c r="H1451" s="4">
        <v>4</v>
      </c>
      <c r="I1451" s="4">
        <v>9</v>
      </c>
      <c r="J1451" s="5">
        <v>45547</v>
      </c>
      <c r="K1451" s="6">
        <v>0.45716435185185184</v>
      </c>
    </row>
    <row r="1452" spans="1:11" x14ac:dyDescent="0.25">
      <c r="A1452" s="4">
        <v>11</v>
      </c>
      <c r="B1452" s="4" t="s">
        <v>11</v>
      </c>
      <c r="C1452" s="7">
        <v>27.92</v>
      </c>
      <c r="D1452" s="4" t="s">
        <v>19</v>
      </c>
      <c r="E1452" s="4" t="s">
        <v>13</v>
      </c>
      <c r="F1452" s="4" t="s">
        <v>30</v>
      </c>
      <c r="G1452" s="4" t="s">
        <v>36</v>
      </c>
      <c r="H1452" s="4">
        <v>4</v>
      </c>
      <c r="I1452" s="4">
        <v>9</v>
      </c>
      <c r="J1452" s="5">
        <v>45547</v>
      </c>
      <c r="K1452" s="6">
        <v>0.47749999999999998</v>
      </c>
    </row>
    <row r="1453" spans="1:11" x14ac:dyDescent="0.25">
      <c r="A1453" s="4">
        <v>12</v>
      </c>
      <c r="B1453" s="4" t="s">
        <v>11</v>
      </c>
      <c r="C1453" s="7">
        <v>32.82</v>
      </c>
      <c r="D1453" s="4" t="s">
        <v>29</v>
      </c>
      <c r="E1453" s="4" t="s">
        <v>17</v>
      </c>
      <c r="F1453" s="4" t="s">
        <v>30</v>
      </c>
      <c r="G1453" s="4" t="s">
        <v>36</v>
      </c>
      <c r="H1453" s="4">
        <v>4</v>
      </c>
      <c r="I1453" s="4">
        <v>9</v>
      </c>
      <c r="J1453" s="5">
        <v>45547</v>
      </c>
      <c r="K1453" s="6">
        <v>0.50581018518518517</v>
      </c>
    </row>
    <row r="1454" spans="1:11" x14ac:dyDescent="0.25">
      <c r="A1454" s="4">
        <v>12</v>
      </c>
      <c r="B1454" s="4" t="s">
        <v>11</v>
      </c>
      <c r="C1454" s="7">
        <v>23.02</v>
      </c>
      <c r="D1454" s="4" t="s">
        <v>24</v>
      </c>
      <c r="E1454" s="4" t="s">
        <v>17</v>
      </c>
      <c r="F1454" s="4" t="s">
        <v>30</v>
      </c>
      <c r="G1454" s="4" t="s">
        <v>36</v>
      </c>
      <c r="H1454" s="4">
        <v>4</v>
      </c>
      <c r="I1454" s="4">
        <v>9</v>
      </c>
      <c r="J1454" s="5">
        <v>45547</v>
      </c>
      <c r="K1454" s="6">
        <v>0.52159722222222227</v>
      </c>
    </row>
    <row r="1455" spans="1:11" x14ac:dyDescent="0.25">
      <c r="A1455" s="4">
        <v>12</v>
      </c>
      <c r="B1455" s="4" t="s">
        <v>11</v>
      </c>
      <c r="C1455" s="7">
        <v>23.02</v>
      </c>
      <c r="D1455" s="4" t="s">
        <v>24</v>
      </c>
      <c r="E1455" s="4" t="s">
        <v>17</v>
      </c>
      <c r="F1455" s="4" t="s">
        <v>30</v>
      </c>
      <c r="G1455" s="4" t="s">
        <v>36</v>
      </c>
      <c r="H1455" s="4">
        <v>4</v>
      </c>
      <c r="I1455" s="4">
        <v>9</v>
      </c>
      <c r="J1455" s="5">
        <v>45547</v>
      </c>
      <c r="K1455" s="6">
        <v>0.52247685185185189</v>
      </c>
    </row>
    <row r="1456" spans="1:11" x14ac:dyDescent="0.25">
      <c r="A1456" s="4">
        <v>12</v>
      </c>
      <c r="B1456" s="4" t="s">
        <v>11</v>
      </c>
      <c r="C1456" s="7">
        <v>23.02</v>
      </c>
      <c r="D1456" s="4" t="s">
        <v>24</v>
      </c>
      <c r="E1456" s="4" t="s">
        <v>17</v>
      </c>
      <c r="F1456" s="4" t="s">
        <v>30</v>
      </c>
      <c r="G1456" s="4" t="s">
        <v>36</v>
      </c>
      <c r="H1456" s="4">
        <v>4</v>
      </c>
      <c r="I1456" s="4">
        <v>9</v>
      </c>
      <c r="J1456" s="5">
        <v>45547</v>
      </c>
      <c r="K1456" s="6">
        <v>0.52592592592592591</v>
      </c>
    </row>
    <row r="1457" spans="1:11" x14ac:dyDescent="0.25">
      <c r="A1457" s="4">
        <v>12</v>
      </c>
      <c r="B1457" s="4" t="s">
        <v>11</v>
      </c>
      <c r="C1457" s="7">
        <v>23.02</v>
      </c>
      <c r="D1457" s="4" t="s">
        <v>24</v>
      </c>
      <c r="E1457" s="4" t="s">
        <v>17</v>
      </c>
      <c r="F1457" s="4" t="s">
        <v>30</v>
      </c>
      <c r="G1457" s="4" t="s">
        <v>36</v>
      </c>
      <c r="H1457" s="4">
        <v>4</v>
      </c>
      <c r="I1457" s="4">
        <v>9</v>
      </c>
      <c r="J1457" s="5">
        <v>45547</v>
      </c>
      <c r="K1457" s="6">
        <v>0.52649305555555559</v>
      </c>
    </row>
    <row r="1458" spans="1:11" x14ac:dyDescent="0.25">
      <c r="A1458" s="4">
        <v>17</v>
      </c>
      <c r="B1458" s="4" t="s">
        <v>11</v>
      </c>
      <c r="C1458" s="7">
        <v>32.82</v>
      </c>
      <c r="D1458" s="4" t="s">
        <v>12</v>
      </c>
      <c r="E1458" s="4" t="s">
        <v>20</v>
      </c>
      <c r="F1458" s="4" t="s">
        <v>30</v>
      </c>
      <c r="G1458" s="4" t="s">
        <v>36</v>
      </c>
      <c r="H1458" s="4">
        <v>4</v>
      </c>
      <c r="I1458" s="4">
        <v>9</v>
      </c>
      <c r="J1458" s="5">
        <v>45547</v>
      </c>
      <c r="K1458" s="6">
        <v>0.70931712962962967</v>
      </c>
    </row>
    <row r="1459" spans="1:11" x14ac:dyDescent="0.25">
      <c r="A1459" s="4">
        <v>21</v>
      </c>
      <c r="B1459" s="4" t="s">
        <v>11</v>
      </c>
      <c r="C1459" s="7">
        <v>23.02</v>
      </c>
      <c r="D1459" s="4" t="s">
        <v>18</v>
      </c>
      <c r="E1459" s="4" t="s">
        <v>20</v>
      </c>
      <c r="F1459" s="4" t="s">
        <v>30</v>
      </c>
      <c r="G1459" s="4" t="s">
        <v>36</v>
      </c>
      <c r="H1459" s="4">
        <v>4</v>
      </c>
      <c r="I1459" s="4">
        <v>9</v>
      </c>
      <c r="J1459" s="5">
        <v>45547</v>
      </c>
      <c r="K1459" s="6">
        <v>0.8813657407407407</v>
      </c>
    </row>
    <row r="1460" spans="1:11" x14ac:dyDescent="0.25">
      <c r="A1460" s="4">
        <v>21</v>
      </c>
      <c r="B1460" s="4" t="s">
        <v>11</v>
      </c>
      <c r="C1460" s="7">
        <v>32.82</v>
      </c>
      <c r="D1460" s="4" t="s">
        <v>29</v>
      </c>
      <c r="E1460" s="4" t="s">
        <v>20</v>
      </c>
      <c r="F1460" s="4" t="s">
        <v>30</v>
      </c>
      <c r="G1460" s="4" t="s">
        <v>36</v>
      </c>
      <c r="H1460" s="4">
        <v>4</v>
      </c>
      <c r="I1460" s="4">
        <v>9</v>
      </c>
      <c r="J1460" s="5">
        <v>45547</v>
      </c>
      <c r="K1460" s="6">
        <v>0.88218750000000001</v>
      </c>
    </row>
    <row r="1461" spans="1:11" x14ac:dyDescent="0.25">
      <c r="A1461" s="4">
        <v>21</v>
      </c>
      <c r="B1461" s="4" t="s">
        <v>11</v>
      </c>
      <c r="C1461" s="7">
        <v>23.02</v>
      </c>
      <c r="D1461" s="4" t="s">
        <v>24</v>
      </c>
      <c r="E1461" s="4" t="s">
        <v>20</v>
      </c>
      <c r="F1461" s="4" t="s">
        <v>30</v>
      </c>
      <c r="G1461" s="4" t="s">
        <v>36</v>
      </c>
      <c r="H1461" s="4">
        <v>4</v>
      </c>
      <c r="I1461" s="4">
        <v>9</v>
      </c>
      <c r="J1461" s="5">
        <v>45547</v>
      </c>
      <c r="K1461" s="6">
        <v>0.88421296296296292</v>
      </c>
    </row>
    <row r="1462" spans="1:11" x14ac:dyDescent="0.25">
      <c r="A1462" s="4">
        <v>7</v>
      </c>
      <c r="B1462" s="4" t="s">
        <v>11</v>
      </c>
      <c r="C1462" s="7">
        <v>32.82</v>
      </c>
      <c r="D1462" s="4" t="s">
        <v>12</v>
      </c>
      <c r="E1462" s="4" t="s">
        <v>13</v>
      </c>
      <c r="F1462" s="4" t="s">
        <v>14</v>
      </c>
      <c r="G1462" s="4" t="s">
        <v>36</v>
      </c>
      <c r="H1462" s="4">
        <v>5</v>
      </c>
      <c r="I1462" s="4">
        <v>9</v>
      </c>
      <c r="J1462" s="5">
        <v>45548</v>
      </c>
      <c r="K1462" s="6">
        <v>0.33116898148148149</v>
      </c>
    </row>
    <row r="1463" spans="1:11" x14ac:dyDescent="0.25">
      <c r="A1463" s="4">
        <v>8</v>
      </c>
      <c r="B1463" s="4" t="s">
        <v>11</v>
      </c>
      <c r="C1463" s="7">
        <v>32.82</v>
      </c>
      <c r="D1463" s="4" t="s">
        <v>12</v>
      </c>
      <c r="E1463" s="4" t="s">
        <v>13</v>
      </c>
      <c r="F1463" s="4" t="s">
        <v>14</v>
      </c>
      <c r="G1463" s="4" t="s">
        <v>36</v>
      </c>
      <c r="H1463" s="4">
        <v>5</v>
      </c>
      <c r="I1463" s="4">
        <v>9</v>
      </c>
      <c r="J1463" s="5">
        <v>45548</v>
      </c>
      <c r="K1463" s="6">
        <v>0.36182870370370368</v>
      </c>
    </row>
    <row r="1464" spans="1:11" x14ac:dyDescent="0.25">
      <c r="A1464" s="4">
        <v>8</v>
      </c>
      <c r="B1464" s="4" t="s">
        <v>11</v>
      </c>
      <c r="C1464" s="7">
        <v>32.82</v>
      </c>
      <c r="D1464" s="4" t="s">
        <v>12</v>
      </c>
      <c r="E1464" s="4" t="s">
        <v>13</v>
      </c>
      <c r="F1464" s="4" t="s">
        <v>14</v>
      </c>
      <c r="G1464" s="4" t="s">
        <v>36</v>
      </c>
      <c r="H1464" s="4">
        <v>5</v>
      </c>
      <c r="I1464" s="4">
        <v>9</v>
      </c>
      <c r="J1464" s="5">
        <v>45548</v>
      </c>
      <c r="K1464" s="6">
        <v>0.37100694444444443</v>
      </c>
    </row>
    <row r="1465" spans="1:11" x14ac:dyDescent="0.25">
      <c r="A1465" s="4">
        <v>9</v>
      </c>
      <c r="B1465" s="4" t="s">
        <v>11</v>
      </c>
      <c r="C1465" s="7">
        <v>32.82</v>
      </c>
      <c r="D1465" s="4" t="s">
        <v>12</v>
      </c>
      <c r="E1465" s="4" t="s">
        <v>13</v>
      </c>
      <c r="F1465" s="4" t="s">
        <v>14</v>
      </c>
      <c r="G1465" s="4" t="s">
        <v>36</v>
      </c>
      <c r="H1465" s="4">
        <v>5</v>
      </c>
      <c r="I1465" s="4">
        <v>9</v>
      </c>
      <c r="J1465" s="5">
        <v>45548</v>
      </c>
      <c r="K1465" s="6">
        <v>0.41063657407407406</v>
      </c>
    </row>
    <row r="1466" spans="1:11" x14ac:dyDescent="0.25">
      <c r="A1466" s="4">
        <v>15</v>
      </c>
      <c r="B1466" s="4" t="s">
        <v>11</v>
      </c>
      <c r="C1466" s="7">
        <v>27.92</v>
      </c>
      <c r="D1466" s="4" t="s">
        <v>19</v>
      </c>
      <c r="E1466" s="4" t="s">
        <v>17</v>
      </c>
      <c r="F1466" s="4" t="s">
        <v>14</v>
      </c>
      <c r="G1466" s="4" t="s">
        <v>36</v>
      </c>
      <c r="H1466" s="4">
        <v>5</v>
      </c>
      <c r="I1466" s="4">
        <v>9</v>
      </c>
      <c r="J1466" s="5">
        <v>45548</v>
      </c>
      <c r="K1466" s="6">
        <v>0.65159722222222227</v>
      </c>
    </row>
    <row r="1467" spans="1:11" x14ac:dyDescent="0.25">
      <c r="A1467" s="4">
        <v>15</v>
      </c>
      <c r="B1467" s="4" t="s">
        <v>11</v>
      </c>
      <c r="C1467" s="7">
        <v>27.92</v>
      </c>
      <c r="D1467" s="4" t="s">
        <v>19</v>
      </c>
      <c r="E1467" s="4" t="s">
        <v>17</v>
      </c>
      <c r="F1467" s="4" t="s">
        <v>14</v>
      </c>
      <c r="G1467" s="4" t="s">
        <v>36</v>
      </c>
      <c r="H1467" s="4">
        <v>5</v>
      </c>
      <c r="I1467" s="4">
        <v>9</v>
      </c>
      <c r="J1467" s="5">
        <v>45548</v>
      </c>
      <c r="K1467" s="6">
        <v>0.66033564814814816</v>
      </c>
    </row>
    <row r="1468" spans="1:11" x14ac:dyDescent="0.25">
      <c r="A1468" s="4">
        <v>16</v>
      </c>
      <c r="B1468" s="4" t="s">
        <v>11</v>
      </c>
      <c r="C1468" s="7">
        <v>32.82</v>
      </c>
      <c r="D1468" s="4" t="s">
        <v>29</v>
      </c>
      <c r="E1468" s="4" t="s">
        <v>17</v>
      </c>
      <c r="F1468" s="4" t="s">
        <v>22</v>
      </c>
      <c r="G1468" s="4" t="s">
        <v>36</v>
      </c>
      <c r="H1468" s="4">
        <v>6</v>
      </c>
      <c r="I1468" s="4">
        <v>9</v>
      </c>
      <c r="J1468" s="5">
        <v>45549</v>
      </c>
      <c r="K1468" s="6">
        <v>0.68702546296296296</v>
      </c>
    </row>
    <row r="1469" spans="1:11" x14ac:dyDescent="0.25">
      <c r="A1469" s="4">
        <v>16</v>
      </c>
      <c r="B1469" s="4" t="s">
        <v>11</v>
      </c>
      <c r="C1469" s="7">
        <v>32.82</v>
      </c>
      <c r="D1469" s="4" t="s">
        <v>29</v>
      </c>
      <c r="E1469" s="4" t="s">
        <v>17</v>
      </c>
      <c r="F1469" s="4" t="s">
        <v>22</v>
      </c>
      <c r="G1469" s="4" t="s">
        <v>36</v>
      </c>
      <c r="H1469" s="4">
        <v>6</v>
      </c>
      <c r="I1469" s="4">
        <v>9</v>
      </c>
      <c r="J1469" s="5">
        <v>45549</v>
      </c>
      <c r="K1469" s="6">
        <v>0.68768518518518518</v>
      </c>
    </row>
    <row r="1470" spans="1:11" x14ac:dyDescent="0.25">
      <c r="A1470" s="4">
        <v>8</v>
      </c>
      <c r="B1470" s="4" t="s">
        <v>11</v>
      </c>
      <c r="C1470" s="7">
        <v>18.12</v>
      </c>
      <c r="D1470" s="4" t="s">
        <v>26</v>
      </c>
      <c r="E1470" s="4" t="s">
        <v>13</v>
      </c>
      <c r="F1470" s="4" t="s">
        <v>23</v>
      </c>
      <c r="G1470" s="4" t="s">
        <v>36</v>
      </c>
      <c r="H1470" s="4">
        <v>7</v>
      </c>
      <c r="I1470" s="4">
        <v>9</v>
      </c>
      <c r="J1470" s="5">
        <v>45550</v>
      </c>
      <c r="K1470" s="6">
        <v>0.36296296296296299</v>
      </c>
    </row>
    <row r="1471" spans="1:11" x14ac:dyDescent="0.25">
      <c r="A1471" s="4">
        <v>9</v>
      </c>
      <c r="B1471" s="4" t="s">
        <v>11</v>
      </c>
      <c r="C1471" s="7">
        <v>27.92</v>
      </c>
      <c r="D1471" s="4" t="s">
        <v>19</v>
      </c>
      <c r="E1471" s="4" t="s">
        <v>13</v>
      </c>
      <c r="F1471" s="4" t="s">
        <v>23</v>
      </c>
      <c r="G1471" s="4" t="s">
        <v>36</v>
      </c>
      <c r="H1471" s="4">
        <v>7</v>
      </c>
      <c r="I1471" s="4">
        <v>9</v>
      </c>
      <c r="J1471" s="5">
        <v>45550</v>
      </c>
      <c r="K1471" s="6">
        <v>0.40946759259259258</v>
      </c>
    </row>
    <row r="1472" spans="1:11" x14ac:dyDescent="0.25">
      <c r="A1472" s="4">
        <v>13</v>
      </c>
      <c r="B1472" s="4" t="s">
        <v>11</v>
      </c>
      <c r="C1472" s="7">
        <v>23.02</v>
      </c>
      <c r="D1472" s="4" t="s">
        <v>18</v>
      </c>
      <c r="E1472" s="4" t="s">
        <v>17</v>
      </c>
      <c r="F1472" s="4" t="s">
        <v>23</v>
      </c>
      <c r="G1472" s="4" t="s">
        <v>36</v>
      </c>
      <c r="H1472" s="4">
        <v>7</v>
      </c>
      <c r="I1472" s="4">
        <v>9</v>
      </c>
      <c r="J1472" s="5">
        <v>45550</v>
      </c>
      <c r="K1472" s="6">
        <v>0.57612268518518517</v>
      </c>
    </row>
    <row r="1473" spans="1:11" x14ac:dyDescent="0.25">
      <c r="A1473" s="4">
        <v>14</v>
      </c>
      <c r="B1473" s="4" t="s">
        <v>11</v>
      </c>
      <c r="C1473" s="7">
        <v>23.02</v>
      </c>
      <c r="D1473" s="4" t="s">
        <v>24</v>
      </c>
      <c r="E1473" s="4" t="s">
        <v>17</v>
      </c>
      <c r="F1473" s="4" t="s">
        <v>23</v>
      </c>
      <c r="G1473" s="4" t="s">
        <v>36</v>
      </c>
      <c r="H1473" s="4">
        <v>7</v>
      </c>
      <c r="I1473" s="4">
        <v>9</v>
      </c>
      <c r="J1473" s="5">
        <v>45550</v>
      </c>
      <c r="K1473" s="6">
        <v>0.60855324074074069</v>
      </c>
    </row>
    <row r="1474" spans="1:11" x14ac:dyDescent="0.25">
      <c r="A1474" s="4">
        <v>14</v>
      </c>
      <c r="B1474" s="4" t="s">
        <v>11</v>
      </c>
      <c r="C1474" s="7">
        <v>23.02</v>
      </c>
      <c r="D1474" s="4" t="s">
        <v>24</v>
      </c>
      <c r="E1474" s="4" t="s">
        <v>17</v>
      </c>
      <c r="F1474" s="4" t="s">
        <v>23</v>
      </c>
      <c r="G1474" s="4" t="s">
        <v>36</v>
      </c>
      <c r="H1474" s="4">
        <v>7</v>
      </c>
      <c r="I1474" s="4">
        <v>9</v>
      </c>
      <c r="J1474" s="5">
        <v>45550</v>
      </c>
      <c r="K1474" s="6">
        <v>0.60925925925925928</v>
      </c>
    </row>
    <row r="1475" spans="1:11" x14ac:dyDescent="0.25">
      <c r="A1475" s="4">
        <v>14</v>
      </c>
      <c r="B1475" s="4" t="s">
        <v>11</v>
      </c>
      <c r="C1475" s="7">
        <v>32.82</v>
      </c>
      <c r="D1475" s="4" t="s">
        <v>29</v>
      </c>
      <c r="E1475" s="4" t="s">
        <v>17</v>
      </c>
      <c r="F1475" s="4" t="s">
        <v>23</v>
      </c>
      <c r="G1475" s="4" t="s">
        <v>36</v>
      </c>
      <c r="H1475" s="4">
        <v>7</v>
      </c>
      <c r="I1475" s="4">
        <v>9</v>
      </c>
      <c r="J1475" s="5">
        <v>45550</v>
      </c>
      <c r="K1475" s="6">
        <v>0.62034722222222227</v>
      </c>
    </row>
    <row r="1476" spans="1:11" x14ac:dyDescent="0.25">
      <c r="A1476" s="4">
        <v>13</v>
      </c>
      <c r="B1476" s="4" t="s">
        <v>11</v>
      </c>
      <c r="C1476" s="7">
        <v>32.82</v>
      </c>
      <c r="D1476" s="4" t="s">
        <v>12</v>
      </c>
      <c r="E1476" s="4" t="s">
        <v>17</v>
      </c>
      <c r="F1476" s="4" t="s">
        <v>25</v>
      </c>
      <c r="G1476" s="4" t="s">
        <v>36</v>
      </c>
      <c r="H1476" s="4">
        <v>1</v>
      </c>
      <c r="I1476" s="4">
        <v>9</v>
      </c>
      <c r="J1476" s="5">
        <v>45551</v>
      </c>
      <c r="K1476" s="6">
        <v>0.56414351851851852</v>
      </c>
    </row>
    <row r="1477" spans="1:11" x14ac:dyDescent="0.25">
      <c r="A1477" s="4">
        <v>13</v>
      </c>
      <c r="B1477" s="4" t="s">
        <v>11</v>
      </c>
      <c r="C1477" s="7">
        <v>27.92</v>
      </c>
      <c r="D1477" s="4" t="s">
        <v>19</v>
      </c>
      <c r="E1477" s="4" t="s">
        <v>17</v>
      </c>
      <c r="F1477" s="4" t="s">
        <v>25</v>
      </c>
      <c r="G1477" s="4" t="s">
        <v>36</v>
      </c>
      <c r="H1477" s="4">
        <v>1</v>
      </c>
      <c r="I1477" s="4">
        <v>9</v>
      </c>
      <c r="J1477" s="5">
        <v>45551</v>
      </c>
      <c r="K1477" s="6">
        <v>0.56499999999999995</v>
      </c>
    </row>
    <row r="1478" spans="1:11" x14ac:dyDescent="0.25">
      <c r="A1478" s="4">
        <v>15</v>
      </c>
      <c r="B1478" s="4" t="s">
        <v>11</v>
      </c>
      <c r="C1478" s="7">
        <v>32.82</v>
      </c>
      <c r="D1478" s="4" t="s">
        <v>12</v>
      </c>
      <c r="E1478" s="4" t="s">
        <v>17</v>
      </c>
      <c r="F1478" s="4" t="s">
        <v>25</v>
      </c>
      <c r="G1478" s="4" t="s">
        <v>36</v>
      </c>
      <c r="H1478" s="4">
        <v>1</v>
      </c>
      <c r="I1478" s="4">
        <v>9</v>
      </c>
      <c r="J1478" s="5">
        <v>45551</v>
      </c>
      <c r="K1478" s="6">
        <v>0.64119212962962968</v>
      </c>
    </row>
    <row r="1479" spans="1:11" x14ac:dyDescent="0.25">
      <c r="A1479" s="4">
        <v>17</v>
      </c>
      <c r="B1479" s="4" t="s">
        <v>11</v>
      </c>
      <c r="C1479" s="7">
        <v>27.92</v>
      </c>
      <c r="D1479" s="4" t="s">
        <v>19</v>
      </c>
      <c r="E1479" s="4" t="s">
        <v>20</v>
      </c>
      <c r="F1479" s="4" t="s">
        <v>25</v>
      </c>
      <c r="G1479" s="4" t="s">
        <v>36</v>
      </c>
      <c r="H1479" s="4">
        <v>1</v>
      </c>
      <c r="I1479" s="4">
        <v>9</v>
      </c>
      <c r="J1479" s="5">
        <v>45551</v>
      </c>
      <c r="K1479" s="6">
        <v>0.71950231481481486</v>
      </c>
    </row>
    <row r="1480" spans="1:11" x14ac:dyDescent="0.25">
      <c r="A1480" s="4">
        <v>17</v>
      </c>
      <c r="B1480" s="4" t="s">
        <v>11</v>
      </c>
      <c r="C1480" s="7">
        <v>32.82</v>
      </c>
      <c r="D1480" s="4" t="s">
        <v>12</v>
      </c>
      <c r="E1480" s="4" t="s">
        <v>20</v>
      </c>
      <c r="F1480" s="4" t="s">
        <v>25</v>
      </c>
      <c r="G1480" s="4" t="s">
        <v>36</v>
      </c>
      <c r="H1480" s="4">
        <v>1</v>
      </c>
      <c r="I1480" s="4">
        <v>9</v>
      </c>
      <c r="J1480" s="5">
        <v>45551</v>
      </c>
      <c r="K1480" s="6">
        <v>0.72086805555555555</v>
      </c>
    </row>
    <row r="1481" spans="1:11" x14ac:dyDescent="0.25">
      <c r="A1481" s="4">
        <v>18</v>
      </c>
      <c r="B1481" s="4" t="s">
        <v>11</v>
      </c>
      <c r="C1481" s="7">
        <v>32.82</v>
      </c>
      <c r="D1481" s="4" t="s">
        <v>12</v>
      </c>
      <c r="E1481" s="4" t="s">
        <v>20</v>
      </c>
      <c r="F1481" s="4" t="s">
        <v>25</v>
      </c>
      <c r="G1481" s="4" t="s">
        <v>36</v>
      </c>
      <c r="H1481" s="4">
        <v>1</v>
      </c>
      <c r="I1481" s="4">
        <v>9</v>
      </c>
      <c r="J1481" s="5">
        <v>45551</v>
      </c>
      <c r="K1481" s="6">
        <v>0.78802083333333328</v>
      </c>
    </row>
    <row r="1482" spans="1:11" x14ac:dyDescent="0.25">
      <c r="A1482" s="4">
        <v>18</v>
      </c>
      <c r="B1482" s="4" t="s">
        <v>11</v>
      </c>
      <c r="C1482" s="7">
        <v>32.82</v>
      </c>
      <c r="D1482" s="4" t="s">
        <v>12</v>
      </c>
      <c r="E1482" s="4" t="s">
        <v>20</v>
      </c>
      <c r="F1482" s="4" t="s">
        <v>25</v>
      </c>
      <c r="G1482" s="4" t="s">
        <v>36</v>
      </c>
      <c r="H1482" s="4">
        <v>1</v>
      </c>
      <c r="I1482" s="4">
        <v>9</v>
      </c>
      <c r="J1482" s="5">
        <v>45551</v>
      </c>
      <c r="K1482" s="6">
        <v>0.78894675925925928</v>
      </c>
    </row>
    <row r="1483" spans="1:11" x14ac:dyDescent="0.25">
      <c r="A1483" s="4">
        <v>21</v>
      </c>
      <c r="B1483" s="4" t="s">
        <v>11</v>
      </c>
      <c r="C1483" s="7">
        <v>27.92</v>
      </c>
      <c r="D1483" s="4" t="s">
        <v>19</v>
      </c>
      <c r="E1483" s="4" t="s">
        <v>20</v>
      </c>
      <c r="F1483" s="4" t="s">
        <v>25</v>
      </c>
      <c r="G1483" s="4" t="s">
        <v>36</v>
      </c>
      <c r="H1483" s="4">
        <v>1</v>
      </c>
      <c r="I1483" s="4">
        <v>9</v>
      </c>
      <c r="J1483" s="5">
        <v>45551</v>
      </c>
      <c r="K1483" s="6">
        <v>0.88215277777777779</v>
      </c>
    </row>
    <row r="1484" spans="1:11" x14ac:dyDescent="0.25">
      <c r="A1484" s="4">
        <v>21</v>
      </c>
      <c r="B1484" s="4" t="s">
        <v>11</v>
      </c>
      <c r="C1484" s="7">
        <v>32.82</v>
      </c>
      <c r="D1484" s="4" t="s">
        <v>12</v>
      </c>
      <c r="E1484" s="4" t="s">
        <v>20</v>
      </c>
      <c r="F1484" s="4" t="s">
        <v>25</v>
      </c>
      <c r="G1484" s="4" t="s">
        <v>36</v>
      </c>
      <c r="H1484" s="4">
        <v>1</v>
      </c>
      <c r="I1484" s="4">
        <v>9</v>
      </c>
      <c r="J1484" s="5">
        <v>45551</v>
      </c>
      <c r="K1484" s="6">
        <v>0.88300925925925922</v>
      </c>
    </row>
    <row r="1485" spans="1:11" x14ac:dyDescent="0.25">
      <c r="A1485" s="4">
        <v>21</v>
      </c>
      <c r="B1485" s="4" t="s">
        <v>11</v>
      </c>
      <c r="C1485" s="7">
        <v>27.92</v>
      </c>
      <c r="D1485" s="4" t="s">
        <v>19</v>
      </c>
      <c r="E1485" s="4" t="s">
        <v>20</v>
      </c>
      <c r="F1485" s="4" t="s">
        <v>25</v>
      </c>
      <c r="G1485" s="4" t="s">
        <v>36</v>
      </c>
      <c r="H1485" s="4">
        <v>1</v>
      </c>
      <c r="I1485" s="4">
        <v>9</v>
      </c>
      <c r="J1485" s="5">
        <v>45551</v>
      </c>
      <c r="K1485" s="6">
        <v>0.90123842592592596</v>
      </c>
    </row>
    <row r="1486" spans="1:11" x14ac:dyDescent="0.25">
      <c r="A1486" s="4">
        <v>21</v>
      </c>
      <c r="B1486" s="4" t="s">
        <v>11</v>
      </c>
      <c r="C1486" s="7">
        <v>27.92</v>
      </c>
      <c r="D1486" s="4" t="s">
        <v>19</v>
      </c>
      <c r="E1486" s="4" t="s">
        <v>20</v>
      </c>
      <c r="F1486" s="4" t="s">
        <v>25</v>
      </c>
      <c r="G1486" s="4" t="s">
        <v>36</v>
      </c>
      <c r="H1486" s="4">
        <v>1</v>
      </c>
      <c r="I1486" s="4">
        <v>9</v>
      </c>
      <c r="J1486" s="5">
        <v>45551</v>
      </c>
      <c r="K1486" s="6">
        <v>0.90194444444444444</v>
      </c>
    </row>
    <row r="1487" spans="1:11" x14ac:dyDescent="0.25">
      <c r="A1487" s="4">
        <v>7</v>
      </c>
      <c r="B1487" s="4" t="s">
        <v>11</v>
      </c>
      <c r="C1487" s="7">
        <v>23.02</v>
      </c>
      <c r="D1487" s="4" t="s">
        <v>24</v>
      </c>
      <c r="E1487" s="4" t="s">
        <v>13</v>
      </c>
      <c r="F1487" s="4" t="s">
        <v>27</v>
      </c>
      <c r="G1487" s="4" t="s">
        <v>36</v>
      </c>
      <c r="H1487" s="4">
        <v>2</v>
      </c>
      <c r="I1487" s="4">
        <v>9</v>
      </c>
      <c r="J1487" s="5">
        <v>45552</v>
      </c>
      <c r="K1487" s="6">
        <v>0.32982638888888888</v>
      </c>
    </row>
    <row r="1488" spans="1:11" x14ac:dyDescent="0.25">
      <c r="A1488" s="4">
        <v>8</v>
      </c>
      <c r="B1488" s="4" t="s">
        <v>11</v>
      </c>
      <c r="C1488" s="7">
        <v>32.82</v>
      </c>
      <c r="D1488" s="4" t="s">
        <v>12</v>
      </c>
      <c r="E1488" s="4" t="s">
        <v>13</v>
      </c>
      <c r="F1488" s="4" t="s">
        <v>27</v>
      </c>
      <c r="G1488" s="4" t="s">
        <v>36</v>
      </c>
      <c r="H1488" s="4">
        <v>2</v>
      </c>
      <c r="I1488" s="4">
        <v>9</v>
      </c>
      <c r="J1488" s="5">
        <v>45552</v>
      </c>
      <c r="K1488" s="6">
        <v>0.33958333333333335</v>
      </c>
    </row>
    <row r="1489" spans="1:11" x14ac:dyDescent="0.25">
      <c r="A1489" s="4">
        <v>8</v>
      </c>
      <c r="B1489" s="4" t="s">
        <v>11</v>
      </c>
      <c r="C1489" s="7">
        <v>27.92</v>
      </c>
      <c r="D1489" s="4" t="s">
        <v>19</v>
      </c>
      <c r="E1489" s="4" t="s">
        <v>13</v>
      </c>
      <c r="F1489" s="4" t="s">
        <v>27</v>
      </c>
      <c r="G1489" s="4" t="s">
        <v>36</v>
      </c>
      <c r="H1489" s="4">
        <v>2</v>
      </c>
      <c r="I1489" s="4">
        <v>9</v>
      </c>
      <c r="J1489" s="5">
        <v>45552</v>
      </c>
      <c r="K1489" s="6">
        <v>0.35945601851851849</v>
      </c>
    </row>
    <row r="1490" spans="1:11" x14ac:dyDescent="0.25">
      <c r="A1490" s="4">
        <v>8</v>
      </c>
      <c r="B1490" s="4" t="s">
        <v>11</v>
      </c>
      <c r="C1490" s="7">
        <v>23.02</v>
      </c>
      <c r="D1490" s="4" t="s">
        <v>24</v>
      </c>
      <c r="E1490" s="4" t="s">
        <v>13</v>
      </c>
      <c r="F1490" s="4" t="s">
        <v>27</v>
      </c>
      <c r="G1490" s="4" t="s">
        <v>36</v>
      </c>
      <c r="H1490" s="4">
        <v>2</v>
      </c>
      <c r="I1490" s="4">
        <v>9</v>
      </c>
      <c r="J1490" s="5">
        <v>45552</v>
      </c>
      <c r="K1490" s="6">
        <v>0.3628587962962963</v>
      </c>
    </row>
    <row r="1491" spans="1:11" x14ac:dyDescent="0.25">
      <c r="A1491" s="4">
        <v>9</v>
      </c>
      <c r="B1491" s="4" t="s">
        <v>11</v>
      </c>
      <c r="C1491" s="7">
        <v>32.82</v>
      </c>
      <c r="D1491" s="4" t="s">
        <v>29</v>
      </c>
      <c r="E1491" s="4" t="s">
        <v>13</v>
      </c>
      <c r="F1491" s="4" t="s">
        <v>27</v>
      </c>
      <c r="G1491" s="4" t="s">
        <v>36</v>
      </c>
      <c r="H1491" s="4">
        <v>2</v>
      </c>
      <c r="I1491" s="4">
        <v>9</v>
      </c>
      <c r="J1491" s="5">
        <v>45552</v>
      </c>
      <c r="K1491" s="6">
        <v>0.38197916666666665</v>
      </c>
    </row>
    <row r="1492" spans="1:11" x14ac:dyDescent="0.25">
      <c r="A1492" s="4">
        <v>9</v>
      </c>
      <c r="B1492" s="4" t="s">
        <v>11</v>
      </c>
      <c r="C1492" s="7">
        <v>27.92</v>
      </c>
      <c r="D1492" s="4" t="s">
        <v>19</v>
      </c>
      <c r="E1492" s="4" t="s">
        <v>13</v>
      </c>
      <c r="F1492" s="4" t="s">
        <v>27</v>
      </c>
      <c r="G1492" s="4" t="s">
        <v>36</v>
      </c>
      <c r="H1492" s="4">
        <v>2</v>
      </c>
      <c r="I1492" s="4">
        <v>9</v>
      </c>
      <c r="J1492" s="5">
        <v>45552</v>
      </c>
      <c r="K1492" s="6">
        <v>0.38273148148148151</v>
      </c>
    </row>
    <row r="1493" spans="1:11" x14ac:dyDescent="0.25">
      <c r="A1493" s="4">
        <v>9</v>
      </c>
      <c r="B1493" s="4" t="s">
        <v>11</v>
      </c>
      <c r="C1493" s="7">
        <v>27.92</v>
      </c>
      <c r="D1493" s="4" t="s">
        <v>19</v>
      </c>
      <c r="E1493" s="4" t="s">
        <v>13</v>
      </c>
      <c r="F1493" s="4" t="s">
        <v>27</v>
      </c>
      <c r="G1493" s="4" t="s">
        <v>36</v>
      </c>
      <c r="H1493" s="4">
        <v>2</v>
      </c>
      <c r="I1493" s="4">
        <v>9</v>
      </c>
      <c r="J1493" s="5">
        <v>45552</v>
      </c>
      <c r="K1493" s="6">
        <v>0.39925925925925926</v>
      </c>
    </row>
    <row r="1494" spans="1:11" x14ac:dyDescent="0.25">
      <c r="A1494" s="4">
        <v>12</v>
      </c>
      <c r="B1494" s="4" t="s">
        <v>11</v>
      </c>
      <c r="C1494" s="7">
        <v>18.12</v>
      </c>
      <c r="D1494" s="4" t="s">
        <v>26</v>
      </c>
      <c r="E1494" s="4" t="s">
        <v>17</v>
      </c>
      <c r="F1494" s="4" t="s">
        <v>27</v>
      </c>
      <c r="G1494" s="4" t="s">
        <v>36</v>
      </c>
      <c r="H1494" s="4">
        <v>2</v>
      </c>
      <c r="I1494" s="4">
        <v>9</v>
      </c>
      <c r="J1494" s="5">
        <v>45552</v>
      </c>
      <c r="K1494" s="6">
        <v>0.5267708333333333</v>
      </c>
    </row>
    <row r="1495" spans="1:11" x14ac:dyDescent="0.25">
      <c r="A1495" s="4">
        <v>12</v>
      </c>
      <c r="B1495" s="4" t="s">
        <v>11</v>
      </c>
      <c r="C1495" s="7">
        <v>27.92</v>
      </c>
      <c r="D1495" s="4" t="s">
        <v>19</v>
      </c>
      <c r="E1495" s="4" t="s">
        <v>17</v>
      </c>
      <c r="F1495" s="4" t="s">
        <v>27</v>
      </c>
      <c r="G1495" s="4" t="s">
        <v>36</v>
      </c>
      <c r="H1495" s="4">
        <v>2</v>
      </c>
      <c r="I1495" s="4">
        <v>9</v>
      </c>
      <c r="J1495" s="5">
        <v>45552</v>
      </c>
      <c r="K1495" s="6">
        <v>0.52746527777777774</v>
      </c>
    </row>
    <row r="1496" spans="1:11" x14ac:dyDescent="0.25">
      <c r="A1496" s="4">
        <v>12</v>
      </c>
      <c r="B1496" s="4" t="s">
        <v>11</v>
      </c>
      <c r="C1496" s="7">
        <v>32.82</v>
      </c>
      <c r="D1496" s="4" t="s">
        <v>12</v>
      </c>
      <c r="E1496" s="4" t="s">
        <v>17</v>
      </c>
      <c r="F1496" s="4" t="s">
        <v>27</v>
      </c>
      <c r="G1496" s="4" t="s">
        <v>36</v>
      </c>
      <c r="H1496" s="4">
        <v>2</v>
      </c>
      <c r="I1496" s="4">
        <v>9</v>
      </c>
      <c r="J1496" s="5">
        <v>45552</v>
      </c>
      <c r="K1496" s="6">
        <v>0.5307291666666667</v>
      </c>
    </row>
    <row r="1497" spans="1:11" x14ac:dyDescent="0.25">
      <c r="A1497" s="4">
        <v>13</v>
      </c>
      <c r="B1497" s="4" t="s">
        <v>11</v>
      </c>
      <c r="C1497" s="7">
        <v>27.92</v>
      </c>
      <c r="D1497" s="4" t="s">
        <v>19</v>
      </c>
      <c r="E1497" s="4" t="s">
        <v>17</v>
      </c>
      <c r="F1497" s="4" t="s">
        <v>27</v>
      </c>
      <c r="G1497" s="4" t="s">
        <v>36</v>
      </c>
      <c r="H1497" s="4">
        <v>2</v>
      </c>
      <c r="I1497" s="4">
        <v>9</v>
      </c>
      <c r="J1497" s="5">
        <v>45552</v>
      </c>
      <c r="K1497" s="6">
        <v>0.57943287037037039</v>
      </c>
    </row>
    <row r="1498" spans="1:11" x14ac:dyDescent="0.25">
      <c r="A1498" s="4">
        <v>13</v>
      </c>
      <c r="B1498" s="4" t="s">
        <v>11</v>
      </c>
      <c r="C1498" s="7">
        <v>23.02</v>
      </c>
      <c r="D1498" s="4" t="s">
        <v>24</v>
      </c>
      <c r="E1498" s="4" t="s">
        <v>17</v>
      </c>
      <c r="F1498" s="4" t="s">
        <v>27</v>
      </c>
      <c r="G1498" s="4" t="s">
        <v>36</v>
      </c>
      <c r="H1498" s="4">
        <v>2</v>
      </c>
      <c r="I1498" s="4">
        <v>9</v>
      </c>
      <c r="J1498" s="5">
        <v>45552</v>
      </c>
      <c r="K1498" s="6">
        <v>0.58021990740740736</v>
      </c>
    </row>
    <row r="1499" spans="1:11" x14ac:dyDescent="0.25">
      <c r="A1499" s="4">
        <v>16</v>
      </c>
      <c r="B1499" s="4" t="s">
        <v>11</v>
      </c>
      <c r="C1499" s="7">
        <v>32.82</v>
      </c>
      <c r="D1499" s="4" t="s">
        <v>29</v>
      </c>
      <c r="E1499" s="4" t="s">
        <v>17</v>
      </c>
      <c r="F1499" s="4" t="s">
        <v>27</v>
      </c>
      <c r="G1499" s="4" t="s">
        <v>36</v>
      </c>
      <c r="H1499" s="4">
        <v>2</v>
      </c>
      <c r="I1499" s="4">
        <v>9</v>
      </c>
      <c r="J1499" s="5">
        <v>45552</v>
      </c>
      <c r="K1499" s="6">
        <v>0.68723379629629633</v>
      </c>
    </row>
    <row r="1500" spans="1:11" x14ac:dyDescent="0.25">
      <c r="A1500" s="4">
        <v>16</v>
      </c>
      <c r="B1500" s="4" t="s">
        <v>11</v>
      </c>
      <c r="C1500" s="7">
        <v>32.82</v>
      </c>
      <c r="D1500" s="4" t="s">
        <v>12</v>
      </c>
      <c r="E1500" s="4" t="s">
        <v>17</v>
      </c>
      <c r="F1500" s="4" t="s">
        <v>27</v>
      </c>
      <c r="G1500" s="4" t="s">
        <v>36</v>
      </c>
      <c r="H1500" s="4">
        <v>2</v>
      </c>
      <c r="I1500" s="4">
        <v>9</v>
      </c>
      <c r="J1500" s="5">
        <v>45552</v>
      </c>
      <c r="K1500" s="6">
        <v>0.68819444444444444</v>
      </c>
    </row>
    <row r="1501" spans="1:11" x14ac:dyDescent="0.25">
      <c r="A1501" s="4">
        <v>18</v>
      </c>
      <c r="B1501" s="4" t="s">
        <v>11</v>
      </c>
      <c r="C1501" s="7">
        <v>32.82</v>
      </c>
      <c r="D1501" s="4" t="s">
        <v>16</v>
      </c>
      <c r="E1501" s="4" t="s">
        <v>20</v>
      </c>
      <c r="F1501" s="4" t="s">
        <v>27</v>
      </c>
      <c r="G1501" s="4" t="s">
        <v>36</v>
      </c>
      <c r="H1501" s="4">
        <v>2</v>
      </c>
      <c r="I1501" s="4">
        <v>9</v>
      </c>
      <c r="J1501" s="5">
        <v>45552</v>
      </c>
      <c r="K1501" s="6">
        <v>0.78776620370370365</v>
      </c>
    </row>
    <row r="1502" spans="1:11" x14ac:dyDescent="0.25">
      <c r="A1502" s="4">
        <v>19</v>
      </c>
      <c r="B1502" s="4" t="s">
        <v>11</v>
      </c>
      <c r="C1502" s="7">
        <v>27.92</v>
      </c>
      <c r="D1502" s="4" t="s">
        <v>19</v>
      </c>
      <c r="E1502" s="4" t="s">
        <v>20</v>
      </c>
      <c r="F1502" s="4" t="s">
        <v>27</v>
      </c>
      <c r="G1502" s="4" t="s">
        <v>36</v>
      </c>
      <c r="H1502" s="4">
        <v>2</v>
      </c>
      <c r="I1502" s="4">
        <v>9</v>
      </c>
      <c r="J1502" s="5">
        <v>45552</v>
      </c>
      <c r="K1502" s="6">
        <v>0.79218750000000004</v>
      </c>
    </row>
    <row r="1503" spans="1:11" x14ac:dyDescent="0.25">
      <c r="A1503" s="4">
        <v>19</v>
      </c>
      <c r="B1503" s="4" t="s">
        <v>11</v>
      </c>
      <c r="C1503" s="7">
        <v>27.92</v>
      </c>
      <c r="D1503" s="4" t="s">
        <v>19</v>
      </c>
      <c r="E1503" s="4" t="s">
        <v>20</v>
      </c>
      <c r="F1503" s="4" t="s">
        <v>27</v>
      </c>
      <c r="G1503" s="4" t="s">
        <v>36</v>
      </c>
      <c r="H1503" s="4">
        <v>2</v>
      </c>
      <c r="I1503" s="4">
        <v>9</v>
      </c>
      <c r="J1503" s="5">
        <v>45552</v>
      </c>
      <c r="K1503" s="6">
        <v>0.7943634259259259</v>
      </c>
    </row>
    <row r="1504" spans="1:11" x14ac:dyDescent="0.25">
      <c r="A1504" s="4">
        <v>19</v>
      </c>
      <c r="B1504" s="4" t="s">
        <v>11</v>
      </c>
      <c r="C1504" s="7">
        <v>32.82</v>
      </c>
      <c r="D1504" s="4" t="s">
        <v>12</v>
      </c>
      <c r="E1504" s="4" t="s">
        <v>20</v>
      </c>
      <c r="F1504" s="4" t="s">
        <v>27</v>
      </c>
      <c r="G1504" s="4" t="s">
        <v>36</v>
      </c>
      <c r="H1504" s="4">
        <v>2</v>
      </c>
      <c r="I1504" s="4">
        <v>9</v>
      </c>
      <c r="J1504" s="5">
        <v>45552</v>
      </c>
      <c r="K1504" s="6">
        <v>0.80054398148148154</v>
      </c>
    </row>
    <row r="1505" spans="1:11" x14ac:dyDescent="0.25">
      <c r="A1505" s="4">
        <v>19</v>
      </c>
      <c r="B1505" s="4" t="s">
        <v>11</v>
      </c>
      <c r="C1505" s="7">
        <v>27.92</v>
      </c>
      <c r="D1505" s="4" t="s">
        <v>19</v>
      </c>
      <c r="E1505" s="4" t="s">
        <v>20</v>
      </c>
      <c r="F1505" s="4" t="s">
        <v>27</v>
      </c>
      <c r="G1505" s="4" t="s">
        <v>36</v>
      </c>
      <c r="H1505" s="4">
        <v>2</v>
      </c>
      <c r="I1505" s="4">
        <v>9</v>
      </c>
      <c r="J1505" s="5">
        <v>45552</v>
      </c>
      <c r="K1505" s="6">
        <v>0.80137731481481478</v>
      </c>
    </row>
    <row r="1506" spans="1:11" x14ac:dyDescent="0.25">
      <c r="A1506" s="4">
        <v>19</v>
      </c>
      <c r="B1506" s="4" t="s">
        <v>11</v>
      </c>
      <c r="C1506" s="7">
        <v>27.92</v>
      </c>
      <c r="D1506" s="4" t="s">
        <v>19</v>
      </c>
      <c r="E1506" s="4" t="s">
        <v>20</v>
      </c>
      <c r="F1506" s="4" t="s">
        <v>27</v>
      </c>
      <c r="G1506" s="4" t="s">
        <v>36</v>
      </c>
      <c r="H1506" s="4">
        <v>2</v>
      </c>
      <c r="I1506" s="4">
        <v>9</v>
      </c>
      <c r="J1506" s="5">
        <v>45552</v>
      </c>
      <c r="K1506" s="6">
        <v>0.80207175925925922</v>
      </c>
    </row>
    <row r="1507" spans="1:11" x14ac:dyDescent="0.25">
      <c r="A1507" s="4">
        <v>19</v>
      </c>
      <c r="B1507" s="4" t="s">
        <v>11</v>
      </c>
      <c r="C1507" s="7">
        <v>27.92</v>
      </c>
      <c r="D1507" s="4" t="s">
        <v>19</v>
      </c>
      <c r="E1507" s="4" t="s">
        <v>20</v>
      </c>
      <c r="F1507" s="4" t="s">
        <v>27</v>
      </c>
      <c r="G1507" s="4" t="s">
        <v>36</v>
      </c>
      <c r="H1507" s="4">
        <v>2</v>
      </c>
      <c r="I1507" s="4">
        <v>9</v>
      </c>
      <c r="J1507" s="5">
        <v>45552</v>
      </c>
      <c r="K1507" s="6">
        <v>0.81385416666666666</v>
      </c>
    </row>
    <row r="1508" spans="1:11" x14ac:dyDescent="0.25">
      <c r="A1508" s="4">
        <v>22</v>
      </c>
      <c r="B1508" s="4" t="s">
        <v>11</v>
      </c>
      <c r="C1508" s="7">
        <v>32.82</v>
      </c>
      <c r="D1508" s="4" t="s">
        <v>16</v>
      </c>
      <c r="E1508" s="4" t="s">
        <v>20</v>
      </c>
      <c r="F1508" s="4" t="s">
        <v>27</v>
      </c>
      <c r="G1508" s="4" t="s">
        <v>36</v>
      </c>
      <c r="H1508" s="4">
        <v>2</v>
      </c>
      <c r="I1508" s="4">
        <v>9</v>
      </c>
      <c r="J1508" s="5">
        <v>45552</v>
      </c>
      <c r="K1508" s="6">
        <v>0.93026620370370372</v>
      </c>
    </row>
    <row r="1509" spans="1:11" x14ac:dyDescent="0.25">
      <c r="A1509" s="4">
        <v>22</v>
      </c>
      <c r="B1509" s="4" t="s">
        <v>11</v>
      </c>
      <c r="C1509" s="7">
        <v>32.82</v>
      </c>
      <c r="D1509" s="4" t="s">
        <v>16</v>
      </c>
      <c r="E1509" s="4" t="s">
        <v>20</v>
      </c>
      <c r="F1509" s="4" t="s">
        <v>27</v>
      </c>
      <c r="G1509" s="4" t="s">
        <v>36</v>
      </c>
      <c r="H1509" s="4">
        <v>2</v>
      </c>
      <c r="I1509" s="4">
        <v>9</v>
      </c>
      <c r="J1509" s="5">
        <v>45552</v>
      </c>
      <c r="K1509" s="6">
        <v>0.93077546296296299</v>
      </c>
    </row>
    <row r="1510" spans="1:11" x14ac:dyDescent="0.25">
      <c r="A1510" s="4">
        <v>14</v>
      </c>
      <c r="B1510" s="4" t="s">
        <v>11</v>
      </c>
      <c r="C1510" s="7">
        <v>32.82</v>
      </c>
      <c r="D1510" s="4" t="s">
        <v>12</v>
      </c>
      <c r="E1510" s="4" t="s">
        <v>17</v>
      </c>
      <c r="F1510" s="4" t="s">
        <v>28</v>
      </c>
      <c r="G1510" s="4" t="s">
        <v>36</v>
      </c>
      <c r="H1510" s="4">
        <v>3</v>
      </c>
      <c r="I1510" s="4">
        <v>9</v>
      </c>
      <c r="J1510" s="5">
        <v>45553</v>
      </c>
      <c r="K1510" s="6">
        <v>0.60402777777777783</v>
      </c>
    </row>
    <row r="1511" spans="1:11" x14ac:dyDescent="0.25">
      <c r="A1511" s="4">
        <v>17</v>
      </c>
      <c r="B1511" s="4" t="s">
        <v>11</v>
      </c>
      <c r="C1511" s="7">
        <v>32.82</v>
      </c>
      <c r="D1511" s="4" t="s">
        <v>12</v>
      </c>
      <c r="E1511" s="4" t="s">
        <v>20</v>
      </c>
      <c r="F1511" s="4" t="s">
        <v>28</v>
      </c>
      <c r="G1511" s="4" t="s">
        <v>36</v>
      </c>
      <c r="H1511" s="4">
        <v>3</v>
      </c>
      <c r="I1511" s="4">
        <v>9</v>
      </c>
      <c r="J1511" s="5">
        <v>45553</v>
      </c>
      <c r="K1511" s="6">
        <v>0.7321643518518518</v>
      </c>
    </row>
    <row r="1512" spans="1:11" x14ac:dyDescent="0.25">
      <c r="A1512" s="4">
        <v>21</v>
      </c>
      <c r="B1512" s="4" t="s">
        <v>11</v>
      </c>
      <c r="C1512" s="7">
        <v>27.92</v>
      </c>
      <c r="D1512" s="4" t="s">
        <v>19</v>
      </c>
      <c r="E1512" s="4" t="s">
        <v>20</v>
      </c>
      <c r="F1512" s="4" t="s">
        <v>28</v>
      </c>
      <c r="G1512" s="4" t="s">
        <v>36</v>
      </c>
      <c r="H1512" s="4">
        <v>3</v>
      </c>
      <c r="I1512" s="4">
        <v>9</v>
      </c>
      <c r="J1512" s="5">
        <v>45553</v>
      </c>
      <c r="K1512" s="6">
        <v>0.88585648148148144</v>
      </c>
    </row>
    <row r="1513" spans="1:11" x14ac:dyDescent="0.25">
      <c r="A1513" s="4">
        <v>21</v>
      </c>
      <c r="B1513" s="4" t="s">
        <v>11</v>
      </c>
      <c r="C1513" s="7">
        <v>27.92</v>
      </c>
      <c r="D1513" s="4" t="s">
        <v>19</v>
      </c>
      <c r="E1513" s="4" t="s">
        <v>20</v>
      </c>
      <c r="F1513" s="4" t="s">
        <v>28</v>
      </c>
      <c r="G1513" s="4" t="s">
        <v>36</v>
      </c>
      <c r="H1513" s="4">
        <v>3</v>
      </c>
      <c r="I1513" s="4">
        <v>9</v>
      </c>
      <c r="J1513" s="5">
        <v>45553</v>
      </c>
      <c r="K1513" s="6">
        <v>0.88774305555555555</v>
      </c>
    </row>
    <row r="1514" spans="1:11" x14ac:dyDescent="0.25">
      <c r="A1514" s="4">
        <v>8</v>
      </c>
      <c r="B1514" s="4" t="s">
        <v>11</v>
      </c>
      <c r="C1514" s="7">
        <v>27.92</v>
      </c>
      <c r="D1514" s="4" t="s">
        <v>19</v>
      </c>
      <c r="E1514" s="4" t="s">
        <v>13</v>
      </c>
      <c r="F1514" s="4" t="s">
        <v>30</v>
      </c>
      <c r="G1514" s="4" t="s">
        <v>36</v>
      </c>
      <c r="H1514" s="4">
        <v>4</v>
      </c>
      <c r="I1514" s="4">
        <v>9</v>
      </c>
      <c r="J1514" s="5">
        <v>45554</v>
      </c>
      <c r="K1514" s="6">
        <v>0.34534722222222225</v>
      </c>
    </row>
    <row r="1515" spans="1:11" x14ac:dyDescent="0.25">
      <c r="A1515" s="4">
        <v>8</v>
      </c>
      <c r="B1515" s="4" t="s">
        <v>11</v>
      </c>
      <c r="C1515" s="7">
        <v>23.02</v>
      </c>
      <c r="D1515" s="4" t="s">
        <v>24</v>
      </c>
      <c r="E1515" s="4" t="s">
        <v>13</v>
      </c>
      <c r="F1515" s="4" t="s">
        <v>30</v>
      </c>
      <c r="G1515" s="4" t="s">
        <v>36</v>
      </c>
      <c r="H1515" s="4">
        <v>4</v>
      </c>
      <c r="I1515" s="4">
        <v>9</v>
      </c>
      <c r="J1515" s="5">
        <v>45554</v>
      </c>
      <c r="K1515" s="6">
        <v>0.35450231481481481</v>
      </c>
    </row>
    <row r="1516" spans="1:11" x14ac:dyDescent="0.25">
      <c r="A1516" s="4">
        <v>10</v>
      </c>
      <c r="B1516" s="4" t="s">
        <v>11</v>
      </c>
      <c r="C1516" s="7">
        <v>32.82</v>
      </c>
      <c r="D1516" s="4" t="s">
        <v>12</v>
      </c>
      <c r="E1516" s="4" t="s">
        <v>13</v>
      </c>
      <c r="F1516" s="4" t="s">
        <v>30</v>
      </c>
      <c r="G1516" s="4" t="s">
        <v>36</v>
      </c>
      <c r="H1516" s="4">
        <v>4</v>
      </c>
      <c r="I1516" s="4">
        <v>9</v>
      </c>
      <c r="J1516" s="5">
        <v>45554</v>
      </c>
      <c r="K1516" s="6">
        <v>0.41770833333333335</v>
      </c>
    </row>
    <row r="1517" spans="1:11" x14ac:dyDescent="0.25">
      <c r="A1517" s="4">
        <v>12</v>
      </c>
      <c r="B1517" s="4" t="s">
        <v>11</v>
      </c>
      <c r="C1517" s="7">
        <v>23.02</v>
      </c>
      <c r="D1517" s="4" t="s">
        <v>18</v>
      </c>
      <c r="E1517" s="4" t="s">
        <v>17</v>
      </c>
      <c r="F1517" s="4" t="s">
        <v>30</v>
      </c>
      <c r="G1517" s="4" t="s">
        <v>36</v>
      </c>
      <c r="H1517" s="4">
        <v>4</v>
      </c>
      <c r="I1517" s="4">
        <v>9</v>
      </c>
      <c r="J1517" s="5">
        <v>45554</v>
      </c>
      <c r="K1517" s="6">
        <v>0.54135416666666669</v>
      </c>
    </row>
    <row r="1518" spans="1:11" x14ac:dyDescent="0.25">
      <c r="A1518" s="4">
        <v>13</v>
      </c>
      <c r="B1518" s="4" t="s">
        <v>11</v>
      </c>
      <c r="C1518" s="7">
        <v>27.92</v>
      </c>
      <c r="D1518" s="4" t="s">
        <v>19</v>
      </c>
      <c r="E1518" s="4" t="s">
        <v>17</v>
      </c>
      <c r="F1518" s="4" t="s">
        <v>30</v>
      </c>
      <c r="G1518" s="4" t="s">
        <v>36</v>
      </c>
      <c r="H1518" s="4">
        <v>4</v>
      </c>
      <c r="I1518" s="4">
        <v>9</v>
      </c>
      <c r="J1518" s="5">
        <v>45554</v>
      </c>
      <c r="K1518" s="6">
        <v>0.54204861111111113</v>
      </c>
    </row>
    <row r="1519" spans="1:11" x14ac:dyDescent="0.25">
      <c r="A1519" s="4">
        <v>13</v>
      </c>
      <c r="B1519" s="4" t="s">
        <v>11</v>
      </c>
      <c r="C1519" s="7">
        <v>23.02</v>
      </c>
      <c r="D1519" s="4" t="s">
        <v>24</v>
      </c>
      <c r="E1519" s="4" t="s">
        <v>17</v>
      </c>
      <c r="F1519" s="4" t="s">
        <v>30</v>
      </c>
      <c r="G1519" s="4" t="s">
        <v>36</v>
      </c>
      <c r="H1519" s="4">
        <v>4</v>
      </c>
      <c r="I1519" s="4">
        <v>9</v>
      </c>
      <c r="J1519" s="5">
        <v>45554</v>
      </c>
      <c r="K1519" s="6">
        <v>0.57340277777777782</v>
      </c>
    </row>
    <row r="1520" spans="1:11" x14ac:dyDescent="0.25">
      <c r="A1520" s="4">
        <v>8</v>
      </c>
      <c r="B1520" s="4" t="s">
        <v>11</v>
      </c>
      <c r="C1520" s="7">
        <v>27.92</v>
      </c>
      <c r="D1520" s="4" t="s">
        <v>19</v>
      </c>
      <c r="E1520" s="4" t="s">
        <v>13</v>
      </c>
      <c r="F1520" s="4" t="s">
        <v>14</v>
      </c>
      <c r="G1520" s="4" t="s">
        <v>36</v>
      </c>
      <c r="H1520" s="4">
        <v>5</v>
      </c>
      <c r="I1520" s="4">
        <v>9</v>
      </c>
      <c r="J1520" s="5">
        <v>45555</v>
      </c>
      <c r="K1520" s="6">
        <v>0.35759259259259257</v>
      </c>
    </row>
    <row r="1521" spans="1:11" x14ac:dyDescent="0.25">
      <c r="A1521" s="4">
        <v>9</v>
      </c>
      <c r="B1521" s="4" t="s">
        <v>11</v>
      </c>
      <c r="C1521" s="7">
        <v>27.92</v>
      </c>
      <c r="D1521" s="4" t="s">
        <v>19</v>
      </c>
      <c r="E1521" s="4" t="s">
        <v>13</v>
      </c>
      <c r="F1521" s="4" t="s">
        <v>14</v>
      </c>
      <c r="G1521" s="4" t="s">
        <v>36</v>
      </c>
      <c r="H1521" s="4">
        <v>5</v>
      </c>
      <c r="I1521" s="4">
        <v>9</v>
      </c>
      <c r="J1521" s="5">
        <v>45555</v>
      </c>
      <c r="K1521" s="6">
        <v>0.40711805555555558</v>
      </c>
    </row>
    <row r="1522" spans="1:11" x14ac:dyDescent="0.25">
      <c r="A1522" s="4">
        <v>13</v>
      </c>
      <c r="B1522" s="4" t="s">
        <v>11</v>
      </c>
      <c r="C1522" s="7">
        <v>27.92</v>
      </c>
      <c r="D1522" s="4" t="s">
        <v>19</v>
      </c>
      <c r="E1522" s="4" t="s">
        <v>17</v>
      </c>
      <c r="F1522" s="4" t="s">
        <v>14</v>
      </c>
      <c r="G1522" s="4" t="s">
        <v>36</v>
      </c>
      <c r="H1522" s="4">
        <v>5</v>
      </c>
      <c r="I1522" s="4">
        <v>9</v>
      </c>
      <c r="J1522" s="5">
        <v>45555</v>
      </c>
      <c r="K1522" s="6">
        <v>0.56938657407407411</v>
      </c>
    </row>
    <row r="1523" spans="1:11" x14ac:dyDescent="0.25">
      <c r="A1523" s="4">
        <v>16</v>
      </c>
      <c r="B1523" s="4" t="s">
        <v>11</v>
      </c>
      <c r="C1523" s="7">
        <v>32.82</v>
      </c>
      <c r="D1523" s="4" t="s">
        <v>12</v>
      </c>
      <c r="E1523" s="4" t="s">
        <v>17</v>
      </c>
      <c r="F1523" s="4" t="s">
        <v>14</v>
      </c>
      <c r="G1523" s="4" t="s">
        <v>36</v>
      </c>
      <c r="H1523" s="4">
        <v>5</v>
      </c>
      <c r="I1523" s="4">
        <v>9</v>
      </c>
      <c r="J1523" s="5">
        <v>45555</v>
      </c>
      <c r="K1523" s="6">
        <v>0.66908564814814819</v>
      </c>
    </row>
    <row r="1524" spans="1:11" x14ac:dyDescent="0.25">
      <c r="A1524" s="4">
        <v>20</v>
      </c>
      <c r="B1524" s="4" t="s">
        <v>11</v>
      </c>
      <c r="C1524" s="7">
        <v>23.02</v>
      </c>
      <c r="D1524" s="4" t="s">
        <v>18</v>
      </c>
      <c r="E1524" s="4" t="s">
        <v>20</v>
      </c>
      <c r="F1524" s="4" t="s">
        <v>14</v>
      </c>
      <c r="G1524" s="4" t="s">
        <v>36</v>
      </c>
      <c r="H1524" s="4">
        <v>5</v>
      </c>
      <c r="I1524" s="4">
        <v>9</v>
      </c>
      <c r="J1524" s="5">
        <v>45555</v>
      </c>
      <c r="K1524" s="6">
        <v>0.86068287037037039</v>
      </c>
    </row>
    <row r="1525" spans="1:11" x14ac:dyDescent="0.25">
      <c r="A1525" s="4">
        <v>21</v>
      </c>
      <c r="B1525" s="4" t="s">
        <v>11</v>
      </c>
      <c r="C1525" s="7">
        <v>27.92</v>
      </c>
      <c r="D1525" s="4" t="s">
        <v>19</v>
      </c>
      <c r="E1525" s="4" t="s">
        <v>20</v>
      </c>
      <c r="F1525" s="4" t="s">
        <v>14</v>
      </c>
      <c r="G1525" s="4" t="s">
        <v>36</v>
      </c>
      <c r="H1525" s="4">
        <v>5</v>
      </c>
      <c r="I1525" s="4">
        <v>9</v>
      </c>
      <c r="J1525" s="5">
        <v>45555</v>
      </c>
      <c r="K1525" s="6">
        <v>0.89694444444444443</v>
      </c>
    </row>
    <row r="1526" spans="1:11" x14ac:dyDescent="0.25">
      <c r="A1526" s="4">
        <v>21</v>
      </c>
      <c r="B1526" s="4" t="s">
        <v>11</v>
      </c>
      <c r="C1526" s="7">
        <v>27.92</v>
      </c>
      <c r="D1526" s="4" t="s">
        <v>19</v>
      </c>
      <c r="E1526" s="4" t="s">
        <v>20</v>
      </c>
      <c r="F1526" s="4" t="s">
        <v>14</v>
      </c>
      <c r="G1526" s="4" t="s">
        <v>36</v>
      </c>
      <c r="H1526" s="4">
        <v>5</v>
      </c>
      <c r="I1526" s="4">
        <v>9</v>
      </c>
      <c r="J1526" s="5">
        <v>45555</v>
      </c>
      <c r="K1526" s="6">
        <v>0.89771990740740737</v>
      </c>
    </row>
    <row r="1527" spans="1:11" x14ac:dyDescent="0.25">
      <c r="A1527" s="4">
        <v>11</v>
      </c>
      <c r="B1527" s="4" t="s">
        <v>11</v>
      </c>
      <c r="C1527" s="7">
        <v>32.82</v>
      </c>
      <c r="D1527" s="4" t="s">
        <v>12</v>
      </c>
      <c r="E1527" s="4" t="s">
        <v>13</v>
      </c>
      <c r="F1527" s="4" t="s">
        <v>22</v>
      </c>
      <c r="G1527" s="4" t="s">
        <v>36</v>
      </c>
      <c r="H1527" s="4">
        <v>6</v>
      </c>
      <c r="I1527" s="4">
        <v>9</v>
      </c>
      <c r="J1527" s="5">
        <v>45556</v>
      </c>
      <c r="K1527" s="6">
        <v>0.4591898148148148</v>
      </c>
    </row>
    <row r="1528" spans="1:11" x14ac:dyDescent="0.25">
      <c r="A1528" s="4">
        <v>11</v>
      </c>
      <c r="B1528" s="4" t="s">
        <v>11</v>
      </c>
      <c r="C1528" s="7">
        <v>32.82</v>
      </c>
      <c r="D1528" s="4" t="s">
        <v>21</v>
      </c>
      <c r="E1528" s="4" t="s">
        <v>13</v>
      </c>
      <c r="F1528" s="4" t="s">
        <v>22</v>
      </c>
      <c r="G1528" s="4" t="s">
        <v>36</v>
      </c>
      <c r="H1528" s="4">
        <v>6</v>
      </c>
      <c r="I1528" s="4">
        <v>9</v>
      </c>
      <c r="J1528" s="5">
        <v>45556</v>
      </c>
      <c r="K1528" s="6">
        <v>0.4598726851851852</v>
      </c>
    </row>
    <row r="1529" spans="1:11" x14ac:dyDescent="0.25">
      <c r="A1529" s="4">
        <v>11</v>
      </c>
      <c r="B1529" s="4" t="s">
        <v>11</v>
      </c>
      <c r="C1529" s="7">
        <v>23.02</v>
      </c>
      <c r="D1529" s="4" t="s">
        <v>24</v>
      </c>
      <c r="E1529" s="4" t="s">
        <v>13</v>
      </c>
      <c r="F1529" s="4" t="s">
        <v>22</v>
      </c>
      <c r="G1529" s="4" t="s">
        <v>36</v>
      </c>
      <c r="H1529" s="4">
        <v>6</v>
      </c>
      <c r="I1529" s="4">
        <v>9</v>
      </c>
      <c r="J1529" s="5">
        <v>45556</v>
      </c>
      <c r="K1529" s="6">
        <v>0.48457175925925927</v>
      </c>
    </row>
    <row r="1530" spans="1:11" x14ac:dyDescent="0.25">
      <c r="A1530" s="4">
        <v>11</v>
      </c>
      <c r="B1530" s="4" t="s">
        <v>11</v>
      </c>
      <c r="C1530" s="7">
        <v>23.02</v>
      </c>
      <c r="D1530" s="4" t="s">
        <v>24</v>
      </c>
      <c r="E1530" s="4" t="s">
        <v>13</v>
      </c>
      <c r="F1530" s="4" t="s">
        <v>22</v>
      </c>
      <c r="G1530" s="4" t="s">
        <v>36</v>
      </c>
      <c r="H1530" s="4">
        <v>6</v>
      </c>
      <c r="I1530" s="4">
        <v>9</v>
      </c>
      <c r="J1530" s="5">
        <v>45556</v>
      </c>
      <c r="K1530" s="6">
        <v>0.48523148148148149</v>
      </c>
    </row>
    <row r="1531" spans="1:11" x14ac:dyDescent="0.25">
      <c r="A1531" s="4">
        <v>15</v>
      </c>
      <c r="B1531" s="4" t="s">
        <v>11</v>
      </c>
      <c r="C1531" s="7">
        <v>32.82</v>
      </c>
      <c r="D1531" s="4" t="s">
        <v>29</v>
      </c>
      <c r="E1531" s="4" t="s">
        <v>17</v>
      </c>
      <c r="F1531" s="4" t="s">
        <v>22</v>
      </c>
      <c r="G1531" s="4" t="s">
        <v>36</v>
      </c>
      <c r="H1531" s="4">
        <v>6</v>
      </c>
      <c r="I1531" s="4">
        <v>9</v>
      </c>
      <c r="J1531" s="5">
        <v>45556</v>
      </c>
      <c r="K1531" s="6">
        <v>0.6320486111111111</v>
      </c>
    </row>
    <row r="1532" spans="1:11" x14ac:dyDescent="0.25">
      <c r="A1532" s="4">
        <v>15</v>
      </c>
      <c r="B1532" s="4" t="s">
        <v>11</v>
      </c>
      <c r="C1532" s="7">
        <v>32.82</v>
      </c>
      <c r="D1532" s="4" t="s">
        <v>12</v>
      </c>
      <c r="E1532" s="4" t="s">
        <v>17</v>
      </c>
      <c r="F1532" s="4" t="s">
        <v>22</v>
      </c>
      <c r="G1532" s="4" t="s">
        <v>36</v>
      </c>
      <c r="H1532" s="4">
        <v>6</v>
      </c>
      <c r="I1532" s="4">
        <v>9</v>
      </c>
      <c r="J1532" s="5">
        <v>45556</v>
      </c>
      <c r="K1532" s="6">
        <v>0.65015046296296297</v>
      </c>
    </row>
    <row r="1533" spans="1:11" x14ac:dyDescent="0.25">
      <c r="A1533" s="4">
        <v>18</v>
      </c>
      <c r="B1533" s="4" t="s">
        <v>11</v>
      </c>
      <c r="C1533" s="7">
        <v>32.82</v>
      </c>
      <c r="D1533" s="4" t="s">
        <v>12</v>
      </c>
      <c r="E1533" s="4" t="s">
        <v>20</v>
      </c>
      <c r="F1533" s="4" t="s">
        <v>22</v>
      </c>
      <c r="G1533" s="4" t="s">
        <v>36</v>
      </c>
      <c r="H1533" s="4">
        <v>6</v>
      </c>
      <c r="I1533" s="4">
        <v>9</v>
      </c>
      <c r="J1533" s="5">
        <v>45556</v>
      </c>
      <c r="K1533" s="6">
        <v>0.76143518518518516</v>
      </c>
    </row>
    <row r="1534" spans="1:11" x14ac:dyDescent="0.25">
      <c r="A1534" s="4">
        <v>18</v>
      </c>
      <c r="B1534" s="4" t="s">
        <v>11</v>
      </c>
      <c r="C1534" s="7">
        <v>32.82</v>
      </c>
      <c r="D1534" s="4" t="s">
        <v>12</v>
      </c>
      <c r="E1534" s="4" t="s">
        <v>20</v>
      </c>
      <c r="F1534" s="4" t="s">
        <v>22</v>
      </c>
      <c r="G1534" s="4" t="s">
        <v>36</v>
      </c>
      <c r="H1534" s="4">
        <v>6</v>
      </c>
      <c r="I1534" s="4">
        <v>9</v>
      </c>
      <c r="J1534" s="5">
        <v>45556</v>
      </c>
      <c r="K1534" s="6">
        <v>0.76215277777777779</v>
      </c>
    </row>
    <row r="1535" spans="1:11" x14ac:dyDescent="0.25">
      <c r="A1535" s="4">
        <v>20</v>
      </c>
      <c r="B1535" s="4" t="s">
        <v>11</v>
      </c>
      <c r="C1535" s="7">
        <v>23.02</v>
      </c>
      <c r="D1535" s="4" t="s">
        <v>18</v>
      </c>
      <c r="E1535" s="4" t="s">
        <v>20</v>
      </c>
      <c r="F1535" s="4" t="s">
        <v>22</v>
      </c>
      <c r="G1535" s="4" t="s">
        <v>36</v>
      </c>
      <c r="H1535" s="4">
        <v>6</v>
      </c>
      <c r="I1535" s="4">
        <v>9</v>
      </c>
      <c r="J1535" s="5">
        <v>45556</v>
      </c>
      <c r="K1535" s="6">
        <v>0.85395833333333337</v>
      </c>
    </row>
    <row r="1536" spans="1:11" x14ac:dyDescent="0.25">
      <c r="A1536" s="4">
        <v>20</v>
      </c>
      <c r="B1536" s="4" t="s">
        <v>11</v>
      </c>
      <c r="C1536" s="7">
        <v>23.02</v>
      </c>
      <c r="D1536" s="4" t="s">
        <v>18</v>
      </c>
      <c r="E1536" s="4" t="s">
        <v>20</v>
      </c>
      <c r="F1536" s="4" t="s">
        <v>22</v>
      </c>
      <c r="G1536" s="4" t="s">
        <v>36</v>
      </c>
      <c r="H1536" s="4">
        <v>6</v>
      </c>
      <c r="I1536" s="4">
        <v>9</v>
      </c>
      <c r="J1536" s="5">
        <v>45556</v>
      </c>
      <c r="K1536" s="6">
        <v>0.85460648148148144</v>
      </c>
    </row>
    <row r="1537" spans="1:11" x14ac:dyDescent="0.25">
      <c r="A1537" s="4">
        <v>20</v>
      </c>
      <c r="B1537" s="4" t="s">
        <v>11</v>
      </c>
      <c r="C1537" s="7">
        <v>32.82</v>
      </c>
      <c r="D1537" s="4" t="s">
        <v>12</v>
      </c>
      <c r="E1537" s="4" t="s">
        <v>20</v>
      </c>
      <c r="F1537" s="4" t="s">
        <v>22</v>
      </c>
      <c r="G1537" s="4" t="s">
        <v>36</v>
      </c>
      <c r="H1537" s="4">
        <v>6</v>
      </c>
      <c r="I1537" s="4">
        <v>9</v>
      </c>
      <c r="J1537" s="5">
        <v>45556</v>
      </c>
      <c r="K1537" s="6">
        <v>0.85692129629629632</v>
      </c>
    </row>
    <row r="1538" spans="1:11" x14ac:dyDescent="0.25">
      <c r="A1538" s="4">
        <v>20</v>
      </c>
      <c r="B1538" s="4" t="s">
        <v>11</v>
      </c>
      <c r="C1538" s="7">
        <v>32.82</v>
      </c>
      <c r="D1538" s="4" t="s">
        <v>12</v>
      </c>
      <c r="E1538" s="4" t="s">
        <v>20</v>
      </c>
      <c r="F1538" s="4" t="s">
        <v>22</v>
      </c>
      <c r="G1538" s="4" t="s">
        <v>36</v>
      </c>
      <c r="H1538" s="4">
        <v>6</v>
      </c>
      <c r="I1538" s="4">
        <v>9</v>
      </c>
      <c r="J1538" s="5">
        <v>45556</v>
      </c>
      <c r="K1538" s="6">
        <v>0.85798611111111112</v>
      </c>
    </row>
    <row r="1539" spans="1:11" x14ac:dyDescent="0.25">
      <c r="A1539" s="4">
        <v>22</v>
      </c>
      <c r="B1539" s="4" t="s">
        <v>11</v>
      </c>
      <c r="C1539" s="7">
        <v>27.92</v>
      </c>
      <c r="D1539" s="4" t="s">
        <v>19</v>
      </c>
      <c r="E1539" s="4" t="s">
        <v>20</v>
      </c>
      <c r="F1539" s="4" t="s">
        <v>22</v>
      </c>
      <c r="G1539" s="4" t="s">
        <v>36</v>
      </c>
      <c r="H1539" s="4">
        <v>6</v>
      </c>
      <c r="I1539" s="4">
        <v>9</v>
      </c>
      <c r="J1539" s="5">
        <v>45556</v>
      </c>
      <c r="K1539" s="6">
        <v>0.92969907407407404</v>
      </c>
    </row>
    <row r="1540" spans="1:11" x14ac:dyDescent="0.25">
      <c r="A1540" s="4">
        <v>22</v>
      </c>
      <c r="B1540" s="4" t="s">
        <v>11</v>
      </c>
      <c r="C1540" s="7">
        <v>23.02</v>
      </c>
      <c r="D1540" s="4" t="s">
        <v>18</v>
      </c>
      <c r="E1540" s="4" t="s">
        <v>20</v>
      </c>
      <c r="F1540" s="4" t="s">
        <v>22</v>
      </c>
      <c r="G1540" s="4" t="s">
        <v>36</v>
      </c>
      <c r="H1540" s="4">
        <v>6</v>
      </c>
      <c r="I1540" s="4">
        <v>9</v>
      </c>
      <c r="J1540" s="5">
        <v>45556</v>
      </c>
      <c r="K1540" s="6">
        <v>0.93043981481481486</v>
      </c>
    </row>
    <row r="1541" spans="1:11" x14ac:dyDescent="0.25">
      <c r="A1541" s="4">
        <v>22</v>
      </c>
      <c r="B1541" s="4" t="s">
        <v>11</v>
      </c>
      <c r="C1541" s="7">
        <v>23.02</v>
      </c>
      <c r="D1541" s="4" t="s">
        <v>18</v>
      </c>
      <c r="E1541" s="4" t="s">
        <v>20</v>
      </c>
      <c r="F1541" s="4" t="s">
        <v>22</v>
      </c>
      <c r="G1541" s="4" t="s">
        <v>36</v>
      </c>
      <c r="H1541" s="4">
        <v>6</v>
      </c>
      <c r="I1541" s="4">
        <v>9</v>
      </c>
      <c r="J1541" s="5">
        <v>45556</v>
      </c>
      <c r="K1541" s="6">
        <v>0.93111111111111111</v>
      </c>
    </row>
    <row r="1542" spans="1:11" x14ac:dyDescent="0.25">
      <c r="A1542" s="4">
        <v>8</v>
      </c>
      <c r="B1542" s="4" t="s">
        <v>11</v>
      </c>
      <c r="C1542" s="7">
        <v>23.02</v>
      </c>
      <c r="D1542" s="4" t="s">
        <v>18</v>
      </c>
      <c r="E1542" s="4" t="s">
        <v>13</v>
      </c>
      <c r="F1542" s="4" t="s">
        <v>23</v>
      </c>
      <c r="G1542" s="4" t="s">
        <v>36</v>
      </c>
      <c r="H1542" s="4">
        <v>7</v>
      </c>
      <c r="I1542" s="4">
        <v>9</v>
      </c>
      <c r="J1542" s="5">
        <v>45557</v>
      </c>
      <c r="K1542" s="6">
        <v>0.35618055555555556</v>
      </c>
    </row>
    <row r="1543" spans="1:11" x14ac:dyDescent="0.25">
      <c r="A1543" s="4">
        <v>10</v>
      </c>
      <c r="B1543" s="4" t="s">
        <v>11</v>
      </c>
      <c r="C1543" s="7">
        <v>27.92</v>
      </c>
      <c r="D1543" s="4" t="s">
        <v>19</v>
      </c>
      <c r="E1543" s="4" t="s">
        <v>13</v>
      </c>
      <c r="F1543" s="4" t="s">
        <v>23</v>
      </c>
      <c r="G1543" s="4" t="s">
        <v>36</v>
      </c>
      <c r="H1543" s="4">
        <v>7</v>
      </c>
      <c r="I1543" s="4">
        <v>9</v>
      </c>
      <c r="J1543" s="5">
        <v>45557</v>
      </c>
      <c r="K1543" s="6">
        <v>0.42510416666666667</v>
      </c>
    </row>
    <row r="1544" spans="1:11" x14ac:dyDescent="0.25">
      <c r="A1544" s="4">
        <v>10</v>
      </c>
      <c r="B1544" s="4" t="s">
        <v>11</v>
      </c>
      <c r="C1544" s="7">
        <v>32.82</v>
      </c>
      <c r="D1544" s="4" t="s">
        <v>12</v>
      </c>
      <c r="E1544" s="4" t="s">
        <v>13</v>
      </c>
      <c r="F1544" s="4" t="s">
        <v>23</v>
      </c>
      <c r="G1544" s="4" t="s">
        <v>36</v>
      </c>
      <c r="H1544" s="4">
        <v>7</v>
      </c>
      <c r="I1544" s="4">
        <v>9</v>
      </c>
      <c r="J1544" s="5">
        <v>45557</v>
      </c>
      <c r="K1544" s="6">
        <v>0.42578703703703702</v>
      </c>
    </row>
    <row r="1545" spans="1:11" x14ac:dyDescent="0.25">
      <c r="A1545" s="4">
        <v>11</v>
      </c>
      <c r="B1545" s="4" t="s">
        <v>11</v>
      </c>
      <c r="C1545" s="7">
        <v>23.02</v>
      </c>
      <c r="D1545" s="4" t="s">
        <v>24</v>
      </c>
      <c r="E1545" s="4" t="s">
        <v>13</v>
      </c>
      <c r="F1545" s="4" t="s">
        <v>23</v>
      </c>
      <c r="G1545" s="4" t="s">
        <v>36</v>
      </c>
      <c r="H1545" s="4">
        <v>7</v>
      </c>
      <c r="I1545" s="4">
        <v>9</v>
      </c>
      <c r="J1545" s="5">
        <v>45557</v>
      </c>
      <c r="K1545" s="6">
        <v>0.46280092592592592</v>
      </c>
    </row>
    <row r="1546" spans="1:11" x14ac:dyDescent="0.25">
      <c r="A1546" s="4">
        <v>11</v>
      </c>
      <c r="B1546" s="4" t="s">
        <v>11</v>
      </c>
      <c r="C1546" s="7">
        <v>23.02</v>
      </c>
      <c r="D1546" s="4" t="s">
        <v>24</v>
      </c>
      <c r="E1546" s="4" t="s">
        <v>13</v>
      </c>
      <c r="F1546" s="4" t="s">
        <v>23</v>
      </c>
      <c r="G1546" s="4" t="s">
        <v>36</v>
      </c>
      <c r="H1546" s="4">
        <v>7</v>
      </c>
      <c r="I1546" s="4">
        <v>9</v>
      </c>
      <c r="J1546" s="5">
        <v>45557</v>
      </c>
      <c r="K1546" s="6">
        <v>0.46361111111111108</v>
      </c>
    </row>
    <row r="1547" spans="1:11" x14ac:dyDescent="0.25">
      <c r="A1547" s="4">
        <v>11</v>
      </c>
      <c r="B1547" s="4" t="s">
        <v>11</v>
      </c>
      <c r="C1547" s="7">
        <v>27.92</v>
      </c>
      <c r="D1547" s="4" t="s">
        <v>19</v>
      </c>
      <c r="E1547" s="4" t="s">
        <v>13</v>
      </c>
      <c r="F1547" s="4" t="s">
        <v>23</v>
      </c>
      <c r="G1547" s="4" t="s">
        <v>36</v>
      </c>
      <c r="H1547" s="4">
        <v>7</v>
      </c>
      <c r="I1547" s="4">
        <v>9</v>
      </c>
      <c r="J1547" s="5">
        <v>45557</v>
      </c>
      <c r="K1547" s="6">
        <v>0.49443287037037037</v>
      </c>
    </row>
    <row r="1548" spans="1:11" x14ac:dyDescent="0.25">
      <c r="A1548" s="4">
        <v>11</v>
      </c>
      <c r="B1548" s="4" t="s">
        <v>11</v>
      </c>
      <c r="C1548" s="7">
        <v>23.02</v>
      </c>
      <c r="D1548" s="4" t="s">
        <v>18</v>
      </c>
      <c r="E1548" s="4" t="s">
        <v>13</v>
      </c>
      <c r="F1548" s="4" t="s">
        <v>23</v>
      </c>
      <c r="G1548" s="4" t="s">
        <v>36</v>
      </c>
      <c r="H1548" s="4">
        <v>7</v>
      </c>
      <c r="I1548" s="4">
        <v>9</v>
      </c>
      <c r="J1548" s="5">
        <v>45557</v>
      </c>
      <c r="K1548" s="6">
        <v>0.49666666666666665</v>
      </c>
    </row>
    <row r="1549" spans="1:11" x14ac:dyDescent="0.25">
      <c r="A1549" s="4">
        <v>12</v>
      </c>
      <c r="B1549" s="4" t="s">
        <v>11</v>
      </c>
      <c r="C1549" s="7">
        <v>27.92</v>
      </c>
      <c r="D1549" s="4" t="s">
        <v>19</v>
      </c>
      <c r="E1549" s="4" t="s">
        <v>17</v>
      </c>
      <c r="F1549" s="4" t="s">
        <v>23</v>
      </c>
      <c r="G1549" s="4" t="s">
        <v>36</v>
      </c>
      <c r="H1549" s="4">
        <v>7</v>
      </c>
      <c r="I1549" s="4">
        <v>9</v>
      </c>
      <c r="J1549" s="5">
        <v>45557</v>
      </c>
      <c r="K1549" s="6">
        <v>0.50509259259259254</v>
      </c>
    </row>
    <row r="1550" spans="1:11" x14ac:dyDescent="0.25">
      <c r="A1550" s="4">
        <v>13</v>
      </c>
      <c r="B1550" s="4" t="s">
        <v>11</v>
      </c>
      <c r="C1550" s="7">
        <v>27.92</v>
      </c>
      <c r="D1550" s="4" t="s">
        <v>19</v>
      </c>
      <c r="E1550" s="4" t="s">
        <v>17</v>
      </c>
      <c r="F1550" s="4" t="s">
        <v>23</v>
      </c>
      <c r="G1550" s="4" t="s">
        <v>36</v>
      </c>
      <c r="H1550" s="4">
        <v>7</v>
      </c>
      <c r="I1550" s="4">
        <v>9</v>
      </c>
      <c r="J1550" s="5">
        <v>45557</v>
      </c>
      <c r="K1550" s="6">
        <v>0.5612731481481481</v>
      </c>
    </row>
    <row r="1551" spans="1:11" x14ac:dyDescent="0.25">
      <c r="A1551" s="4">
        <v>13</v>
      </c>
      <c r="B1551" s="4" t="s">
        <v>11</v>
      </c>
      <c r="C1551" s="7">
        <v>27.92</v>
      </c>
      <c r="D1551" s="4" t="s">
        <v>19</v>
      </c>
      <c r="E1551" s="4" t="s">
        <v>17</v>
      </c>
      <c r="F1551" s="4" t="s">
        <v>23</v>
      </c>
      <c r="G1551" s="4" t="s">
        <v>36</v>
      </c>
      <c r="H1551" s="4">
        <v>7</v>
      </c>
      <c r="I1551" s="4">
        <v>9</v>
      </c>
      <c r="J1551" s="5">
        <v>45557</v>
      </c>
      <c r="K1551" s="6">
        <v>0.56221064814814814</v>
      </c>
    </row>
    <row r="1552" spans="1:11" x14ac:dyDescent="0.25">
      <c r="A1552" s="4">
        <v>13</v>
      </c>
      <c r="B1552" s="4" t="s">
        <v>11</v>
      </c>
      <c r="C1552" s="7">
        <v>27.92</v>
      </c>
      <c r="D1552" s="4" t="s">
        <v>19</v>
      </c>
      <c r="E1552" s="4" t="s">
        <v>17</v>
      </c>
      <c r="F1552" s="4" t="s">
        <v>23</v>
      </c>
      <c r="G1552" s="4" t="s">
        <v>36</v>
      </c>
      <c r="H1552" s="4">
        <v>7</v>
      </c>
      <c r="I1552" s="4">
        <v>9</v>
      </c>
      <c r="J1552" s="5">
        <v>45557</v>
      </c>
      <c r="K1552" s="6">
        <v>0.56497685185185187</v>
      </c>
    </row>
    <row r="1553" spans="1:11" x14ac:dyDescent="0.25">
      <c r="A1553" s="4">
        <v>15</v>
      </c>
      <c r="B1553" s="4" t="s">
        <v>11</v>
      </c>
      <c r="C1553" s="7">
        <v>32.82</v>
      </c>
      <c r="D1553" s="4" t="s">
        <v>12</v>
      </c>
      <c r="E1553" s="4" t="s">
        <v>17</v>
      </c>
      <c r="F1553" s="4" t="s">
        <v>23</v>
      </c>
      <c r="G1553" s="4" t="s">
        <v>36</v>
      </c>
      <c r="H1553" s="4">
        <v>7</v>
      </c>
      <c r="I1553" s="4">
        <v>9</v>
      </c>
      <c r="J1553" s="5">
        <v>45557</v>
      </c>
      <c r="K1553" s="6">
        <v>0.64872685185185186</v>
      </c>
    </row>
    <row r="1554" spans="1:11" x14ac:dyDescent="0.25">
      <c r="A1554" s="4">
        <v>15</v>
      </c>
      <c r="B1554" s="4" t="s">
        <v>11</v>
      </c>
      <c r="C1554" s="7">
        <v>27.92</v>
      </c>
      <c r="D1554" s="4" t="s">
        <v>19</v>
      </c>
      <c r="E1554" s="4" t="s">
        <v>17</v>
      </c>
      <c r="F1554" s="4" t="s">
        <v>23</v>
      </c>
      <c r="G1554" s="4" t="s">
        <v>36</v>
      </c>
      <c r="H1554" s="4">
        <v>7</v>
      </c>
      <c r="I1554" s="4">
        <v>9</v>
      </c>
      <c r="J1554" s="5">
        <v>45557</v>
      </c>
      <c r="K1554" s="6">
        <v>0.64958333333333329</v>
      </c>
    </row>
    <row r="1555" spans="1:11" x14ac:dyDescent="0.25">
      <c r="A1555" s="4">
        <v>16</v>
      </c>
      <c r="B1555" s="4" t="s">
        <v>11</v>
      </c>
      <c r="C1555" s="7">
        <v>32.82</v>
      </c>
      <c r="D1555" s="4" t="s">
        <v>21</v>
      </c>
      <c r="E1555" s="4" t="s">
        <v>17</v>
      </c>
      <c r="F1555" s="4" t="s">
        <v>23</v>
      </c>
      <c r="G1555" s="4" t="s">
        <v>36</v>
      </c>
      <c r="H1555" s="4">
        <v>7</v>
      </c>
      <c r="I1555" s="4">
        <v>9</v>
      </c>
      <c r="J1555" s="5">
        <v>45557</v>
      </c>
      <c r="K1555" s="6">
        <v>0.68406250000000002</v>
      </c>
    </row>
    <row r="1556" spans="1:11" x14ac:dyDescent="0.25">
      <c r="A1556" s="4">
        <v>20</v>
      </c>
      <c r="B1556" s="4" t="s">
        <v>11</v>
      </c>
      <c r="C1556" s="7">
        <v>32.82</v>
      </c>
      <c r="D1556" s="4" t="s">
        <v>12</v>
      </c>
      <c r="E1556" s="4" t="s">
        <v>20</v>
      </c>
      <c r="F1556" s="4" t="s">
        <v>23</v>
      </c>
      <c r="G1556" s="4" t="s">
        <v>36</v>
      </c>
      <c r="H1556" s="4">
        <v>7</v>
      </c>
      <c r="I1556" s="4">
        <v>9</v>
      </c>
      <c r="J1556" s="5">
        <v>45557</v>
      </c>
      <c r="K1556" s="6">
        <v>0.84664351851851849</v>
      </c>
    </row>
    <row r="1557" spans="1:11" x14ac:dyDescent="0.25">
      <c r="A1557" s="4">
        <v>20</v>
      </c>
      <c r="B1557" s="4" t="s">
        <v>11</v>
      </c>
      <c r="C1557" s="7">
        <v>32.82</v>
      </c>
      <c r="D1557" s="4" t="s">
        <v>29</v>
      </c>
      <c r="E1557" s="4" t="s">
        <v>20</v>
      </c>
      <c r="F1557" s="4" t="s">
        <v>23</v>
      </c>
      <c r="G1557" s="4" t="s">
        <v>36</v>
      </c>
      <c r="H1557" s="4">
        <v>7</v>
      </c>
      <c r="I1557" s="4">
        <v>9</v>
      </c>
      <c r="J1557" s="5">
        <v>45557</v>
      </c>
      <c r="K1557" s="6">
        <v>0.84762731481481479</v>
      </c>
    </row>
    <row r="1558" spans="1:11" x14ac:dyDescent="0.25">
      <c r="A1558" s="4">
        <v>20</v>
      </c>
      <c r="B1558" s="4" t="s">
        <v>11</v>
      </c>
      <c r="C1558" s="7">
        <v>27.92</v>
      </c>
      <c r="D1558" s="4" t="s">
        <v>19</v>
      </c>
      <c r="E1558" s="4" t="s">
        <v>20</v>
      </c>
      <c r="F1558" s="4" t="s">
        <v>23</v>
      </c>
      <c r="G1558" s="4" t="s">
        <v>36</v>
      </c>
      <c r="H1558" s="4">
        <v>7</v>
      </c>
      <c r="I1558" s="4">
        <v>9</v>
      </c>
      <c r="J1558" s="5">
        <v>45557</v>
      </c>
      <c r="K1558" s="6">
        <v>0.86557870370370371</v>
      </c>
    </row>
    <row r="1559" spans="1:11" x14ac:dyDescent="0.25">
      <c r="A1559" s="4">
        <v>20</v>
      </c>
      <c r="B1559" s="4" t="s">
        <v>11</v>
      </c>
      <c r="C1559" s="7">
        <v>27.92</v>
      </c>
      <c r="D1559" s="4" t="s">
        <v>19</v>
      </c>
      <c r="E1559" s="4" t="s">
        <v>20</v>
      </c>
      <c r="F1559" s="4" t="s">
        <v>23</v>
      </c>
      <c r="G1559" s="4" t="s">
        <v>36</v>
      </c>
      <c r="H1559" s="4">
        <v>7</v>
      </c>
      <c r="I1559" s="4">
        <v>9</v>
      </c>
      <c r="J1559" s="5">
        <v>45557</v>
      </c>
      <c r="K1559" s="6">
        <v>0.86637731481481484</v>
      </c>
    </row>
    <row r="1560" spans="1:11" x14ac:dyDescent="0.25">
      <c r="A1560" s="4">
        <v>21</v>
      </c>
      <c r="B1560" s="4" t="s">
        <v>11</v>
      </c>
      <c r="C1560" s="7">
        <v>27.92</v>
      </c>
      <c r="D1560" s="4" t="s">
        <v>19</v>
      </c>
      <c r="E1560" s="4" t="s">
        <v>20</v>
      </c>
      <c r="F1560" s="4" t="s">
        <v>23</v>
      </c>
      <c r="G1560" s="4" t="s">
        <v>36</v>
      </c>
      <c r="H1560" s="4">
        <v>7</v>
      </c>
      <c r="I1560" s="4">
        <v>9</v>
      </c>
      <c r="J1560" s="5">
        <v>45557</v>
      </c>
      <c r="K1560" s="6">
        <v>0.87990740740740736</v>
      </c>
    </row>
    <row r="1561" spans="1:11" x14ac:dyDescent="0.25">
      <c r="A1561" s="4">
        <v>21</v>
      </c>
      <c r="B1561" s="4" t="s">
        <v>11</v>
      </c>
      <c r="C1561" s="7">
        <v>27.92</v>
      </c>
      <c r="D1561" s="4" t="s">
        <v>19</v>
      </c>
      <c r="E1561" s="4" t="s">
        <v>20</v>
      </c>
      <c r="F1561" s="4" t="s">
        <v>23</v>
      </c>
      <c r="G1561" s="4" t="s">
        <v>36</v>
      </c>
      <c r="H1561" s="4">
        <v>7</v>
      </c>
      <c r="I1561" s="4">
        <v>9</v>
      </c>
      <c r="J1561" s="5">
        <v>45557</v>
      </c>
      <c r="K1561" s="6">
        <v>0.88071759259259264</v>
      </c>
    </row>
    <row r="1562" spans="1:11" x14ac:dyDescent="0.25">
      <c r="A1562" s="4">
        <v>21</v>
      </c>
      <c r="B1562" s="4" t="s">
        <v>11</v>
      </c>
      <c r="C1562" s="7">
        <v>32.82</v>
      </c>
      <c r="D1562" s="4" t="s">
        <v>16</v>
      </c>
      <c r="E1562" s="4" t="s">
        <v>20</v>
      </c>
      <c r="F1562" s="4" t="s">
        <v>23</v>
      </c>
      <c r="G1562" s="4" t="s">
        <v>36</v>
      </c>
      <c r="H1562" s="4">
        <v>7</v>
      </c>
      <c r="I1562" s="4">
        <v>9</v>
      </c>
      <c r="J1562" s="5">
        <v>45557</v>
      </c>
      <c r="K1562" s="6">
        <v>0.91254629629629624</v>
      </c>
    </row>
    <row r="1563" spans="1:11" x14ac:dyDescent="0.25">
      <c r="A1563" s="4">
        <v>21</v>
      </c>
      <c r="B1563" s="4" t="s">
        <v>11</v>
      </c>
      <c r="C1563" s="7">
        <v>32.82</v>
      </c>
      <c r="D1563" s="4" t="s">
        <v>16</v>
      </c>
      <c r="E1563" s="4" t="s">
        <v>20</v>
      </c>
      <c r="F1563" s="4" t="s">
        <v>23</v>
      </c>
      <c r="G1563" s="4" t="s">
        <v>36</v>
      </c>
      <c r="H1563" s="4">
        <v>7</v>
      </c>
      <c r="I1563" s="4">
        <v>9</v>
      </c>
      <c r="J1563" s="5">
        <v>45557</v>
      </c>
      <c r="K1563" s="6">
        <v>0.91312499999999996</v>
      </c>
    </row>
    <row r="1564" spans="1:11" x14ac:dyDescent="0.25">
      <c r="A1564" s="4">
        <v>22</v>
      </c>
      <c r="B1564" s="4" t="s">
        <v>11</v>
      </c>
      <c r="C1564" s="7">
        <v>23.02</v>
      </c>
      <c r="D1564" s="4" t="s">
        <v>18</v>
      </c>
      <c r="E1564" s="4" t="s">
        <v>20</v>
      </c>
      <c r="F1564" s="4" t="s">
        <v>23</v>
      </c>
      <c r="G1564" s="4" t="s">
        <v>36</v>
      </c>
      <c r="H1564" s="4">
        <v>7</v>
      </c>
      <c r="I1564" s="4">
        <v>9</v>
      </c>
      <c r="J1564" s="5">
        <v>45557</v>
      </c>
      <c r="K1564" s="6">
        <v>0.94238425925925928</v>
      </c>
    </row>
    <row r="1565" spans="1:11" x14ac:dyDescent="0.25">
      <c r="A1565" s="4">
        <v>22</v>
      </c>
      <c r="B1565" s="4" t="s">
        <v>11</v>
      </c>
      <c r="C1565" s="7">
        <v>27.92</v>
      </c>
      <c r="D1565" s="4" t="s">
        <v>19</v>
      </c>
      <c r="E1565" s="4" t="s">
        <v>20</v>
      </c>
      <c r="F1565" s="4" t="s">
        <v>23</v>
      </c>
      <c r="G1565" s="4" t="s">
        <v>36</v>
      </c>
      <c r="H1565" s="4">
        <v>7</v>
      </c>
      <c r="I1565" s="4">
        <v>9</v>
      </c>
      <c r="J1565" s="5">
        <v>45557</v>
      </c>
      <c r="K1565" s="6">
        <v>0.94303240740740746</v>
      </c>
    </row>
    <row r="1566" spans="1:11" x14ac:dyDescent="0.25">
      <c r="A1566" s="4">
        <v>9</v>
      </c>
      <c r="B1566" s="4" t="s">
        <v>11</v>
      </c>
      <c r="C1566" s="7">
        <v>27.92</v>
      </c>
      <c r="D1566" s="4" t="s">
        <v>19</v>
      </c>
      <c r="E1566" s="4" t="s">
        <v>13</v>
      </c>
      <c r="F1566" s="4" t="s">
        <v>25</v>
      </c>
      <c r="G1566" s="4" t="s">
        <v>36</v>
      </c>
      <c r="H1566" s="4">
        <v>1</v>
      </c>
      <c r="I1566" s="4">
        <v>9</v>
      </c>
      <c r="J1566" s="5">
        <v>45558</v>
      </c>
      <c r="K1566" s="6">
        <v>0.3775</v>
      </c>
    </row>
    <row r="1567" spans="1:11" x14ac:dyDescent="0.25">
      <c r="A1567" s="4">
        <v>10</v>
      </c>
      <c r="B1567" s="4" t="s">
        <v>11</v>
      </c>
      <c r="C1567" s="7">
        <v>23.02</v>
      </c>
      <c r="D1567" s="4" t="s">
        <v>24</v>
      </c>
      <c r="E1567" s="4" t="s">
        <v>13</v>
      </c>
      <c r="F1567" s="4" t="s">
        <v>25</v>
      </c>
      <c r="G1567" s="4" t="s">
        <v>36</v>
      </c>
      <c r="H1567" s="4">
        <v>1</v>
      </c>
      <c r="I1567" s="4">
        <v>9</v>
      </c>
      <c r="J1567" s="5">
        <v>45558</v>
      </c>
      <c r="K1567" s="6">
        <v>0.41964120370370372</v>
      </c>
    </row>
    <row r="1568" spans="1:11" x14ac:dyDescent="0.25">
      <c r="A1568" s="4">
        <v>12</v>
      </c>
      <c r="B1568" s="4" t="s">
        <v>11</v>
      </c>
      <c r="C1568" s="7">
        <v>23.02</v>
      </c>
      <c r="D1568" s="4" t="s">
        <v>18</v>
      </c>
      <c r="E1568" s="4" t="s">
        <v>17</v>
      </c>
      <c r="F1568" s="4" t="s">
        <v>25</v>
      </c>
      <c r="G1568" s="4" t="s">
        <v>36</v>
      </c>
      <c r="H1568" s="4">
        <v>1</v>
      </c>
      <c r="I1568" s="4">
        <v>9</v>
      </c>
      <c r="J1568" s="5">
        <v>45558</v>
      </c>
      <c r="K1568" s="6">
        <v>0.50768518518518524</v>
      </c>
    </row>
    <row r="1569" spans="1:11" x14ac:dyDescent="0.25">
      <c r="A1569" s="4">
        <v>14</v>
      </c>
      <c r="B1569" s="4" t="s">
        <v>11</v>
      </c>
      <c r="C1569" s="7">
        <v>27.92</v>
      </c>
      <c r="D1569" s="4" t="s">
        <v>19</v>
      </c>
      <c r="E1569" s="4" t="s">
        <v>17</v>
      </c>
      <c r="F1569" s="4" t="s">
        <v>25</v>
      </c>
      <c r="G1569" s="4" t="s">
        <v>36</v>
      </c>
      <c r="H1569" s="4">
        <v>1</v>
      </c>
      <c r="I1569" s="4">
        <v>9</v>
      </c>
      <c r="J1569" s="5">
        <v>45558</v>
      </c>
      <c r="K1569" s="6">
        <v>0.58947916666666667</v>
      </c>
    </row>
    <row r="1570" spans="1:11" x14ac:dyDescent="0.25">
      <c r="A1570" s="4">
        <v>17</v>
      </c>
      <c r="B1570" s="4" t="s">
        <v>11</v>
      </c>
      <c r="C1570" s="7">
        <v>32.82</v>
      </c>
      <c r="D1570" s="4" t="s">
        <v>29</v>
      </c>
      <c r="E1570" s="4" t="s">
        <v>20</v>
      </c>
      <c r="F1570" s="4" t="s">
        <v>25</v>
      </c>
      <c r="G1570" s="4" t="s">
        <v>36</v>
      </c>
      <c r="H1570" s="4">
        <v>1</v>
      </c>
      <c r="I1570" s="4">
        <v>9</v>
      </c>
      <c r="J1570" s="5">
        <v>45558</v>
      </c>
      <c r="K1570" s="6">
        <v>0.7276273148148148</v>
      </c>
    </row>
    <row r="1571" spans="1:11" x14ac:dyDescent="0.25">
      <c r="A1571" s="4">
        <v>18</v>
      </c>
      <c r="B1571" s="4" t="s">
        <v>11</v>
      </c>
      <c r="C1571" s="7">
        <v>23.02</v>
      </c>
      <c r="D1571" s="4" t="s">
        <v>18</v>
      </c>
      <c r="E1571" s="4" t="s">
        <v>20</v>
      </c>
      <c r="F1571" s="4" t="s">
        <v>25</v>
      </c>
      <c r="G1571" s="4" t="s">
        <v>36</v>
      </c>
      <c r="H1571" s="4">
        <v>1</v>
      </c>
      <c r="I1571" s="4">
        <v>9</v>
      </c>
      <c r="J1571" s="5">
        <v>45558</v>
      </c>
      <c r="K1571" s="6">
        <v>0.7836805555555556</v>
      </c>
    </row>
    <row r="1572" spans="1:11" x14ac:dyDescent="0.25">
      <c r="A1572" s="4">
        <v>19</v>
      </c>
      <c r="B1572" s="4" t="s">
        <v>11</v>
      </c>
      <c r="C1572" s="7">
        <v>32.82</v>
      </c>
      <c r="D1572" s="4" t="s">
        <v>12</v>
      </c>
      <c r="E1572" s="4" t="s">
        <v>20</v>
      </c>
      <c r="F1572" s="4" t="s">
        <v>25</v>
      </c>
      <c r="G1572" s="4" t="s">
        <v>36</v>
      </c>
      <c r="H1572" s="4">
        <v>1</v>
      </c>
      <c r="I1572" s="4">
        <v>9</v>
      </c>
      <c r="J1572" s="5">
        <v>45558</v>
      </c>
      <c r="K1572" s="6">
        <v>0.82454861111111111</v>
      </c>
    </row>
    <row r="1573" spans="1:11" x14ac:dyDescent="0.25">
      <c r="A1573" s="4">
        <v>20</v>
      </c>
      <c r="B1573" s="4" t="s">
        <v>11</v>
      </c>
      <c r="C1573" s="7">
        <v>32.82</v>
      </c>
      <c r="D1573" s="4" t="s">
        <v>29</v>
      </c>
      <c r="E1573" s="4" t="s">
        <v>20</v>
      </c>
      <c r="F1573" s="4" t="s">
        <v>25</v>
      </c>
      <c r="G1573" s="4" t="s">
        <v>36</v>
      </c>
      <c r="H1573" s="4">
        <v>1</v>
      </c>
      <c r="I1573" s="4">
        <v>9</v>
      </c>
      <c r="J1573" s="5">
        <v>45558</v>
      </c>
      <c r="K1573" s="6">
        <v>0.84010416666666665</v>
      </c>
    </row>
    <row r="1574" spans="1:11" x14ac:dyDescent="0.25">
      <c r="A1574" s="4">
        <v>22</v>
      </c>
      <c r="B1574" s="4" t="s">
        <v>11</v>
      </c>
      <c r="C1574" s="7">
        <v>27.92</v>
      </c>
      <c r="D1574" s="4" t="s">
        <v>19</v>
      </c>
      <c r="E1574" s="4" t="s">
        <v>20</v>
      </c>
      <c r="F1574" s="4" t="s">
        <v>25</v>
      </c>
      <c r="G1574" s="4" t="s">
        <v>36</v>
      </c>
      <c r="H1574" s="4">
        <v>1</v>
      </c>
      <c r="I1574" s="4">
        <v>9</v>
      </c>
      <c r="J1574" s="5">
        <v>45558</v>
      </c>
      <c r="K1574" s="6">
        <v>0.92604166666666665</v>
      </c>
    </row>
    <row r="1575" spans="1:11" x14ac:dyDescent="0.25">
      <c r="A1575" s="4">
        <v>22</v>
      </c>
      <c r="B1575" s="4" t="s">
        <v>11</v>
      </c>
      <c r="C1575" s="7">
        <v>27.92</v>
      </c>
      <c r="D1575" s="4" t="s">
        <v>19</v>
      </c>
      <c r="E1575" s="4" t="s">
        <v>20</v>
      </c>
      <c r="F1575" s="4" t="s">
        <v>25</v>
      </c>
      <c r="G1575" s="4" t="s">
        <v>36</v>
      </c>
      <c r="H1575" s="4">
        <v>1</v>
      </c>
      <c r="I1575" s="4">
        <v>9</v>
      </c>
      <c r="J1575" s="5">
        <v>45558</v>
      </c>
      <c r="K1575" s="6">
        <v>0.92724537037037036</v>
      </c>
    </row>
    <row r="1576" spans="1:11" x14ac:dyDescent="0.25">
      <c r="A1576" s="4">
        <v>8</v>
      </c>
      <c r="B1576" s="4" t="s">
        <v>11</v>
      </c>
      <c r="C1576" s="7">
        <v>27.92</v>
      </c>
      <c r="D1576" s="4" t="s">
        <v>19</v>
      </c>
      <c r="E1576" s="4" t="s">
        <v>13</v>
      </c>
      <c r="F1576" s="4" t="s">
        <v>27</v>
      </c>
      <c r="G1576" s="4" t="s">
        <v>36</v>
      </c>
      <c r="H1576" s="4">
        <v>2</v>
      </c>
      <c r="I1576" s="4">
        <v>9</v>
      </c>
      <c r="J1576" s="5">
        <v>45559</v>
      </c>
      <c r="K1576" s="6">
        <v>0.35662037037037037</v>
      </c>
    </row>
    <row r="1577" spans="1:11" x14ac:dyDescent="0.25">
      <c r="A1577" s="4">
        <v>12</v>
      </c>
      <c r="B1577" s="4" t="s">
        <v>11</v>
      </c>
      <c r="C1577" s="7">
        <v>32.82</v>
      </c>
      <c r="D1577" s="4" t="s">
        <v>12</v>
      </c>
      <c r="E1577" s="4" t="s">
        <v>17</v>
      </c>
      <c r="F1577" s="4" t="s">
        <v>27</v>
      </c>
      <c r="G1577" s="4" t="s">
        <v>36</v>
      </c>
      <c r="H1577" s="4">
        <v>2</v>
      </c>
      <c r="I1577" s="4">
        <v>9</v>
      </c>
      <c r="J1577" s="5">
        <v>45559</v>
      </c>
      <c r="K1577" s="6">
        <v>0.51662037037037034</v>
      </c>
    </row>
    <row r="1578" spans="1:11" x14ac:dyDescent="0.25">
      <c r="A1578" s="4">
        <v>12</v>
      </c>
      <c r="B1578" s="4" t="s">
        <v>11</v>
      </c>
      <c r="C1578" s="7">
        <v>32.82</v>
      </c>
      <c r="D1578" s="4" t="s">
        <v>12</v>
      </c>
      <c r="E1578" s="4" t="s">
        <v>17</v>
      </c>
      <c r="F1578" s="4" t="s">
        <v>27</v>
      </c>
      <c r="G1578" s="4" t="s">
        <v>36</v>
      </c>
      <c r="H1578" s="4">
        <v>2</v>
      </c>
      <c r="I1578" s="4">
        <v>9</v>
      </c>
      <c r="J1578" s="5">
        <v>45559</v>
      </c>
      <c r="K1578" s="6">
        <v>0.51729166666666671</v>
      </c>
    </row>
    <row r="1579" spans="1:11" x14ac:dyDescent="0.25">
      <c r="A1579" s="4">
        <v>12</v>
      </c>
      <c r="B1579" s="4" t="s">
        <v>11</v>
      </c>
      <c r="C1579" s="7">
        <v>32.82</v>
      </c>
      <c r="D1579" s="4" t="s">
        <v>12</v>
      </c>
      <c r="E1579" s="4" t="s">
        <v>17</v>
      </c>
      <c r="F1579" s="4" t="s">
        <v>27</v>
      </c>
      <c r="G1579" s="4" t="s">
        <v>36</v>
      </c>
      <c r="H1579" s="4">
        <v>2</v>
      </c>
      <c r="I1579" s="4">
        <v>9</v>
      </c>
      <c r="J1579" s="5">
        <v>45559</v>
      </c>
      <c r="K1579" s="6">
        <v>0.53245370370370371</v>
      </c>
    </row>
    <row r="1580" spans="1:11" x14ac:dyDescent="0.25">
      <c r="A1580" s="4">
        <v>12</v>
      </c>
      <c r="B1580" s="4" t="s">
        <v>11</v>
      </c>
      <c r="C1580" s="7">
        <v>32.82</v>
      </c>
      <c r="D1580" s="4" t="s">
        <v>12</v>
      </c>
      <c r="E1580" s="4" t="s">
        <v>17</v>
      </c>
      <c r="F1580" s="4" t="s">
        <v>27</v>
      </c>
      <c r="G1580" s="4" t="s">
        <v>36</v>
      </c>
      <c r="H1580" s="4">
        <v>2</v>
      </c>
      <c r="I1580" s="4">
        <v>9</v>
      </c>
      <c r="J1580" s="5">
        <v>45559</v>
      </c>
      <c r="K1580" s="6">
        <v>0.53320601851851857</v>
      </c>
    </row>
    <row r="1581" spans="1:11" x14ac:dyDescent="0.25">
      <c r="A1581" s="4">
        <v>14</v>
      </c>
      <c r="B1581" s="4" t="s">
        <v>11</v>
      </c>
      <c r="C1581" s="7">
        <v>32.82</v>
      </c>
      <c r="D1581" s="4" t="s">
        <v>12</v>
      </c>
      <c r="E1581" s="4" t="s">
        <v>17</v>
      </c>
      <c r="F1581" s="4" t="s">
        <v>27</v>
      </c>
      <c r="G1581" s="4" t="s">
        <v>36</v>
      </c>
      <c r="H1581" s="4">
        <v>2</v>
      </c>
      <c r="I1581" s="4">
        <v>9</v>
      </c>
      <c r="J1581" s="5">
        <v>45559</v>
      </c>
      <c r="K1581" s="6">
        <v>0.59142361111111108</v>
      </c>
    </row>
    <row r="1582" spans="1:11" x14ac:dyDescent="0.25">
      <c r="A1582" s="4">
        <v>14</v>
      </c>
      <c r="B1582" s="4" t="s">
        <v>11</v>
      </c>
      <c r="C1582" s="7">
        <v>23.02</v>
      </c>
      <c r="D1582" s="4" t="s">
        <v>24</v>
      </c>
      <c r="E1582" s="4" t="s">
        <v>17</v>
      </c>
      <c r="F1582" s="4" t="s">
        <v>27</v>
      </c>
      <c r="G1582" s="4" t="s">
        <v>36</v>
      </c>
      <c r="H1582" s="4">
        <v>2</v>
      </c>
      <c r="I1582" s="4">
        <v>9</v>
      </c>
      <c r="J1582" s="5">
        <v>45559</v>
      </c>
      <c r="K1582" s="6">
        <v>0.60518518518518516</v>
      </c>
    </row>
    <row r="1583" spans="1:11" x14ac:dyDescent="0.25">
      <c r="A1583" s="4">
        <v>15</v>
      </c>
      <c r="B1583" s="4" t="s">
        <v>11</v>
      </c>
      <c r="C1583" s="7">
        <v>32.82</v>
      </c>
      <c r="D1583" s="4" t="s">
        <v>29</v>
      </c>
      <c r="E1583" s="4" t="s">
        <v>17</v>
      </c>
      <c r="F1583" s="4" t="s">
        <v>27</v>
      </c>
      <c r="G1583" s="4" t="s">
        <v>36</v>
      </c>
      <c r="H1583" s="4">
        <v>2</v>
      </c>
      <c r="I1583" s="4">
        <v>9</v>
      </c>
      <c r="J1583" s="5">
        <v>45559</v>
      </c>
      <c r="K1583" s="6">
        <v>0.65096064814814814</v>
      </c>
    </row>
    <row r="1584" spans="1:11" x14ac:dyDescent="0.25">
      <c r="A1584" s="4">
        <v>16</v>
      </c>
      <c r="B1584" s="4" t="s">
        <v>11</v>
      </c>
      <c r="C1584" s="7">
        <v>32.82</v>
      </c>
      <c r="D1584" s="4" t="s">
        <v>12</v>
      </c>
      <c r="E1584" s="4" t="s">
        <v>17</v>
      </c>
      <c r="F1584" s="4" t="s">
        <v>27</v>
      </c>
      <c r="G1584" s="4" t="s">
        <v>36</v>
      </c>
      <c r="H1584" s="4">
        <v>2</v>
      </c>
      <c r="I1584" s="4">
        <v>9</v>
      </c>
      <c r="J1584" s="5">
        <v>45559</v>
      </c>
      <c r="K1584" s="6">
        <v>0.69361111111111107</v>
      </c>
    </row>
    <row r="1585" spans="1:11" x14ac:dyDescent="0.25">
      <c r="A1585" s="4">
        <v>18</v>
      </c>
      <c r="B1585" s="4" t="s">
        <v>11</v>
      </c>
      <c r="C1585" s="7">
        <v>23.02</v>
      </c>
      <c r="D1585" s="4" t="s">
        <v>18</v>
      </c>
      <c r="E1585" s="4" t="s">
        <v>20</v>
      </c>
      <c r="F1585" s="4" t="s">
        <v>27</v>
      </c>
      <c r="G1585" s="4" t="s">
        <v>36</v>
      </c>
      <c r="H1585" s="4">
        <v>2</v>
      </c>
      <c r="I1585" s="4">
        <v>9</v>
      </c>
      <c r="J1585" s="5">
        <v>45559</v>
      </c>
      <c r="K1585" s="6">
        <v>0.7798842592592593</v>
      </c>
    </row>
    <row r="1586" spans="1:11" x14ac:dyDescent="0.25">
      <c r="A1586" s="4">
        <v>18</v>
      </c>
      <c r="B1586" s="4" t="s">
        <v>11</v>
      </c>
      <c r="C1586" s="7">
        <v>23.02</v>
      </c>
      <c r="D1586" s="4" t="s">
        <v>18</v>
      </c>
      <c r="E1586" s="4" t="s">
        <v>20</v>
      </c>
      <c r="F1586" s="4" t="s">
        <v>27</v>
      </c>
      <c r="G1586" s="4" t="s">
        <v>36</v>
      </c>
      <c r="H1586" s="4">
        <v>2</v>
      </c>
      <c r="I1586" s="4">
        <v>9</v>
      </c>
      <c r="J1586" s="5">
        <v>45559</v>
      </c>
      <c r="K1586" s="6">
        <v>0.7804861111111111</v>
      </c>
    </row>
    <row r="1587" spans="1:11" x14ac:dyDescent="0.25">
      <c r="A1587" s="4">
        <v>20</v>
      </c>
      <c r="B1587" s="4" t="s">
        <v>11</v>
      </c>
      <c r="C1587" s="7">
        <v>32.82</v>
      </c>
      <c r="D1587" s="4" t="s">
        <v>16</v>
      </c>
      <c r="E1587" s="4" t="s">
        <v>20</v>
      </c>
      <c r="F1587" s="4" t="s">
        <v>27</v>
      </c>
      <c r="G1587" s="4" t="s">
        <v>36</v>
      </c>
      <c r="H1587" s="4">
        <v>2</v>
      </c>
      <c r="I1587" s="4">
        <v>9</v>
      </c>
      <c r="J1587" s="5">
        <v>45559</v>
      </c>
      <c r="K1587" s="6">
        <v>0.84432870370370372</v>
      </c>
    </row>
    <row r="1588" spans="1:11" x14ac:dyDescent="0.25">
      <c r="A1588" s="4">
        <v>21</v>
      </c>
      <c r="B1588" s="4" t="s">
        <v>11</v>
      </c>
      <c r="C1588" s="7">
        <v>32.82</v>
      </c>
      <c r="D1588" s="4" t="s">
        <v>12</v>
      </c>
      <c r="E1588" s="4" t="s">
        <v>20</v>
      </c>
      <c r="F1588" s="4" t="s">
        <v>27</v>
      </c>
      <c r="G1588" s="4" t="s">
        <v>36</v>
      </c>
      <c r="H1588" s="4">
        <v>2</v>
      </c>
      <c r="I1588" s="4">
        <v>9</v>
      </c>
      <c r="J1588" s="5">
        <v>45559</v>
      </c>
      <c r="K1588" s="6">
        <v>0.87863425925925931</v>
      </c>
    </row>
    <row r="1589" spans="1:11" x14ac:dyDescent="0.25">
      <c r="A1589" s="4">
        <v>21</v>
      </c>
      <c r="B1589" s="4" t="s">
        <v>11</v>
      </c>
      <c r="C1589" s="7">
        <v>27.92</v>
      </c>
      <c r="D1589" s="4" t="s">
        <v>19</v>
      </c>
      <c r="E1589" s="4" t="s">
        <v>20</v>
      </c>
      <c r="F1589" s="4" t="s">
        <v>27</v>
      </c>
      <c r="G1589" s="4" t="s">
        <v>36</v>
      </c>
      <c r="H1589" s="4">
        <v>2</v>
      </c>
      <c r="I1589" s="4">
        <v>9</v>
      </c>
      <c r="J1589" s="5">
        <v>45559</v>
      </c>
      <c r="K1589" s="6">
        <v>0.87953703703703701</v>
      </c>
    </row>
    <row r="1590" spans="1:11" x14ac:dyDescent="0.25">
      <c r="A1590" s="4">
        <v>21</v>
      </c>
      <c r="B1590" s="4" t="s">
        <v>11</v>
      </c>
      <c r="C1590" s="7">
        <v>27.92</v>
      </c>
      <c r="D1590" s="4" t="s">
        <v>19</v>
      </c>
      <c r="E1590" s="4" t="s">
        <v>20</v>
      </c>
      <c r="F1590" s="4" t="s">
        <v>27</v>
      </c>
      <c r="G1590" s="4" t="s">
        <v>36</v>
      </c>
      <c r="H1590" s="4">
        <v>2</v>
      </c>
      <c r="I1590" s="4">
        <v>9</v>
      </c>
      <c r="J1590" s="5">
        <v>45559</v>
      </c>
      <c r="K1590" s="6">
        <v>0.88025462962962964</v>
      </c>
    </row>
    <row r="1591" spans="1:11" x14ac:dyDescent="0.25">
      <c r="A1591" s="4">
        <v>7</v>
      </c>
      <c r="B1591" s="4" t="s">
        <v>11</v>
      </c>
      <c r="C1591" s="7">
        <v>32.82</v>
      </c>
      <c r="D1591" s="4" t="s">
        <v>29</v>
      </c>
      <c r="E1591" s="4" t="s">
        <v>13</v>
      </c>
      <c r="F1591" s="4" t="s">
        <v>28</v>
      </c>
      <c r="G1591" s="4" t="s">
        <v>36</v>
      </c>
      <c r="H1591" s="4">
        <v>3</v>
      </c>
      <c r="I1591" s="4">
        <v>9</v>
      </c>
      <c r="J1591" s="5">
        <v>45560</v>
      </c>
      <c r="K1591" s="6">
        <v>0.32732638888888888</v>
      </c>
    </row>
    <row r="1592" spans="1:11" x14ac:dyDescent="0.25">
      <c r="A1592" s="4">
        <v>11</v>
      </c>
      <c r="B1592" s="4" t="s">
        <v>11</v>
      </c>
      <c r="C1592" s="7">
        <v>23.02</v>
      </c>
      <c r="D1592" s="4" t="s">
        <v>24</v>
      </c>
      <c r="E1592" s="4" t="s">
        <v>13</v>
      </c>
      <c r="F1592" s="4" t="s">
        <v>28</v>
      </c>
      <c r="G1592" s="4" t="s">
        <v>36</v>
      </c>
      <c r="H1592" s="4">
        <v>3</v>
      </c>
      <c r="I1592" s="4">
        <v>9</v>
      </c>
      <c r="J1592" s="5">
        <v>45560</v>
      </c>
      <c r="K1592" s="6">
        <v>0.48300925925925925</v>
      </c>
    </row>
    <row r="1593" spans="1:11" x14ac:dyDescent="0.25">
      <c r="A1593" s="4">
        <v>11</v>
      </c>
      <c r="B1593" s="4" t="s">
        <v>11</v>
      </c>
      <c r="C1593" s="7">
        <v>27.92</v>
      </c>
      <c r="D1593" s="4" t="s">
        <v>19</v>
      </c>
      <c r="E1593" s="4" t="s">
        <v>13</v>
      </c>
      <c r="F1593" s="4" t="s">
        <v>28</v>
      </c>
      <c r="G1593" s="4" t="s">
        <v>36</v>
      </c>
      <c r="H1593" s="4">
        <v>3</v>
      </c>
      <c r="I1593" s="4">
        <v>9</v>
      </c>
      <c r="J1593" s="5">
        <v>45560</v>
      </c>
      <c r="K1593" s="6">
        <v>0.4939236111111111</v>
      </c>
    </row>
    <row r="1594" spans="1:11" x14ac:dyDescent="0.25">
      <c r="A1594" s="4">
        <v>11</v>
      </c>
      <c r="B1594" s="4" t="s">
        <v>11</v>
      </c>
      <c r="C1594" s="7">
        <v>32.82</v>
      </c>
      <c r="D1594" s="4" t="s">
        <v>12</v>
      </c>
      <c r="E1594" s="4" t="s">
        <v>13</v>
      </c>
      <c r="F1594" s="4" t="s">
        <v>28</v>
      </c>
      <c r="G1594" s="4" t="s">
        <v>36</v>
      </c>
      <c r="H1594" s="4">
        <v>3</v>
      </c>
      <c r="I1594" s="4">
        <v>9</v>
      </c>
      <c r="J1594" s="5">
        <v>45560</v>
      </c>
      <c r="K1594" s="6">
        <v>0.49505787037037036</v>
      </c>
    </row>
    <row r="1595" spans="1:11" x14ac:dyDescent="0.25">
      <c r="A1595" s="4">
        <v>13</v>
      </c>
      <c r="B1595" s="4" t="s">
        <v>11</v>
      </c>
      <c r="C1595" s="7">
        <v>27.92</v>
      </c>
      <c r="D1595" s="4" t="s">
        <v>19</v>
      </c>
      <c r="E1595" s="4" t="s">
        <v>17</v>
      </c>
      <c r="F1595" s="4" t="s">
        <v>28</v>
      </c>
      <c r="G1595" s="4" t="s">
        <v>36</v>
      </c>
      <c r="H1595" s="4">
        <v>3</v>
      </c>
      <c r="I1595" s="4">
        <v>9</v>
      </c>
      <c r="J1595" s="5">
        <v>45560</v>
      </c>
      <c r="K1595" s="6">
        <v>0.57975694444444448</v>
      </c>
    </row>
    <row r="1596" spans="1:11" x14ac:dyDescent="0.25">
      <c r="A1596" s="4">
        <v>13</v>
      </c>
      <c r="B1596" s="4" t="s">
        <v>11</v>
      </c>
      <c r="C1596" s="7">
        <v>27.92</v>
      </c>
      <c r="D1596" s="4" t="s">
        <v>19</v>
      </c>
      <c r="E1596" s="4" t="s">
        <v>17</v>
      </c>
      <c r="F1596" s="4" t="s">
        <v>28</v>
      </c>
      <c r="G1596" s="4" t="s">
        <v>36</v>
      </c>
      <c r="H1596" s="4">
        <v>3</v>
      </c>
      <c r="I1596" s="4">
        <v>9</v>
      </c>
      <c r="J1596" s="5">
        <v>45560</v>
      </c>
      <c r="K1596" s="6">
        <v>0.58054398148148145</v>
      </c>
    </row>
    <row r="1597" spans="1:11" x14ac:dyDescent="0.25">
      <c r="A1597" s="4">
        <v>17</v>
      </c>
      <c r="B1597" s="4" t="s">
        <v>11</v>
      </c>
      <c r="C1597" s="7">
        <v>27.92</v>
      </c>
      <c r="D1597" s="4" t="s">
        <v>19</v>
      </c>
      <c r="E1597" s="4" t="s">
        <v>20</v>
      </c>
      <c r="F1597" s="4" t="s">
        <v>28</v>
      </c>
      <c r="G1597" s="4" t="s">
        <v>36</v>
      </c>
      <c r="H1597" s="4">
        <v>3</v>
      </c>
      <c r="I1597" s="4">
        <v>9</v>
      </c>
      <c r="J1597" s="5">
        <v>45560</v>
      </c>
      <c r="K1597" s="6">
        <v>0.73376157407407405</v>
      </c>
    </row>
    <row r="1598" spans="1:11" x14ac:dyDescent="0.25">
      <c r="A1598" s="4">
        <v>17</v>
      </c>
      <c r="B1598" s="4" t="s">
        <v>11</v>
      </c>
      <c r="C1598" s="7">
        <v>27.92</v>
      </c>
      <c r="D1598" s="4" t="s">
        <v>19</v>
      </c>
      <c r="E1598" s="4" t="s">
        <v>20</v>
      </c>
      <c r="F1598" s="4" t="s">
        <v>28</v>
      </c>
      <c r="G1598" s="4" t="s">
        <v>36</v>
      </c>
      <c r="H1598" s="4">
        <v>3</v>
      </c>
      <c r="I1598" s="4">
        <v>9</v>
      </c>
      <c r="J1598" s="5">
        <v>45560</v>
      </c>
      <c r="K1598" s="6">
        <v>0.73438657407407404</v>
      </c>
    </row>
    <row r="1599" spans="1:11" x14ac:dyDescent="0.25">
      <c r="A1599" s="4">
        <v>21</v>
      </c>
      <c r="B1599" s="4" t="s">
        <v>11</v>
      </c>
      <c r="C1599" s="7">
        <v>23.02</v>
      </c>
      <c r="D1599" s="4" t="s">
        <v>18</v>
      </c>
      <c r="E1599" s="4" t="s">
        <v>20</v>
      </c>
      <c r="F1599" s="4" t="s">
        <v>28</v>
      </c>
      <c r="G1599" s="4" t="s">
        <v>36</v>
      </c>
      <c r="H1599" s="4">
        <v>3</v>
      </c>
      <c r="I1599" s="4">
        <v>9</v>
      </c>
      <c r="J1599" s="5">
        <v>45560</v>
      </c>
      <c r="K1599" s="6">
        <v>0.89908564814814818</v>
      </c>
    </row>
    <row r="1600" spans="1:11" x14ac:dyDescent="0.25">
      <c r="A1600" s="4">
        <v>22</v>
      </c>
      <c r="B1600" s="4" t="s">
        <v>11</v>
      </c>
      <c r="C1600" s="7">
        <v>27.92</v>
      </c>
      <c r="D1600" s="4" t="s">
        <v>19</v>
      </c>
      <c r="E1600" s="4" t="s">
        <v>20</v>
      </c>
      <c r="F1600" s="4" t="s">
        <v>28</v>
      </c>
      <c r="G1600" s="4" t="s">
        <v>36</v>
      </c>
      <c r="H1600" s="4">
        <v>3</v>
      </c>
      <c r="I1600" s="4">
        <v>9</v>
      </c>
      <c r="J1600" s="5">
        <v>45560</v>
      </c>
      <c r="K1600" s="6">
        <v>0.92975694444444446</v>
      </c>
    </row>
    <row r="1601" spans="1:11" x14ac:dyDescent="0.25">
      <c r="A1601" s="4">
        <v>8</v>
      </c>
      <c r="B1601" s="4" t="s">
        <v>11</v>
      </c>
      <c r="C1601" s="7">
        <v>32.82</v>
      </c>
      <c r="D1601" s="4" t="s">
        <v>12</v>
      </c>
      <c r="E1601" s="4" t="s">
        <v>13</v>
      </c>
      <c r="F1601" s="4" t="s">
        <v>30</v>
      </c>
      <c r="G1601" s="4" t="s">
        <v>36</v>
      </c>
      <c r="H1601" s="4">
        <v>4</v>
      </c>
      <c r="I1601" s="4">
        <v>9</v>
      </c>
      <c r="J1601" s="5">
        <v>45561</v>
      </c>
      <c r="K1601" s="6">
        <v>0.36359953703703701</v>
      </c>
    </row>
    <row r="1602" spans="1:11" x14ac:dyDescent="0.25">
      <c r="A1602" s="4">
        <v>10</v>
      </c>
      <c r="B1602" s="4" t="s">
        <v>11</v>
      </c>
      <c r="C1602" s="7">
        <v>27.92</v>
      </c>
      <c r="D1602" s="4" t="s">
        <v>19</v>
      </c>
      <c r="E1602" s="4" t="s">
        <v>13</v>
      </c>
      <c r="F1602" s="4" t="s">
        <v>30</v>
      </c>
      <c r="G1602" s="4" t="s">
        <v>36</v>
      </c>
      <c r="H1602" s="4">
        <v>4</v>
      </c>
      <c r="I1602" s="4">
        <v>9</v>
      </c>
      <c r="J1602" s="5">
        <v>45561</v>
      </c>
      <c r="K1602" s="6">
        <v>0.44243055555555555</v>
      </c>
    </row>
    <row r="1603" spans="1:11" x14ac:dyDescent="0.25">
      <c r="A1603" s="4">
        <v>10</v>
      </c>
      <c r="B1603" s="4" t="s">
        <v>11</v>
      </c>
      <c r="C1603" s="7">
        <v>18.12</v>
      </c>
      <c r="D1603" s="4" t="s">
        <v>26</v>
      </c>
      <c r="E1603" s="4" t="s">
        <v>13</v>
      </c>
      <c r="F1603" s="4" t="s">
        <v>30</v>
      </c>
      <c r="G1603" s="4" t="s">
        <v>36</v>
      </c>
      <c r="H1603" s="4">
        <v>4</v>
      </c>
      <c r="I1603" s="4">
        <v>9</v>
      </c>
      <c r="J1603" s="5">
        <v>45561</v>
      </c>
      <c r="K1603" s="6">
        <v>0.45546296296296296</v>
      </c>
    </row>
    <row r="1604" spans="1:11" x14ac:dyDescent="0.25">
      <c r="A1604" s="4">
        <v>11</v>
      </c>
      <c r="B1604" s="4" t="s">
        <v>11</v>
      </c>
      <c r="C1604" s="7">
        <v>32.82</v>
      </c>
      <c r="D1604" s="4" t="s">
        <v>29</v>
      </c>
      <c r="E1604" s="4" t="s">
        <v>13</v>
      </c>
      <c r="F1604" s="4" t="s">
        <v>30</v>
      </c>
      <c r="G1604" s="4" t="s">
        <v>36</v>
      </c>
      <c r="H1604" s="4">
        <v>4</v>
      </c>
      <c r="I1604" s="4">
        <v>9</v>
      </c>
      <c r="J1604" s="5">
        <v>45561</v>
      </c>
      <c r="K1604" s="6">
        <v>0.48249999999999998</v>
      </c>
    </row>
    <row r="1605" spans="1:11" x14ac:dyDescent="0.25">
      <c r="A1605" s="4">
        <v>12</v>
      </c>
      <c r="B1605" s="4" t="s">
        <v>11</v>
      </c>
      <c r="C1605" s="7">
        <v>32.82</v>
      </c>
      <c r="D1605" s="4" t="s">
        <v>12</v>
      </c>
      <c r="E1605" s="4" t="s">
        <v>17</v>
      </c>
      <c r="F1605" s="4" t="s">
        <v>30</v>
      </c>
      <c r="G1605" s="4" t="s">
        <v>36</v>
      </c>
      <c r="H1605" s="4">
        <v>4</v>
      </c>
      <c r="I1605" s="4">
        <v>9</v>
      </c>
      <c r="J1605" s="5">
        <v>45561</v>
      </c>
      <c r="K1605" s="6">
        <v>0.53334490740740736</v>
      </c>
    </row>
    <row r="1606" spans="1:11" x14ac:dyDescent="0.25">
      <c r="A1606" s="4">
        <v>18</v>
      </c>
      <c r="B1606" s="4" t="s">
        <v>11</v>
      </c>
      <c r="C1606" s="7">
        <v>32.82</v>
      </c>
      <c r="D1606" s="4" t="s">
        <v>12</v>
      </c>
      <c r="E1606" s="4" t="s">
        <v>20</v>
      </c>
      <c r="F1606" s="4" t="s">
        <v>30</v>
      </c>
      <c r="G1606" s="4" t="s">
        <v>36</v>
      </c>
      <c r="H1606" s="4">
        <v>4</v>
      </c>
      <c r="I1606" s="4">
        <v>9</v>
      </c>
      <c r="J1606" s="5">
        <v>45561</v>
      </c>
      <c r="K1606" s="6">
        <v>0.76521990740740742</v>
      </c>
    </row>
    <row r="1607" spans="1:11" x14ac:dyDescent="0.25">
      <c r="A1607" s="4">
        <v>22</v>
      </c>
      <c r="B1607" s="4" t="s">
        <v>11</v>
      </c>
      <c r="C1607" s="7">
        <v>32.82</v>
      </c>
      <c r="D1607" s="4" t="s">
        <v>12</v>
      </c>
      <c r="E1607" s="4" t="s">
        <v>20</v>
      </c>
      <c r="F1607" s="4" t="s">
        <v>30</v>
      </c>
      <c r="G1607" s="4" t="s">
        <v>36</v>
      </c>
      <c r="H1607" s="4">
        <v>4</v>
      </c>
      <c r="I1607" s="4">
        <v>9</v>
      </c>
      <c r="J1607" s="5">
        <v>45561</v>
      </c>
      <c r="K1607" s="6">
        <v>0.94809027777777777</v>
      </c>
    </row>
    <row r="1608" spans="1:11" x14ac:dyDescent="0.25">
      <c r="A1608" s="4">
        <v>22</v>
      </c>
      <c r="B1608" s="4" t="s">
        <v>11</v>
      </c>
      <c r="C1608" s="7">
        <v>23.02</v>
      </c>
      <c r="D1608" s="4" t="s">
        <v>24</v>
      </c>
      <c r="E1608" s="4" t="s">
        <v>20</v>
      </c>
      <c r="F1608" s="4" t="s">
        <v>30</v>
      </c>
      <c r="G1608" s="4" t="s">
        <v>36</v>
      </c>
      <c r="H1608" s="4">
        <v>4</v>
      </c>
      <c r="I1608" s="4">
        <v>9</v>
      </c>
      <c r="J1608" s="5">
        <v>45561</v>
      </c>
      <c r="K1608" s="6">
        <v>0.9488078703703704</v>
      </c>
    </row>
    <row r="1609" spans="1:11" x14ac:dyDescent="0.25">
      <c r="A1609" s="4">
        <v>22</v>
      </c>
      <c r="B1609" s="4" t="s">
        <v>11</v>
      </c>
      <c r="C1609" s="7">
        <v>27.92</v>
      </c>
      <c r="D1609" s="4" t="s">
        <v>19</v>
      </c>
      <c r="E1609" s="4" t="s">
        <v>20</v>
      </c>
      <c r="F1609" s="4" t="s">
        <v>30</v>
      </c>
      <c r="G1609" s="4" t="s">
        <v>36</v>
      </c>
      <c r="H1609" s="4">
        <v>4</v>
      </c>
      <c r="I1609" s="4">
        <v>9</v>
      </c>
      <c r="J1609" s="5">
        <v>45561</v>
      </c>
      <c r="K1609" s="6">
        <v>0.94958333333333333</v>
      </c>
    </row>
    <row r="1610" spans="1:11" x14ac:dyDescent="0.25">
      <c r="A1610" s="4">
        <v>9</v>
      </c>
      <c r="B1610" s="4" t="s">
        <v>11</v>
      </c>
      <c r="C1610" s="7">
        <v>27.92</v>
      </c>
      <c r="D1610" s="4" t="s">
        <v>19</v>
      </c>
      <c r="E1610" s="4" t="s">
        <v>13</v>
      </c>
      <c r="F1610" s="4" t="s">
        <v>14</v>
      </c>
      <c r="G1610" s="4" t="s">
        <v>36</v>
      </c>
      <c r="H1610" s="4">
        <v>5</v>
      </c>
      <c r="I1610" s="4">
        <v>9</v>
      </c>
      <c r="J1610" s="5">
        <v>45562</v>
      </c>
      <c r="K1610" s="6">
        <v>0.39565972222222223</v>
      </c>
    </row>
    <row r="1611" spans="1:11" x14ac:dyDescent="0.25">
      <c r="A1611" s="4">
        <v>9</v>
      </c>
      <c r="B1611" s="4" t="s">
        <v>11</v>
      </c>
      <c r="C1611" s="7">
        <v>23.02</v>
      </c>
      <c r="D1611" s="4" t="s">
        <v>24</v>
      </c>
      <c r="E1611" s="4" t="s">
        <v>13</v>
      </c>
      <c r="F1611" s="4" t="s">
        <v>14</v>
      </c>
      <c r="G1611" s="4" t="s">
        <v>36</v>
      </c>
      <c r="H1611" s="4">
        <v>5</v>
      </c>
      <c r="I1611" s="4">
        <v>9</v>
      </c>
      <c r="J1611" s="5">
        <v>45562</v>
      </c>
      <c r="K1611" s="6">
        <v>0.39841435185185187</v>
      </c>
    </row>
    <row r="1612" spans="1:11" x14ac:dyDescent="0.25">
      <c r="A1612" s="4">
        <v>9</v>
      </c>
      <c r="B1612" s="4" t="s">
        <v>11</v>
      </c>
      <c r="C1612" s="7">
        <v>32.82</v>
      </c>
      <c r="D1612" s="4" t="s">
        <v>29</v>
      </c>
      <c r="E1612" s="4" t="s">
        <v>13</v>
      </c>
      <c r="F1612" s="4" t="s">
        <v>14</v>
      </c>
      <c r="G1612" s="4" t="s">
        <v>36</v>
      </c>
      <c r="H1612" s="4">
        <v>5</v>
      </c>
      <c r="I1612" s="4">
        <v>9</v>
      </c>
      <c r="J1612" s="5">
        <v>45562</v>
      </c>
      <c r="K1612" s="6">
        <v>0.4035185185185185</v>
      </c>
    </row>
    <row r="1613" spans="1:11" x14ac:dyDescent="0.25">
      <c r="A1613" s="4">
        <v>10</v>
      </c>
      <c r="B1613" s="4" t="s">
        <v>11</v>
      </c>
      <c r="C1613" s="7">
        <v>27.92</v>
      </c>
      <c r="D1613" s="4" t="s">
        <v>19</v>
      </c>
      <c r="E1613" s="4" t="s">
        <v>13</v>
      </c>
      <c r="F1613" s="4" t="s">
        <v>14</v>
      </c>
      <c r="G1613" s="4" t="s">
        <v>36</v>
      </c>
      <c r="H1613" s="4">
        <v>5</v>
      </c>
      <c r="I1613" s="4">
        <v>9</v>
      </c>
      <c r="J1613" s="5">
        <v>45562</v>
      </c>
      <c r="K1613" s="6">
        <v>0.44925925925925925</v>
      </c>
    </row>
    <row r="1614" spans="1:11" x14ac:dyDescent="0.25">
      <c r="A1614" s="4">
        <v>11</v>
      </c>
      <c r="B1614" s="4" t="s">
        <v>11</v>
      </c>
      <c r="C1614" s="7">
        <v>27.92</v>
      </c>
      <c r="D1614" s="4" t="s">
        <v>19</v>
      </c>
      <c r="E1614" s="4" t="s">
        <v>13</v>
      </c>
      <c r="F1614" s="4" t="s">
        <v>14</v>
      </c>
      <c r="G1614" s="4" t="s">
        <v>36</v>
      </c>
      <c r="H1614" s="4">
        <v>5</v>
      </c>
      <c r="I1614" s="4">
        <v>9</v>
      </c>
      <c r="J1614" s="5">
        <v>45562</v>
      </c>
      <c r="K1614" s="6">
        <v>0.4826388888888889</v>
      </c>
    </row>
    <row r="1615" spans="1:11" x14ac:dyDescent="0.25">
      <c r="A1615" s="4">
        <v>13</v>
      </c>
      <c r="B1615" s="4" t="s">
        <v>11</v>
      </c>
      <c r="C1615" s="7">
        <v>32.82</v>
      </c>
      <c r="D1615" s="4" t="s">
        <v>29</v>
      </c>
      <c r="E1615" s="4" t="s">
        <v>17</v>
      </c>
      <c r="F1615" s="4" t="s">
        <v>14</v>
      </c>
      <c r="G1615" s="4" t="s">
        <v>36</v>
      </c>
      <c r="H1615" s="4">
        <v>5</v>
      </c>
      <c r="I1615" s="4">
        <v>9</v>
      </c>
      <c r="J1615" s="5">
        <v>45562</v>
      </c>
      <c r="K1615" s="6">
        <v>0.5559143518518519</v>
      </c>
    </row>
    <row r="1616" spans="1:11" x14ac:dyDescent="0.25">
      <c r="A1616" s="4">
        <v>13</v>
      </c>
      <c r="B1616" s="4" t="s">
        <v>11</v>
      </c>
      <c r="C1616" s="7">
        <v>32.82</v>
      </c>
      <c r="D1616" s="4" t="s">
        <v>29</v>
      </c>
      <c r="E1616" s="4" t="s">
        <v>17</v>
      </c>
      <c r="F1616" s="4" t="s">
        <v>14</v>
      </c>
      <c r="G1616" s="4" t="s">
        <v>36</v>
      </c>
      <c r="H1616" s="4">
        <v>5</v>
      </c>
      <c r="I1616" s="4">
        <v>9</v>
      </c>
      <c r="J1616" s="5">
        <v>45562</v>
      </c>
      <c r="K1616" s="6">
        <v>0.5590856481481481</v>
      </c>
    </row>
    <row r="1617" spans="1:11" x14ac:dyDescent="0.25">
      <c r="A1617" s="4">
        <v>13</v>
      </c>
      <c r="B1617" s="4" t="s">
        <v>11</v>
      </c>
      <c r="C1617" s="7">
        <v>23.02</v>
      </c>
      <c r="D1617" s="4" t="s">
        <v>18</v>
      </c>
      <c r="E1617" s="4" t="s">
        <v>17</v>
      </c>
      <c r="F1617" s="4" t="s">
        <v>14</v>
      </c>
      <c r="G1617" s="4" t="s">
        <v>36</v>
      </c>
      <c r="H1617" s="4">
        <v>5</v>
      </c>
      <c r="I1617" s="4">
        <v>9</v>
      </c>
      <c r="J1617" s="5">
        <v>45562</v>
      </c>
      <c r="K1617" s="6">
        <v>0.56149305555555551</v>
      </c>
    </row>
    <row r="1618" spans="1:11" x14ac:dyDescent="0.25">
      <c r="A1618" s="4">
        <v>13</v>
      </c>
      <c r="B1618" s="4" t="s">
        <v>11</v>
      </c>
      <c r="C1618" s="7">
        <v>27.92</v>
      </c>
      <c r="D1618" s="4" t="s">
        <v>19</v>
      </c>
      <c r="E1618" s="4" t="s">
        <v>17</v>
      </c>
      <c r="F1618" s="4" t="s">
        <v>14</v>
      </c>
      <c r="G1618" s="4" t="s">
        <v>36</v>
      </c>
      <c r="H1618" s="4">
        <v>5</v>
      </c>
      <c r="I1618" s="4">
        <v>9</v>
      </c>
      <c r="J1618" s="5">
        <v>45562</v>
      </c>
      <c r="K1618" s="6">
        <v>0.56518518518518523</v>
      </c>
    </row>
    <row r="1619" spans="1:11" x14ac:dyDescent="0.25">
      <c r="A1619" s="4">
        <v>18</v>
      </c>
      <c r="B1619" s="4" t="s">
        <v>11</v>
      </c>
      <c r="C1619" s="7">
        <v>32.82</v>
      </c>
      <c r="D1619" s="4" t="s">
        <v>12</v>
      </c>
      <c r="E1619" s="4" t="s">
        <v>20</v>
      </c>
      <c r="F1619" s="4" t="s">
        <v>14</v>
      </c>
      <c r="G1619" s="4" t="s">
        <v>36</v>
      </c>
      <c r="H1619" s="4">
        <v>5</v>
      </c>
      <c r="I1619" s="4">
        <v>9</v>
      </c>
      <c r="J1619" s="5">
        <v>45562</v>
      </c>
      <c r="K1619" s="6">
        <v>0.75535879629629632</v>
      </c>
    </row>
    <row r="1620" spans="1:11" x14ac:dyDescent="0.25">
      <c r="A1620" s="4">
        <v>18</v>
      </c>
      <c r="B1620" s="4" t="s">
        <v>11</v>
      </c>
      <c r="C1620" s="7">
        <v>32.82</v>
      </c>
      <c r="D1620" s="4" t="s">
        <v>12</v>
      </c>
      <c r="E1620" s="4" t="s">
        <v>20</v>
      </c>
      <c r="F1620" s="4" t="s">
        <v>14</v>
      </c>
      <c r="G1620" s="4" t="s">
        <v>36</v>
      </c>
      <c r="H1620" s="4">
        <v>5</v>
      </c>
      <c r="I1620" s="4">
        <v>9</v>
      </c>
      <c r="J1620" s="5">
        <v>45562</v>
      </c>
      <c r="K1620" s="6">
        <v>0.7562268518518519</v>
      </c>
    </row>
    <row r="1621" spans="1:11" x14ac:dyDescent="0.25">
      <c r="A1621" s="4">
        <v>18</v>
      </c>
      <c r="B1621" s="4" t="s">
        <v>11</v>
      </c>
      <c r="C1621" s="7">
        <v>32.82</v>
      </c>
      <c r="D1621" s="4" t="s">
        <v>29</v>
      </c>
      <c r="E1621" s="4" t="s">
        <v>20</v>
      </c>
      <c r="F1621" s="4" t="s">
        <v>14</v>
      </c>
      <c r="G1621" s="4" t="s">
        <v>36</v>
      </c>
      <c r="H1621" s="4">
        <v>5</v>
      </c>
      <c r="I1621" s="4">
        <v>9</v>
      </c>
      <c r="J1621" s="5">
        <v>45562</v>
      </c>
      <c r="K1621" s="6">
        <v>0.77621527777777777</v>
      </c>
    </row>
    <row r="1622" spans="1:11" x14ac:dyDescent="0.25">
      <c r="A1622" s="4">
        <v>18</v>
      </c>
      <c r="B1622" s="4" t="s">
        <v>11</v>
      </c>
      <c r="C1622" s="7">
        <v>32.82</v>
      </c>
      <c r="D1622" s="4" t="s">
        <v>29</v>
      </c>
      <c r="E1622" s="4" t="s">
        <v>20</v>
      </c>
      <c r="F1622" s="4" t="s">
        <v>14</v>
      </c>
      <c r="G1622" s="4" t="s">
        <v>36</v>
      </c>
      <c r="H1622" s="4">
        <v>5</v>
      </c>
      <c r="I1622" s="4">
        <v>9</v>
      </c>
      <c r="J1622" s="5">
        <v>45562</v>
      </c>
      <c r="K1622" s="6">
        <v>0.77839120370370374</v>
      </c>
    </row>
    <row r="1623" spans="1:11" x14ac:dyDescent="0.25">
      <c r="A1623" s="4">
        <v>20</v>
      </c>
      <c r="B1623" s="4" t="s">
        <v>11</v>
      </c>
      <c r="C1623" s="7">
        <v>32.82</v>
      </c>
      <c r="D1623" s="4" t="s">
        <v>29</v>
      </c>
      <c r="E1623" s="4" t="s">
        <v>20</v>
      </c>
      <c r="F1623" s="4" t="s">
        <v>14</v>
      </c>
      <c r="G1623" s="4" t="s">
        <v>36</v>
      </c>
      <c r="H1623" s="4">
        <v>5</v>
      </c>
      <c r="I1623" s="4">
        <v>9</v>
      </c>
      <c r="J1623" s="5">
        <v>45562</v>
      </c>
      <c r="K1623" s="6">
        <v>0.84598379629629628</v>
      </c>
    </row>
    <row r="1624" spans="1:11" x14ac:dyDescent="0.25">
      <c r="A1624" s="4">
        <v>20</v>
      </c>
      <c r="B1624" s="4" t="s">
        <v>11</v>
      </c>
      <c r="C1624" s="7">
        <v>32.82</v>
      </c>
      <c r="D1624" s="4" t="s">
        <v>29</v>
      </c>
      <c r="E1624" s="4" t="s">
        <v>20</v>
      </c>
      <c r="F1624" s="4" t="s">
        <v>14</v>
      </c>
      <c r="G1624" s="4" t="s">
        <v>36</v>
      </c>
      <c r="H1624" s="4">
        <v>5</v>
      </c>
      <c r="I1624" s="4">
        <v>9</v>
      </c>
      <c r="J1624" s="5">
        <v>45562</v>
      </c>
      <c r="K1624" s="6">
        <v>0.84668981481481487</v>
      </c>
    </row>
    <row r="1625" spans="1:11" x14ac:dyDescent="0.25">
      <c r="A1625" s="4">
        <v>20</v>
      </c>
      <c r="B1625" s="4" t="s">
        <v>11</v>
      </c>
      <c r="C1625" s="7">
        <v>27.92</v>
      </c>
      <c r="D1625" s="4" t="s">
        <v>19</v>
      </c>
      <c r="E1625" s="4" t="s">
        <v>20</v>
      </c>
      <c r="F1625" s="4" t="s">
        <v>14</v>
      </c>
      <c r="G1625" s="4" t="s">
        <v>36</v>
      </c>
      <c r="H1625" s="4">
        <v>5</v>
      </c>
      <c r="I1625" s="4">
        <v>9</v>
      </c>
      <c r="J1625" s="5">
        <v>45562</v>
      </c>
      <c r="K1625" s="6">
        <v>0.8737731481481481</v>
      </c>
    </row>
    <row r="1626" spans="1:11" x14ac:dyDescent="0.25">
      <c r="A1626" s="4">
        <v>8</v>
      </c>
      <c r="B1626" s="4" t="s">
        <v>11</v>
      </c>
      <c r="C1626" s="7">
        <v>27.92</v>
      </c>
      <c r="D1626" s="4" t="s">
        <v>19</v>
      </c>
      <c r="E1626" s="4" t="s">
        <v>13</v>
      </c>
      <c r="F1626" s="4" t="s">
        <v>22</v>
      </c>
      <c r="G1626" s="4" t="s">
        <v>36</v>
      </c>
      <c r="H1626" s="4">
        <v>6</v>
      </c>
      <c r="I1626" s="4">
        <v>9</v>
      </c>
      <c r="J1626" s="5">
        <v>45563</v>
      </c>
      <c r="K1626" s="6">
        <v>0.33802083333333333</v>
      </c>
    </row>
    <row r="1627" spans="1:11" x14ac:dyDescent="0.25">
      <c r="A1627" s="4">
        <v>9</v>
      </c>
      <c r="B1627" s="4" t="s">
        <v>11</v>
      </c>
      <c r="C1627" s="7">
        <v>27.92</v>
      </c>
      <c r="D1627" s="4" t="s">
        <v>19</v>
      </c>
      <c r="E1627" s="4" t="s">
        <v>13</v>
      </c>
      <c r="F1627" s="4" t="s">
        <v>22</v>
      </c>
      <c r="G1627" s="4" t="s">
        <v>36</v>
      </c>
      <c r="H1627" s="4">
        <v>6</v>
      </c>
      <c r="I1627" s="4">
        <v>9</v>
      </c>
      <c r="J1627" s="5">
        <v>45563</v>
      </c>
      <c r="K1627" s="6">
        <v>0.3966898148148148</v>
      </c>
    </row>
    <row r="1628" spans="1:11" x14ac:dyDescent="0.25">
      <c r="A1628" s="4">
        <v>14</v>
      </c>
      <c r="B1628" s="4" t="s">
        <v>11</v>
      </c>
      <c r="C1628" s="7">
        <v>35.76</v>
      </c>
      <c r="D1628" s="4" t="s">
        <v>12</v>
      </c>
      <c r="E1628" s="4" t="s">
        <v>17</v>
      </c>
      <c r="F1628" s="4" t="s">
        <v>22</v>
      </c>
      <c r="G1628" s="4" t="s">
        <v>36</v>
      </c>
      <c r="H1628" s="4">
        <v>6</v>
      </c>
      <c r="I1628" s="4">
        <v>9</v>
      </c>
      <c r="J1628" s="5">
        <v>45563</v>
      </c>
      <c r="K1628" s="6">
        <v>0.60123842592592591</v>
      </c>
    </row>
    <row r="1629" spans="1:11" x14ac:dyDescent="0.25">
      <c r="A1629" s="4">
        <v>16</v>
      </c>
      <c r="B1629" s="4" t="s">
        <v>11</v>
      </c>
      <c r="C1629" s="7">
        <v>35.76</v>
      </c>
      <c r="D1629" s="4" t="s">
        <v>12</v>
      </c>
      <c r="E1629" s="4" t="s">
        <v>17</v>
      </c>
      <c r="F1629" s="4" t="s">
        <v>22</v>
      </c>
      <c r="G1629" s="4" t="s">
        <v>36</v>
      </c>
      <c r="H1629" s="4">
        <v>6</v>
      </c>
      <c r="I1629" s="4">
        <v>9</v>
      </c>
      <c r="J1629" s="5">
        <v>45563</v>
      </c>
      <c r="K1629" s="6">
        <v>0.70648148148148149</v>
      </c>
    </row>
    <row r="1630" spans="1:11" x14ac:dyDescent="0.25">
      <c r="A1630" s="4">
        <v>17</v>
      </c>
      <c r="B1630" s="4" t="s">
        <v>11</v>
      </c>
      <c r="C1630" s="7">
        <v>30.86</v>
      </c>
      <c r="D1630" s="4" t="s">
        <v>19</v>
      </c>
      <c r="E1630" s="4" t="s">
        <v>20</v>
      </c>
      <c r="F1630" s="4" t="s">
        <v>22</v>
      </c>
      <c r="G1630" s="4" t="s">
        <v>36</v>
      </c>
      <c r="H1630" s="4">
        <v>6</v>
      </c>
      <c r="I1630" s="4">
        <v>9</v>
      </c>
      <c r="J1630" s="5">
        <v>45563</v>
      </c>
      <c r="K1630" s="6">
        <v>0.72657407407407404</v>
      </c>
    </row>
    <row r="1631" spans="1:11" x14ac:dyDescent="0.25">
      <c r="A1631" s="4">
        <v>20</v>
      </c>
      <c r="B1631" s="4" t="s">
        <v>11</v>
      </c>
      <c r="C1631" s="7">
        <v>35.76</v>
      </c>
      <c r="D1631" s="4" t="s">
        <v>12</v>
      </c>
      <c r="E1631" s="4" t="s">
        <v>20</v>
      </c>
      <c r="F1631" s="4" t="s">
        <v>22</v>
      </c>
      <c r="G1631" s="4" t="s">
        <v>36</v>
      </c>
      <c r="H1631" s="4">
        <v>6</v>
      </c>
      <c r="I1631" s="4">
        <v>9</v>
      </c>
      <c r="J1631" s="5">
        <v>45563</v>
      </c>
      <c r="K1631" s="6">
        <v>0.85730324074074071</v>
      </c>
    </row>
    <row r="1632" spans="1:11" x14ac:dyDescent="0.25">
      <c r="A1632" s="4">
        <v>20</v>
      </c>
      <c r="B1632" s="4" t="s">
        <v>11</v>
      </c>
      <c r="C1632" s="7">
        <v>35.76</v>
      </c>
      <c r="D1632" s="4" t="s">
        <v>12</v>
      </c>
      <c r="E1632" s="4" t="s">
        <v>20</v>
      </c>
      <c r="F1632" s="4" t="s">
        <v>22</v>
      </c>
      <c r="G1632" s="4" t="s">
        <v>36</v>
      </c>
      <c r="H1632" s="4">
        <v>6</v>
      </c>
      <c r="I1632" s="4">
        <v>9</v>
      </c>
      <c r="J1632" s="5">
        <v>45563</v>
      </c>
      <c r="K1632" s="6">
        <v>0.8601388888888889</v>
      </c>
    </row>
    <row r="1633" spans="1:11" x14ac:dyDescent="0.25">
      <c r="A1633" s="4">
        <v>22</v>
      </c>
      <c r="B1633" s="4" t="s">
        <v>11</v>
      </c>
      <c r="C1633" s="7">
        <v>35.76</v>
      </c>
      <c r="D1633" s="4" t="s">
        <v>29</v>
      </c>
      <c r="E1633" s="4" t="s">
        <v>20</v>
      </c>
      <c r="F1633" s="4" t="s">
        <v>22</v>
      </c>
      <c r="G1633" s="4" t="s">
        <v>36</v>
      </c>
      <c r="H1633" s="4">
        <v>6</v>
      </c>
      <c r="I1633" s="4">
        <v>9</v>
      </c>
      <c r="J1633" s="5">
        <v>45563</v>
      </c>
      <c r="K1633" s="6">
        <v>0.92819444444444443</v>
      </c>
    </row>
    <row r="1634" spans="1:11" x14ac:dyDescent="0.25">
      <c r="A1634" s="4">
        <v>22</v>
      </c>
      <c r="B1634" s="4" t="s">
        <v>11</v>
      </c>
      <c r="C1634" s="7">
        <v>35.76</v>
      </c>
      <c r="D1634" s="4" t="s">
        <v>21</v>
      </c>
      <c r="E1634" s="4" t="s">
        <v>20</v>
      </c>
      <c r="F1634" s="4" t="s">
        <v>22</v>
      </c>
      <c r="G1634" s="4" t="s">
        <v>36</v>
      </c>
      <c r="H1634" s="4">
        <v>6</v>
      </c>
      <c r="I1634" s="4">
        <v>9</v>
      </c>
      <c r="J1634" s="5">
        <v>45563</v>
      </c>
      <c r="K1634" s="6">
        <v>0.92880787037037038</v>
      </c>
    </row>
    <row r="1635" spans="1:11" x14ac:dyDescent="0.25">
      <c r="A1635" s="4">
        <v>22</v>
      </c>
      <c r="B1635" s="4" t="s">
        <v>11</v>
      </c>
      <c r="C1635" s="7">
        <v>25.96</v>
      </c>
      <c r="D1635" s="4" t="s">
        <v>24</v>
      </c>
      <c r="E1635" s="4" t="s">
        <v>20</v>
      </c>
      <c r="F1635" s="4" t="s">
        <v>22</v>
      </c>
      <c r="G1635" s="4" t="s">
        <v>36</v>
      </c>
      <c r="H1635" s="4">
        <v>6</v>
      </c>
      <c r="I1635" s="4">
        <v>9</v>
      </c>
      <c r="J1635" s="5">
        <v>45563</v>
      </c>
      <c r="K1635" s="6">
        <v>0.92935185185185187</v>
      </c>
    </row>
    <row r="1636" spans="1:11" x14ac:dyDescent="0.25">
      <c r="A1636" s="4">
        <v>22</v>
      </c>
      <c r="B1636" s="4" t="s">
        <v>11</v>
      </c>
      <c r="C1636" s="7">
        <v>35.76</v>
      </c>
      <c r="D1636" s="4" t="s">
        <v>16</v>
      </c>
      <c r="E1636" s="4" t="s">
        <v>20</v>
      </c>
      <c r="F1636" s="4" t="s">
        <v>22</v>
      </c>
      <c r="G1636" s="4" t="s">
        <v>36</v>
      </c>
      <c r="H1636" s="4">
        <v>6</v>
      </c>
      <c r="I1636" s="4">
        <v>9</v>
      </c>
      <c r="J1636" s="5">
        <v>45563</v>
      </c>
      <c r="K1636" s="6">
        <v>0.93001157407407409</v>
      </c>
    </row>
    <row r="1637" spans="1:11" x14ac:dyDescent="0.25">
      <c r="A1637" s="4">
        <v>10</v>
      </c>
      <c r="B1637" s="4" t="s">
        <v>11</v>
      </c>
      <c r="C1637" s="7">
        <v>25.96</v>
      </c>
      <c r="D1637" s="4" t="s">
        <v>18</v>
      </c>
      <c r="E1637" s="4" t="s">
        <v>13</v>
      </c>
      <c r="F1637" s="4" t="s">
        <v>23</v>
      </c>
      <c r="G1637" s="4" t="s">
        <v>36</v>
      </c>
      <c r="H1637" s="4">
        <v>7</v>
      </c>
      <c r="I1637" s="4">
        <v>9</v>
      </c>
      <c r="J1637" s="5">
        <v>45564</v>
      </c>
      <c r="K1637" s="6">
        <v>0.45052083333333331</v>
      </c>
    </row>
    <row r="1638" spans="1:11" x14ac:dyDescent="0.25">
      <c r="A1638" s="4">
        <v>10</v>
      </c>
      <c r="B1638" s="4" t="s">
        <v>11</v>
      </c>
      <c r="C1638" s="7">
        <v>35.76</v>
      </c>
      <c r="D1638" s="4" t="s">
        <v>29</v>
      </c>
      <c r="E1638" s="4" t="s">
        <v>13</v>
      </c>
      <c r="F1638" s="4" t="s">
        <v>23</v>
      </c>
      <c r="G1638" s="4" t="s">
        <v>36</v>
      </c>
      <c r="H1638" s="4">
        <v>7</v>
      </c>
      <c r="I1638" s="4">
        <v>9</v>
      </c>
      <c r="J1638" s="5">
        <v>45564</v>
      </c>
      <c r="K1638" s="6">
        <v>0.45144675925925926</v>
      </c>
    </row>
    <row r="1639" spans="1:11" x14ac:dyDescent="0.25">
      <c r="A1639" s="4">
        <v>10</v>
      </c>
      <c r="B1639" s="4" t="s">
        <v>11</v>
      </c>
      <c r="C1639" s="7">
        <v>35.76</v>
      </c>
      <c r="D1639" s="4" t="s">
        <v>29</v>
      </c>
      <c r="E1639" s="4" t="s">
        <v>13</v>
      </c>
      <c r="F1639" s="4" t="s">
        <v>23</v>
      </c>
      <c r="G1639" s="4" t="s">
        <v>36</v>
      </c>
      <c r="H1639" s="4">
        <v>7</v>
      </c>
      <c r="I1639" s="4">
        <v>9</v>
      </c>
      <c r="J1639" s="5">
        <v>45564</v>
      </c>
      <c r="K1639" s="6">
        <v>0.45211805555555556</v>
      </c>
    </row>
    <row r="1640" spans="1:11" x14ac:dyDescent="0.25">
      <c r="A1640" s="4">
        <v>10</v>
      </c>
      <c r="B1640" s="4" t="s">
        <v>11</v>
      </c>
      <c r="C1640" s="7">
        <v>35.76</v>
      </c>
      <c r="D1640" s="4" t="s">
        <v>29</v>
      </c>
      <c r="E1640" s="4" t="s">
        <v>13</v>
      </c>
      <c r="F1640" s="4" t="s">
        <v>23</v>
      </c>
      <c r="G1640" s="4" t="s">
        <v>36</v>
      </c>
      <c r="H1640" s="4">
        <v>7</v>
      </c>
      <c r="I1640" s="4">
        <v>9</v>
      </c>
      <c r="J1640" s="5">
        <v>45564</v>
      </c>
      <c r="K1640" s="6">
        <v>0.45304398148148151</v>
      </c>
    </row>
    <row r="1641" spans="1:11" x14ac:dyDescent="0.25">
      <c r="A1641" s="4">
        <v>10</v>
      </c>
      <c r="B1641" s="4" t="s">
        <v>11</v>
      </c>
      <c r="C1641" s="7">
        <v>30.86</v>
      </c>
      <c r="D1641" s="4" t="s">
        <v>19</v>
      </c>
      <c r="E1641" s="4" t="s">
        <v>13</v>
      </c>
      <c r="F1641" s="4" t="s">
        <v>23</v>
      </c>
      <c r="G1641" s="4" t="s">
        <v>36</v>
      </c>
      <c r="H1641" s="4">
        <v>7</v>
      </c>
      <c r="I1641" s="4">
        <v>9</v>
      </c>
      <c r="J1641" s="5">
        <v>45564</v>
      </c>
      <c r="K1641" s="6">
        <v>0.45395833333333335</v>
      </c>
    </row>
    <row r="1642" spans="1:11" x14ac:dyDescent="0.25">
      <c r="A1642" s="4">
        <v>12</v>
      </c>
      <c r="B1642" s="4" t="s">
        <v>11</v>
      </c>
      <c r="C1642" s="7">
        <v>35.76</v>
      </c>
      <c r="D1642" s="4" t="s">
        <v>12</v>
      </c>
      <c r="E1642" s="4" t="s">
        <v>17</v>
      </c>
      <c r="F1642" s="4" t="s">
        <v>23</v>
      </c>
      <c r="G1642" s="4" t="s">
        <v>36</v>
      </c>
      <c r="H1642" s="4">
        <v>7</v>
      </c>
      <c r="I1642" s="4">
        <v>9</v>
      </c>
      <c r="J1642" s="5">
        <v>45564</v>
      </c>
      <c r="K1642" s="6">
        <v>0.5248032407407407</v>
      </c>
    </row>
    <row r="1643" spans="1:11" x14ac:dyDescent="0.25">
      <c r="A1643" s="4">
        <v>12</v>
      </c>
      <c r="B1643" s="4" t="s">
        <v>11</v>
      </c>
      <c r="C1643" s="7">
        <v>25.96</v>
      </c>
      <c r="D1643" s="4" t="s">
        <v>24</v>
      </c>
      <c r="E1643" s="4" t="s">
        <v>17</v>
      </c>
      <c r="F1643" s="4" t="s">
        <v>23</v>
      </c>
      <c r="G1643" s="4" t="s">
        <v>36</v>
      </c>
      <c r="H1643" s="4">
        <v>7</v>
      </c>
      <c r="I1643" s="4">
        <v>9</v>
      </c>
      <c r="J1643" s="5">
        <v>45564</v>
      </c>
      <c r="K1643" s="6">
        <v>0.53539351851851846</v>
      </c>
    </row>
    <row r="1644" spans="1:11" x14ac:dyDescent="0.25">
      <c r="A1644" s="4">
        <v>12</v>
      </c>
      <c r="B1644" s="4" t="s">
        <v>11</v>
      </c>
      <c r="C1644" s="7">
        <v>35.76</v>
      </c>
      <c r="D1644" s="4" t="s">
        <v>12</v>
      </c>
      <c r="E1644" s="4" t="s">
        <v>17</v>
      </c>
      <c r="F1644" s="4" t="s">
        <v>23</v>
      </c>
      <c r="G1644" s="4" t="s">
        <v>36</v>
      </c>
      <c r="H1644" s="4">
        <v>7</v>
      </c>
      <c r="I1644" s="4">
        <v>9</v>
      </c>
      <c r="J1644" s="5">
        <v>45564</v>
      </c>
      <c r="K1644" s="6">
        <v>0.53767361111111112</v>
      </c>
    </row>
    <row r="1645" spans="1:11" x14ac:dyDescent="0.25">
      <c r="A1645" s="4">
        <v>12</v>
      </c>
      <c r="B1645" s="4" t="s">
        <v>11</v>
      </c>
      <c r="C1645" s="7">
        <v>35.76</v>
      </c>
      <c r="D1645" s="4" t="s">
        <v>12</v>
      </c>
      <c r="E1645" s="4" t="s">
        <v>17</v>
      </c>
      <c r="F1645" s="4" t="s">
        <v>23</v>
      </c>
      <c r="G1645" s="4" t="s">
        <v>36</v>
      </c>
      <c r="H1645" s="4">
        <v>7</v>
      </c>
      <c r="I1645" s="4">
        <v>9</v>
      </c>
      <c r="J1645" s="5">
        <v>45564</v>
      </c>
      <c r="K1645" s="6">
        <v>0.53843750000000001</v>
      </c>
    </row>
    <row r="1646" spans="1:11" x14ac:dyDescent="0.25">
      <c r="A1646" s="4">
        <v>18</v>
      </c>
      <c r="B1646" s="4" t="s">
        <v>11</v>
      </c>
      <c r="C1646" s="7">
        <v>35.76</v>
      </c>
      <c r="D1646" s="4" t="s">
        <v>29</v>
      </c>
      <c r="E1646" s="4" t="s">
        <v>20</v>
      </c>
      <c r="F1646" s="4" t="s">
        <v>23</v>
      </c>
      <c r="G1646" s="4" t="s">
        <v>36</v>
      </c>
      <c r="H1646" s="4">
        <v>7</v>
      </c>
      <c r="I1646" s="4">
        <v>9</v>
      </c>
      <c r="J1646" s="5">
        <v>45564</v>
      </c>
      <c r="K1646" s="6">
        <v>0.75170138888888893</v>
      </c>
    </row>
    <row r="1647" spans="1:11" x14ac:dyDescent="0.25">
      <c r="A1647" s="4">
        <v>22</v>
      </c>
      <c r="B1647" s="4" t="s">
        <v>11</v>
      </c>
      <c r="C1647" s="7">
        <v>35.76</v>
      </c>
      <c r="D1647" s="4" t="s">
        <v>12</v>
      </c>
      <c r="E1647" s="4" t="s">
        <v>20</v>
      </c>
      <c r="F1647" s="4" t="s">
        <v>23</v>
      </c>
      <c r="G1647" s="4" t="s">
        <v>36</v>
      </c>
      <c r="H1647" s="4">
        <v>7</v>
      </c>
      <c r="I1647" s="4">
        <v>9</v>
      </c>
      <c r="J1647" s="5">
        <v>45564</v>
      </c>
      <c r="K1647" s="6">
        <v>0.93821759259259263</v>
      </c>
    </row>
    <row r="1648" spans="1:11" x14ac:dyDescent="0.25">
      <c r="A1648" s="4">
        <v>8</v>
      </c>
      <c r="B1648" s="4" t="s">
        <v>11</v>
      </c>
      <c r="C1648" s="7">
        <v>25.96</v>
      </c>
      <c r="D1648" s="4" t="s">
        <v>24</v>
      </c>
      <c r="E1648" s="4" t="s">
        <v>13</v>
      </c>
      <c r="F1648" s="4" t="s">
        <v>25</v>
      </c>
      <c r="G1648" s="4" t="s">
        <v>36</v>
      </c>
      <c r="H1648" s="4">
        <v>1</v>
      </c>
      <c r="I1648" s="4">
        <v>9</v>
      </c>
      <c r="J1648" s="5">
        <v>45565</v>
      </c>
      <c r="K1648" s="6">
        <v>0.33943287037037034</v>
      </c>
    </row>
    <row r="1649" spans="1:11" x14ac:dyDescent="0.25">
      <c r="A1649" s="4">
        <v>8</v>
      </c>
      <c r="B1649" s="4" t="s">
        <v>11</v>
      </c>
      <c r="C1649" s="7">
        <v>25.96</v>
      </c>
      <c r="D1649" s="4" t="s">
        <v>24</v>
      </c>
      <c r="E1649" s="4" t="s">
        <v>13</v>
      </c>
      <c r="F1649" s="4" t="s">
        <v>25</v>
      </c>
      <c r="G1649" s="4" t="s">
        <v>36</v>
      </c>
      <c r="H1649" s="4">
        <v>1</v>
      </c>
      <c r="I1649" s="4">
        <v>9</v>
      </c>
      <c r="J1649" s="5">
        <v>45565</v>
      </c>
      <c r="K1649" s="6">
        <v>0.3742361111111111</v>
      </c>
    </row>
    <row r="1650" spans="1:11" x14ac:dyDescent="0.25">
      <c r="A1650" s="4">
        <v>9</v>
      </c>
      <c r="B1650" s="4" t="s">
        <v>11</v>
      </c>
      <c r="C1650" s="7">
        <v>35.76</v>
      </c>
      <c r="D1650" s="4" t="s">
        <v>16</v>
      </c>
      <c r="E1650" s="4" t="s">
        <v>13</v>
      </c>
      <c r="F1650" s="4" t="s">
        <v>25</v>
      </c>
      <c r="G1650" s="4" t="s">
        <v>36</v>
      </c>
      <c r="H1650" s="4">
        <v>1</v>
      </c>
      <c r="I1650" s="4">
        <v>9</v>
      </c>
      <c r="J1650" s="5">
        <v>45565</v>
      </c>
      <c r="K1650" s="6">
        <v>0.37504629629629632</v>
      </c>
    </row>
    <row r="1651" spans="1:11" x14ac:dyDescent="0.25">
      <c r="A1651" s="4">
        <v>10</v>
      </c>
      <c r="B1651" s="4" t="s">
        <v>11</v>
      </c>
      <c r="C1651" s="7">
        <v>30.86</v>
      </c>
      <c r="D1651" s="4" t="s">
        <v>19</v>
      </c>
      <c r="E1651" s="4" t="s">
        <v>13</v>
      </c>
      <c r="F1651" s="4" t="s">
        <v>25</v>
      </c>
      <c r="G1651" s="4" t="s">
        <v>36</v>
      </c>
      <c r="H1651" s="4">
        <v>1</v>
      </c>
      <c r="I1651" s="4">
        <v>9</v>
      </c>
      <c r="J1651" s="5">
        <v>45565</v>
      </c>
      <c r="K1651" s="6">
        <v>0.41746527777777775</v>
      </c>
    </row>
    <row r="1652" spans="1:11" x14ac:dyDescent="0.25">
      <c r="A1652" s="4">
        <v>10</v>
      </c>
      <c r="B1652" s="4" t="s">
        <v>11</v>
      </c>
      <c r="C1652" s="7">
        <v>25.96</v>
      </c>
      <c r="D1652" s="4" t="s">
        <v>24</v>
      </c>
      <c r="E1652" s="4" t="s">
        <v>13</v>
      </c>
      <c r="F1652" s="4" t="s">
        <v>25</v>
      </c>
      <c r="G1652" s="4" t="s">
        <v>36</v>
      </c>
      <c r="H1652" s="4">
        <v>1</v>
      </c>
      <c r="I1652" s="4">
        <v>9</v>
      </c>
      <c r="J1652" s="5">
        <v>45565</v>
      </c>
      <c r="K1652" s="6">
        <v>0.42034722222222221</v>
      </c>
    </row>
    <row r="1653" spans="1:11" x14ac:dyDescent="0.25">
      <c r="A1653" s="4">
        <v>11</v>
      </c>
      <c r="B1653" s="4" t="s">
        <v>11</v>
      </c>
      <c r="C1653" s="7">
        <v>30.86</v>
      </c>
      <c r="D1653" s="4" t="s">
        <v>19</v>
      </c>
      <c r="E1653" s="4" t="s">
        <v>13</v>
      </c>
      <c r="F1653" s="4" t="s">
        <v>25</v>
      </c>
      <c r="G1653" s="4" t="s">
        <v>36</v>
      </c>
      <c r="H1653" s="4">
        <v>1</v>
      </c>
      <c r="I1653" s="4">
        <v>9</v>
      </c>
      <c r="J1653" s="5">
        <v>45565</v>
      </c>
      <c r="K1653" s="6">
        <v>0.48118055555555556</v>
      </c>
    </row>
    <row r="1654" spans="1:11" x14ac:dyDescent="0.25">
      <c r="A1654" s="4">
        <v>16</v>
      </c>
      <c r="B1654" s="4" t="s">
        <v>11</v>
      </c>
      <c r="C1654" s="7">
        <v>30.86</v>
      </c>
      <c r="D1654" s="4" t="s">
        <v>19</v>
      </c>
      <c r="E1654" s="4" t="s">
        <v>17</v>
      </c>
      <c r="F1654" s="4" t="s">
        <v>25</v>
      </c>
      <c r="G1654" s="4" t="s">
        <v>36</v>
      </c>
      <c r="H1654" s="4">
        <v>1</v>
      </c>
      <c r="I1654" s="4">
        <v>9</v>
      </c>
      <c r="J1654" s="5">
        <v>45565</v>
      </c>
      <c r="K1654" s="6">
        <v>0.69842592592592589</v>
      </c>
    </row>
    <row r="1655" spans="1:11" x14ac:dyDescent="0.25">
      <c r="A1655" s="4">
        <v>19</v>
      </c>
      <c r="B1655" s="4" t="s">
        <v>11</v>
      </c>
      <c r="C1655" s="7">
        <v>35.76</v>
      </c>
      <c r="D1655" s="4" t="s">
        <v>12</v>
      </c>
      <c r="E1655" s="4" t="s">
        <v>20</v>
      </c>
      <c r="F1655" s="4" t="s">
        <v>25</v>
      </c>
      <c r="G1655" s="4" t="s">
        <v>36</v>
      </c>
      <c r="H1655" s="4">
        <v>1</v>
      </c>
      <c r="I1655" s="4">
        <v>9</v>
      </c>
      <c r="J1655" s="5">
        <v>45565</v>
      </c>
      <c r="K1655" s="6">
        <v>0.81409722222222225</v>
      </c>
    </row>
    <row r="1656" spans="1:11" x14ac:dyDescent="0.25">
      <c r="A1656" s="4">
        <v>19</v>
      </c>
      <c r="B1656" s="4" t="s">
        <v>11</v>
      </c>
      <c r="C1656" s="7">
        <v>30.86</v>
      </c>
      <c r="D1656" s="4" t="s">
        <v>19</v>
      </c>
      <c r="E1656" s="4" t="s">
        <v>20</v>
      </c>
      <c r="F1656" s="4" t="s">
        <v>25</v>
      </c>
      <c r="G1656" s="4" t="s">
        <v>36</v>
      </c>
      <c r="H1656" s="4">
        <v>1</v>
      </c>
      <c r="I1656" s="4">
        <v>9</v>
      </c>
      <c r="J1656" s="5">
        <v>45565</v>
      </c>
      <c r="K1656" s="6">
        <v>0.82863425925925926</v>
      </c>
    </row>
    <row r="1657" spans="1:11" x14ac:dyDescent="0.25">
      <c r="A1657" s="4">
        <v>19</v>
      </c>
      <c r="B1657" s="4" t="s">
        <v>11</v>
      </c>
      <c r="C1657" s="7">
        <v>25.96</v>
      </c>
      <c r="D1657" s="4" t="s">
        <v>24</v>
      </c>
      <c r="E1657" s="4" t="s">
        <v>20</v>
      </c>
      <c r="F1657" s="4" t="s">
        <v>25</v>
      </c>
      <c r="G1657" s="4" t="s">
        <v>36</v>
      </c>
      <c r="H1657" s="4">
        <v>1</v>
      </c>
      <c r="I1657" s="4">
        <v>9</v>
      </c>
      <c r="J1657" s="5">
        <v>45565</v>
      </c>
      <c r="K1657" s="6">
        <v>0.82936342592592593</v>
      </c>
    </row>
    <row r="1658" spans="1:11" x14ac:dyDescent="0.25">
      <c r="A1658" s="4">
        <v>19</v>
      </c>
      <c r="B1658" s="4" t="s">
        <v>11</v>
      </c>
      <c r="C1658" s="7">
        <v>35.76</v>
      </c>
      <c r="D1658" s="4" t="s">
        <v>12</v>
      </c>
      <c r="E1658" s="4" t="s">
        <v>20</v>
      </c>
      <c r="F1658" s="4" t="s">
        <v>25</v>
      </c>
      <c r="G1658" s="4" t="s">
        <v>36</v>
      </c>
      <c r="H1658" s="4">
        <v>1</v>
      </c>
      <c r="I1658" s="4">
        <v>9</v>
      </c>
      <c r="J1658" s="5">
        <v>45565</v>
      </c>
      <c r="K1658" s="6">
        <v>0.83284722222222218</v>
      </c>
    </row>
    <row r="1659" spans="1:11" x14ac:dyDescent="0.25">
      <c r="A1659" s="4">
        <v>20</v>
      </c>
      <c r="B1659" s="4" t="s">
        <v>11</v>
      </c>
      <c r="C1659" s="7">
        <v>30.86</v>
      </c>
      <c r="D1659" s="4" t="s">
        <v>19</v>
      </c>
      <c r="E1659" s="4" t="s">
        <v>20</v>
      </c>
      <c r="F1659" s="4" t="s">
        <v>25</v>
      </c>
      <c r="G1659" s="4" t="s">
        <v>36</v>
      </c>
      <c r="H1659" s="4">
        <v>1</v>
      </c>
      <c r="I1659" s="4">
        <v>9</v>
      </c>
      <c r="J1659" s="5">
        <v>45565</v>
      </c>
      <c r="K1659" s="6">
        <v>0.83381944444444445</v>
      </c>
    </row>
    <row r="1660" spans="1:11" x14ac:dyDescent="0.25">
      <c r="A1660" s="4">
        <v>20</v>
      </c>
      <c r="B1660" s="4" t="s">
        <v>11</v>
      </c>
      <c r="C1660" s="7">
        <v>30.86</v>
      </c>
      <c r="D1660" s="4" t="s">
        <v>19</v>
      </c>
      <c r="E1660" s="4" t="s">
        <v>20</v>
      </c>
      <c r="F1660" s="4" t="s">
        <v>25</v>
      </c>
      <c r="G1660" s="4" t="s">
        <v>36</v>
      </c>
      <c r="H1660" s="4">
        <v>1</v>
      </c>
      <c r="I1660" s="4">
        <v>9</v>
      </c>
      <c r="J1660" s="5">
        <v>45565</v>
      </c>
      <c r="K1660" s="6">
        <v>0.83451388888888889</v>
      </c>
    </row>
    <row r="1661" spans="1:11" x14ac:dyDescent="0.25">
      <c r="A1661" s="4">
        <v>21</v>
      </c>
      <c r="B1661" s="4" t="s">
        <v>11</v>
      </c>
      <c r="C1661" s="7">
        <v>30.86</v>
      </c>
      <c r="D1661" s="4" t="s">
        <v>19</v>
      </c>
      <c r="E1661" s="4" t="s">
        <v>20</v>
      </c>
      <c r="F1661" s="4" t="s">
        <v>25</v>
      </c>
      <c r="G1661" s="4" t="s">
        <v>36</v>
      </c>
      <c r="H1661" s="4">
        <v>1</v>
      </c>
      <c r="I1661" s="4">
        <v>9</v>
      </c>
      <c r="J1661" s="5">
        <v>45565</v>
      </c>
      <c r="K1661" s="6">
        <v>0.90355324074074073</v>
      </c>
    </row>
    <row r="1662" spans="1:11" x14ac:dyDescent="0.25">
      <c r="A1662" s="4">
        <v>7</v>
      </c>
      <c r="B1662" s="4" t="s">
        <v>11</v>
      </c>
      <c r="C1662" s="7">
        <v>35.76</v>
      </c>
      <c r="D1662" s="4" t="s">
        <v>12</v>
      </c>
      <c r="E1662" s="4" t="s">
        <v>13</v>
      </c>
      <c r="F1662" s="4" t="s">
        <v>27</v>
      </c>
      <c r="G1662" s="4" t="s">
        <v>37</v>
      </c>
      <c r="H1662" s="4">
        <v>2</v>
      </c>
      <c r="I1662" s="4">
        <v>10</v>
      </c>
      <c r="J1662" s="5">
        <v>45566</v>
      </c>
      <c r="K1662" s="6">
        <v>0.32439814814814816</v>
      </c>
    </row>
    <row r="1663" spans="1:11" x14ac:dyDescent="0.25">
      <c r="A1663" s="4">
        <v>9</v>
      </c>
      <c r="B1663" s="4" t="s">
        <v>11</v>
      </c>
      <c r="C1663" s="7">
        <v>30.86</v>
      </c>
      <c r="D1663" s="4" t="s">
        <v>19</v>
      </c>
      <c r="E1663" s="4" t="s">
        <v>13</v>
      </c>
      <c r="F1663" s="4" t="s">
        <v>27</v>
      </c>
      <c r="G1663" s="4" t="s">
        <v>37</v>
      </c>
      <c r="H1663" s="4">
        <v>2</v>
      </c>
      <c r="I1663" s="4">
        <v>10</v>
      </c>
      <c r="J1663" s="5">
        <v>45566</v>
      </c>
      <c r="K1663" s="6">
        <v>0.40868055555555555</v>
      </c>
    </row>
    <row r="1664" spans="1:11" x14ac:dyDescent="0.25">
      <c r="A1664" s="4">
        <v>10</v>
      </c>
      <c r="B1664" s="4" t="s">
        <v>11</v>
      </c>
      <c r="C1664" s="7">
        <v>30.86</v>
      </c>
      <c r="D1664" s="4" t="s">
        <v>19</v>
      </c>
      <c r="E1664" s="4" t="s">
        <v>13</v>
      </c>
      <c r="F1664" s="4" t="s">
        <v>27</v>
      </c>
      <c r="G1664" s="4" t="s">
        <v>37</v>
      </c>
      <c r="H1664" s="4">
        <v>2</v>
      </c>
      <c r="I1664" s="4">
        <v>10</v>
      </c>
      <c r="J1664" s="5">
        <v>45566</v>
      </c>
      <c r="K1664" s="6">
        <v>0.41835648148148147</v>
      </c>
    </row>
    <row r="1665" spans="1:11" x14ac:dyDescent="0.25">
      <c r="A1665" s="4">
        <v>10</v>
      </c>
      <c r="B1665" s="4" t="s">
        <v>11</v>
      </c>
      <c r="C1665" s="7">
        <v>30.86</v>
      </c>
      <c r="D1665" s="4" t="s">
        <v>19</v>
      </c>
      <c r="E1665" s="4" t="s">
        <v>13</v>
      </c>
      <c r="F1665" s="4" t="s">
        <v>27</v>
      </c>
      <c r="G1665" s="4" t="s">
        <v>37</v>
      </c>
      <c r="H1665" s="4">
        <v>2</v>
      </c>
      <c r="I1665" s="4">
        <v>10</v>
      </c>
      <c r="J1665" s="5">
        <v>45566</v>
      </c>
      <c r="K1665" s="6">
        <v>0.4192939814814815</v>
      </c>
    </row>
    <row r="1666" spans="1:11" x14ac:dyDescent="0.25">
      <c r="A1666" s="4">
        <v>11</v>
      </c>
      <c r="B1666" s="4" t="s">
        <v>11</v>
      </c>
      <c r="C1666" s="7">
        <v>30.86</v>
      </c>
      <c r="D1666" s="4" t="s">
        <v>19</v>
      </c>
      <c r="E1666" s="4" t="s">
        <v>13</v>
      </c>
      <c r="F1666" s="4" t="s">
        <v>27</v>
      </c>
      <c r="G1666" s="4" t="s">
        <v>37</v>
      </c>
      <c r="H1666" s="4">
        <v>2</v>
      </c>
      <c r="I1666" s="4">
        <v>10</v>
      </c>
      <c r="J1666" s="5">
        <v>45566</v>
      </c>
      <c r="K1666" s="6">
        <v>0.49688657407407405</v>
      </c>
    </row>
    <row r="1667" spans="1:11" x14ac:dyDescent="0.25">
      <c r="A1667" s="4">
        <v>12</v>
      </c>
      <c r="B1667" s="4" t="s">
        <v>11</v>
      </c>
      <c r="C1667" s="7">
        <v>30.86</v>
      </c>
      <c r="D1667" s="4" t="s">
        <v>19</v>
      </c>
      <c r="E1667" s="4" t="s">
        <v>17</v>
      </c>
      <c r="F1667" s="4" t="s">
        <v>27</v>
      </c>
      <c r="G1667" s="4" t="s">
        <v>37</v>
      </c>
      <c r="H1667" s="4">
        <v>2</v>
      </c>
      <c r="I1667" s="4">
        <v>10</v>
      </c>
      <c r="J1667" s="5">
        <v>45566</v>
      </c>
      <c r="K1667" s="6">
        <v>0.50888888888888884</v>
      </c>
    </row>
    <row r="1668" spans="1:11" x14ac:dyDescent="0.25">
      <c r="A1668" s="4">
        <v>12</v>
      </c>
      <c r="B1668" s="4" t="s">
        <v>11</v>
      </c>
      <c r="C1668" s="7">
        <v>30.86</v>
      </c>
      <c r="D1668" s="4" t="s">
        <v>19</v>
      </c>
      <c r="E1668" s="4" t="s">
        <v>17</v>
      </c>
      <c r="F1668" s="4" t="s">
        <v>27</v>
      </c>
      <c r="G1668" s="4" t="s">
        <v>37</v>
      </c>
      <c r="H1668" s="4">
        <v>2</v>
      </c>
      <c r="I1668" s="4">
        <v>10</v>
      </c>
      <c r="J1668" s="5">
        <v>45566</v>
      </c>
      <c r="K1668" s="6">
        <v>0.50998842592592597</v>
      </c>
    </row>
    <row r="1669" spans="1:11" x14ac:dyDescent="0.25">
      <c r="A1669" s="4">
        <v>14</v>
      </c>
      <c r="B1669" s="4" t="s">
        <v>11</v>
      </c>
      <c r="C1669" s="7">
        <v>25.96</v>
      </c>
      <c r="D1669" s="4" t="s">
        <v>18</v>
      </c>
      <c r="E1669" s="4" t="s">
        <v>17</v>
      </c>
      <c r="F1669" s="4" t="s">
        <v>27</v>
      </c>
      <c r="G1669" s="4" t="s">
        <v>37</v>
      </c>
      <c r="H1669" s="4">
        <v>2</v>
      </c>
      <c r="I1669" s="4">
        <v>10</v>
      </c>
      <c r="J1669" s="5">
        <v>45566</v>
      </c>
      <c r="K1669" s="6">
        <v>0.59553240740740743</v>
      </c>
    </row>
    <row r="1670" spans="1:11" x14ac:dyDescent="0.25">
      <c r="A1670" s="4">
        <v>14</v>
      </c>
      <c r="B1670" s="4" t="s">
        <v>11</v>
      </c>
      <c r="C1670" s="7">
        <v>30.86</v>
      </c>
      <c r="D1670" s="4" t="s">
        <v>19</v>
      </c>
      <c r="E1670" s="4" t="s">
        <v>17</v>
      </c>
      <c r="F1670" s="4" t="s">
        <v>27</v>
      </c>
      <c r="G1670" s="4" t="s">
        <v>37</v>
      </c>
      <c r="H1670" s="4">
        <v>2</v>
      </c>
      <c r="I1670" s="4">
        <v>10</v>
      </c>
      <c r="J1670" s="5">
        <v>45566</v>
      </c>
      <c r="K1670" s="6">
        <v>0.59643518518518523</v>
      </c>
    </row>
    <row r="1671" spans="1:11" x14ac:dyDescent="0.25">
      <c r="A1671" s="4">
        <v>16</v>
      </c>
      <c r="B1671" s="4" t="s">
        <v>11</v>
      </c>
      <c r="C1671" s="7">
        <v>35.76</v>
      </c>
      <c r="D1671" s="4" t="s">
        <v>16</v>
      </c>
      <c r="E1671" s="4" t="s">
        <v>17</v>
      </c>
      <c r="F1671" s="4" t="s">
        <v>27</v>
      </c>
      <c r="G1671" s="4" t="s">
        <v>37</v>
      </c>
      <c r="H1671" s="4">
        <v>2</v>
      </c>
      <c r="I1671" s="4">
        <v>10</v>
      </c>
      <c r="J1671" s="5">
        <v>45566</v>
      </c>
      <c r="K1671" s="6">
        <v>0.67266203703703709</v>
      </c>
    </row>
    <row r="1672" spans="1:11" x14ac:dyDescent="0.25">
      <c r="A1672" s="4">
        <v>16</v>
      </c>
      <c r="B1672" s="4" t="s">
        <v>11</v>
      </c>
      <c r="C1672" s="7">
        <v>25.96</v>
      </c>
      <c r="D1672" s="4" t="s">
        <v>18</v>
      </c>
      <c r="E1672" s="4" t="s">
        <v>17</v>
      </c>
      <c r="F1672" s="4" t="s">
        <v>27</v>
      </c>
      <c r="G1672" s="4" t="s">
        <v>37</v>
      </c>
      <c r="H1672" s="4">
        <v>2</v>
      </c>
      <c r="I1672" s="4">
        <v>10</v>
      </c>
      <c r="J1672" s="5">
        <v>45566</v>
      </c>
      <c r="K1672" s="6">
        <v>0.69576388888888885</v>
      </c>
    </row>
    <row r="1673" spans="1:11" x14ac:dyDescent="0.25">
      <c r="A1673" s="4">
        <v>18</v>
      </c>
      <c r="B1673" s="4" t="s">
        <v>11</v>
      </c>
      <c r="C1673" s="7">
        <v>35.76</v>
      </c>
      <c r="D1673" s="4" t="s">
        <v>12</v>
      </c>
      <c r="E1673" s="4" t="s">
        <v>20</v>
      </c>
      <c r="F1673" s="4" t="s">
        <v>27</v>
      </c>
      <c r="G1673" s="4" t="s">
        <v>37</v>
      </c>
      <c r="H1673" s="4">
        <v>2</v>
      </c>
      <c r="I1673" s="4">
        <v>10</v>
      </c>
      <c r="J1673" s="5">
        <v>45566</v>
      </c>
      <c r="K1673" s="6">
        <v>0.75585648148148143</v>
      </c>
    </row>
    <row r="1674" spans="1:11" x14ac:dyDescent="0.25">
      <c r="A1674" s="4">
        <v>18</v>
      </c>
      <c r="B1674" s="4" t="s">
        <v>11</v>
      </c>
      <c r="C1674" s="7">
        <v>35.76</v>
      </c>
      <c r="D1674" s="4" t="s">
        <v>12</v>
      </c>
      <c r="E1674" s="4" t="s">
        <v>20</v>
      </c>
      <c r="F1674" s="4" t="s">
        <v>27</v>
      </c>
      <c r="G1674" s="4" t="s">
        <v>37</v>
      </c>
      <c r="H1674" s="4">
        <v>2</v>
      </c>
      <c r="I1674" s="4">
        <v>10</v>
      </c>
      <c r="J1674" s="5">
        <v>45566</v>
      </c>
      <c r="K1674" s="6">
        <v>0.76609953703703704</v>
      </c>
    </row>
    <row r="1675" spans="1:11" x14ac:dyDescent="0.25">
      <c r="A1675" s="4">
        <v>18</v>
      </c>
      <c r="B1675" s="4" t="s">
        <v>11</v>
      </c>
      <c r="C1675" s="7">
        <v>35.76</v>
      </c>
      <c r="D1675" s="4" t="s">
        <v>16</v>
      </c>
      <c r="E1675" s="4" t="s">
        <v>20</v>
      </c>
      <c r="F1675" s="4" t="s">
        <v>27</v>
      </c>
      <c r="G1675" s="4" t="s">
        <v>37</v>
      </c>
      <c r="H1675" s="4">
        <v>2</v>
      </c>
      <c r="I1675" s="4">
        <v>10</v>
      </c>
      <c r="J1675" s="5">
        <v>45566</v>
      </c>
      <c r="K1675" s="6">
        <v>0.76682870370370371</v>
      </c>
    </row>
    <row r="1676" spans="1:11" x14ac:dyDescent="0.25">
      <c r="A1676" s="4">
        <v>20</v>
      </c>
      <c r="B1676" s="4" t="s">
        <v>11</v>
      </c>
      <c r="C1676" s="7">
        <v>35.76</v>
      </c>
      <c r="D1676" s="4" t="s">
        <v>16</v>
      </c>
      <c r="E1676" s="4" t="s">
        <v>20</v>
      </c>
      <c r="F1676" s="4" t="s">
        <v>27</v>
      </c>
      <c r="G1676" s="4" t="s">
        <v>37</v>
      </c>
      <c r="H1676" s="4">
        <v>2</v>
      </c>
      <c r="I1676" s="4">
        <v>10</v>
      </c>
      <c r="J1676" s="5">
        <v>45566</v>
      </c>
      <c r="K1676" s="6">
        <v>0.83567129629629633</v>
      </c>
    </row>
    <row r="1677" spans="1:11" x14ac:dyDescent="0.25">
      <c r="A1677" s="4">
        <v>7</v>
      </c>
      <c r="B1677" s="4" t="s">
        <v>11</v>
      </c>
      <c r="C1677" s="7">
        <v>35.76</v>
      </c>
      <c r="D1677" s="4" t="s">
        <v>12</v>
      </c>
      <c r="E1677" s="4" t="s">
        <v>13</v>
      </c>
      <c r="F1677" s="4" t="s">
        <v>28</v>
      </c>
      <c r="G1677" s="4" t="s">
        <v>37</v>
      </c>
      <c r="H1677" s="4">
        <v>3</v>
      </c>
      <c r="I1677" s="4">
        <v>10</v>
      </c>
      <c r="J1677" s="5">
        <v>45567</v>
      </c>
      <c r="K1677" s="6">
        <v>0.33145833333333335</v>
      </c>
    </row>
    <row r="1678" spans="1:11" x14ac:dyDescent="0.25">
      <c r="A1678" s="4">
        <v>8</v>
      </c>
      <c r="B1678" s="4" t="s">
        <v>11</v>
      </c>
      <c r="C1678" s="7">
        <v>25.96</v>
      </c>
      <c r="D1678" s="4" t="s">
        <v>24</v>
      </c>
      <c r="E1678" s="4" t="s">
        <v>13</v>
      </c>
      <c r="F1678" s="4" t="s">
        <v>28</v>
      </c>
      <c r="G1678" s="4" t="s">
        <v>37</v>
      </c>
      <c r="H1678" s="4">
        <v>3</v>
      </c>
      <c r="I1678" s="4">
        <v>10</v>
      </c>
      <c r="J1678" s="5">
        <v>45567</v>
      </c>
      <c r="K1678" s="6">
        <v>0.36300925925925925</v>
      </c>
    </row>
    <row r="1679" spans="1:11" x14ac:dyDescent="0.25">
      <c r="A1679" s="4">
        <v>9</v>
      </c>
      <c r="B1679" s="4" t="s">
        <v>11</v>
      </c>
      <c r="C1679" s="7">
        <v>30.86</v>
      </c>
      <c r="D1679" s="4" t="s">
        <v>19</v>
      </c>
      <c r="E1679" s="4" t="s">
        <v>13</v>
      </c>
      <c r="F1679" s="4" t="s">
        <v>28</v>
      </c>
      <c r="G1679" s="4" t="s">
        <v>37</v>
      </c>
      <c r="H1679" s="4">
        <v>3</v>
      </c>
      <c r="I1679" s="4">
        <v>10</v>
      </c>
      <c r="J1679" s="5">
        <v>45567</v>
      </c>
      <c r="K1679" s="6">
        <v>0.38839120370370372</v>
      </c>
    </row>
    <row r="1680" spans="1:11" x14ac:dyDescent="0.25">
      <c r="A1680" s="4">
        <v>10</v>
      </c>
      <c r="B1680" s="4" t="s">
        <v>11</v>
      </c>
      <c r="C1680" s="7">
        <v>35.76</v>
      </c>
      <c r="D1680" s="4" t="s">
        <v>12</v>
      </c>
      <c r="E1680" s="4" t="s">
        <v>13</v>
      </c>
      <c r="F1680" s="4" t="s">
        <v>28</v>
      </c>
      <c r="G1680" s="4" t="s">
        <v>37</v>
      </c>
      <c r="H1680" s="4">
        <v>3</v>
      </c>
      <c r="I1680" s="4">
        <v>10</v>
      </c>
      <c r="J1680" s="5">
        <v>45567</v>
      </c>
      <c r="K1680" s="6">
        <v>0.4319560185185185</v>
      </c>
    </row>
    <row r="1681" spans="1:11" x14ac:dyDescent="0.25">
      <c r="A1681" s="4">
        <v>10</v>
      </c>
      <c r="B1681" s="4" t="s">
        <v>11</v>
      </c>
      <c r="C1681" s="7">
        <v>30.86</v>
      </c>
      <c r="D1681" s="4" t="s">
        <v>19</v>
      </c>
      <c r="E1681" s="4" t="s">
        <v>13</v>
      </c>
      <c r="F1681" s="4" t="s">
        <v>28</v>
      </c>
      <c r="G1681" s="4" t="s">
        <v>37</v>
      </c>
      <c r="H1681" s="4">
        <v>3</v>
      </c>
      <c r="I1681" s="4">
        <v>10</v>
      </c>
      <c r="J1681" s="5">
        <v>45567</v>
      </c>
      <c r="K1681" s="6">
        <v>0.43327546296296299</v>
      </c>
    </row>
    <row r="1682" spans="1:11" x14ac:dyDescent="0.25">
      <c r="A1682" s="4">
        <v>11</v>
      </c>
      <c r="B1682" s="4" t="s">
        <v>11</v>
      </c>
      <c r="C1682" s="7">
        <v>35.76</v>
      </c>
      <c r="D1682" s="4" t="s">
        <v>29</v>
      </c>
      <c r="E1682" s="4" t="s">
        <v>13</v>
      </c>
      <c r="F1682" s="4" t="s">
        <v>28</v>
      </c>
      <c r="G1682" s="4" t="s">
        <v>37</v>
      </c>
      <c r="H1682" s="4">
        <v>3</v>
      </c>
      <c r="I1682" s="4">
        <v>10</v>
      </c>
      <c r="J1682" s="5">
        <v>45567</v>
      </c>
      <c r="K1682" s="6">
        <v>0.47839120370370369</v>
      </c>
    </row>
    <row r="1683" spans="1:11" x14ac:dyDescent="0.25">
      <c r="A1683" s="4">
        <v>15</v>
      </c>
      <c r="B1683" s="4" t="s">
        <v>11</v>
      </c>
      <c r="C1683" s="7">
        <v>35.76</v>
      </c>
      <c r="D1683" s="4" t="s">
        <v>29</v>
      </c>
      <c r="E1683" s="4" t="s">
        <v>17</v>
      </c>
      <c r="F1683" s="4" t="s">
        <v>28</v>
      </c>
      <c r="G1683" s="4" t="s">
        <v>37</v>
      </c>
      <c r="H1683" s="4">
        <v>3</v>
      </c>
      <c r="I1683" s="4">
        <v>10</v>
      </c>
      <c r="J1683" s="5">
        <v>45567</v>
      </c>
      <c r="K1683" s="6">
        <v>0.63451388888888893</v>
      </c>
    </row>
    <row r="1684" spans="1:11" x14ac:dyDescent="0.25">
      <c r="A1684" s="4">
        <v>18</v>
      </c>
      <c r="B1684" s="4" t="s">
        <v>11</v>
      </c>
      <c r="C1684" s="7">
        <v>35.76</v>
      </c>
      <c r="D1684" s="4" t="s">
        <v>16</v>
      </c>
      <c r="E1684" s="4" t="s">
        <v>20</v>
      </c>
      <c r="F1684" s="4" t="s">
        <v>28</v>
      </c>
      <c r="G1684" s="4" t="s">
        <v>37</v>
      </c>
      <c r="H1684" s="4">
        <v>3</v>
      </c>
      <c r="I1684" s="4">
        <v>10</v>
      </c>
      <c r="J1684" s="5">
        <v>45567</v>
      </c>
      <c r="K1684" s="6">
        <v>0.77160879629629631</v>
      </c>
    </row>
    <row r="1685" spans="1:11" x14ac:dyDescent="0.25">
      <c r="A1685" s="4">
        <v>22</v>
      </c>
      <c r="B1685" s="4" t="s">
        <v>11</v>
      </c>
      <c r="C1685" s="7">
        <v>35.76</v>
      </c>
      <c r="D1685" s="4" t="s">
        <v>16</v>
      </c>
      <c r="E1685" s="4" t="s">
        <v>20</v>
      </c>
      <c r="F1685" s="4" t="s">
        <v>28</v>
      </c>
      <c r="G1685" s="4" t="s">
        <v>37</v>
      </c>
      <c r="H1685" s="4">
        <v>3</v>
      </c>
      <c r="I1685" s="4">
        <v>10</v>
      </c>
      <c r="J1685" s="5">
        <v>45567</v>
      </c>
      <c r="K1685" s="6">
        <v>0.92980324074074072</v>
      </c>
    </row>
    <row r="1686" spans="1:11" x14ac:dyDescent="0.25">
      <c r="A1686" s="4">
        <v>22</v>
      </c>
      <c r="B1686" s="4" t="s">
        <v>11</v>
      </c>
      <c r="C1686" s="7">
        <v>35.76</v>
      </c>
      <c r="D1686" s="4" t="s">
        <v>16</v>
      </c>
      <c r="E1686" s="4" t="s">
        <v>20</v>
      </c>
      <c r="F1686" s="4" t="s">
        <v>28</v>
      </c>
      <c r="G1686" s="4" t="s">
        <v>37</v>
      </c>
      <c r="H1686" s="4">
        <v>3</v>
      </c>
      <c r="I1686" s="4">
        <v>10</v>
      </c>
      <c r="J1686" s="5">
        <v>45567</v>
      </c>
      <c r="K1686" s="6">
        <v>0.93032407407407403</v>
      </c>
    </row>
    <row r="1687" spans="1:11" x14ac:dyDescent="0.25">
      <c r="A1687" s="4">
        <v>22</v>
      </c>
      <c r="B1687" s="4" t="s">
        <v>11</v>
      </c>
      <c r="C1687" s="7">
        <v>35.76</v>
      </c>
      <c r="D1687" s="4" t="s">
        <v>16</v>
      </c>
      <c r="E1687" s="4" t="s">
        <v>20</v>
      </c>
      <c r="F1687" s="4" t="s">
        <v>28</v>
      </c>
      <c r="G1687" s="4" t="s">
        <v>37</v>
      </c>
      <c r="H1687" s="4">
        <v>3</v>
      </c>
      <c r="I1687" s="4">
        <v>10</v>
      </c>
      <c r="J1687" s="5">
        <v>45567</v>
      </c>
      <c r="K1687" s="6">
        <v>0.93082175925925925</v>
      </c>
    </row>
    <row r="1688" spans="1:11" x14ac:dyDescent="0.25">
      <c r="A1688" s="4">
        <v>13</v>
      </c>
      <c r="B1688" s="4" t="s">
        <v>11</v>
      </c>
      <c r="C1688" s="7">
        <v>35.76</v>
      </c>
      <c r="D1688" s="4" t="s">
        <v>21</v>
      </c>
      <c r="E1688" s="4" t="s">
        <v>17</v>
      </c>
      <c r="F1688" s="4" t="s">
        <v>30</v>
      </c>
      <c r="G1688" s="4" t="s">
        <v>37</v>
      </c>
      <c r="H1688" s="4">
        <v>4</v>
      </c>
      <c r="I1688" s="4">
        <v>10</v>
      </c>
      <c r="J1688" s="5">
        <v>45568</v>
      </c>
      <c r="K1688" s="6">
        <v>0.5747106481481481</v>
      </c>
    </row>
    <row r="1689" spans="1:11" x14ac:dyDescent="0.25">
      <c r="A1689" s="4">
        <v>15</v>
      </c>
      <c r="B1689" s="4" t="s">
        <v>11</v>
      </c>
      <c r="C1689" s="7">
        <v>30.86</v>
      </c>
      <c r="D1689" s="4" t="s">
        <v>19</v>
      </c>
      <c r="E1689" s="4" t="s">
        <v>17</v>
      </c>
      <c r="F1689" s="4" t="s">
        <v>30</v>
      </c>
      <c r="G1689" s="4" t="s">
        <v>37</v>
      </c>
      <c r="H1689" s="4">
        <v>4</v>
      </c>
      <c r="I1689" s="4">
        <v>10</v>
      </c>
      <c r="J1689" s="5">
        <v>45568</v>
      </c>
      <c r="K1689" s="6">
        <v>0.63339120370370372</v>
      </c>
    </row>
    <row r="1690" spans="1:11" x14ac:dyDescent="0.25">
      <c r="A1690" s="4">
        <v>20</v>
      </c>
      <c r="B1690" s="4" t="s">
        <v>11</v>
      </c>
      <c r="C1690" s="7">
        <v>25.96</v>
      </c>
      <c r="D1690" s="4" t="s">
        <v>24</v>
      </c>
      <c r="E1690" s="4" t="s">
        <v>20</v>
      </c>
      <c r="F1690" s="4" t="s">
        <v>30</v>
      </c>
      <c r="G1690" s="4" t="s">
        <v>37</v>
      </c>
      <c r="H1690" s="4">
        <v>4</v>
      </c>
      <c r="I1690" s="4">
        <v>10</v>
      </c>
      <c r="J1690" s="5">
        <v>45568</v>
      </c>
      <c r="K1690" s="6">
        <v>0.84232638888888889</v>
      </c>
    </row>
    <row r="1691" spans="1:11" x14ac:dyDescent="0.25">
      <c r="A1691" s="4">
        <v>20</v>
      </c>
      <c r="B1691" s="4" t="s">
        <v>11</v>
      </c>
      <c r="C1691" s="7">
        <v>35.76</v>
      </c>
      <c r="D1691" s="4" t="s">
        <v>16</v>
      </c>
      <c r="E1691" s="4" t="s">
        <v>20</v>
      </c>
      <c r="F1691" s="4" t="s">
        <v>30</v>
      </c>
      <c r="G1691" s="4" t="s">
        <v>37</v>
      </c>
      <c r="H1691" s="4">
        <v>4</v>
      </c>
      <c r="I1691" s="4">
        <v>10</v>
      </c>
      <c r="J1691" s="5">
        <v>45568</v>
      </c>
      <c r="K1691" s="6">
        <v>0.84310185185185182</v>
      </c>
    </row>
    <row r="1692" spans="1:11" x14ac:dyDescent="0.25">
      <c r="A1692" s="4">
        <v>21</v>
      </c>
      <c r="B1692" s="4" t="s">
        <v>11</v>
      </c>
      <c r="C1692" s="7">
        <v>35.76</v>
      </c>
      <c r="D1692" s="4" t="s">
        <v>16</v>
      </c>
      <c r="E1692" s="4" t="s">
        <v>20</v>
      </c>
      <c r="F1692" s="4" t="s">
        <v>30</v>
      </c>
      <c r="G1692" s="4" t="s">
        <v>37</v>
      </c>
      <c r="H1692" s="4">
        <v>4</v>
      </c>
      <c r="I1692" s="4">
        <v>10</v>
      </c>
      <c r="J1692" s="5">
        <v>45568</v>
      </c>
      <c r="K1692" s="6">
        <v>0.88965277777777774</v>
      </c>
    </row>
    <row r="1693" spans="1:11" x14ac:dyDescent="0.25">
      <c r="A1693" s="4">
        <v>21</v>
      </c>
      <c r="B1693" s="4" t="s">
        <v>11</v>
      </c>
      <c r="C1693" s="7">
        <v>35.76</v>
      </c>
      <c r="D1693" s="4" t="s">
        <v>16</v>
      </c>
      <c r="E1693" s="4" t="s">
        <v>20</v>
      </c>
      <c r="F1693" s="4" t="s">
        <v>30</v>
      </c>
      <c r="G1693" s="4" t="s">
        <v>37</v>
      </c>
      <c r="H1693" s="4">
        <v>4</v>
      </c>
      <c r="I1693" s="4">
        <v>10</v>
      </c>
      <c r="J1693" s="5">
        <v>45568</v>
      </c>
      <c r="K1693" s="6">
        <v>0.89011574074074074</v>
      </c>
    </row>
    <row r="1694" spans="1:11" x14ac:dyDescent="0.25">
      <c r="A1694" s="4">
        <v>21</v>
      </c>
      <c r="B1694" s="4" t="s">
        <v>11</v>
      </c>
      <c r="C1694" s="7">
        <v>35.76</v>
      </c>
      <c r="D1694" s="4" t="s">
        <v>29</v>
      </c>
      <c r="E1694" s="4" t="s">
        <v>20</v>
      </c>
      <c r="F1694" s="4" t="s">
        <v>30</v>
      </c>
      <c r="G1694" s="4" t="s">
        <v>37</v>
      </c>
      <c r="H1694" s="4">
        <v>4</v>
      </c>
      <c r="I1694" s="4">
        <v>10</v>
      </c>
      <c r="J1694" s="5">
        <v>45568</v>
      </c>
      <c r="K1694" s="6">
        <v>0.89517361111111116</v>
      </c>
    </row>
    <row r="1695" spans="1:11" x14ac:dyDescent="0.25">
      <c r="A1695" s="4">
        <v>21</v>
      </c>
      <c r="B1695" s="4" t="s">
        <v>11</v>
      </c>
      <c r="C1695" s="7">
        <v>35.76</v>
      </c>
      <c r="D1695" s="4" t="s">
        <v>16</v>
      </c>
      <c r="E1695" s="4" t="s">
        <v>20</v>
      </c>
      <c r="F1695" s="4" t="s">
        <v>30</v>
      </c>
      <c r="G1695" s="4" t="s">
        <v>37</v>
      </c>
      <c r="H1695" s="4">
        <v>4</v>
      </c>
      <c r="I1695" s="4">
        <v>10</v>
      </c>
      <c r="J1695" s="5">
        <v>45568</v>
      </c>
      <c r="K1695" s="6">
        <v>0.89652777777777781</v>
      </c>
    </row>
    <row r="1696" spans="1:11" x14ac:dyDescent="0.25">
      <c r="A1696" s="4">
        <v>8</v>
      </c>
      <c r="B1696" s="4" t="s">
        <v>11</v>
      </c>
      <c r="C1696" s="7">
        <v>25.96</v>
      </c>
      <c r="D1696" s="4" t="s">
        <v>18</v>
      </c>
      <c r="E1696" s="4" t="s">
        <v>13</v>
      </c>
      <c r="F1696" s="4" t="s">
        <v>14</v>
      </c>
      <c r="G1696" s="4" t="s">
        <v>37</v>
      </c>
      <c r="H1696" s="4">
        <v>5</v>
      </c>
      <c r="I1696" s="4">
        <v>10</v>
      </c>
      <c r="J1696" s="5">
        <v>45569</v>
      </c>
      <c r="K1696" s="6">
        <v>0.36388888888888887</v>
      </c>
    </row>
    <row r="1697" spans="1:11" x14ac:dyDescent="0.25">
      <c r="A1697" s="4">
        <v>8</v>
      </c>
      <c r="B1697" s="4" t="s">
        <v>11</v>
      </c>
      <c r="C1697" s="7">
        <v>25.96</v>
      </c>
      <c r="D1697" s="4" t="s">
        <v>18</v>
      </c>
      <c r="E1697" s="4" t="s">
        <v>13</v>
      </c>
      <c r="F1697" s="4" t="s">
        <v>14</v>
      </c>
      <c r="G1697" s="4" t="s">
        <v>37</v>
      </c>
      <c r="H1697" s="4">
        <v>5</v>
      </c>
      <c r="I1697" s="4">
        <v>10</v>
      </c>
      <c r="J1697" s="5">
        <v>45569</v>
      </c>
      <c r="K1697" s="6">
        <v>0.36502314814814812</v>
      </c>
    </row>
    <row r="1698" spans="1:11" x14ac:dyDescent="0.25">
      <c r="A1698" s="4">
        <v>9</v>
      </c>
      <c r="B1698" s="4" t="s">
        <v>11</v>
      </c>
      <c r="C1698" s="7">
        <v>30.86</v>
      </c>
      <c r="D1698" s="4" t="s">
        <v>19</v>
      </c>
      <c r="E1698" s="4" t="s">
        <v>13</v>
      </c>
      <c r="F1698" s="4" t="s">
        <v>14</v>
      </c>
      <c r="G1698" s="4" t="s">
        <v>37</v>
      </c>
      <c r="H1698" s="4">
        <v>5</v>
      </c>
      <c r="I1698" s="4">
        <v>10</v>
      </c>
      <c r="J1698" s="5">
        <v>45569</v>
      </c>
      <c r="K1698" s="6">
        <v>0.39608796296296295</v>
      </c>
    </row>
    <row r="1699" spans="1:11" x14ac:dyDescent="0.25">
      <c r="A1699" s="4">
        <v>9</v>
      </c>
      <c r="B1699" s="4" t="s">
        <v>11</v>
      </c>
      <c r="C1699" s="7">
        <v>25.96</v>
      </c>
      <c r="D1699" s="4" t="s">
        <v>18</v>
      </c>
      <c r="E1699" s="4" t="s">
        <v>13</v>
      </c>
      <c r="F1699" s="4" t="s">
        <v>14</v>
      </c>
      <c r="G1699" s="4" t="s">
        <v>37</v>
      </c>
      <c r="H1699" s="4">
        <v>5</v>
      </c>
      <c r="I1699" s="4">
        <v>10</v>
      </c>
      <c r="J1699" s="5">
        <v>45569</v>
      </c>
      <c r="K1699" s="6">
        <v>0.39684027777777775</v>
      </c>
    </row>
    <row r="1700" spans="1:11" x14ac:dyDescent="0.25">
      <c r="A1700" s="4">
        <v>9</v>
      </c>
      <c r="B1700" s="4" t="s">
        <v>11</v>
      </c>
      <c r="C1700" s="7">
        <v>25.96</v>
      </c>
      <c r="D1700" s="4" t="s">
        <v>24</v>
      </c>
      <c r="E1700" s="4" t="s">
        <v>13</v>
      </c>
      <c r="F1700" s="4" t="s">
        <v>14</v>
      </c>
      <c r="G1700" s="4" t="s">
        <v>37</v>
      </c>
      <c r="H1700" s="4">
        <v>5</v>
      </c>
      <c r="I1700" s="4">
        <v>10</v>
      </c>
      <c r="J1700" s="5">
        <v>45569</v>
      </c>
      <c r="K1700" s="6">
        <v>0.41247685185185184</v>
      </c>
    </row>
    <row r="1701" spans="1:11" x14ac:dyDescent="0.25">
      <c r="A1701" s="4">
        <v>9</v>
      </c>
      <c r="B1701" s="4" t="s">
        <v>11</v>
      </c>
      <c r="C1701" s="7">
        <v>25.96</v>
      </c>
      <c r="D1701" s="4" t="s">
        <v>24</v>
      </c>
      <c r="E1701" s="4" t="s">
        <v>13</v>
      </c>
      <c r="F1701" s="4" t="s">
        <v>14</v>
      </c>
      <c r="G1701" s="4" t="s">
        <v>37</v>
      </c>
      <c r="H1701" s="4">
        <v>5</v>
      </c>
      <c r="I1701" s="4">
        <v>10</v>
      </c>
      <c r="J1701" s="5">
        <v>45569</v>
      </c>
      <c r="K1701" s="6">
        <v>0.41324074074074074</v>
      </c>
    </row>
    <row r="1702" spans="1:11" x14ac:dyDescent="0.25">
      <c r="A1702" s="4">
        <v>17</v>
      </c>
      <c r="B1702" s="4" t="s">
        <v>11</v>
      </c>
      <c r="C1702" s="7">
        <v>35.76</v>
      </c>
      <c r="D1702" s="4" t="s">
        <v>12</v>
      </c>
      <c r="E1702" s="4" t="s">
        <v>20</v>
      </c>
      <c r="F1702" s="4" t="s">
        <v>14</v>
      </c>
      <c r="G1702" s="4" t="s">
        <v>37</v>
      </c>
      <c r="H1702" s="4">
        <v>5</v>
      </c>
      <c r="I1702" s="4">
        <v>10</v>
      </c>
      <c r="J1702" s="5">
        <v>45569</v>
      </c>
      <c r="K1702" s="6">
        <v>0.73280092592592594</v>
      </c>
    </row>
    <row r="1703" spans="1:11" x14ac:dyDescent="0.25">
      <c r="A1703" s="4">
        <v>17</v>
      </c>
      <c r="B1703" s="4" t="s">
        <v>11</v>
      </c>
      <c r="C1703" s="7">
        <v>35.76</v>
      </c>
      <c r="D1703" s="4" t="s">
        <v>16</v>
      </c>
      <c r="E1703" s="4" t="s">
        <v>20</v>
      </c>
      <c r="F1703" s="4" t="s">
        <v>14</v>
      </c>
      <c r="G1703" s="4" t="s">
        <v>37</v>
      </c>
      <c r="H1703" s="4">
        <v>5</v>
      </c>
      <c r="I1703" s="4">
        <v>10</v>
      </c>
      <c r="J1703" s="5">
        <v>45569</v>
      </c>
      <c r="K1703" s="6">
        <v>0.73775462962962968</v>
      </c>
    </row>
    <row r="1704" spans="1:11" x14ac:dyDescent="0.25">
      <c r="A1704" s="4">
        <v>17</v>
      </c>
      <c r="B1704" s="4" t="s">
        <v>11</v>
      </c>
      <c r="C1704" s="7">
        <v>35.76</v>
      </c>
      <c r="D1704" s="4" t="s">
        <v>21</v>
      </c>
      <c r="E1704" s="4" t="s">
        <v>20</v>
      </c>
      <c r="F1704" s="4" t="s">
        <v>14</v>
      </c>
      <c r="G1704" s="4" t="s">
        <v>37</v>
      </c>
      <c r="H1704" s="4">
        <v>5</v>
      </c>
      <c r="I1704" s="4">
        <v>10</v>
      </c>
      <c r="J1704" s="5">
        <v>45569</v>
      </c>
      <c r="K1704" s="6">
        <v>0.73930555555555555</v>
      </c>
    </row>
    <row r="1705" spans="1:11" x14ac:dyDescent="0.25">
      <c r="A1705" s="4">
        <v>9</v>
      </c>
      <c r="B1705" s="4" t="s">
        <v>11</v>
      </c>
      <c r="C1705" s="7">
        <v>25.96</v>
      </c>
      <c r="D1705" s="4" t="s">
        <v>24</v>
      </c>
      <c r="E1705" s="4" t="s">
        <v>13</v>
      </c>
      <c r="F1705" s="4" t="s">
        <v>22</v>
      </c>
      <c r="G1705" s="4" t="s">
        <v>37</v>
      </c>
      <c r="H1705" s="4">
        <v>6</v>
      </c>
      <c r="I1705" s="4">
        <v>10</v>
      </c>
      <c r="J1705" s="5">
        <v>45570</v>
      </c>
      <c r="K1705" s="6">
        <v>0.3755324074074074</v>
      </c>
    </row>
    <row r="1706" spans="1:11" x14ac:dyDescent="0.25">
      <c r="A1706" s="4">
        <v>9</v>
      </c>
      <c r="B1706" s="4" t="s">
        <v>11</v>
      </c>
      <c r="C1706" s="7">
        <v>25.96</v>
      </c>
      <c r="D1706" s="4" t="s">
        <v>24</v>
      </c>
      <c r="E1706" s="4" t="s">
        <v>13</v>
      </c>
      <c r="F1706" s="4" t="s">
        <v>22</v>
      </c>
      <c r="G1706" s="4" t="s">
        <v>37</v>
      </c>
      <c r="H1706" s="4">
        <v>6</v>
      </c>
      <c r="I1706" s="4">
        <v>10</v>
      </c>
      <c r="J1706" s="5">
        <v>45570</v>
      </c>
      <c r="K1706" s="6">
        <v>0.37618055555555557</v>
      </c>
    </row>
    <row r="1707" spans="1:11" x14ac:dyDescent="0.25">
      <c r="A1707" s="4">
        <v>9</v>
      </c>
      <c r="B1707" s="4" t="s">
        <v>11</v>
      </c>
      <c r="C1707" s="7">
        <v>35.76</v>
      </c>
      <c r="D1707" s="4" t="s">
        <v>21</v>
      </c>
      <c r="E1707" s="4" t="s">
        <v>13</v>
      </c>
      <c r="F1707" s="4" t="s">
        <v>22</v>
      </c>
      <c r="G1707" s="4" t="s">
        <v>37</v>
      </c>
      <c r="H1707" s="4">
        <v>6</v>
      </c>
      <c r="I1707" s="4">
        <v>10</v>
      </c>
      <c r="J1707" s="5">
        <v>45570</v>
      </c>
      <c r="K1707" s="6">
        <v>0.39981481481481479</v>
      </c>
    </row>
    <row r="1708" spans="1:11" x14ac:dyDescent="0.25">
      <c r="A1708" s="4">
        <v>13</v>
      </c>
      <c r="B1708" s="4" t="s">
        <v>11</v>
      </c>
      <c r="C1708" s="7">
        <v>35.76</v>
      </c>
      <c r="D1708" s="4" t="s">
        <v>29</v>
      </c>
      <c r="E1708" s="4" t="s">
        <v>17</v>
      </c>
      <c r="F1708" s="4" t="s">
        <v>22</v>
      </c>
      <c r="G1708" s="4" t="s">
        <v>37</v>
      </c>
      <c r="H1708" s="4">
        <v>6</v>
      </c>
      <c r="I1708" s="4">
        <v>10</v>
      </c>
      <c r="J1708" s="5">
        <v>45570</v>
      </c>
      <c r="K1708" s="6">
        <v>0.55015046296296299</v>
      </c>
    </row>
    <row r="1709" spans="1:11" x14ac:dyDescent="0.25">
      <c r="A1709" s="4">
        <v>20</v>
      </c>
      <c r="B1709" s="4" t="s">
        <v>11</v>
      </c>
      <c r="C1709" s="7">
        <v>25.96</v>
      </c>
      <c r="D1709" s="4" t="s">
        <v>18</v>
      </c>
      <c r="E1709" s="4" t="s">
        <v>20</v>
      </c>
      <c r="F1709" s="4" t="s">
        <v>22</v>
      </c>
      <c r="G1709" s="4" t="s">
        <v>37</v>
      </c>
      <c r="H1709" s="4">
        <v>6</v>
      </c>
      <c r="I1709" s="4">
        <v>10</v>
      </c>
      <c r="J1709" s="5">
        <v>45570</v>
      </c>
      <c r="K1709" s="6">
        <v>0.83932870370370372</v>
      </c>
    </row>
    <row r="1710" spans="1:11" x14ac:dyDescent="0.25">
      <c r="A1710" s="4">
        <v>20</v>
      </c>
      <c r="B1710" s="4" t="s">
        <v>11</v>
      </c>
      <c r="C1710" s="7">
        <v>25.96</v>
      </c>
      <c r="D1710" s="4" t="s">
        <v>18</v>
      </c>
      <c r="E1710" s="4" t="s">
        <v>20</v>
      </c>
      <c r="F1710" s="4" t="s">
        <v>22</v>
      </c>
      <c r="G1710" s="4" t="s">
        <v>37</v>
      </c>
      <c r="H1710" s="4">
        <v>6</v>
      </c>
      <c r="I1710" s="4">
        <v>10</v>
      </c>
      <c r="J1710" s="5">
        <v>45570</v>
      </c>
      <c r="K1710" s="6">
        <v>0.83996527777777774</v>
      </c>
    </row>
    <row r="1711" spans="1:11" x14ac:dyDescent="0.25">
      <c r="A1711" s="4">
        <v>8</v>
      </c>
      <c r="B1711" s="4" t="s">
        <v>11</v>
      </c>
      <c r="C1711" s="7">
        <v>25.96</v>
      </c>
      <c r="D1711" s="4" t="s">
        <v>24</v>
      </c>
      <c r="E1711" s="4" t="s">
        <v>13</v>
      </c>
      <c r="F1711" s="4" t="s">
        <v>23</v>
      </c>
      <c r="G1711" s="4" t="s">
        <v>37</v>
      </c>
      <c r="H1711" s="4">
        <v>7</v>
      </c>
      <c r="I1711" s="4">
        <v>10</v>
      </c>
      <c r="J1711" s="5">
        <v>45571</v>
      </c>
      <c r="K1711" s="6">
        <v>0.34925925925925927</v>
      </c>
    </row>
    <row r="1712" spans="1:11" x14ac:dyDescent="0.25">
      <c r="A1712" s="4">
        <v>10</v>
      </c>
      <c r="B1712" s="4" t="s">
        <v>11</v>
      </c>
      <c r="C1712" s="7">
        <v>35.76</v>
      </c>
      <c r="D1712" s="4" t="s">
        <v>29</v>
      </c>
      <c r="E1712" s="4" t="s">
        <v>13</v>
      </c>
      <c r="F1712" s="4" t="s">
        <v>23</v>
      </c>
      <c r="G1712" s="4" t="s">
        <v>37</v>
      </c>
      <c r="H1712" s="4">
        <v>7</v>
      </c>
      <c r="I1712" s="4">
        <v>10</v>
      </c>
      <c r="J1712" s="5">
        <v>45571</v>
      </c>
      <c r="K1712" s="6">
        <v>0.42063657407407407</v>
      </c>
    </row>
    <row r="1713" spans="1:11" x14ac:dyDescent="0.25">
      <c r="A1713" s="4">
        <v>10</v>
      </c>
      <c r="B1713" s="4" t="s">
        <v>11</v>
      </c>
      <c r="C1713" s="7">
        <v>25.96</v>
      </c>
      <c r="D1713" s="4" t="s">
        <v>24</v>
      </c>
      <c r="E1713" s="4" t="s">
        <v>13</v>
      </c>
      <c r="F1713" s="4" t="s">
        <v>23</v>
      </c>
      <c r="G1713" s="4" t="s">
        <v>37</v>
      </c>
      <c r="H1713" s="4">
        <v>7</v>
      </c>
      <c r="I1713" s="4">
        <v>10</v>
      </c>
      <c r="J1713" s="5">
        <v>45571</v>
      </c>
      <c r="K1713" s="6">
        <v>0.42137731481481483</v>
      </c>
    </row>
    <row r="1714" spans="1:11" x14ac:dyDescent="0.25">
      <c r="A1714" s="4">
        <v>11</v>
      </c>
      <c r="B1714" s="4" t="s">
        <v>11</v>
      </c>
      <c r="C1714" s="7">
        <v>35.76</v>
      </c>
      <c r="D1714" s="4" t="s">
        <v>12</v>
      </c>
      <c r="E1714" s="4" t="s">
        <v>13</v>
      </c>
      <c r="F1714" s="4" t="s">
        <v>23</v>
      </c>
      <c r="G1714" s="4" t="s">
        <v>37</v>
      </c>
      <c r="H1714" s="4">
        <v>7</v>
      </c>
      <c r="I1714" s="4">
        <v>10</v>
      </c>
      <c r="J1714" s="5">
        <v>45571</v>
      </c>
      <c r="K1714" s="6">
        <v>0.49685185185185188</v>
      </c>
    </row>
    <row r="1715" spans="1:11" x14ac:dyDescent="0.25">
      <c r="A1715" s="4">
        <v>12</v>
      </c>
      <c r="B1715" s="4" t="s">
        <v>11</v>
      </c>
      <c r="C1715" s="7">
        <v>35.76</v>
      </c>
      <c r="D1715" s="4" t="s">
        <v>12</v>
      </c>
      <c r="E1715" s="4" t="s">
        <v>17</v>
      </c>
      <c r="F1715" s="4" t="s">
        <v>23</v>
      </c>
      <c r="G1715" s="4" t="s">
        <v>37</v>
      </c>
      <c r="H1715" s="4">
        <v>7</v>
      </c>
      <c r="I1715" s="4">
        <v>10</v>
      </c>
      <c r="J1715" s="5">
        <v>45571</v>
      </c>
      <c r="K1715" s="6">
        <v>0.50628472222222221</v>
      </c>
    </row>
    <row r="1716" spans="1:11" x14ac:dyDescent="0.25">
      <c r="A1716" s="4">
        <v>12</v>
      </c>
      <c r="B1716" s="4" t="s">
        <v>11</v>
      </c>
      <c r="C1716" s="7">
        <v>35.76</v>
      </c>
      <c r="D1716" s="4" t="s">
        <v>29</v>
      </c>
      <c r="E1716" s="4" t="s">
        <v>17</v>
      </c>
      <c r="F1716" s="4" t="s">
        <v>23</v>
      </c>
      <c r="G1716" s="4" t="s">
        <v>37</v>
      </c>
      <c r="H1716" s="4">
        <v>7</v>
      </c>
      <c r="I1716" s="4">
        <v>10</v>
      </c>
      <c r="J1716" s="5">
        <v>45571</v>
      </c>
      <c r="K1716" s="6">
        <v>0.50714120370370375</v>
      </c>
    </row>
    <row r="1717" spans="1:11" x14ac:dyDescent="0.25">
      <c r="A1717" s="4">
        <v>12</v>
      </c>
      <c r="B1717" s="4" t="s">
        <v>11</v>
      </c>
      <c r="C1717" s="7">
        <v>30.86</v>
      </c>
      <c r="D1717" s="4" t="s">
        <v>19</v>
      </c>
      <c r="E1717" s="4" t="s">
        <v>17</v>
      </c>
      <c r="F1717" s="4" t="s">
        <v>23</v>
      </c>
      <c r="G1717" s="4" t="s">
        <v>37</v>
      </c>
      <c r="H1717" s="4">
        <v>7</v>
      </c>
      <c r="I1717" s="4">
        <v>10</v>
      </c>
      <c r="J1717" s="5">
        <v>45571</v>
      </c>
      <c r="K1717" s="6">
        <v>0.50813657407407409</v>
      </c>
    </row>
    <row r="1718" spans="1:11" x14ac:dyDescent="0.25">
      <c r="A1718" s="4">
        <v>13</v>
      </c>
      <c r="B1718" s="4" t="s">
        <v>11</v>
      </c>
      <c r="C1718" s="7">
        <v>25.96</v>
      </c>
      <c r="D1718" s="4" t="s">
        <v>18</v>
      </c>
      <c r="E1718" s="4" t="s">
        <v>17</v>
      </c>
      <c r="F1718" s="4" t="s">
        <v>23</v>
      </c>
      <c r="G1718" s="4" t="s">
        <v>37</v>
      </c>
      <c r="H1718" s="4">
        <v>7</v>
      </c>
      <c r="I1718" s="4">
        <v>10</v>
      </c>
      <c r="J1718" s="5">
        <v>45571</v>
      </c>
      <c r="K1718" s="6">
        <v>0.5736458333333333</v>
      </c>
    </row>
    <row r="1719" spans="1:11" x14ac:dyDescent="0.25">
      <c r="A1719" s="4">
        <v>13</v>
      </c>
      <c r="B1719" s="4" t="s">
        <v>11</v>
      </c>
      <c r="C1719" s="7">
        <v>35.76</v>
      </c>
      <c r="D1719" s="4" t="s">
        <v>29</v>
      </c>
      <c r="E1719" s="4" t="s">
        <v>17</v>
      </c>
      <c r="F1719" s="4" t="s">
        <v>23</v>
      </c>
      <c r="G1719" s="4" t="s">
        <v>37</v>
      </c>
      <c r="H1719" s="4">
        <v>7</v>
      </c>
      <c r="I1719" s="4">
        <v>10</v>
      </c>
      <c r="J1719" s="5">
        <v>45571</v>
      </c>
      <c r="K1719" s="6">
        <v>0.57431712962962966</v>
      </c>
    </row>
    <row r="1720" spans="1:11" x14ac:dyDescent="0.25">
      <c r="A1720" s="4">
        <v>13</v>
      </c>
      <c r="B1720" s="4" t="s">
        <v>11</v>
      </c>
      <c r="C1720" s="7">
        <v>30.86</v>
      </c>
      <c r="D1720" s="4" t="s">
        <v>19</v>
      </c>
      <c r="E1720" s="4" t="s">
        <v>17</v>
      </c>
      <c r="F1720" s="4" t="s">
        <v>23</v>
      </c>
      <c r="G1720" s="4" t="s">
        <v>37</v>
      </c>
      <c r="H1720" s="4">
        <v>7</v>
      </c>
      <c r="I1720" s="4">
        <v>10</v>
      </c>
      <c r="J1720" s="5">
        <v>45571</v>
      </c>
      <c r="K1720" s="6">
        <v>0.57638888888888884</v>
      </c>
    </row>
    <row r="1721" spans="1:11" x14ac:dyDescent="0.25">
      <c r="A1721" s="4">
        <v>13</v>
      </c>
      <c r="B1721" s="4" t="s">
        <v>11</v>
      </c>
      <c r="C1721" s="7">
        <v>35.76</v>
      </c>
      <c r="D1721" s="4" t="s">
        <v>12</v>
      </c>
      <c r="E1721" s="4" t="s">
        <v>17</v>
      </c>
      <c r="F1721" s="4" t="s">
        <v>23</v>
      </c>
      <c r="G1721" s="4" t="s">
        <v>37</v>
      </c>
      <c r="H1721" s="4">
        <v>7</v>
      </c>
      <c r="I1721" s="4">
        <v>10</v>
      </c>
      <c r="J1721" s="5">
        <v>45571</v>
      </c>
      <c r="K1721" s="6">
        <v>0.57712962962962966</v>
      </c>
    </row>
    <row r="1722" spans="1:11" x14ac:dyDescent="0.25">
      <c r="A1722" s="4">
        <v>13</v>
      </c>
      <c r="B1722" s="4" t="s">
        <v>11</v>
      </c>
      <c r="C1722" s="7">
        <v>35.76</v>
      </c>
      <c r="D1722" s="4" t="s">
        <v>29</v>
      </c>
      <c r="E1722" s="4" t="s">
        <v>17</v>
      </c>
      <c r="F1722" s="4" t="s">
        <v>23</v>
      </c>
      <c r="G1722" s="4" t="s">
        <v>37</v>
      </c>
      <c r="H1722" s="4">
        <v>7</v>
      </c>
      <c r="I1722" s="4">
        <v>10</v>
      </c>
      <c r="J1722" s="5">
        <v>45571</v>
      </c>
      <c r="K1722" s="6">
        <v>0.57773148148148146</v>
      </c>
    </row>
    <row r="1723" spans="1:11" x14ac:dyDescent="0.25">
      <c r="A1723" s="4">
        <v>16</v>
      </c>
      <c r="B1723" s="4" t="s">
        <v>11</v>
      </c>
      <c r="C1723" s="7">
        <v>35.76</v>
      </c>
      <c r="D1723" s="4" t="s">
        <v>29</v>
      </c>
      <c r="E1723" s="4" t="s">
        <v>17</v>
      </c>
      <c r="F1723" s="4" t="s">
        <v>23</v>
      </c>
      <c r="G1723" s="4" t="s">
        <v>37</v>
      </c>
      <c r="H1723" s="4">
        <v>7</v>
      </c>
      <c r="I1723" s="4">
        <v>10</v>
      </c>
      <c r="J1723" s="5">
        <v>45571</v>
      </c>
      <c r="K1723" s="6">
        <v>0.68857638888888884</v>
      </c>
    </row>
    <row r="1724" spans="1:11" x14ac:dyDescent="0.25">
      <c r="A1724" s="4">
        <v>16</v>
      </c>
      <c r="B1724" s="4" t="s">
        <v>11</v>
      </c>
      <c r="C1724" s="7">
        <v>21.06</v>
      </c>
      <c r="D1724" s="4" t="s">
        <v>26</v>
      </c>
      <c r="E1724" s="4" t="s">
        <v>17</v>
      </c>
      <c r="F1724" s="4" t="s">
        <v>23</v>
      </c>
      <c r="G1724" s="4" t="s">
        <v>37</v>
      </c>
      <c r="H1724" s="4">
        <v>7</v>
      </c>
      <c r="I1724" s="4">
        <v>10</v>
      </c>
      <c r="J1724" s="5">
        <v>45571</v>
      </c>
      <c r="K1724" s="6">
        <v>0.69149305555555551</v>
      </c>
    </row>
    <row r="1725" spans="1:11" x14ac:dyDescent="0.25">
      <c r="A1725" s="4">
        <v>18</v>
      </c>
      <c r="B1725" s="4" t="s">
        <v>11</v>
      </c>
      <c r="C1725" s="7">
        <v>30.86</v>
      </c>
      <c r="D1725" s="4" t="s">
        <v>19</v>
      </c>
      <c r="E1725" s="4" t="s">
        <v>20</v>
      </c>
      <c r="F1725" s="4" t="s">
        <v>23</v>
      </c>
      <c r="G1725" s="4" t="s">
        <v>37</v>
      </c>
      <c r="H1725" s="4">
        <v>7</v>
      </c>
      <c r="I1725" s="4">
        <v>10</v>
      </c>
      <c r="J1725" s="5">
        <v>45571</v>
      </c>
      <c r="K1725" s="6">
        <v>0.76231481481481478</v>
      </c>
    </row>
    <row r="1726" spans="1:11" x14ac:dyDescent="0.25">
      <c r="A1726" s="4">
        <v>18</v>
      </c>
      <c r="B1726" s="4" t="s">
        <v>11</v>
      </c>
      <c r="C1726" s="7">
        <v>35.76</v>
      </c>
      <c r="D1726" s="4" t="s">
        <v>16</v>
      </c>
      <c r="E1726" s="4" t="s">
        <v>20</v>
      </c>
      <c r="F1726" s="4" t="s">
        <v>23</v>
      </c>
      <c r="G1726" s="4" t="s">
        <v>37</v>
      </c>
      <c r="H1726" s="4">
        <v>7</v>
      </c>
      <c r="I1726" s="4">
        <v>10</v>
      </c>
      <c r="J1726" s="5">
        <v>45571</v>
      </c>
      <c r="K1726" s="6">
        <v>0.77449074074074076</v>
      </c>
    </row>
    <row r="1727" spans="1:11" x14ac:dyDescent="0.25">
      <c r="A1727" s="4">
        <v>21</v>
      </c>
      <c r="B1727" s="4" t="s">
        <v>11</v>
      </c>
      <c r="C1727" s="7">
        <v>35.76</v>
      </c>
      <c r="D1727" s="4" t="s">
        <v>16</v>
      </c>
      <c r="E1727" s="4" t="s">
        <v>20</v>
      </c>
      <c r="F1727" s="4" t="s">
        <v>23</v>
      </c>
      <c r="G1727" s="4" t="s">
        <v>37</v>
      </c>
      <c r="H1727" s="4">
        <v>7</v>
      </c>
      <c r="I1727" s="4">
        <v>10</v>
      </c>
      <c r="J1727" s="5">
        <v>45571</v>
      </c>
      <c r="K1727" s="6">
        <v>0.88138888888888889</v>
      </c>
    </row>
    <row r="1728" spans="1:11" x14ac:dyDescent="0.25">
      <c r="A1728" s="4">
        <v>21</v>
      </c>
      <c r="B1728" s="4" t="s">
        <v>11</v>
      </c>
      <c r="C1728" s="7">
        <v>35.76</v>
      </c>
      <c r="D1728" s="4" t="s">
        <v>16</v>
      </c>
      <c r="E1728" s="4" t="s">
        <v>20</v>
      </c>
      <c r="F1728" s="4" t="s">
        <v>23</v>
      </c>
      <c r="G1728" s="4" t="s">
        <v>37</v>
      </c>
      <c r="H1728" s="4">
        <v>7</v>
      </c>
      <c r="I1728" s="4">
        <v>10</v>
      </c>
      <c r="J1728" s="5">
        <v>45571</v>
      </c>
      <c r="K1728" s="6">
        <v>0.88194444444444442</v>
      </c>
    </row>
    <row r="1729" spans="1:11" x14ac:dyDescent="0.25">
      <c r="A1729" s="4">
        <v>21</v>
      </c>
      <c r="B1729" s="4" t="s">
        <v>11</v>
      </c>
      <c r="C1729" s="7">
        <v>35.76</v>
      </c>
      <c r="D1729" s="4" t="s">
        <v>16</v>
      </c>
      <c r="E1729" s="4" t="s">
        <v>20</v>
      </c>
      <c r="F1729" s="4" t="s">
        <v>23</v>
      </c>
      <c r="G1729" s="4" t="s">
        <v>37</v>
      </c>
      <c r="H1729" s="4">
        <v>7</v>
      </c>
      <c r="I1729" s="4">
        <v>10</v>
      </c>
      <c r="J1729" s="5">
        <v>45571</v>
      </c>
      <c r="K1729" s="6">
        <v>0.88246527777777772</v>
      </c>
    </row>
    <row r="1730" spans="1:11" x14ac:dyDescent="0.25">
      <c r="A1730" s="4">
        <v>21</v>
      </c>
      <c r="B1730" s="4" t="s">
        <v>11</v>
      </c>
      <c r="C1730" s="7">
        <v>35.76</v>
      </c>
      <c r="D1730" s="4" t="s">
        <v>12</v>
      </c>
      <c r="E1730" s="4" t="s">
        <v>20</v>
      </c>
      <c r="F1730" s="4" t="s">
        <v>23</v>
      </c>
      <c r="G1730" s="4" t="s">
        <v>37</v>
      </c>
      <c r="H1730" s="4">
        <v>7</v>
      </c>
      <c r="I1730" s="4">
        <v>10</v>
      </c>
      <c r="J1730" s="5">
        <v>45571</v>
      </c>
      <c r="K1730" s="6">
        <v>0.88666666666666671</v>
      </c>
    </row>
    <row r="1731" spans="1:11" x14ac:dyDescent="0.25">
      <c r="A1731" s="4">
        <v>8</v>
      </c>
      <c r="B1731" s="4" t="s">
        <v>11</v>
      </c>
      <c r="C1731" s="7">
        <v>35.76</v>
      </c>
      <c r="D1731" s="4" t="s">
        <v>12</v>
      </c>
      <c r="E1731" s="4" t="s">
        <v>13</v>
      </c>
      <c r="F1731" s="4" t="s">
        <v>25</v>
      </c>
      <c r="G1731" s="4" t="s">
        <v>37</v>
      </c>
      <c r="H1731" s="4">
        <v>1</v>
      </c>
      <c r="I1731" s="4">
        <v>10</v>
      </c>
      <c r="J1731" s="5">
        <v>45572</v>
      </c>
      <c r="K1731" s="6">
        <v>0.35666666666666669</v>
      </c>
    </row>
    <row r="1732" spans="1:11" x14ac:dyDescent="0.25">
      <c r="A1732" s="4">
        <v>8</v>
      </c>
      <c r="B1732" s="4" t="s">
        <v>11</v>
      </c>
      <c r="C1732" s="7">
        <v>35.76</v>
      </c>
      <c r="D1732" s="4" t="s">
        <v>12</v>
      </c>
      <c r="E1732" s="4" t="s">
        <v>13</v>
      </c>
      <c r="F1732" s="4" t="s">
        <v>25</v>
      </c>
      <c r="G1732" s="4" t="s">
        <v>37</v>
      </c>
      <c r="H1732" s="4">
        <v>1</v>
      </c>
      <c r="I1732" s="4">
        <v>10</v>
      </c>
      <c r="J1732" s="5">
        <v>45572</v>
      </c>
      <c r="K1732" s="6">
        <v>0.36777777777777776</v>
      </c>
    </row>
    <row r="1733" spans="1:11" x14ac:dyDescent="0.25">
      <c r="A1733" s="4">
        <v>8</v>
      </c>
      <c r="B1733" s="4" t="s">
        <v>11</v>
      </c>
      <c r="C1733" s="7">
        <v>30.86</v>
      </c>
      <c r="D1733" s="4" t="s">
        <v>19</v>
      </c>
      <c r="E1733" s="4" t="s">
        <v>13</v>
      </c>
      <c r="F1733" s="4" t="s">
        <v>25</v>
      </c>
      <c r="G1733" s="4" t="s">
        <v>37</v>
      </c>
      <c r="H1733" s="4">
        <v>1</v>
      </c>
      <c r="I1733" s="4">
        <v>10</v>
      </c>
      <c r="J1733" s="5">
        <v>45572</v>
      </c>
      <c r="K1733" s="6">
        <v>0.36853009259259262</v>
      </c>
    </row>
    <row r="1734" spans="1:11" x14ac:dyDescent="0.25">
      <c r="A1734" s="4">
        <v>9</v>
      </c>
      <c r="B1734" s="4" t="s">
        <v>11</v>
      </c>
      <c r="C1734" s="7">
        <v>35.76</v>
      </c>
      <c r="D1734" s="4" t="s">
        <v>21</v>
      </c>
      <c r="E1734" s="4" t="s">
        <v>13</v>
      </c>
      <c r="F1734" s="4" t="s">
        <v>25</v>
      </c>
      <c r="G1734" s="4" t="s">
        <v>37</v>
      </c>
      <c r="H1734" s="4">
        <v>1</v>
      </c>
      <c r="I1734" s="4">
        <v>10</v>
      </c>
      <c r="J1734" s="5">
        <v>45572</v>
      </c>
      <c r="K1734" s="6">
        <v>0.3787962962962963</v>
      </c>
    </row>
    <row r="1735" spans="1:11" x14ac:dyDescent="0.25">
      <c r="A1735" s="4">
        <v>9</v>
      </c>
      <c r="B1735" s="4" t="s">
        <v>11</v>
      </c>
      <c r="C1735" s="7">
        <v>35.76</v>
      </c>
      <c r="D1735" s="4" t="s">
        <v>12</v>
      </c>
      <c r="E1735" s="4" t="s">
        <v>13</v>
      </c>
      <c r="F1735" s="4" t="s">
        <v>25</v>
      </c>
      <c r="G1735" s="4" t="s">
        <v>37</v>
      </c>
      <c r="H1735" s="4">
        <v>1</v>
      </c>
      <c r="I1735" s="4">
        <v>10</v>
      </c>
      <c r="J1735" s="5">
        <v>45572</v>
      </c>
      <c r="K1735" s="6">
        <v>0.38192129629629629</v>
      </c>
    </row>
    <row r="1736" spans="1:11" x14ac:dyDescent="0.25">
      <c r="A1736" s="4">
        <v>12</v>
      </c>
      <c r="B1736" s="4" t="s">
        <v>11</v>
      </c>
      <c r="C1736" s="7">
        <v>30.86</v>
      </c>
      <c r="D1736" s="4" t="s">
        <v>19</v>
      </c>
      <c r="E1736" s="4" t="s">
        <v>17</v>
      </c>
      <c r="F1736" s="4" t="s">
        <v>25</v>
      </c>
      <c r="G1736" s="4" t="s">
        <v>37</v>
      </c>
      <c r="H1736" s="4">
        <v>1</v>
      </c>
      <c r="I1736" s="4">
        <v>10</v>
      </c>
      <c r="J1736" s="5">
        <v>45572</v>
      </c>
      <c r="K1736" s="6">
        <v>0.51245370370370369</v>
      </c>
    </row>
    <row r="1737" spans="1:11" x14ac:dyDescent="0.25">
      <c r="A1737" s="4">
        <v>14</v>
      </c>
      <c r="B1737" s="4" t="s">
        <v>11</v>
      </c>
      <c r="C1737" s="7">
        <v>25.96</v>
      </c>
      <c r="D1737" s="4" t="s">
        <v>18</v>
      </c>
      <c r="E1737" s="4" t="s">
        <v>17</v>
      </c>
      <c r="F1737" s="4" t="s">
        <v>25</v>
      </c>
      <c r="G1737" s="4" t="s">
        <v>37</v>
      </c>
      <c r="H1737" s="4">
        <v>1</v>
      </c>
      <c r="I1737" s="4">
        <v>10</v>
      </c>
      <c r="J1737" s="5">
        <v>45572</v>
      </c>
      <c r="K1737" s="6">
        <v>0.60538194444444449</v>
      </c>
    </row>
    <row r="1738" spans="1:11" x14ac:dyDescent="0.25">
      <c r="A1738" s="4">
        <v>14</v>
      </c>
      <c r="B1738" s="4" t="s">
        <v>11</v>
      </c>
      <c r="C1738" s="7">
        <v>25.96</v>
      </c>
      <c r="D1738" s="4" t="s">
        <v>18</v>
      </c>
      <c r="E1738" s="4" t="s">
        <v>17</v>
      </c>
      <c r="F1738" s="4" t="s">
        <v>25</v>
      </c>
      <c r="G1738" s="4" t="s">
        <v>37</v>
      </c>
      <c r="H1738" s="4">
        <v>1</v>
      </c>
      <c r="I1738" s="4">
        <v>10</v>
      </c>
      <c r="J1738" s="5">
        <v>45572</v>
      </c>
      <c r="K1738" s="6">
        <v>0.60599537037037032</v>
      </c>
    </row>
    <row r="1739" spans="1:11" x14ac:dyDescent="0.25">
      <c r="A1739" s="4">
        <v>17</v>
      </c>
      <c r="B1739" s="4" t="s">
        <v>11</v>
      </c>
      <c r="C1739" s="7">
        <v>35.76</v>
      </c>
      <c r="D1739" s="4" t="s">
        <v>12</v>
      </c>
      <c r="E1739" s="4" t="s">
        <v>20</v>
      </c>
      <c r="F1739" s="4" t="s">
        <v>25</v>
      </c>
      <c r="G1739" s="4" t="s">
        <v>37</v>
      </c>
      <c r="H1739" s="4">
        <v>1</v>
      </c>
      <c r="I1739" s="4">
        <v>10</v>
      </c>
      <c r="J1739" s="5">
        <v>45572</v>
      </c>
      <c r="K1739" s="6">
        <v>0.74230324074074072</v>
      </c>
    </row>
    <row r="1740" spans="1:11" x14ac:dyDescent="0.25">
      <c r="A1740" s="4">
        <v>21</v>
      </c>
      <c r="B1740" s="4" t="s">
        <v>11</v>
      </c>
      <c r="C1740" s="7">
        <v>35.76</v>
      </c>
      <c r="D1740" s="4" t="s">
        <v>16</v>
      </c>
      <c r="E1740" s="4" t="s">
        <v>20</v>
      </c>
      <c r="F1740" s="4" t="s">
        <v>25</v>
      </c>
      <c r="G1740" s="4" t="s">
        <v>37</v>
      </c>
      <c r="H1740" s="4">
        <v>1</v>
      </c>
      <c r="I1740" s="4">
        <v>10</v>
      </c>
      <c r="J1740" s="5">
        <v>45572</v>
      </c>
      <c r="K1740" s="6">
        <v>0.88520833333333337</v>
      </c>
    </row>
    <row r="1741" spans="1:11" x14ac:dyDescent="0.25">
      <c r="A1741" s="4">
        <v>21</v>
      </c>
      <c r="B1741" s="4" t="s">
        <v>11</v>
      </c>
      <c r="C1741" s="7">
        <v>35.76</v>
      </c>
      <c r="D1741" s="4" t="s">
        <v>16</v>
      </c>
      <c r="E1741" s="4" t="s">
        <v>20</v>
      </c>
      <c r="F1741" s="4" t="s">
        <v>25</v>
      </c>
      <c r="G1741" s="4" t="s">
        <v>37</v>
      </c>
      <c r="H1741" s="4">
        <v>1</v>
      </c>
      <c r="I1741" s="4">
        <v>10</v>
      </c>
      <c r="J1741" s="5">
        <v>45572</v>
      </c>
      <c r="K1741" s="6">
        <v>0.88564814814814818</v>
      </c>
    </row>
    <row r="1742" spans="1:11" x14ac:dyDescent="0.25">
      <c r="A1742" s="4">
        <v>21</v>
      </c>
      <c r="B1742" s="4" t="s">
        <v>11</v>
      </c>
      <c r="C1742" s="7">
        <v>35.76</v>
      </c>
      <c r="D1742" s="4" t="s">
        <v>12</v>
      </c>
      <c r="E1742" s="4" t="s">
        <v>20</v>
      </c>
      <c r="F1742" s="4" t="s">
        <v>25</v>
      </c>
      <c r="G1742" s="4" t="s">
        <v>37</v>
      </c>
      <c r="H1742" s="4">
        <v>1</v>
      </c>
      <c r="I1742" s="4">
        <v>10</v>
      </c>
      <c r="J1742" s="5">
        <v>45572</v>
      </c>
      <c r="K1742" s="6">
        <v>0.90333333333333332</v>
      </c>
    </row>
    <row r="1743" spans="1:11" x14ac:dyDescent="0.25">
      <c r="A1743" s="4">
        <v>8</v>
      </c>
      <c r="B1743" s="4" t="s">
        <v>11</v>
      </c>
      <c r="C1743" s="7">
        <v>35.76</v>
      </c>
      <c r="D1743" s="4" t="s">
        <v>12</v>
      </c>
      <c r="E1743" s="4" t="s">
        <v>13</v>
      </c>
      <c r="F1743" s="4" t="s">
        <v>27</v>
      </c>
      <c r="G1743" s="4" t="s">
        <v>37</v>
      </c>
      <c r="H1743" s="4">
        <v>2</v>
      </c>
      <c r="I1743" s="4">
        <v>10</v>
      </c>
      <c r="J1743" s="5">
        <v>45573</v>
      </c>
      <c r="K1743" s="6">
        <v>0.34155092592592595</v>
      </c>
    </row>
    <row r="1744" spans="1:11" x14ac:dyDescent="0.25">
      <c r="A1744" s="4">
        <v>9</v>
      </c>
      <c r="B1744" s="4" t="s">
        <v>11</v>
      </c>
      <c r="C1744" s="7">
        <v>30.86</v>
      </c>
      <c r="D1744" s="4" t="s">
        <v>19</v>
      </c>
      <c r="E1744" s="4" t="s">
        <v>13</v>
      </c>
      <c r="F1744" s="4" t="s">
        <v>27</v>
      </c>
      <c r="G1744" s="4" t="s">
        <v>37</v>
      </c>
      <c r="H1744" s="4">
        <v>2</v>
      </c>
      <c r="I1744" s="4">
        <v>10</v>
      </c>
      <c r="J1744" s="5">
        <v>45573</v>
      </c>
      <c r="K1744" s="6">
        <v>0.37863425925925925</v>
      </c>
    </row>
    <row r="1745" spans="1:11" x14ac:dyDescent="0.25">
      <c r="A1745" s="4">
        <v>10</v>
      </c>
      <c r="B1745" s="4" t="s">
        <v>11</v>
      </c>
      <c r="C1745" s="7">
        <v>25.96</v>
      </c>
      <c r="D1745" s="4" t="s">
        <v>18</v>
      </c>
      <c r="E1745" s="4" t="s">
        <v>13</v>
      </c>
      <c r="F1745" s="4" t="s">
        <v>27</v>
      </c>
      <c r="G1745" s="4" t="s">
        <v>37</v>
      </c>
      <c r="H1745" s="4">
        <v>2</v>
      </c>
      <c r="I1745" s="4">
        <v>10</v>
      </c>
      <c r="J1745" s="5">
        <v>45573</v>
      </c>
      <c r="K1745" s="6">
        <v>0.43230324074074072</v>
      </c>
    </row>
    <row r="1746" spans="1:11" x14ac:dyDescent="0.25">
      <c r="A1746" s="4">
        <v>10</v>
      </c>
      <c r="B1746" s="4" t="s">
        <v>11</v>
      </c>
      <c r="C1746" s="7">
        <v>35.76</v>
      </c>
      <c r="D1746" s="4" t="s">
        <v>12</v>
      </c>
      <c r="E1746" s="4" t="s">
        <v>13</v>
      </c>
      <c r="F1746" s="4" t="s">
        <v>27</v>
      </c>
      <c r="G1746" s="4" t="s">
        <v>37</v>
      </c>
      <c r="H1746" s="4">
        <v>2</v>
      </c>
      <c r="I1746" s="4">
        <v>10</v>
      </c>
      <c r="J1746" s="5">
        <v>45573</v>
      </c>
      <c r="K1746" s="6">
        <v>0.43550925925925926</v>
      </c>
    </row>
    <row r="1747" spans="1:11" x14ac:dyDescent="0.25">
      <c r="A1747" s="4">
        <v>11</v>
      </c>
      <c r="B1747" s="4" t="s">
        <v>11</v>
      </c>
      <c r="C1747" s="7">
        <v>35.76</v>
      </c>
      <c r="D1747" s="4" t="s">
        <v>12</v>
      </c>
      <c r="E1747" s="4" t="s">
        <v>13</v>
      </c>
      <c r="F1747" s="4" t="s">
        <v>27</v>
      </c>
      <c r="G1747" s="4" t="s">
        <v>37</v>
      </c>
      <c r="H1747" s="4">
        <v>2</v>
      </c>
      <c r="I1747" s="4">
        <v>10</v>
      </c>
      <c r="J1747" s="5">
        <v>45573</v>
      </c>
      <c r="K1747" s="6">
        <v>0.47928240740740741</v>
      </c>
    </row>
    <row r="1748" spans="1:11" x14ac:dyDescent="0.25">
      <c r="A1748" s="4">
        <v>12</v>
      </c>
      <c r="B1748" s="4" t="s">
        <v>11</v>
      </c>
      <c r="C1748" s="7">
        <v>25.96</v>
      </c>
      <c r="D1748" s="4" t="s">
        <v>18</v>
      </c>
      <c r="E1748" s="4" t="s">
        <v>17</v>
      </c>
      <c r="F1748" s="4" t="s">
        <v>27</v>
      </c>
      <c r="G1748" s="4" t="s">
        <v>37</v>
      </c>
      <c r="H1748" s="4">
        <v>2</v>
      </c>
      <c r="I1748" s="4">
        <v>10</v>
      </c>
      <c r="J1748" s="5">
        <v>45573</v>
      </c>
      <c r="K1748" s="6">
        <v>0.53337962962962959</v>
      </c>
    </row>
    <row r="1749" spans="1:11" x14ac:dyDescent="0.25">
      <c r="A1749" s="4">
        <v>12</v>
      </c>
      <c r="B1749" s="4" t="s">
        <v>11</v>
      </c>
      <c r="C1749" s="7">
        <v>25.96</v>
      </c>
      <c r="D1749" s="4" t="s">
        <v>18</v>
      </c>
      <c r="E1749" s="4" t="s">
        <v>17</v>
      </c>
      <c r="F1749" s="4" t="s">
        <v>27</v>
      </c>
      <c r="G1749" s="4" t="s">
        <v>37</v>
      </c>
      <c r="H1749" s="4">
        <v>2</v>
      </c>
      <c r="I1749" s="4">
        <v>10</v>
      </c>
      <c r="J1749" s="5">
        <v>45573</v>
      </c>
      <c r="K1749" s="6">
        <v>0.53407407407407403</v>
      </c>
    </row>
    <row r="1750" spans="1:11" x14ac:dyDescent="0.25">
      <c r="A1750" s="4">
        <v>13</v>
      </c>
      <c r="B1750" s="4" t="s">
        <v>11</v>
      </c>
      <c r="C1750" s="7">
        <v>35.76</v>
      </c>
      <c r="D1750" s="4" t="s">
        <v>12</v>
      </c>
      <c r="E1750" s="4" t="s">
        <v>17</v>
      </c>
      <c r="F1750" s="4" t="s">
        <v>27</v>
      </c>
      <c r="G1750" s="4" t="s">
        <v>37</v>
      </c>
      <c r="H1750" s="4">
        <v>2</v>
      </c>
      <c r="I1750" s="4">
        <v>10</v>
      </c>
      <c r="J1750" s="5">
        <v>45573</v>
      </c>
      <c r="K1750" s="6">
        <v>0.5444444444444444</v>
      </c>
    </row>
    <row r="1751" spans="1:11" x14ac:dyDescent="0.25">
      <c r="A1751" s="4">
        <v>13</v>
      </c>
      <c r="B1751" s="4" t="s">
        <v>11</v>
      </c>
      <c r="C1751" s="7">
        <v>35.76</v>
      </c>
      <c r="D1751" s="4" t="s">
        <v>12</v>
      </c>
      <c r="E1751" s="4" t="s">
        <v>17</v>
      </c>
      <c r="F1751" s="4" t="s">
        <v>27</v>
      </c>
      <c r="G1751" s="4" t="s">
        <v>37</v>
      </c>
      <c r="H1751" s="4">
        <v>2</v>
      </c>
      <c r="I1751" s="4">
        <v>10</v>
      </c>
      <c r="J1751" s="5">
        <v>45573</v>
      </c>
      <c r="K1751" s="6">
        <v>0.5451273148148148</v>
      </c>
    </row>
    <row r="1752" spans="1:11" x14ac:dyDescent="0.25">
      <c r="A1752" s="4">
        <v>14</v>
      </c>
      <c r="B1752" s="4" t="s">
        <v>11</v>
      </c>
      <c r="C1752" s="7">
        <v>35.76</v>
      </c>
      <c r="D1752" s="4" t="s">
        <v>12</v>
      </c>
      <c r="E1752" s="4" t="s">
        <v>17</v>
      </c>
      <c r="F1752" s="4" t="s">
        <v>27</v>
      </c>
      <c r="G1752" s="4" t="s">
        <v>37</v>
      </c>
      <c r="H1752" s="4">
        <v>2</v>
      </c>
      <c r="I1752" s="4">
        <v>10</v>
      </c>
      <c r="J1752" s="5">
        <v>45573</v>
      </c>
      <c r="K1752" s="6">
        <v>0.61310185185185184</v>
      </c>
    </row>
    <row r="1753" spans="1:11" x14ac:dyDescent="0.25">
      <c r="A1753" s="4">
        <v>15</v>
      </c>
      <c r="B1753" s="4" t="s">
        <v>11</v>
      </c>
      <c r="C1753" s="7">
        <v>35.76</v>
      </c>
      <c r="D1753" s="4" t="s">
        <v>12</v>
      </c>
      <c r="E1753" s="4" t="s">
        <v>17</v>
      </c>
      <c r="F1753" s="4" t="s">
        <v>27</v>
      </c>
      <c r="G1753" s="4" t="s">
        <v>37</v>
      </c>
      <c r="H1753" s="4">
        <v>2</v>
      </c>
      <c r="I1753" s="4">
        <v>10</v>
      </c>
      <c r="J1753" s="5">
        <v>45573</v>
      </c>
      <c r="K1753" s="6">
        <v>0.63450231481481478</v>
      </c>
    </row>
    <row r="1754" spans="1:11" x14ac:dyDescent="0.25">
      <c r="A1754" s="4">
        <v>15</v>
      </c>
      <c r="B1754" s="4" t="s">
        <v>11</v>
      </c>
      <c r="C1754" s="7">
        <v>25.96</v>
      </c>
      <c r="D1754" s="4" t="s">
        <v>18</v>
      </c>
      <c r="E1754" s="4" t="s">
        <v>17</v>
      </c>
      <c r="F1754" s="4" t="s">
        <v>27</v>
      </c>
      <c r="G1754" s="4" t="s">
        <v>37</v>
      </c>
      <c r="H1754" s="4">
        <v>2</v>
      </c>
      <c r="I1754" s="4">
        <v>10</v>
      </c>
      <c r="J1754" s="5">
        <v>45573</v>
      </c>
      <c r="K1754" s="6">
        <v>0.63879629629629631</v>
      </c>
    </row>
    <row r="1755" spans="1:11" x14ac:dyDescent="0.25">
      <c r="A1755" s="4">
        <v>15</v>
      </c>
      <c r="B1755" s="4" t="s">
        <v>11</v>
      </c>
      <c r="C1755" s="7">
        <v>30.86</v>
      </c>
      <c r="D1755" s="4" t="s">
        <v>19</v>
      </c>
      <c r="E1755" s="4" t="s">
        <v>17</v>
      </c>
      <c r="F1755" s="4" t="s">
        <v>27</v>
      </c>
      <c r="G1755" s="4" t="s">
        <v>37</v>
      </c>
      <c r="H1755" s="4">
        <v>2</v>
      </c>
      <c r="I1755" s="4">
        <v>10</v>
      </c>
      <c r="J1755" s="5">
        <v>45573</v>
      </c>
      <c r="K1755" s="6">
        <v>0.66021990740740744</v>
      </c>
    </row>
    <row r="1756" spans="1:11" x14ac:dyDescent="0.25">
      <c r="A1756" s="4">
        <v>20</v>
      </c>
      <c r="B1756" s="4" t="s">
        <v>11</v>
      </c>
      <c r="C1756" s="7">
        <v>35.76</v>
      </c>
      <c r="D1756" s="4" t="s">
        <v>16</v>
      </c>
      <c r="E1756" s="4" t="s">
        <v>20</v>
      </c>
      <c r="F1756" s="4" t="s">
        <v>27</v>
      </c>
      <c r="G1756" s="4" t="s">
        <v>37</v>
      </c>
      <c r="H1756" s="4">
        <v>2</v>
      </c>
      <c r="I1756" s="4">
        <v>10</v>
      </c>
      <c r="J1756" s="5">
        <v>45573</v>
      </c>
      <c r="K1756" s="6">
        <v>0.86157407407407405</v>
      </c>
    </row>
    <row r="1757" spans="1:11" x14ac:dyDescent="0.25">
      <c r="A1757" s="4">
        <v>20</v>
      </c>
      <c r="B1757" s="4" t="s">
        <v>11</v>
      </c>
      <c r="C1757" s="7">
        <v>35.76</v>
      </c>
      <c r="D1757" s="4" t="s">
        <v>29</v>
      </c>
      <c r="E1757" s="4" t="s">
        <v>20</v>
      </c>
      <c r="F1757" s="4" t="s">
        <v>27</v>
      </c>
      <c r="G1757" s="4" t="s">
        <v>37</v>
      </c>
      <c r="H1757" s="4">
        <v>2</v>
      </c>
      <c r="I1757" s="4">
        <v>10</v>
      </c>
      <c r="J1757" s="5">
        <v>45573</v>
      </c>
      <c r="K1757" s="6">
        <v>0.8621875</v>
      </c>
    </row>
    <row r="1758" spans="1:11" x14ac:dyDescent="0.25">
      <c r="A1758" s="4">
        <v>20</v>
      </c>
      <c r="B1758" s="4" t="s">
        <v>11</v>
      </c>
      <c r="C1758" s="7">
        <v>35.76</v>
      </c>
      <c r="D1758" s="4" t="s">
        <v>12</v>
      </c>
      <c r="E1758" s="4" t="s">
        <v>20</v>
      </c>
      <c r="F1758" s="4" t="s">
        <v>27</v>
      </c>
      <c r="G1758" s="4" t="s">
        <v>37</v>
      </c>
      <c r="H1758" s="4">
        <v>2</v>
      </c>
      <c r="I1758" s="4">
        <v>10</v>
      </c>
      <c r="J1758" s="5">
        <v>45573</v>
      </c>
      <c r="K1758" s="6">
        <v>0.86884259259259256</v>
      </c>
    </row>
    <row r="1759" spans="1:11" x14ac:dyDescent="0.25">
      <c r="A1759" s="4">
        <v>21</v>
      </c>
      <c r="B1759" s="4" t="s">
        <v>11</v>
      </c>
      <c r="C1759" s="7">
        <v>30.86</v>
      </c>
      <c r="D1759" s="4" t="s">
        <v>19</v>
      </c>
      <c r="E1759" s="4" t="s">
        <v>20</v>
      </c>
      <c r="F1759" s="4" t="s">
        <v>27</v>
      </c>
      <c r="G1759" s="4" t="s">
        <v>37</v>
      </c>
      <c r="H1759" s="4">
        <v>2</v>
      </c>
      <c r="I1759" s="4">
        <v>10</v>
      </c>
      <c r="J1759" s="5">
        <v>45573</v>
      </c>
      <c r="K1759" s="6">
        <v>0.89203703703703707</v>
      </c>
    </row>
    <row r="1760" spans="1:11" x14ac:dyDescent="0.25">
      <c r="A1760" s="4">
        <v>21</v>
      </c>
      <c r="B1760" s="4" t="s">
        <v>11</v>
      </c>
      <c r="C1760" s="7">
        <v>30.86</v>
      </c>
      <c r="D1760" s="4" t="s">
        <v>19</v>
      </c>
      <c r="E1760" s="4" t="s">
        <v>20</v>
      </c>
      <c r="F1760" s="4" t="s">
        <v>27</v>
      </c>
      <c r="G1760" s="4" t="s">
        <v>37</v>
      </c>
      <c r="H1760" s="4">
        <v>2</v>
      </c>
      <c r="I1760" s="4">
        <v>10</v>
      </c>
      <c r="J1760" s="5">
        <v>45573</v>
      </c>
      <c r="K1760" s="6">
        <v>0.89273148148148151</v>
      </c>
    </row>
    <row r="1761" spans="1:11" x14ac:dyDescent="0.25">
      <c r="A1761" s="4">
        <v>7</v>
      </c>
      <c r="B1761" s="4" t="s">
        <v>11</v>
      </c>
      <c r="C1761" s="7">
        <v>35.76</v>
      </c>
      <c r="D1761" s="4" t="s">
        <v>12</v>
      </c>
      <c r="E1761" s="4" t="s">
        <v>13</v>
      </c>
      <c r="F1761" s="4" t="s">
        <v>28</v>
      </c>
      <c r="G1761" s="4" t="s">
        <v>37</v>
      </c>
      <c r="H1761" s="4">
        <v>3</v>
      </c>
      <c r="I1761" s="4">
        <v>10</v>
      </c>
      <c r="J1761" s="5">
        <v>45574</v>
      </c>
      <c r="K1761" s="6">
        <v>0.32965277777777779</v>
      </c>
    </row>
    <row r="1762" spans="1:11" x14ac:dyDescent="0.25">
      <c r="A1762" s="4">
        <v>8</v>
      </c>
      <c r="B1762" s="4" t="s">
        <v>11</v>
      </c>
      <c r="C1762" s="7">
        <v>30.86</v>
      </c>
      <c r="D1762" s="4" t="s">
        <v>19</v>
      </c>
      <c r="E1762" s="4" t="s">
        <v>13</v>
      </c>
      <c r="F1762" s="4" t="s">
        <v>28</v>
      </c>
      <c r="G1762" s="4" t="s">
        <v>37</v>
      </c>
      <c r="H1762" s="4">
        <v>3</v>
      </c>
      <c r="I1762" s="4">
        <v>10</v>
      </c>
      <c r="J1762" s="5">
        <v>45574</v>
      </c>
      <c r="K1762" s="6">
        <v>0.35135416666666669</v>
      </c>
    </row>
    <row r="1763" spans="1:11" x14ac:dyDescent="0.25">
      <c r="A1763" s="4">
        <v>9</v>
      </c>
      <c r="B1763" s="4" t="s">
        <v>11</v>
      </c>
      <c r="C1763" s="7">
        <v>30.86</v>
      </c>
      <c r="D1763" s="4" t="s">
        <v>19</v>
      </c>
      <c r="E1763" s="4" t="s">
        <v>13</v>
      </c>
      <c r="F1763" s="4" t="s">
        <v>28</v>
      </c>
      <c r="G1763" s="4" t="s">
        <v>37</v>
      </c>
      <c r="H1763" s="4">
        <v>3</v>
      </c>
      <c r="I1763" s="4">
        <v>10</v>
      </c>
      <c r="J1763" s="5">
        <v>45574</v>
      </c>
      <c r="K1763" s="6">
        <v>0.40510416666666665</v>
      </c>
    </row>
    <row r="1764" spans="1:11" x14ac:dyDescent="0.25">
      <c r="A1764" s="4">
        <v>9</v>
      </c>
      <c r="B1764" s="4" t="s">
        <v>11</v>
      </c>
      <c r="C1764" s="7">
        <v>35.76</v>
      </c>
      <c r="D1764" s="4" t="s">
        <v>12</v>
      </c>
      <c r="E1764" s="4" t="s">
        <v>13</v>
      </c>
      <c r="F1764" s="4" t="s">
        <v>28</v>
      </c>
      <c r="G1764" s="4" t="s">
        <v>37</v>
      </c>
      <c r="H1764" s="4">
        <v>3</v>
      </c>
      <c r="I1764" s="4">
        <v>10</v>
      </c>
      <c r="J1764" s="5">
        <v>45574</v>
      </c>
      <c r="K1764" s="6">
        <v>0.41642361111111109</v>
      </c>
    </row>
    <row r="1765" spans="1:11" x14ac:dyDescent="0.25">
      <c r="A1765" s="4">
        <v>10</v>
      </c>
      <c r="B1765" s="4" t="s">
        <v>11</v>
      </c>
      <c r="C1765" s="7">
        <v>21.06</v>
      </c>
      <c r="D1765" s="4" t="s">
        <v>26</v>
      </c>
      <c r="E1765" s="4" t="s">
        <v>13</v>
      </c>
      <c r="F1765" s="4" t="s">
        <v>28</v>
      </c>
      <c r="G1765" s="4" t="s">
        <v>37</v>
      </c>
      <c r="H1765" s="4">
        <v>3</v>
      </c>
      <c r="I1765" s="4">
        <v>10</v>
      </c>
      <c r="J1765" s="5">
        <v>45574</v>
      </c>
      <c r="K1765" s="6">
        <v>0.44300925925925927</v>
      </c>
    </row>
    <row r="1766" spans="1:11" x14ac:dyDescent="0.25">
      <c r="A1766" s="4">
        <v>11</v>
      </c>
      <c r="B1766" s="4" t="s">
        <v>11</v>
      </c>
      <c r="C1766" s="7">
        <v>25.96</v>
      </c>
      <c r="D1766" s="4" t="s">
        <v>18</v>
      </c>
      <c r="E1766" s="4" t="s">
        <v>13</v>
      </c>
      <c r="F1766" s="4" t="s">
        <v>28</v>
      </c>
      <c r="G1766" s="4" t="s">
        <v>37</v>
      </c>
      <c r="H1766" s="4">
        <v>3</v>
      </c>
      <c r="I1766" s="4">
        <v>10</v>
      </c>
      <c r="J1766" s="5">
        <v>45574</v>
      </c>
      <c r="K1766" s="6">
        <v>0.47085648148148146</v>
      </c>
    </row>
    <row r="1767" spans="1:11" x14ac:dyDescent="0.25">
      <c r="A1767" s="4">
        <v>13</v>
      </c>
      <c r="B1767" s="4" t="s">
        <v>11</v>
      </c>
      <c r="C1767" s="7">
        <v>35.76</v>
      </c>
      <c r="D1767" s="4" t="s">
        <v>12</v>
      </c>
      <c r="E1767" s="4" t="s">
        <v>17</v>
      </c>
      <c r="F1767" s="4" t="s">
        <v>28</v>
      </c>
      <c r="G1767" s="4" t="s">
        <v>37</v>
      </c>
      <c r="H1767" s="4">
        <v>3</v>
      </c>
      <c r="I1767" s="4">
        <v>10</v>
      </c>
      <c r="J1767" s="5">
        <v>45574</v>
      </c>
      <c r="K1767" s="6">
        <v>0.5438425925925926</v>
      </c>
    </row>
    <row r="1768" spans="1:11" x14ac:dyDescent="0.25">
      <c r="A1768" s="4">
        <v>13</v>
      </c>
      <c r="B1768" s="4" t="s">
        <v>11</v>
      </c>
      <c r="C1768" s="7">
        <v>30.86</v>
      </c>
      <c r="D1768" s="4" t="s">
        <v>19</v>
      </c>
      <c r="E1768" s="4" t="s">
        <v>17</v>
      </c>
      <c r="F1768" s="4" t="s">
        <v>28</v>
      </c>
      <c r="G1768" s="4" t="s">
        <v>37</v>
      </c>
      <c r="H1768" s="4">
        <v>3</v>
      </c>
      <c r="I1768" s="4">
        <v>10</v>
      </c>
      <c r="J1768" s="5">
        <v>45574</v>
      </c>
      <c r="K1768" s="6">
        <v>0.57817129629629627</v>
      </c>
    </row>
    <row r="1769" spans="1:11" x14ac:dyDescent="0.25">
      <c r="A1769" s="4">
        <v>17</v>
      </c>
      <c r="B1769" s="4" t="s">
        <v>11</v>
      </c>
      <c r="C1769" s="7">
        <v>35.76</v>
      </c>
      <c r="D1769" s="4" t="s">
        <v>29</v>
      </c>
      <c r="E1769" s="4" t="s">
        <v>20</v>
      </c>
      <c r="F1769" s="4" t="s">
        <v>28</v>
      </c>
      <c r="G1769" s="4" t="s">
        <v>37</v>
      </c>
      <c r="H1769" s="4">
        <v>3</v>
      </c>
      <c r="I1769" s="4">
        <v>10</v>
      </c>
      <c r="J1769" s="5">
        <v>45574</v>
      </c>
      <c r="K1769" s="6">
        <v>0.72689814814814813</v>
      </c>
    </row>
    <row r="1770" spans="1:11" x14ac:dyDescent="0.25">
      <c r="A1770" s="4">
        <v>17</v>
      </c>
      <c r="B1770" s="4" t="s">
        <v>11</v>
      </c>
      <c r="C1770" s="7">
        <v>25.96</v>
      </c>
      <c r="D1770" s="4" t="s">
        <v>18</v>
      </c>
      <c r="E1770" s="4" t="s">
        <v>20</v>
      </c>
      <c r="F1770" s="4" t="s">
        <v>28</v>
      </c>
      <c r="G1770" s="4" t="s">
        <v>37</v>
      </c>
      <c r="H1770" s="4">
        <v>3</v>
      </c>
      <c r="I1770" s="4">
        <v>10</v>
      </c>
      <c r="J1770" s="5">
        <v>45574</v>
      </c>
      <c r="K1770" s="6">
        <v>0.72763888888888884</v>
      </c>
    </row>
    <row r="1771" spans="1:11" x14ac:dyDescent="0.25">
      <c r="A1771" s="4">
        <v>17</v>
      </c>
      <c r="B1771" s="4" t="s">
        <v>11</v>
      </c>
      <c r="C1771" s="7">
        <v>21.06</v>
      </c>
      <c r="D1771" s="4" t="s">
        <v>26</v>
      </c>
      <c r="E1771" s="4" t="s">
        <v>20</v>
      </c>
      <c r="F1771" s="4" t="s">
        <v>28</v>
      </c>
      <c r="G1771" s="4" t="s">
        <v>37</v>
      </c>
      <c r="H1771" s="4">
        <v>3</v>
      </c>
      <c r="I1771" s="4">
        <v>10</v>
      </c>
      <c r="J1771" s="5">
        <v>45574</v>
      </c>
      <c r="K1771" s="6">
        <v>0.74304398148148143</v>
      </c>
    </row>
    <row r="1772" spans="1:11" x14ac:dyDescent="0.25">
      <c r="A1772" s="4">
        <v>20</v>
      </c>
      <c r="B1772" s="4" t="s">
        <v>11</v>
      </c>
      <c r="C1772" s="7">
        <v>35.76</v>
      </c>
      <c r="D1772" s="4" t="s">
        <v>29</v>
      </c>
      <c r="E1772" s="4" t="s">
        <v>20</v>
      </c>
      <c r="F1772" s="4" t="s">
        <v>28</v>
      </c>
      <c r="G1772" s="4" t="s">
        <v>37</v>
      </c>
      <c r="H1772" s="4">
        <v>3</v>
      </c>
      <c r="I1772" s="4">
        <v>10</v>
      </c>
      <c r="J1772" s="5">
        <v>45574</v>
      </c>
      <c r="K1772" s="6">
        <v>0.86750000000000005</v>
      </c>
    </row>
    <row r="1773" spans="1:11" x14ac:dyDescent="0.25">
      <c r="A1773" s="4">
        <v>8</v>
      </c>
      <c r="B1773" s="4" t="s">
        <v>11</v>
      </c>
      <c r="C1773" s="7">
        <v>25.96</v>
      </c>
      <c r="D1773" s="4" t="s">
        <v>18</v>
      </c>
      <c r="E1773" s="4" t="s">
        <v>13</v>
      </c>
      <c r="F1773" s="4" t="s">
        <v>30</v>
      </c>
      <c r="G1773" s="4" t="s">
        <v>37</v>
      </c>
      <c r="H1773" s="4">
        <v>4</v>
      </c>
      <c r="I1773" s="4">
        <v>10</v>
      </c>
      <c r="J1773" s="5">
        <v>45575</v>
      </c>
      <c r="K1773" s="6">
        <v>0.3667361111111111</v>
      </c>
    </row>
    <row r="1774" spans="1:11" x14ac:dyDescent="0.25">
      <c r="A1774" s="4">
        <v>9</v>
      </c>
      <c r="B1774" s="4" t="s">
        <v>11</v>
      </c>
      <c r="C1774" s="7">
        <v>30.86</v>
      </c>
      <c r="D1774" s="4" t="s">
        <v>19</v>
      </c>
      <c r="E1774" s="4" t="s">
        <v>13</v>
      </c>
      <c r="F1774" s="4" t="s">
        <v>30</v>
      </c>
      <c r="G1774" s="4" t="s">
        <v>37</v>
      </c>
      <c r="H1774" s="4">
        <v>4</v>
      </c>
      <c r="I1774" s="4">
        <v>10</v>
      </c>
      <c r="J1774" s="5">
        <v>45575</v>
      </c>
      <c r="K1774" s="6">
        <v>0.39120370370370372</v>
      </c>
    </row>
    <row r="1775" spans="1:11" x14ac:dyDescent="0.25">
      <c r="A1775" s="4">
        <v>9</v>
      </c>
      <c r="B1775" s="4" t="s">
        <v>11</v>
      </c>
      <c r="C1775" s="7">
        <v>35.76</v>
      </c>
      <c r="D1775" s="4" t="s">
        <v>16</v>
      </c>
      <c r="E1775" s="4" t="s">
        <v>13</v>
      </c>
      <c r="F1775" s="4" t="s">
        <v>30</v>
      </c>
      <c r="G1775" s="4" t="s">
        <v>37</v>
      </c>
      <c r="H1775" s="4">
        <v>4</v>
      </c>
      <c r="I1775" s="4">
        <v>10</v>
      </c>
      <c r="J1775" s="5">
        <v>45575</v>
      </c>
      <c r="K1775" s="6">
        <v>0.41092592592592592</v>
      </c>
    </row>
    <row r="1776" spans="1:11" x14ac:dyDescent="0.25">
      <c r="A1776" s="4">
        <v>10</v>
      </c>
      <c r="B1776" s="4" t="s">
        <v>11</v>
      </c>
      <c r="C1776" s="7">
        <v>35.76</v>
      </c>
      <c r="D1776" s="4" t="s">
        <v>12</v>
      </c>
      <c r="E1776" s="4" t="s">
        <v>13</v>
      </c>
      <c r="F1776" s="4" t="s">
        <v>30</v>
      </c>
      <c r="G1776" s="4" t="s">
        <v>37</v>
      </c>
      <c r="H1776" s="4">
        <v>4</v>
      </c>
      <c r="I1776" s="4">
        <v>10</v>
      </c>
      <c r="J1776" s="5">
        <v>45575</v>
      </c>
      <c r="K1776" s="6">
        <v>0.42024305555555558</v>
      </c>
    </row>
    <row r="1777" spans="1:11" x14ac:dyDescent="0.25">
      <c r="A1777" s="4">
        <v>10</v>
      </c>
      <c r="B1777" s="4" t="s">
        <v>11</v>
      </c>
      <c r="C1777" s="7">
        <v>25.96</v>
      </c>
      <c r="D1777" s="4" t="s">
        <v>24</v>
      </c>
      <c r="E1777" s="4" t="s">
        <v>13</v>
      </c>
      <c r="F1777" s="4" t="s">
        <v>30</v>
      </c>
      <c r="G1777" s="4" t="s">
        <v>37</v>
      </c>
      <c r="H1777" s="4">
        <v>4</v>
      </c>
      <c r="I1777" s="4">
        <v>10</v>
      </c>
      <c r="J1777" s="5">
        <v>45575</v>
      </c>
      <c r="K1777" s="6">
        <v>0.44633101851851853</v>
      </c>
    </row>
    <row r="1778" spans="1:11" x14ac:dyDescent="0.25">
      <c r="A1778" s="4">
        <v>10</v>
      </c>
      <c r="B1778" s="4" t="s">
        <v>11</v>
      </c>
      <c r="C1778" s="7">
        <v>25.96</v>
      </c>
      <c r="D1778" s="4" t="s">
        <v>24</v>
      </c>
      <c r="E1778" s="4" t="s">
        <v>13</v>
      </c>
      <c r="F1778" s="4" t="s">
        <v>30</v>
      </c>
      <c r="G1778" s="4" t="s">
        <v>37</v>
      </c>
      <c r="H1778" s="4">
        <v>4</v>
      </c>
      <c r="I1778" s="4">
        <v>10</v>
      </c>
      <c r="J1778" s="5">
        <v>45575</v>
      </c>
      <c r="K1778" s="6">
        <v>0.44687500000000002</v>
      </c>
    </row>
    <row r="1779" spans="1:11" x14ac:dyDescent="0.25">
      <c r="A1779" s="4">
        <v>10</v>
      </c>
      <c r="B1779" s="4" t="s">
        <v>11</v>
      </c>
      <c r="C1779" s="7">
        <v>35.76</v>
      </c>
      <c r="D1779" s="4" t="s">
        <v>12</v>
      </c>
      <c r="E1779" s="4" t="s">
        <v>13</v>
      </c>
      <c r="F1779" s="4" t="s">
        <v>30</v>
      </c>
      <c r="G1779" s="4" t="s">
        <v>37</v>
      </c>
      <c r="H1779" s="4">
        <v>4</v>
      </c>
      <c r="I1779" s="4">
        <v>10</v>
      </c>
      <c r="J1779" s="5">
        <v>45575</v>
      </c>
      <c r="K1779" s="6">
        <v>0.45523148148148146</v>
      </c>
    </row>
    <row r="1780" spans="1:11" x14ac:dyDescent="0.25">
      <c r="A1780" s="4">
        <v>11</v>
      </c>
      <c r="B1780" s="4" t="s">
        <v>11</v>
      </c>
      <c r="C1780" s="7">
        <v>35.76</v>
      </c>
      <c r="D1780" s="4" t="s">
        <v>12</v>
      </c>
      <c r="E1780" s="4" t="s">
        <v>13</v>
      </c>
      <c r="F1780" s="4" t="s">
        <v>30</v>
      </c>
      <c r="G1780" s="4" t="s">
        <v>37</v>
      </c>
      <c r="H1780" s="4">
        <v>4</v>
      </c>
      <c r="I1780" s="4">
        <v>10</v>
      </c>
      <c r="J1780" s="5">
        <v>45575</v>
      </c>
      <c r="K1780" s="6">
        <v>0.46133101851851854</v>
      </c>
    </row>
    <row r="1781" spans="1:11" x14ac:dyDescent="0.25">
      <c r="A1781" s="4">
        <v>15</v>
      </c>
      <c r="B1781" s="4" t="s">
        <v>11</v>
      </c>
      <c r="C1781" s="7">
        <v>35.76</v>
      </c>
      <c r="D1781" s="4" t="s">
        <v>29</v>
      </c>
      <c r="E1781" s="4" t="s">
        <v>17</v>
      </c>
      <c r="F1781" s="4" t="s">
        <v>30</v>
      </c>
      <c r="G1781" s="4" t="s">
        <v>37</v>
      </c>
      <c r="H1781" s="4">
        <v>4</v>
      </c>
      <c r="I1781" s="4">
        <v>10</v>
      </c>
      <c r="J1781" s="5">
        <v>45575</v>
      </c>
      <c r="K1781" s="6">
        <v>0.62895833333333329</v>
      </c>
    </row>
    <row r="1782" spans="1:11" x14ac:dyDescent="0.25">
      <c r="A1782" s="4">
        <v>17</v>
      </c>
      <c r="B1782" s="4" t="s">
        <v>11</v>
      </c>
      <c r="C1782" s="7">
        <v>35.76</v>
      </c>
      <c r="D1782" s="4" t="s">
        <v>12</v>
      </c>
      <c r="E1782" s="4" t="s">
        <v>20</v>
      </c>
      <c r="F1782" s="4" t="s">
        <v>30</v>
      </c>
      <c r="G1782" s="4" t="s">
        <v>37</v>
      </c>
      <c r="H1782" s="4">
        <v>4</v>
      </c>
      <c r="I1782" s="4">
        <v>10</v>
      </c>
      <c r="J1782" s="5">
        <v>45575</v>
      </c>
      <c r="K1782" s="6">
        <v>0.73662037037037043</v>
      </c>
    </row>
    <row r="1783" spans="1:11" x14ac:dyDescent="0.25">
      <c r="A1783" s="4">
        <v>18</v>
      </c>
      <c r="B1783" s="4" t="s">
        <v>11</v>
      </c>
      <c r="C1783" s="7">
        <v>25.96</v>
      </c>
      <c r="D1783" s="4" t="s">
        <v>18</v>
      </c>
      <c r="E1783" s="4" t="s">
        <v>20</v>
      </c>
      <c r="F1783" s="4" t="s">
        <v>30</v>
      </c>
      <c r="G1783" s="4" t="s">
        <v>37</v>
      </c>
      <c r="H1783" s="4">
        <v>4</v>
      </c>
      <c r="I1783" s="4">
        <v>10</v>
      </c>
      <c r="J1783" s="5">
        <v>45575</v>
      </c>
      <c r="K1783" s="6">
        <v>0.76287037037037042</v>
      </c>
    </row>
    <row r="1784" spans="1:11" x14ac:dyDescent="0.25">
      <c r="A1784" s="4">
        <v>18</v>
      </c>
      <c r="B1784" s="4" t="s">
        <v>11</v>
      </c>
      <c r="C1784" s="7">
        <v>30.86</v>
      </c>
      <c r="D1784" s="4" t="s">
        <v>19</v>
      </c>
      <c r="E1784" s="4" t="s">
        <v>20</v>
      </c>
      <c r="F1784" s="4" t="s">
        <v>30</v>
      </c>
      <c r="G1784" s="4" t="s">
        <v>37</v>
      </c>
      <c r="H1784" s="4">
        <v>4</v>
      </c>
      <c r="I1784" s="4">
        <v>10</v>
      </c>
      <c r="J1784" s="5">
        <v>45575</v>
      </c>
      <c r="K1784" s="6">
        <v>0.78923611111111114</v>
      </c>
    </row>
    <row r="1785" spans="1:11" x14ac:dyDescent="0.25">
      <c r="A1785" s="4">
        <v>18</v>
      </c>
      <c r="B1785" s="4" t="s">
        <v>11</v>
      </c>
      <c r="C1785" s="7">
        <v>35.76</v>
      </c>
      <c r="D1785" s="4" t="s">
        <v>12</v>
      </c>
      <c r="E1785" s="4" t="s">
        <v>20</v>
      </c>
      <c r="F1785" s="4" t="s">
        <v>30</v>
      </c>
      <c r="G1785" s="4" t="s">
        <v>37</v>
      </c>
      <c r="H1785" s="4">
        <v>4</v>
      </c>
      <c r="I1785" s="4">
        <v>10</v>
      </c>
      <c r="J1785" s="5">
        <v>45575</v>
      </c>
      <c r="K1785" s="6">
        <v>0.78998842592592589</v>
      </c>
    </row>
    <row r="1786" spans="1:11" x14ac:dyDescent="0.25">
      <c r="A1786" s="4">
        <v>22</v>
      </c>
      <c r="B1786" s="4" t="s">
        <v>11</v>
      </c>
      <c r="C1786" s="7">
        <v>35.76</v>
      </c>
      <c r="D1786" s="4" t="s">
        <v>16</v>
      </c>
      <c r="E1786" s="4" t="s">
        <v>20</v>
      </c>
      <c r="F1786" s="4" t="s">
        <v>30</v>
      </c>
      <c r="G1786" s="4" t="s">
        <v>37</v>
      </c>
      <c r="H1786" s="4">
        <v>4</v>
      </c>
      <c r="I1786" s="4">
        <v>10</v>
      </c>
      <c r="J1786" s="5">
        <v>45575</v>
      </c>
      <c r="K1786" s="6">
        <v>0.9397685185185185</v>
      </c>
    </row>
    <row r="1787" spans="1:11" x14ac:dyDescent="0.25">
      <c r="A1787" s="4">
        <v>22</v>
      </c>
      <c r="B1787" s="4" t="s">
        <v>11</v>
      </c>
      <c r="C1787" s="7">
        <v>35.76</v>
      </c>
      <c r="D1787" s="4" t="s">
        <v>16</v>
      </c>
      <c r="E1787" s="4" t="s">
        <v>20</v>
      </c>
      <c r="F1787" s="4" t="s">
        <v>30</v>
      </c>
      <c r="G1787" s="4" t="s">
        <v>37</v>
      </c>
      <c r="H1787" s="4">
        <v>4</v>
      </c>
      <c r="I1787" s="4">
        <v>10</v>
      </c>
      <c r="J1787" s="5">
        <v>45575</v>
      </c>
      <c r="K1787" s="6">
        <v>0.94026620370370373</v>
      </c>
    </row>
    <row r="1788" spans="1:11" x14ac:dyDescent="0.25">
      <c r="A1788" s="4">
        <v>7</v>
      </c>
      <c r="B1788" s="4" t="s">
        <v>11</v>
      </c>
      <c r="C1788" s="7">
        <v>30.86</v>
      </c>
      <c r="D1788" s="4" t="s">
        <v>19</v>
      </c>
      <c r="E1788" s="4" t="s">
        <v>13</v>
      </c>
      <c r="F1788" s="4" t="s">
        <v>14</v>
      </c>
      <c r="G1788" s="4" t="s">
        <v>37</v>
      </c>
      <c r="H1788" s="4">
        <v>5</v>
      </c>
      <c r="I1788" s="4">
        <v>10</v>
      </c>
      <c r="J1788" s="5">
        <v>45576</v>
      </c>
      <c r="K1788" s="6">
        <v>0.32975694444444442</v>
      </c>
    </row>
    <row r="1789" spans="1:11" x14ac:dyDescent="0.25">
      <c r="A1789" s="4">
        <v>8</v>
      </c>
      <c r="B1789" s="4" t="s">
        <v>11</v>
      </c>
      <c r="C1789" s="7">
        <v>35.76</v>
      </c>
      <c r="D1789" s="4" t="s">
        <v>12</v>
      </c>
      <c r="E1789" s="4" t="s">
        <v>13</v>
      </c>
      <c r="F1789" s="4" t="s">
        <v>14</v>
      </c>
      <c r="G1789" s="4" t="s">
        <v>37</v>
      </c>
      <c r="H1789" s="4">
        <v>5</v>
      </c>
      <c r="I1789" s="4">
        <v>10</v>
      </c>
      <c r="J1789" s="5">
        <v>45576</v>
      </c>
      <c r="K1789" s="6">
        <v>0.33391203703703703</v>
      </c>
    </row>
    <row r="1790" spans="1:11" x14ac:dyDescent="0.25">
      <c r="A1790" s="4">
        <v>8</v>
      </c>
      <c r="B1790" s="4" t="s">
        <v>11</v>
      </c>
      <c r="C1790" s="7">
        <v>25.96</v>
      </c>
      <c r="D1790" s="4" t="s">
        <v>24</v>
      </c>
      <c r="E1790" s="4" t="s">
        <v>13</v>
      </c>
      <c r="F1790" s="4" t="s">
        <v>14</v>
      </c>
      <c r="G1790" s="4" t="s">
        <v>37</v>
      </c>
      <c r="H1790" s="4">
        <v>5</v>
      </c>
      <c r="I1790" s="4">
        <v>10</v>
      </c>
      <c r="J1790" s="5">
        <v>45576</v>
      </c>
      <c r="K1790" s="6">
        <v>0.34189814814814817</v>
      </c>
    </row>
    <row r="1791" spans="1:11" x14ac:dyDescent="0.25">
      <c r="A1791" s="4">
        <v>8</v>
      </c>
      <c r="B1791" s="4" t="s">
        <v>11</v>
      </c>
      <c r="C1791" s="7">
        <v>35.76</v>
      </c>
      <c r="D1791" s="4" t="s">
        <v>12</v>
      </c>
      <c r="E1791" s="4" t="s">
        <v>13</v>
      </c>
      <c r="F1791" s="4" t="s">
        <v>14</v>
      </c>
      <c r="G1791" s="4" t="s">
        <v>37</v>
      </c>
      <c r="H1791" s="4">
        <v>5</v>
      </c>
      <c r="I1791" s="4">
        <v>10</v>
      </c>
      <c r="J1791" s="5">
        <v>45576</v>
      </c>
      <c r="K1791" s="6">
        <v>0.35298611111111111</v>
      </c>
    </row>
    <row r="1792" spans="1:11" x14ac:dyDescent="0.25">
      <c r="A1792" s="4">
        <v>8</v>
      </c>
      <c r="B1792" s="4" t="s">
        <v>11</v>
      </c>
      <c r="C1792" s="7">
        <v>35.76</v>
      </c>
      <c r="D1792" s="4" t="s">
        <v>21</v>
      </c>
      <c r="E1792" s="4" t="s">
        <v>13</v>
      </c>
      <c r="F1792" s="4" t="s">
        <v>14</v>
      </c>
      <c r="G1792" s="4" t="s">
        <v>37</v>
      </c>
      <c r="H1792" s="4">
        <v>5</v>
      </c>
      <c r="I1792" s="4">
        <v>10</v>
      </c>
      <c r="J1792" s="5">
        <v>45576</v>
      </c>
      <c r="K1792" s="6">
        <v>0.35372685185185188</v>
      </c>
    </row>
    <row r="1793" spans="1:11" x14ac:dyDescent="0.25">
      <c r="A1793" s="4">
        <v>8</v>
      </c>
      <c r="B1793" s="4" t="s">
        <v>11</v>
      </c>
      <c r="C1793" s="7">
        <v>35.76</v>
      </c>
      <c r="D1793" s="4" t="s">
        <v>21</v>
      </c>
      <c r="E1793" s="4" t="s">
        <v>13</v>
      </c>
      <c r="F1793" s="4" t="s">
        <v>14</v>
      </c>
      <c r="G1793" s="4" t="s">
        <v>37</v>
      </c>
      <c r="H1793" s="4">
        <v>5</v>
      </c>
      <c r="I1793" s="4">
        <v>10</v>
      </c>
      <c r="J1793" s="5">
        <v>45576</v>
      </c>
      <c r="K1793" s="6">
        <v>0.37202546296296296</v>
      </c>
    </row>
    <row r="1794" spans="1:11" x14ac:dyDescent="0.25">
      <c r="A1794" s="4">
        <v>8</v>
      </c>
      <c r="B1794" s="4" t="s">
        <v>11</v>
      </c>
      <c r="C1794" s="7">
        <v>30.86</v>
      </c>
      <c r="D1794" s="4" t="s">
        <v>19</v>
      </c>
      <c r="E1794" s="4" t="s">
        <v>13</v>
      </c>
      <c r="F1794" s="4" t="s">
        <v>14</v>
      </c>
      <c r="G1794" s="4" t="s">
        <v>37</v>
      </c>
      <c r="H1794" s="4">
        <v>5</v>
      </c>
      <c r="I1794" s="4">
        <v>10</v>
      </c>
      <c r="J1794" s="5">
        <v>45576</v>
      </c>
      <c r="K1794" s="6">
        <v>0.37289351851851854</v>
      </c>
    </row>
    <row r="1795" spans="1:11" x14ac:dyDescent="0.25">
      <c r="A1795" s="4">
        <v>8</v>
      </c>
      <c r="B1795" s="4" t="s">
        <v>11</v>
      </c>
      <c r="C1795" s="7">
        <v>35.76</v>
      </c>
      <c r="D1795" s="4" t="s">
        <v>16</v>
      </c>
      <c r="E1795" s="4" t="s">
        <v>13</v>
      </c>
      <c r="F1795" s="4" t="s">
        <v>14</v>
      </c>
      <c r="G1795" s="4" t="s">
        <v>37</v>
      </c>
      <c r="H1795" s="4">
        <v>5</v>
      </c>
      <c r="I1795" s="4">
        <v>10</v>
      </c>
      <c r="J1795" s="5">
        <v>45576</v>
      </c>
      <c r="K1795" s="6">
        <v>0.3737152777777778</v>
      </c>
    </row>
    <row r="1796" spans="1:11" x14ac:dyDescent="0.25">
      <c r="A1796" s="4">
        <v>9</v>
      </c>
      <c r="B1796" s="4" t="s">
        <v>11</v>
      </c>
      <c r="C1796" s="7">
        <v>30.86</v>
      </c>
      <c r="D1796" s="4" t="s">
        <v>19</v>
      </c>
      <c r="E1796" s="4" t="s">
        <v>13</v>
      </c>
      <c r="F1796" s="4" t="s">
        <v>14</v>
      </c>
      <c r="G1796" s="4" t="s">
        <v>37</v>
      </c>
      <c r="H1796" s="4">
        <v>5</v>
      </c>
      <c r="I1796" s="4">
        <v>10</v>
      </c>
      <c r="J1796" s="5">
        <v>45576</v>
      </c>
      <c r="K1796" s="6">
        <v>0.39701388888888889</v>
      </c>
    </row>
    <row r="1797" spans="1:11" x14ac:dyDescent="0.25">
      <c r="A1797" s="4">
        <v>9</v>
      </c>
      <c r="B1797" s="4" t="s">
        <v>11</v>
      </c>
      <c r="C1797" s="7">
        <v>25.96</v>
      </c>
      <c r="D1797" s="4" t="s">
        <v>24</v>
      </c>
      <c r="E1797" s="4" t="s">
        <v>13</v>
      </c>
      <c r="F1797" s="4" t="s">
        <v>14</v>
      </c>
      <c r="G1797" s="4" t="s">
        <v>37</v>
      </c>
      <c r="H1797" s="4">
        <v>5</v>
      </c>
      <c r="I1797" s="4">
        <v>10</v>
      </c>
      <c r="J1797" s="5">
        <v>45576</v>
      </c>
      <c r="K1797" s="6">
        <v>0.4019212962962963</v>
      </c>
    </row>
    <row r="1798" spans="1:11" x14ac:dyDescent="0.25">
      <c r="A1798" s="4">
        <v>10</v>
      </c>
      <c r="B1798" s="4" t="s">
        <v>11</v>
      </c>
      <c r="C1798" s="7">
        <v>25.96</v>
      </c>
      <c r="D1798" s="4" t="s">
        <v>18</v>
      </c>
      <c r="E1798" s="4" t="s">
        <v>13</v>
      </c>
      <c r="F1798" s="4" t="s">
        <v>14</v>
      </c>
      <c r="G1798" s="4" t="s">
        <v>37</v>
      </c>
      <c r="H1798" s="4">
        <v>5</v>
      </c>
      <c r="I1798" s="4">
        <v>10</v>
      </c>
      <c r="J1798" s="5">
        <v>45576</v>
      </c>
      <c r="K1798" s="6">
        <v>0.41712962962962963</v>
      </c>
    </row>
    <row r="1799" spans="1:11" x14ac:dyDescent="0.25">
      <c r="A1799" s="4">
        <v>10</v>
      </c>
      <c r="B1799" s="4" t="s">
        <v>11</v>
      </c>
      <c r="C1799" s="7">
        <v>25.96</v>
      </c>
      <c r="D1799" s="4" t="s">
        <v>18</v>
      </c>
      <c r="E1799" s="4" t="s">
        <v>13</v>
      </c>
      <c r="F1799" s="4" t="s">
        <v>14</v>
      </c>
      <c r="G1799" s="4" t="s">
        <v>37</v>
      </c>
      <c r="H1799" s="4">
        <v>5</v>
      </c>
      <c r="I1799" s="4">
        <v>10</v>
      </c>
      <c r="J1799" s="5">
        <v>45576</v>
      </c>
      <c r="K1799" s="6">
        <v>0.41798611111111111</v>
      </c>
    </row>
    <row r="1800" spans="1:11" x14ac:dyDescent="0.25">
      <c r="A1800" s="4">
        <v>10</v>
      </c>
      <c r="B1800" s="4" t="s">
        <v>11</v>
      </c>
      <c r="C1800" s="7">
        <v>30.86</v>
      </c>
      <c r="D1800" s="4" t="s">
        <v>19</v>
      </c>
      <c r="E1800" s="4" t="s">
        <v>13</v>
      </c>
      <c r="F1800" s="4" t="s">
        <v>14</v>
      </c>
      <c r="G1800" s="4" t="s">
        <v>37</v>
      </c>
      <c r="H1800" s="4">
        <v>5</v>
      </c>
      <c r="I1800" s="4">
        <v>10</v>
      </c>
      <c r="J1800" s="5">
        <v>45576</v>
      </c>
      <c r="K1800" s="6">
        <v>0.43790509259259258</v>
      </c>
    </row>
    <row r="1801" spans="1:11" x14ac:dyDescent="0.25">
      <c r="A1801" s="4">
        <v>13</v>
      </c>
      <c r="B1801" s="4" t="s">
        <v>11</v>
      </c>
      <c r="C1801" s="7">
        <v>35.76</v>
      </c>
      <c r="D1801" s="4" t="s">
        <v>12</v>
      </c>
      <c r="E1801" s="4" t="s">
        <v>17</v>
      </c>
      <c r="F1801" s="4" t="s">
        <v>14</v>
      </c>
      <c r="G1801" s="4" t="s">
        <v>37</v>
      </c>
      <c r="H1801" s="4">
        <v>5</v>
      </c>
      <c r="I1801" s="4">
        <v>10</v>
      </c>
      <c r="J1801" s="5">
        <v>45576</v>
      </c>
      <c r="K1801" s="6">
        <v>0.54515046296296299</v>
      </c>
    </row>
    <row r="1802" spans="1:11" x14ac:dyDescent="0.25">
      <c r="A1802" s="4">
        <v>13</v>
      </c>
      <c r="B1802" s="4" t="s">
        <v>11</v>
      </c>
      <c r="C1802" s="7">
        <v>25.96</v>
      </c>
      <c r="D1802" s="4" t="s">
        <v>18</v>
      </c>
      <c r="E1802" s="4" t="s">
        <v>17</v>
      </c>
      <c r="F1802" s="4" t="s">
        <v>14</v>
      </c>
      <c r="G1802" s="4" t="s">
        <v>37</v>
      </c>
      <c r="H1802" s="4">
        <v>5</v>
      </c>
      <c r="I1802" s="4">
        <v>10</v>
      </c>
      <c r="J1802" s="5">
        <v>45576</v>
      </c>
      <c r="K1802" s="6">
        <v>0.56182870370370375</v>
      </c>
    </row>
    <row r="1803" spans="1:11" x14ac:dyDescent="0.25">
      <c r="A1803" s="4">
        <v>13</v>
      </c>
      <c r="B1803" s="4" t="s">
        <v>11</v>
      </c>
      <c r="C1803" s="7">
        <v>25.96</v>
      </c>
      <c r="D1803" s="4" t="s">
        <v>18</v>
      </c>
      <c r="E1803" s="4" t="s">
        <v>17</v>
      </c>
      <c r="F1803" s="4" t="s">
        <v>14</v>
      </c>
      <c r="G1803" s="4" t="s">
        <v>37</v>
      </c>
      <c r="H1803" s="4">
        <v>5</v>
      </c>
      <c r="I1803" s="4">
        <v>10</v>
      </c>
      <c r="J1803" s="5">
        <v>45576</v>
      </c>
      <c r="K1803" s="6">
        <v>0.56260416666666668</v>
      </c>
    </row>
    <row r="1804" spans="1:11" x14ac:dyDescent="0.25">
      <c r="A1804" s="4">
        <v>14</v>
      </c>
      <c r="B1804" s="4" t="s">
        <v>11</v>
      </c>
      <c r="C1804" s="7">
        <v>35.76</v>
      </c>
      <c r="D1804" s="4" t="s">
        <v>21</v>
      </c>
      <c r="E1804" s="4" t="s">
        <v>17</v>
      </c>
      <c r="F1804" s="4" t="s">
        <v>14</v>
      </c>
      <c r="G1804" s="4" t="s">
        <v>37</v>
      </c>
      <c r="H1804" s="4">
        <v>5</v>
      </c>
      <c r="I1804" s="4">
        <v>10</v>
      </c>
      <c r="J1804" s="5">
        <v>45576</v>
      </c>
      <c r="K1804" s="6">
        <v>0.60671296296296295</v>
      </c>
    </row>
    <row r="1805" spans="1:11" x14ac:dyDescent="0.25">
      <c r="A1805" s="4">
        <v>14</v>
      </c>
      <c r="B1805" s="4" t="s">
        <v>11</v>
      </c>
      <c r="C1805" s="7">
        <v>25.96</v>
      </c>
      <c r="D1805" s="4" t="s">
        <v>18</v>
      </c>
      <c r="E1805" s="4" t="s">
        <v>17</v>
      </c>
      <c r="F1805" s="4" t="s">
        <v>14</v>
      </c>
      <c r="G1805" s="4" t="s">
        <v>37</v>
      </c>
      <c r="H1805" s="4">
        <v>5</v>
      </c>
      <c r="I1805" s="4">
        <v>10</v>
      </c>
      <c r="J1805" s="5">
        <v>45576</v>
      </c>
      <c r="K1805" s="6">
        <v>0.60797453703703708</v>
      </c>
    </row>
    <row r="1806" spans="1:11" x14ac:dyDescent="0.25">
      <c r="A1806" s="4">
        <v>14</v>
      </c>
      <c r="B1806" s="4" t="s">
        <v>11</v>
      </c>
      <c r="C1806" s="7">
        <v>35.76</v>
      </c>
      <c r="D1806" s="4" t="s">
        <v>29</v>
      </c>
      <c r="E1806" s="4" t="s">
        <v>17</v>
      </c>
      <c r="F1806" s="4" t="s">
        <v>14</v>
      </c>
      <c r="G1806" s="4" t="s">
        <v>37</v>
      </c>
      <c r="H1806" s="4">
        <v>5</v>
      </c>
      <c r="I1806" s="4">
        <v>10</v>
      </c>
      <c r="J1806" s="5">
        <v>45576</v>
      </c>
      <c r="K1806" s="6">
        <v>0.61814814814814811</v>
      </c>
    </row>
    <row r="1807" spans="1:11" x14ac:dyDescent="0.25">
      <c r="A1807" s="4">
        <v>17</v>
      </c>
      <c r="B1807" s="4" t="s">
        <v>11</v>
      </c>
      <c r="C1807" s="7">
        <v>35.76</v>
      </c>
      <c r="D1807" s="4" t="s">
        <v>12</v>
      </c>
      <c r="E1807" s="4" t="s">
        <v>20</v>
      </c>
      <c r="F1807" s="4" t="s">
        <v>14</v>
      </c>
      <c r="G1807" s="4" t="s">
        <v>37</v>
      </c>
      <c r="H1807" s="4">
        <v>5</v>
      </c>
      <c r="I1807" s="4">
        <v>10</v>
      </c>
      <c r="J1807" s="5">
        <v>45576</v>
      </c>
      <c r="K1807" s="6">
        <v>0.71674768518518517</v>
      </c>
    </row>
    <row r="1808" spans="1:11" x14ac:dyDescent="0.25">
      <c r="A1808" s="4">
        <v>17</v>
      </c>
      <c r="B1808" s="4" t="s">
        <v>11</v>
      </c>
      <c r="C1808" s="7">
        <v>35.76</v>
      </c>
      <c r="D1808" s="4" t="s">
        <v>16</v>
      </c>
      <c r="E1808" s="4" t="s">
        <v>20</v>
      </c>
      <c r="F1808" s="4" t="s">
        <v>14</v>
      </c>
      <c r="G1808" s="4" t="s">
        <v>37</v>
      </c>
      <c r="H1808" s="4">
        <v>5</v>
      </c>
      <c r="I1808" s="4">
        <v>10</v>
      </c>
      <c r="J1808" s="5">
        <v>45576</v>
      </c>
      <c r="K1808" s="6">
        <v>0.71760416666666671</v>
      </c>
    </row>
    <row r="1809" spans="1:11" x14ac:dyDescent="0.25">
      <c r="A1809" s="4">
        <v>17</v>
      </c>
      <c r="B1809" s="4" t="s">
        <v>11</v>
      </c>
      <c r="C1809" s="7">
        <v>35.76</v>
      </c>
      <c r="D1809" s="4" t="s">
        <v>16</v>
      </c>
      <c r="E1809" s="4" t="s">
        <v>20</v>
      </c>
      <c r="F1809" s="4" t="s">
        <v>14</v>
      </c>
      <c r="G1809" s="4" t="s">
        <v>37</v>
      </c>
      <c r="H1809" s="4">
        <v>5</v>
      </c>
      <c r="I1809" s="4">
        <v>10</v>
      </c>
      <c r="J1809" s="5">
        <v>45576</v>
      </c>
      <c r="K1809" s="6">
        <v>0.72651620370370373</v>
      </c>
    </row>
    <row r="1810" spans="1:11" x14ac:dyDescent="0.25">
      <c r="A1810" s="4">
        <v>21</v>
      </c>
      <c r="B1810" s="4" t="s">
        <v>11</v>
      </c>
      <c r="C1810" s="7">
        <v>35.76</v>
      </c>
      <c r="D1810" s="4" t="s">
        <v>12</v>
      </c>
      <c r="E1810" s="4" t="s">
        <v>20</v>
      </c>
      <c r="F1810" s="4" t="s">
        <v>14</v>
      </c>
      <c r="G1810" s="4" t="s">
        <v>37</v>
      </c>
      <c r="H1810" s="4">
        <v>5</v>
      </c>
      <c r="I1810" s="4">
        <v>10</v>
      </c>
      <c r="J1810" s="5">
        <v>45576</v>
      </c>
      <c r="K1810" s="6">
        <v>0.9087615740740741</v>
      </c>
    </row>
    <row r="1811" spans="1:11" x14ac:dyDescent="0.25">
      <c r="A1811" s="4">
        <v>21</v>
      </c>
      <c r="B1811" s="4" t="s">
        <v>11</v>
      </c>
      <c r="C1811" s="7">
        <v>30.86</v>
      </c>
      <c r="D1811" s="4" t="s">
        <v>19</v>
      </c>
      <c r="E1811" s="4" t="s">
        <v>20</v>
      </c>
      <c r="F1811" s="4" t="s">
        <v>14</v>
      </c>
      <c r="G1811" s="4" t="s">
        <v>37</v>
      </c>
      <c r="H1811" s="4">
        <v>5</v>
      </c>
      <c r="I1811" s="4">
        <v>10</v>
      </c>
      <c r="J1811" s="5">
        <v>45576</v>
      </c>
      <c r="K1811" s="6">
        <v>0.91241898148148148</v>
      </c>
    </row>
    <row r="1812" spans="1:11" x14ac:dyDescent="0.25">
      <c r="A1812" s="4">
        <v>22</v>
      </c>
      <c r="B1812" s="4" t="s">
        <v>11</v>
      </c>
      <c r="C1812" s="7">
        <v>35.76</v>
      </c>
      <c r="D1812" s="4" t="s">
        <v>16</v>
      </c>
      <c r="E1812" s="4" t="s">
        <v>20</v>
      </c>
      <c r="F1812" s="4" t="s">
        <v>14</v>
      </c>
      <c r="G1812" s="4" t="s">
        <v>37</v>
      </c>
      <c r="H1812" s="4">
        <v>5</v>
      </c>
      <c r="I1812" s="4">
        <v>10</v>
      </c>
      <c r="J1812" s="5">
        <v>45576</v>
      </c>
      <c r="K1812" s="6">
        <v>0.9419791666666667</v>
      </c>
    </row>
    <row r="1813" spans="1:11" x14ac:dyDescent="0.25">
      <c r="A1813" s="4">
        <v>22</v>
      </c>
      <c r="B1813" s="4" t="s">
        <v>11</v>
      </c>
      <c r="C1813" s="7">
        <v>35.76</v>
      </c>
      <c r="D1813" s="4" t="s">
        <v>16</v>
      </c>
      <c r="E1813" s="4" t="s">
        <v>20</v>
      </c>
      <c r="F1813" s="4" t="s">
        <v>14</v>
      </c>
      <c r="G1813" s="4" t="s">
        <v>37</v>
      </c>
      <c r="H1813" s="4">
        <v>5</v>
      </c>
      <c r="I1813" s="4">
        <v>10</v>
      </c>
      <c r="J1813" s="5">
        <v>45576</v>
      </c>
      <c r="K1813" s="6">
        <v>0.94266203703703699</v>
      </c>
    </row>
    <row r="1814" spans="1:11" x14ac:dyDescent="0.25">
      <c r="A1814" s="4">
        <v>8</v>
      </c>
      <c r="B1814" s="4" t="s">
        <v>11</v>
      </c>
      <c r="C1814" s="7">
        <v>25.96</v>
      </c>
      <c r="D1814" s="4" t="s">
        <v>24</v>
      </c>
      <c r="E1814" s="4" t="s">
        <v>13</v>
      </c>
      <c r="F1814" s="4" t="s">
        <v>22</v>
      </c>
      <c r="G1814" s="4" t="s">
        <v>37</v>
      </c>
      <c r="H1814" s="4">
        <v>6</v>
      </c>
      <c r="I1814" s="4">
        <v>10</v>
      </c>
      <c r="J1814" s="5">
        <v>45577</v>
      </c>
      <c r="K1814" s="6">
        <v>0.35295138888888888</v>
      </c>
    </row>
    <row r="1815" spans="1:11" x14ac:dyDescent="0.25">
      <c r="A1815" s="4">
        <v>10</v>
      </c>
      <c r="B1815" s="4" t="s">
        <v>11</v>
      </c>
      <c r="C1815" s="7">
        <v>25.96</v>
      </c>
      <c r="D1815" s="4" t="s">
        <v>24</v>
      </c>
      <c r="E1815" s="4" t="s">
        <v>13</v>
      </c>
      <c r="F1815" s="4" t="s">
        <v>22</v>
      </c>
      <c r="G1815" s="4" t="s">
        <v>37</v>
      </c>
      <c r="H1815" s="4">
        <v>6</v>
      </c>
      <c r="I1815" s="4">
        <v>10</v>
      </c>
      <c r="J1815" s="5">
        <v>45577</v>
      </c>
      <c r="K1815" s="6">
        <v>0.43863425925925925</v>
      </c>
    </row>
    <row r="1816" spans="1:11" x14ac:dyDescent="0.25">
      <c r="A1816" s="4">
        <v>10</v>
      </c>
      <c r="B1816" s="4" t="s">
        <v>11</v>
      </c>
      <c r="C1816" s="7">
        <v>25.96</v>
      </c>
      <c r="D1816" s="4" t="s">
        <v>24</v>
      </c>
      <c r="E1816" s="4" t="s">
        <v>13</v>
      </c>
      <c r="F1816" s="4" t="s">
        <v>22</v>
      </c>
      <c r="G1816" s="4" t="s">
        <v>37</v>
      </c>
      <c r="H1816" s="4">
        <v>6</v>
      </c>
      <c r="I1816" s="4">
        <v>10</v>
      </c>
      <c r="J1816" s="5">
        <v>45577</v>
      </c>
      <c r="K1816" s="6">
        <v>0.43952546296296297</v>
      </c>
    </row>
    <row r="1817" spans="1:11" x14ac:dyDescent="0.25">
      <c r="A1817" s="4">
        <v>11</v>
      </c>
      <c r="B1817" s="4" t="s">
        <v>11</v>
      </c>
      <c r="C1817" s="7">
        <v>35.76</v>
      </c>
      <c r="D1817" s="4" t="s">
        <v>12</v>
      </c>
      <c r="E1817" s="4" t="s">
        <v>13</v>
      </c>
      <c r="F1817" s="4" t="s">
        <v>22</v>
      </c>
      <c r="G1817" s="4" t="s">
        <v>37</v>
      </c>
      <c r="H1817" s="4">
        <v>6</v>
      </c>
      <c r="I1817" s="4">
        <v>10</v>
      </c>
      <c r="J1817" s="5">
        <v>45577</v>
      </c>
      <c r="K1817" s="6">
        <v>0.49461805555555555</v>
      </c>
    </row>
    <row r="1818" spans="1:11" x14ac:dyDescent="0.25">
      <c r="A1818" s="4">
        <v>11</v>
      </c>
      <c r="B1818" s="4" t="s">
        <v>11</v>
      </c>
      <c r="C1818" s="7">
        <v>30.86</v>
      </c>
      <c r="D1818" s="4" t="s">
        <v>19</v>
      </c>
      <c r="E1818" s="4" t="s">
        <v>13</v>
      </c>
      <c r="F1818" s="4" t="s">
        <v>22</v>
      </c>
      <c r="G1818" s="4" t="s">
        <v>37</v>
      </c>
      <c r="H1818" s="4">
        <v>6</v>
      </c>
      <c r="I1818" s="4">
        <v>10</v>
      </c>
      <c r="J1818" s="5">
        <v>45577</v>
      </c>
      <c r="K1818" s="6">
        <v>0.49561342592592594</v>
      </c>
    </row>
    <row r="1819" spans="1:11" x14ac:dyDescent="0.25">
      <c r="A1819" s="4">
        <v>13</v>
      </c>
      <c r="B1819" s="4" t="s">
        <v>11</v>
      </c>
      <c r="C1819" s="7">
        <v>35.76</v>
      </c>
      <c r="D1819" s="4" t="s">
        <v>29</v>
      </c>
      <c r="E1819" s="4" t="s">
        <v>17</v>
      </c>
      <c r="F1819" s="4" t="s">
        <v>22</v>
      </c>
      <c r="G1819" s="4" t="s">
        <v>37</v>
      </c>
      <c r="H1819" s="4">
        <v>6</v>
      </c>
      <c r="I1819" s="4">
        <v>10</v>
      </c>
      <c r="J1819" s="5">
        <v>45577</v>
      </c>
      <c r="K1819" s="6">
        <v>0.55471064814814819</v>
      </c>
    </row>
    <row r="1820" spans="1:11" x14ac:dyDescent="0.25">
      <c r="A1820" s="4">
        <v>20</v>
      </c>
      <c r="B1820" s="4" t="s">
        <v>11</v>
      </c>
      <c r="C1820" s="7">
        <v>35.76</v>
      </c>
      <c r="D1820" s="4" t="s">
        <v>12</v>
      </c>
      <c r="E1820" s="4" t="s">
        <v>20</v>
      </c>
      <c r="F1820" s="4" t="s">
        <v>22</v>
      </c>
      <c r="G1820" s="4" t="s">
        <v>37</v>
      </c>
      <c r="H1820" s="4">
        <v>6</v>
      </c>
      <c r="I1820" s="4">
        <v>10</v>
      </c>
      <c r="J1820" s="5">
        <v>45577</v>
      </c>
      <c r="K1820" s="6">
        <v>0.84089120370370374</v>
      </c>
    </row>
    <row r="1821" spans="1:11" x14ac:dyDescent="0.25">
      <c r="A1821" s="4">
        <v>9</v>
      </c>
      <c r="B1821" s="4" t="s">
        <v>11</v>
      </c>
      <c r="C1821" s="7">
        <v>25.96</v>
      </c>
      <c r="D1821" s="4" t="s">
        <v>24</v>
      </c>
      <c r="E1821" s="4" t="s">
        <v>13</v>
      </c>
      <c r="F1821" s="4" t="s">
        <v>23</v>
      </c>
      <c r="G1821" s="4" t="s">
        <v>37</v>
      </c>
      <c r="H1821" s="4">
        <v>7</v>
      </c>
      <c r="I1821" s="4">
        <v>10</v>
      </c>
      <c r="J1821" s="5">
        <v>45578</v>
      </c>
      <c r="K1821" s="6">
        <v>0.41313657407407406</v>
      </c>
    </row>
    <row r="1822" spans="1:11" x14ac:dyDescent="0.25">
      <c r="A1822" s="4">
        <v>12</v>
      </c>
      <c r="B1822" s="4" t="s">
        <v>11</v>
      </c>
      <c r="C1822" s="7">
        <v>30.86</v>
      </c>
      <c r="D1822" s="4" t="s">
        <v>19</v>
      </c>
      <c r="E1822" s="4" t="s">
        <v>17</v>
      </c>
      <c r="F1822" s="4" t="s">
        <v>23</v>
      </c>
      <c r="G1822" s="4" t="s">
        <v>37</v>
      </c>
      <c r="H1822" s="4">
        <v>7</v>
      </c>
      <c r="I1822" s="4">
        <v>10</v>
      </c>
      <c r="J1822" s="5">
        <v>45578</v>
      </c>
      <c r="K1822" s="6">
        <v>0.51442129629629629</v>
      </c>
    </row>
    <row r="1823" spans="1:11" x14ac:dyDescent="0.25">
      <c r="A1823" s="4">
        <v>13</v>
      </c>
      <c r="B1823" s="4" t="s">
        <v>11</v>
      </c>
      <c r="C1823" s="7">
        <v>25.96</v>
      </c>
      <c r="D1823" s="4" t="s">
        <v>24</v>
      </c>
      <c r="E1823" s="4" t="s">
        <v>17</v>
      </c>
      <c r="F1823" s="4" t="s">
        <v>23</v>
      </c>
      <c r="G1823" s="4" t="s">
        <v>37</v>
      </c>
      <c r="H1823" s="4">
        <v>7</v>
      </c>
      <c r="I1823" s="4">
        <v>10</v>
      </c>
      <c r="J1823" s="5">
        <v>45578</v>
      </c>
      <c r="K1823" s="6">
        <v>0.56422453703703701</v>
      </c>
    </row>
    <row r="1824" spans="1:11" x14ac:dyDescent="0.25">
      <c r="A1824" s="4">
        <v>13</v>
      </c>
      <c r="B1824" s="4" t="s">
        <v>11</v>
      </c>
      <c r="C1824" s="7">
        <v>21.06</v>
      </c>
      <c r="D1824" s="4" t="s">
        <v>26</v>
      </c>
      <c r="E1824" s="4" t="s">
        <v>17</v>
      </c>
      <c r="F1824" s="4" t="s">
        <v>23</v>
      </c>
      <c r="G1824" s="4" t="s">
        <v>37</v>
      </c>
      <c r="H1824" s="4">
        <v>7</v>
      </c>
      <c r="I1824" s="4">
        <v>10</v>
      </c>
      <c r="J1824" s="5">
        <v>45578</v>
      </c>
      <c r="K1824" s="6">
        <v>0.56491898148148145</v>
      </c>
    </row>
    <row r="1825" spans="1:11" x14ac:dyDescent="0.25">
      <c r="A1825" s="4">
        <v>13</v>
      </c>
      <c r="B1825" s="4" t="s">
        <v>11</v>
      </c>
      <c r="C1825" s="7">
        <v>25.96</v>
      </c>
      <c r="D1825" s="4" t="s">
        <v>24</v>
      </c>
      <c r="E1825" s="4" t="s">
        <v>17</v>
      </c>
      <c r="F1825" s="4" t="s">
        <v>23</v>
      </c>
      <c r="G1825" s="4" t="s">
        <v>37</v>
      </c>
      <c r="H1825" s="4">
        <v>7</v>
      </c>
      <c r="I1825" s="4">
        <v>10</v>
      </c>
      <c r="J1825" s="5">
        <v>45578</v>
      </c>
      <c r="K1825" s="6">
        <v>0.56556712962962963</v>
      </c>
    </row>
    <row r="1826" spans="1:11" x14ac:dyDescent="0.25">
      <c r="A1826" s="4">
        <v>17</v>
      </c>
      <c r="B1826" s="4" t="s">
        <v>11</v>
      </c>
      <c r="C1826" s="7">
        <v>35.76</v>
      </c>
      <c r="D1826" s="4" t="s">
        <v>12</v>
      </c>
      <c r="E1826" s="4" t="s">
        <v>20</v>
      </c>
      <c r="F1826" s="4" t="s">
        <v>23</v>
      </c>
      <c r="G1826" s="4" t="s">
        <v>37</v>
      </c>
      <c r="H1826" s="4">
        <v>7</v>
      </c>
      <c r="I1826" s="4">
        <v>10</v>
      </c>
      <c r="J1826" s="5">
        <v>45578</v>
      </c>
      <c r="K1826" s="6">
        <v>0.74537037037037035</v>
      </c>
    </row>
    <row r="1827" spans="1:11" x14ac:dyDescent="0.25">
      <c r="A1827" s="4">
        <v>17</v>
      </c>
      <c r="B1827" s="4" t="s">
        <v>11</v>
      </c>
      <c r="C1827" s="7">
        <v>35.76</v>
      </c>
      <c r="D1827" s="4" t="s">
        <v>12</v>
      </c>
      <c r="E1827" s="4" t="s">
        <v>20</v>
      </c>
      <c r="F1827" s="4" t="s">
        <v>23</v>
      </c>
      <c r="G1827" s="4" t="s">
        <v>37</v>
      </c>
      <c r="H1827" s="4">
        <v>7</v>
      </c>
      <c r="I1827" s="4">
        <v>10</v>
      </c>
      <c r="J1827" s="5">
        <v>45578</v>
      </c>
      <c r="K1827" s="6">
        <v>0.74608796296296298</v>
      </c>
    </row>
    <row r="1828" spans="1:11" x14ac:dyDescent="0.25">
      <c r="A1828" s="4">
        <v>18</v>
      </c>
      <c r="B1828" s="4" t="s">
        <v>11</v>
      </c>
      <c r="C1828" s="7">
        <v>35.76</v>
      </c>
      <c r="D1828" s="4" t="s">
        <v>29</v>
      </c>
      <c r="E1828" s="4" t="s">
        <v>20</v>
      </c>
      <c r="F1828" s="4" t="s">
        <v>23</v>
      </c>
      <c r="G1828" s="4" t="s">
        <v>37</v>
      </c>
      <c r="H1828" s="4">
        <v>7</v>
      </c>
      <c r="I1828" s="4">
        <v>10</v>
      </c>
      <c r="J1828" s="5">
        <v>45578</v>
      </c>
      <c r="K1828" s="6">
        <v>0.76594907407407409</v>
      </c>
    </row>
    <row r="1829" spans="1:11" x14ac:dyDescent="0.25">
      <c r="A1829" s="4">
        <v>20</v>
      </c>
      <c r="B1829" s="4" t="s">
        <v>11</v>
      </c>
      <c r="C1829" s="7">
        <v>35.76</v>
      </c>
      <c r="D1829" s="4" t="s">
        <v>29</v>
      </c>
      <c r="E1829" s="4" t="s">
        <v>20</v>
      </c>
      <c r="F1829" s="4" t="s">
        <v>23</v>
      </c>
      <c r="G1829" s="4" t="s">
        <v>37</v>
      </c>
      <c r="H1829" s="4">
        <v>7</v>
      </c>
      <c r="I1829" s="4">
        <v>10</v>
      </c>
      <c r="J1829" s="5">
        <v>45578</v>
      </c>
      <c r="K1829" s="6">
        <v>0.86324074074074075</v>
      </c>
    </row>
    <row r="1830" spans="1:11" x14ac:dyDescent="0.25">
      <c r="A1830" s="4">
        <v>8</v>
      </c>
      <c r="B1830" s="4" t="s">
        <v>11</v>
      </c>
      <c r="C1830" s="7">
        <v>30.86</v>
      </c>
      <c r="D1830" s="4" t="s">
        <v>19</v>
      </c>
      <c r="E1830" s="4" t="s">
        <v>13</v>
      </c>
      <c r="F1830" s="4" t="s">
        <v>25</v>
      </c>
      <c r="G1830" s="4" t="s">
        <v>37</v>
      </c>
      <c r="H1830" s="4">
        <v>1</v>
      </c>
      <c r="I1830" s="4">
        <v>10</v>
      </c>
      <c r="J1830" s="5">
        <v>45579</v>
      </c>
      <c r="K1830" s="6">
        <v>0.3520138888888889</v>
      </c>
    </row>
    <row r="1831" spans="1:11" x14ac:dyDescent="0.25">
      <c r="A1831" s="4">
        <v>9</v>
      </c>
      <c r="B1831" s="4" t="s">
        <v>11</v>
      </c>
      <c r="C1831" s="7">
        <v>35.76</v>
      </c>
      <c r="D1831" s="4" t="s">
        <v>21</v>
      </c>
      <c r="E1831" s="4" t="s">
        <v>13</v>
      </c>
      <c r="F1831" s="4" t="s">
        <v>25</v>
      </c>
      <c r="G1831" s="4" t="s">
        <v>37</v>
      </c>
      <c r="H1831" s="4">
        <v>1</v>
      </c>
      <c r="I1831" s="4">
        <v>10</v>
      </c>
      <c r="J1831" s="5">
        <v>45579</v>
      </c>
      <c r="K1831" s="6">
        <v>0.40965277777777775</v>
      </c>
    </row>
    <row r="1832" spans="1:11" x14ac:dyDescent="0.25">
      <c r="A1832" s="4">
        <v>10</v>
      </c>
      <c r="B1832" s="4" t="s">
        <v>11</v>
      </c>
      <c r="C1832" s="7">
        <v>25.96</v>
      </c>
      <c r="D1832" s="4" t="s">
        <v>24</v>
      </c>
      <c r="E1832" s="4" t="s">
        <v>13</v>
      </c>
      <c r="F1832" s="4" t="s">
        <v>25</v>
      </c>
      <c r="G1832" s="4" t="s">
        <v>37</v>
      </c>
      <c r="H1832" s="4">
        <v>1</v>
      </c>
      <c r="I1832" s="4">
        <v>10</v>
      </c>
      <c r="J1832" s="5">
        <v>45579</v>
      </c>
      <c r="K1832" s="6">
        <v>0.43600694444444443</v>
      </c>
    </row>
    <row r="1833" spans="1:11" x14ac:dyDescent="0.25">
      <c r="A1833" s="4">
        <v>10</v>
      </c>
      <c r="B1833" s="4" t="s">
        <v>11</v>
      </c>
      <c r="C1833" s="7">
        <v>35.76</v>
      </c>
      <c r="D1833" s="4" t="s">
        <v>12</v>
      </c>
      <c r="E1833" s="4" t="s">
        <v>13</v>
      </c>
      <c r="F1833" s="4" t="s">
        <v>25</v>
      </c>
      <c r="G1833" s="4" t="s">
        <v>37</v>
      </c>
      <c r="H1833" s="4">
        <v>1</v>
      </c>
      <c r="I1833" s="4">
        <v>10</v>
      </c>
      <c r="J1833" s="5">
        <v>45579</v>
      </c>
      <c r="K1833" s="6">
        <v>0.44312499999999999</v>
      </c>
    </row>
    <row r="1834" spans="1:11" x14ac:dyDescent="0.25">
      <c r="A1834" s="4">
        <v>10</v>
      </c>
      <c r="B1834" s="4" t="s">
        <v>11</v>
      </c>
      <c r="C1834" s="7">
        <v>35.76</v>
      </c>
      <c r="D1834" s="4" t="s">
        <v>12</v>
      </c>
      <c r="E1834" s="4" t="s">
        <v>13</v>
      </c>
      <c r="F1834" s="4" t="s">
        <v>25</v>
      </c>
      <c r="G1834" s="4" t="s">
        <v>37</v>
      </c>
      <c r="H1834" s="4">
        <v>1</v>
      </c>
      <c r="I1834" s="4">
        <v>10</v>
      </c>
      <c r="J1834" s="5">
        <v>45579</v>
      </c>
      <c r="K1834" s="6">
        <v>0.44390046296296298</v>
      </c>
    </row>
    <row r="1835" spans="1:11" x14ac:dyDescent="0.25">
      <c r="A1835" s="4">
        <v>11</v>
      </c>
      <c r="B1835" s="4" t="s">
        <v>11</v>
      </c>
      <c r="C1835" s="7">
        <v>35.76</v>
      </c>
      <c r="D1835" s="4" t="s">
        <v>29</v>
      </c>
      <c r="E1835" s="4" t="s">
        <v>13</v>
      </c>
      <c r="F1835" s="4" t="s">
        <v>25</v>
      </c>
      <c r="G1835" s="4" t="s">
        <v>37</v>
      </c>
      <c r="H1835" s="4">
        <v>1</v>
      </c>
      <c r="I1835" s="4">
        <v>10</v>
      </c>
      <c r="J1835" s="5">
        <v>45579</v>
      </c>
      <c r="K1835" s="6">
        <v>0.47488425925925926</v>
      </c>
    </row>
    <row r="1836" spans="1:11" x14ac:dyDescent="0.25">
      <c r="A1836" s="4">
        <v>11</v>
      </c>
      <c r="B1836" s="4" t="s">
        <v>11</v>
      </c>
      <c r="C1836" s="7">
        <v>25.96</v>
      </c>
      <c r="D1836" s="4" t="s">
        <v>18</v>
      </c>
      <c r="E1836" s="4" t="s">
        <v>13</v>
      </c>
      <c r="F1836" s="4" t="s">
        <v>25</v>
      </c>
      <c r="G1836" s="4" t="s">
        <v>37</v>
      </c>
      <c r="H1836" s="4">
        <v>1</v>
      </c>
      <c r="I1836" s="4">
        <v>10</v>
      </c>
      <c r="J1836" s="5">
        <v>45579</v>
      </c>
      <c r="K1836" s="6">
        <v>0.47612268518518519</v>
      </c>
    </row>
    <row r="1837" spans="1:11" x14ac:dyDescent="0.25">
      <c r="A1837" s="4">
        <v>11</v>
      </c>
      <c r="B1837" s="4" t="s">
        <v>11</v>
      </c>
      <c r="C1837" s="7">
        <v>25.96</v>
      </c>
      <c r="D1837" s="4" t="s">
        <v>18</v>
      </c>
      <c r="E1837" s="4" t="s">
        <v>13</v>
      </c>
      <c r="F1837" s="4" t="s">
        <v>25</v>
      </c>
      <c r="G1837" s="4" t="s">
        <v>37</v>
      </c>
      <c r="H1837" s="4">
        <v>1</v>
      </c>
      <c r="I1837" s="4">
        <v>10</v>
      </c>
      <c r="J1837" s="5">
        <v>45579</v>
      </c>
      <c r="K1837" s="6">
        <v>0.47690972222222222</v>
      </c>
    </row>
    <row r="1838" spans="1:11" x14ac:dyDescent="0.25">
      <c r="A1838" s="4">
        <v>14</v>
      </c>
      <c r="B1838" s="4" t="s">
        <v>11</v>
      </c>
      <c r="C1838" s="7">
        <v>35.76</v>
      </c>
      <c r="D1838" s="4" t="s">
        <v>12</v>
      </c>
      <c r="E1838" s="4" t="s">
        <v>17</v>
      </c>
      <c r="F1838" s="4" t="s">
        <v>25</v>
      </c>
      <c r="G1838" s="4" t="s">
        <v>37</v>
      </c>
      <c r="H1838" s="4">
        <v>1</v>
      </c>
      <c r="I1838" s="4">
        <v>10</v>
      </c>
      <c r="J1838" s="5">
        <v>45579</v>
      </c>
      <c r="K1838" s="6">
        <v>0.60841435185185189</v>
      </c>
    </row>
    <row r="1839" spans="1:11" x14ac:dyDescent="0.25">
      <c r="A1839" s="4">
        <v>14</v>
      </c>
      <c r="B1839" s="4" t="s">
        <v>11</v>
      </c>
      <c r="C1839" s="7">
        <v>35.76</v>
      </c>
      <c r="D1839" s="4" t="s">
        <v>12</v>
      </c>
      <c r="E1839" s="4" t="s">
        <v>17</v>
      </c>
      <c r="F1839" s="4" t="s">
        <v>25</v>
      </c>
      <c r="G1839" s="4" t="s">
        <v>37</v>
      </c>
      <c r="H1839" s="4">
        <v>1</v>
      </c>
      <c r="I1839" s="4">
        <v>10</v>
      </c>
      <c r="J1839" s="5">
        <v>45579</v>
      </c>
      <c r="K1839" s="6">
        <v>0.6179513888888889</v>
      </c>
    </row>
    <row r="1840" spans="1:11" x14ac:dyDescent="0.25">
      <c r="A1840" s="4">
        <v>16</v>
      </c>
      <c r="B1840" s="4" t="s">
        <v>11</v>
      </c>
      <c r="C1840" s="7">
        <v>25.96</v>
      </c>
      <c r="D1840" s="4" t="s">
        <v>18</v>
      </c>
      <c r="E1840" s="4" t="s">
        <v>17</v>
      </c>
      <c r="F1840" s="4" t="s">
        <v>25</v>
      </c>
      <c r="G1840" s="4" t="s">
        <v>37</v>
      </c>
      <c r="H1840" s="4">
        <v>1</v>
      </c>
      <c r="I1840" s="4">
        <v>10</v>
      </c>
      <c r="J1840" s="5">
        <v>45579</v>
      </c>
      <c r="K1840" s="6">
        <v>0.69290509259259259</v>
      </c>
    </row>
    <row r="1841" spans="1:11" x14ac:dyDescent="0.25">
      <c r="A1841" s="4">
        <v>18</v>
      </c>
      <c r="B1841" s="4" t="s">
        <v>11</v>
      </c>
      <c r="C1841" s="7">
        <v>35.76</v>
      </c>
      <c r="D1841" s="4" t="s">
        <v>12</v>
      </c>
      <c r="E1841" s="4" t="s">
        <v>20</v>
      </c>
      <c r="F1841" s="4" t="s">
        <v>25</v>
      </c>
      <c r="G1841" s="4" t="s">
        <v>37</v>
      </c>
      <c r="H1841" s="4">
        <v>1</v>
      </c>
      <c r="I1841" s="4">
        <v>10</v>
      </c>
      <c r="J1841" s="5">
        <v>45579</v>
      </c>
      <c r="K1841" s="6">
        <v>0.7634143518518518</v>
      </c>
    </row>
    <row r="1842" spans="1:11" x14ac:dyDescent="0.25">
      <c r="A1842" s="4">
        <v>18</v>
      </c>
      <c r="B1842" s="4" t="s">
        <v>11</v>
      </c>
      <c r="C1842" s="7">
        <v>35.76</v>
      </c>
      <c r="D1842" s="4" t="s">
        <v>29</v>
      </c>
      <c r="E1842" s="4" t="s">
        <v>20</v>
      </c>
      <c r="F1842" s="4" t="s">
        <v>25</v>
      </c>
      <c r="G1842" s="4" t="s">
        <v>37</v>
      </c>
      <c r="H1842" s="4">
        <v>1</v>
      </c>
      <c r="I1842" s="4">
        <v>10</v>
      </c>
      <c r="J1842" s="5">
        <v>45579</v>
      </c>
      <c r="K1842" s="6">
        <v>0.76412037037037039</v>
      </c>
    </row>
    <row r="1843" spans="1:11" x14ac:dyDescent="0.25">
      <c r="A1843" s="4">
        <v>22</v>
      </c>
      <c r="B1843" s="4" t="s">
        <v>11</v>
      </c>
      <c r="C1843" s="7">
        <v>35.76</v>
      </c>
      <c r="D1843" s="4" t="s">
        <v>12</v>
      </c>
      <c r="E1843" s="4" t="s">
        <v>20</v>
      </c>
      <c r="F1843" s="4" t="s">
        <v>25</v>
      </c>
      <c r="G1843" s="4" t="s">
        <v>37</v>
      </c>
      <c r="H1843" s="4">
        <v>1</v>
      </c>
      <c r="I1843" s="4">
        <v>10</v>
      </c>
      <c r="J1843" s="5">
        <v>45579</v>
      </c>
      <c r="K1843" s="6">
        <v>0.92283564814814811</v>
      </c>
    </row>
    <row r="1844" spans="1:11" x14ac:dyDescent="0.25">
      <c r="A1844" s="4">
        <v>22</v>
      </c>
      <c r="B1844" s="4" t="s">
        <v>11</v>
      </c>
      <c r="C1844" s="7">
        <v>35.76</v>
      </c>
      <c r="D1844" s="4" t="s">
        <v>12</v>
      </c>
      <c r="E1844" s="4" t="s">
        <v>20</v>
      </c>
      <c r="F1844" s="4" t="s">
        <v>25</v>
      </c>
      <c r="G1844" s="4" t="s">
        <v>37</v>
      </c>
      <c r="H1844" s="4">
        <v>1</v>
      </c>
      <c r="I1844" s="4">
        <v>10</v>
      </c>
      <c r="J1844" s="5">
        <v>45579</v>
      </c>
      <c r="K1844" s="6">
        <v>0.92387731481481483</v>
      </c>
    </row>
    <row r="1845" spans="1:11" x14ac:dyDescent="0.25">
      <c r="A1845" s="4">
        <v>22</v>
      </c>
      <c r="B1845" s="4" t="s">
        <v>11</v>
      </c>
      <c r="C1845" s="7">
        <v>35.76</v>
      </c>
      <c r="D1845" s="4" t="s">
        <v>12</v>
      </c>
      <c r="E1845" s="4" t="s">
        <v>20</v>
      </c>
      <c r="F1845" s="4" t="s">
        <v>25</v>
      </c>
      <c r="G1845" s="4" t="s">
        <v>37</v>
      </c>
      <c r="H1845" s="4">
        <v>1</v>
      </c>
      <c r="I1845" s="4">
        <v>10</v>
      </c>
      <c r="J1845" s="5">
        <v>45579</v>
      </c>
      <c r="K1845" s="6">
        <v>0.93186342592592597</v>
      </c>
    </row>
    <row r="1846" spans="1:11" x14ac:dyDescent="0.25">
      <c r="A1846" s="4">
        <v>8</v>
      </c>
      <c r="B1846" s="4" t="s">
        <v>11</v>
      </c>
      <c r="C1846" s="7">
        <v>25.96</v>
      </c>
      <c r="D1846" s="4" t="s">
        <v>24</v>
      </c>
      <c r="E1846" s="4" t="s">
        <v>13</v>
      </c>
      <c r="F1846" s="4" t="s">
        <v>27</v>
      </c>
      <c r="G1846" s="4" t="s">
        <v>37</v>
      </c>
      <c r="H1846" s="4">
        <v>2</v>
      </c>
      <c r="I1846" s="4">
        <v>10</v>
      </c>
      <c r="J1846" s="5">
        <v>45580</v>
      </c>
      <c r="K1846" s="6">
        <v>0.34337962962962965</v>
      </c>
    </row>
    <row r="1847" spans="1:11" x14ac:dyDescent="0.25">
      <c r="A1847" s="4">
        <v>8</v>
      </c>
      <c r="B1847" s="4" t="s">
        <v>11</v>
      </c>
      <c r="C1847" s="7">
        <v>21.06</v>
      </c>
      <c r="D1847" s="4" t="s">
        <v>26</v>
      </c>
      <c r="E1847" s="4" t="s">
        <v>13</v>
      </c>
      <c r="F1847" s="4" t="s">
        <v>27</v>
      </c>
      <c r="G1847" s="4" t="s">
        <v>37</v>
      </c>
      <c r="H1847" s="4">
        <v>2</v>
      </c>
      <c r="I1847" s="4">
        <v>10</v>
      </c>
      <c r="J1847" s="5">
        <v>45580</v>
      </c>
      <c r="K1847" s="6">
        <v>0.35714120370370372</v>
      </c>
    </row>
    <row r="1848" spans="1:11" x14ac:dyDescent="0.25">
      <c r="A1848" s="4">
        <v>11</v>
      </c>
      <c r="B1848" s="4" t="s">
        <v>11</v>
      </c>
      <c r="C1848" s="7">
        <v>35.76</v>
      </c>
      <c r="D1848" s="4" t="s">
        <v>16</v>
      </c>
      <c r="E1848" s="4" t="s">
        <v>13</v>
      </c>
      <c r="F1848" s="4" t="s">
        <v>27</v>
      </c>
      <c r="G1848" s="4" t="s">
        <v>37</v>
      </c>
      <c r="H1848" s="4">
        <v>2</v>
      </c>
      <c r="I1848" s="4">
        <v>10</v>
      </c>
      <c r="J1848" s="5">
        <v>45580</v>
      </c>
      <c r="K1848" s="6">
        <v>0.46760416666666665</v>
      </c>
    </row>
    <row r="1849" spans="1:11" x14ac:dyDescent="0.25">
      <c r="A1849" s="4">
        <v>11</v>
      </c>
      <c r="B1849" s="4" t="s">
        <v>11</v>
      </c>
      <c r="C1849" s="7">
        <v>35.76</v>
      </c>
      <c r="D1849" s="4" t="s">
        <v>12</v>
      </c>
      <c r="E1849" s="4" t="s">
        <v>13</v>
      </c>
      <c r="F1849" s="4" t="s">
        <v>27</v>
      </c>
      <c r="G1849" s="4" t="s">
        <v>37</v>
      </c>
      <c r="H1849" s="4">
        <v>2</v>
      </c>
      <c r="I1849" s="4">
        <v>10</v>
      </c>
      <c r="J1849" s="5">
        <v>45580</v>
      </c>
      <c r="K1849" s="6">
        <v>0.4689814814814815</v>
      </c>
    </row>
    <row r="1850" spans="1:11" x14ac:dyDescent="0.25">
      <c r="A1850" s="4">
        <v>11</v>
      </c>
      <c r="B1850" s="4" t="s">
        <v>11</v>
      </c>
      <c r="C1850" s="7">
        <v>35.76</v>
      </c>
      <c r="D1850" s="4" t="s">
        <v>16</v>
      </c>
      <c r="E1850" s="4" t="s">
        <v>13</v>
      </c>
      <c r="F1850" s="4" t="s">
        <v>27</v>
      </c>
      <c r="G1850" s="4" t="s">
        <v>37</v>
      </c>
      <c r="H1850" s="4">
        <v>2</v>
      </c>
      <c r="I1850" s="4">
        <v>10</v>
      </c>
      <c r="J1850" s="5">
        <v>45580</v>
      </c>
      <c r="K1850" s="6">
        <v>0.46975694444444444</v>
      </c>
    </row>
    <row r="1851" spans="1:11" x14ac:dyDescent="0.25">
      <c r="A1851" s="4">
        <v>13</v>
      </c>
      <c r="B1851" s="4" t="s">
        <v>11</v>
      </c>
      <c r="C1851" s="7">
        <v>35.76</v>
      </c>
      <c r="D1851" s="4" t="s">
        <v>12</v>
      </c>
      <c r="E1851" s="4" t="s">
        <v>17</v>
      </c>
      <c r="F1851" s="4" t="s">
        <v>27</v>
      </c>
      <c r="G1851" s="4" t="s">
        <v>37</v>
      </c>
      <c r="H1851" s="4">
        <v>2</v>
      </c>
      <c r="I1851" s="4">
        <v>10</v>
      </c>
      <c r="J1851" s="5">
        <v>45580</v>
      </c>
      <c r="K1851" s="6">
        <v>0.54216435185185186</v>
      </c>
    </row>
    <row r="1852" spans="1:11" x14ac:dyDescent="0.25">
      <c r="A1852" s="4">
        <v>13</v>
      </c>
      <c r="B1852" s="4" t="s">
        <v>11</v>
      </c>
      <c r="C1852" s="7">
        <v>30.86</v>
      </c>
      <c r="D1852" s="4" t="s">
        <v>19</v>
      </c>
      <c r="E1852" s="4" t="s">
        <v>17</v>
      </c>
      <c r="F1852" s="4" t="s">
        <v>27</v>
      </c>
      <c r="G1852" s="4" t="s">
        <v>37</v>
      </c>
      <c r="H1852" s="4">
        <v>2</v>
      </c>
      <c r="I1852" s="4">
        <v>10</v>
      </c>
      <c r="J1852" s="5">
        <v>45580</v>
      </c>
      <c r="K1852" s="6">
        <v>0.55259259259259264</v>
      </c>
    </row>
    <row r="1853" spans="1:11" x14ac:dyDescent="0.25">
      <c r="A1853" s="4">
        <v>15</v>
      </c>
      <c r="B1853" s="4" t="s">
        <v>11</v>
      </c>
      <c r="C1853" s="7">
        <v>35.76</v>
      </c>
      <c r="D1853" s="4" t="s">
        <v>12</v>
      </c>
      <c r="E1853" s="4" t="s">
        <v>17</v>
      </c>
      <c r="F1853" s="4" t="s">
        <v>27</v>
      </c>
      <c r="G1853" s="4" t="s">
        <v>37</v>
      </c>
      <c r="H1853" s="4">
        <v>2</v>
      </c>
      <c r="I1853" s="4">
        <v>10</v>
      </c>
      <c r="J1853" s="5">
        <v>45580</v>
      </c>
      <c r="K1853" s="6">
        <v>0.64734953703703701</v>
      </c>
    </row>
    <row r="1854" spans="1:11" x14ac:dyDescent="0.25">
      <c r="A1854" s="4">
        <v>15</v>
      </c>
      <c r="B1854" s="4" t="s">
        <v>11</v>
      </c>
      <c r="C1854" s="7">
        <v>25.96</v>
      </c>
      <c r="D1854" s="4" t="s">
        <v>18</v>
      </c>
      <c r="E1854" s="4" t="s">
        <v>17</v>
      </c>
      <c r="F1854" s="4" t="s">
        <v>27</v>
      </c>
      <c r="G1854" s="4" t="s">
        <v>37</v>
      </c>
      <c r="H1854" s="4">
        <v>2</v>
      </c>
      <c r="I1854" s="4">
        <v>10</v>
      </c>
      <c r="J1854" s="5">
        <v>45580</v>
      </c>
      <c r="K1854" s="6">
        <v>0.66268518518518515</v>
      </c>
    </row>
    <row r="1855" spans="1:11" x14ac:dyDescent="0.25">
      <c r="A1855" s="4">
        <v>15</v>
      </c>
      <c r="B1855" s="4" t="s">
        <v>11</v>
      </c>
      <c r="C1855" s="7">
        <v>21.06</v>
      </c>
      <c r="D1855" s="4" t="s">
        <v>26</v>
      </c>
      <c r="E1855" s="4" t="s">
        <v>17</v>
      </c>
      <c r="F1855" s="4" t="s">
        <v>27</v>
      </c>
      <c r="G1855" s="4" t="s">
        <v>37</v>
      </c>
      <c r="H1855" s="4">
        <v>2</v>
      </c>
      <c r="I1855" s="4">
        <v>10</v>
      </c>
      <c r="J1855" s="5">
        <v>45580</v>
      </c>
      <c r="K1855" s="6">
        <v>0.66341435185185182</v>
      </c>
    </row>
    <row r="1856" spans="1:11" x14ac:dyDescent="0.25">
      <c r="A1856" s="4">
        <v>17</v>
      </c>
      <c r="B1856" s="4" t="s">
        <v>11</v>
      </c>
      <c r="C1856" s="7">
        <v>35.76</v>
      </c>
      <c r="D1856" s="4" t="s">
        <v>16</v>
      </c>
      <c r="E1856" s="4" t="s">
        <v>20</v>
      </c>
      <c r="F1856" s="4" t="s">
        <v>27</v>
      </c>
      <c r="G1856" s="4" t="s">
        <v>37</v>
      </c>
      <c r="H1856" s="4">
        <v>2</v>
      </c>
      <c r="I1856" s="4">
        <v>10</v>
      </c>
      <c r="J1856" s="5">
        <v>45580</v>
      </c>
      <c r="K1856" s="6">
        <v>0.7112384259259259</v>
      </c>
    </row>
    <row r="1857" spans="1:11" x14ac:dyDescent="0.25">
      <c r="A1857" s="4">
        <v>19</v>
      </c>
      <c r="B1857" s="4" t="s">
        <v>11</v>
      </c>
      <c r="C1857" s="7">
        <v>25.96</v>
      </c>
      <c r="D1857" s="4" t="s">
        <v>18</v>
      </c>
      <c r="E1857" s="4" t="s">
        <v>20</v>
      </c>
      <c r="F1857" s="4" t="s">
        <v>27</v>
      </c>
      <c r="G1857" s="4" t="s">
        <v>37</v>
      </c>
      <c r="H1857" s="4">
        <v>2</v>
      </c>
      <c r="I1857" s="4">
        <v>10</v>
      </c>
      <c r="J1857" s="5">
        <v>45580</v>
      </c>
      <c r="K1857" s="6">
        <v>0.80718749999999995</v>
      </c>
    </row>
    <row r="1858" spans="1:11" x14ac:dyDescent="0.25">
      <c r="A1858" s="4">
        <v>19</v>
      </c>
      <c r="B1858" s="4" t="s">
        <v>11</v>
      </c>
      <c r="C1858" s="7">
        <v>35.76</v>
      </c>
      <c r="D1858" s="4" t="s">
        <v>21</v>
      </c>
      <c r="E1858" s="4" t="s">
        <v>20</v>
      </c>
      <c r="F1858" s="4" t="s">
        <v>27</v>
      </c>
      <c r="G1858" s="4" t="s">
        <v>37</v>
      </c>
      <c r="H1858" s="4">
        <v>2</v>
      </c>
      <c r="I1858" s="4">
        <v>10</v>
      </c>
      <c r="J1858" s="5">
        <v>45580</v>
      </c>
      <c r="K1858" s="6">
        <v>0.80783564814814812</v>
      </c>
    </row>
    <row r="1859" spans="1:11" x14ac:dyDescent="0.25">
      <c r="A1859" s="4">
        <v>20</v>
      </c>
      <c r="B1859" s="4" t="s">
        <v>11</v>
      </c>
      <c r="C1859" s="7">
        <v>35.76</v>
      </c>
      <c r="D1859" s="4" t="s">
        <v>12</v>
      </c>
      <c r="E1859" s="4" t="s">
        <v>20</v>
      </c>
      <c r="F1859" s="4" t="s">
        <v>27</v>
      </c>
      <c r="G1859" s="4" t="s">
        <v>37</v>
      </c>
      <c r="H1859" s="4">
        <v>2</v>
      </c>
      <c r="I1859" s="4">
        <v>10</v>
      </c>
      <c r="J1859" s="5">
        <v>45580</v>
      </c>
      <c r="K1859" s="6">
        <v>0.84113425925925922</v>
      </c>
    </row>
    <row r="1860" spans="1:11" x14ac:dyDescent="0.25">
      <c r="A1860" s="4">
        <v>20</v>
      </c>
      <c r="B1860" s="4" t="s">
        <v>11</v>
      </c>
      <c r="C1860" s="7">
        <v>35.76</v>
      </c>
      <c r="D1860" s="4" t="s">
        <v>12</v>
      </c>
      <c r="E1860" s="4" t="s">
        <v>20</v>
      </c>
      <c r="F1860" s="4" t="s">
        <v>27</v>
      </c>
      <c r="G1860" s="4" t="s">
        <v>37</v>
      </c>
      <c r="H1860" s="4">
        <v>2</v>
      </c>
      <c r="I1860" s="4">
        <v>10</v>
      </c>
      <c r="J1860" s="5">
        <v>45580</v>
      </c>
      <c r="K1860" s="6">
        <v>0.84199074074074076</v>
      </c>
    </row>
    <row r="1861" spans="1:11" x14ac:dyDescent="0.25">
      <c r="A1861" s="4">
        <v>21</v>
      </c>
      <c r="B1861" s="4" t="s">
        <v>11</v>
      </c>
      <c r="C1861" s="7">
        <v>35.76</v>
      </c>
      <c r="D1861" s="4" t="s">
        <v>16</v>
      </c>
      <c r="E1861" s="4" t="s">
        <v>20</v>
      </c>
      <c r="F1861" s="4" t="s">
        <v>27</v>
      </c>
      <c r="G1861" s="4" t="s">
        <v>37</v>
      </c>
      <c r="H1861" s="4">
        <v>2</v>
      </c>
      <c r="I1861" s="4">
        <v>10</v>
      </c>
      <c r="J1861" s="5">
        <v>45580</v>
      </c>
      <c r="K1861" s="6">
        <v>0.8875925925925926</v>
      </c>
    </row>
    <row r="1862" spans="1:11" x14ac:dyDescent="0.25">
      <c r="A1862" s="4">
        <v>21</v>
      </c>
      <c r="B1862" s="4" t="s">
        <v>11</v>
      </c>
      <c r="C1862" s="7">
        <v>35.76</v>
      </c>
      <c r="D1862" s="4" t="s">
        <v>16</v>
      </c>
      <c r="E1862" s="4" t="s">
        <v>20</v>
      </c>
      <c r="F1862" s="4" t="s">
        <v>27</v>
      </c>
      <c r="G1862" s="4" t="s">
        <v>37</v>
      </c>
      <c r="H1862" s="4">
        <v>2</v>
      </c>
      <c r="I1862" s="4">
        <v>10</v>
      </c>
      <c r="J1862" s="5">
        <v>45580</v>
      </c>
      <c r="K1862" s="6">
        <v>0.89952546296296299</v>
      </c>
    </row>
    <row r="1863" spans="1:11" x14ac:dyDescent="0.25">
      <c r="A1863" s="4">
        <v>22</v>
      </c>
      <c r="B1863" s="4" t="s">
        <v>11</v>
      </c>
      <c r="C1863" s="7">
        <v>35.76</v>
      </c>
      <c r="D1863" s="4" t="s">
        <v>12</v>
      </c>
      <c r="E1863" s="4" t="s">
        <v>20</v>
      </c>
      <c r="F1863" s="4" t="s">
        <v>27</v>
      </c>
      <c r="G1863" s="4" t="s">
        <v>37</v>
      </c>
      <c r="H1863" s="4">
        <v>2</v>
      </c>
      <c r="I1863" s="4">
        <v>10</v>
      </c>
      <c r="J1863" s="5">
        <v>45580</v>
      </c>
      <c r="K1863" s="6">
        <v>0.92730324074074078</v>
      </c>
    </row>
    <row r="1864" spans="1:11" x14ac:dyDescent="0.25">
      <c r="A1864" s="4">
        <v>8</v>
      </c>
      <c r="B1864" s="4" t="s">
        <v>11</v>
      </c>
      <c r="C1864" s="7">
        <v>30.86</v>
      </c>
      <c r="D1864" s="4" t="s">
        <v>19</v>
      </c>
      <c r="E1864" s="4" t="s">
        <v>13</v>
      </c>
      <c r="F1864" s="4" t="s">
        <v>28</v>
      </c>
      <c r="G1864" s="4" t="s">
        <v>37</v>
      </c>
      <c r="H1864" s="4">
        <v>3</v>
      </c>
      <c r="I1864" s="4">
        <v>10</v>
      </c>
      <c r="J1864" s="5">
        <v>45581</v>
      </c>
      <c r="K1864" s="6">
        <v>0.34821759259259261</v>
      </c>
    </row>
    <row r="1865" spans="1:11" x14ac:dyDescent="0.25">
      <c r="A1865" s="4">
        <v>8</v>
      </c>
      <c r="B1865" s="4" t="s">
        <v>11</v>
      </c>
      <c r="C1865" s="7">
        <v>35.76</v>
      </c>
      <c r="D1865" s="4" t="s">
        <v>16</v>
      </c>
      <c r="E1865" s="4" t="s">
        <v>13</v>
      </c>
      <c r="F1865" s="4" t="s">
        <v>28</v>
      </c>
      <c r="G1865" s="4" t="s">
        <v>37</v>
      </c>
      <c r="H1865" s="4">
        <v>3</v>
      </c>
      <c r="I1865" s="4">
        <v>10</v>
      </c>
      <c r="J1865" s="5">
        <v>45581</v>
      </c>
      <c r="K1865" s="6">
        <v>0.35859953703703706</v>
      </c>
    </row>
    <row r="1866" spans="1:11" x14ac:dyDescent="0.25">
      <c r="A1866" s="4">
        <v>9</v>
      </c>
      <c r="B1866" s="4" t="s">
        <v>11</v>
      </c>
      <c r="C1866" s="7">
        <v>35.76</v>
      </c>
      <c r="D1866" s="4" t="s">
        <v>12</v>
      </c>
      <c r="E1866" s="4" t="s">
        <v>13</v>
      </c>
      <c r="F1866" s="4" t="s">
        <v>28</v>
      </c>
      <c r="G1866" s="4" t="s">
        <v>37</v>
      </c>
      <c r="H1866" s="4">
        <v>3</v>
      </c>
      <c r="I1866" s="4">
        <v>10</v>
      </c>
      <c r="J1866" s="5">
        <v>45581</v>
      </c>
      <c r="K1866" s="6">
        <v>0.39295138888888886</v>
      </c>
    </row>
    <row r="1867" spans="1:11" x14ac:dyDescent="0.25">
      <c r="A1867" s="4">
        <v>10</v>
      </c>
      <c r="B1867" s="4" t="s">
        <v>11</v>
      </c>
      <c r="C1867" s="7">
        <v>30.86</v>
      </c>
      <c r="D1867" s="4" t="s">
        <v>19</v>
      </c>
      <c r="E1867" s="4" t="s">
        <v>13</v>
      </c>
      <c r="F1867" s="4" t="s">
        <v>28</v>
      </c>
      <c r="G1867" s="4" t="s">
        <v>37</v>
      </c>
      <c r="H1867" s="4">
        <v>3</v>
      </c>
      <c r="I1867" s="4">
        <v>10</v>
      </c>
      <c r="J1867" s="5">
        <v>45581</v>
      </c>
      <c r="K1867" s="6">
        <v>0.42762731481481481</v>
      </c>
    </row>
    <row r="1868" spans="1:11" x14ac:dyDescent="0.25">
      <c r="A1868" s="4">
        <v>10</v>
      </c>
      <c r="B1868" s="4" t="s">
        <v>11</v>
      </c>
      <c r="C1868" s="7">
        <v>30.86</v>
      </c>
      <c r="D1868" s="4" t="s">
        <v>19</v>
      </c>
      <c r="E1868" s="4" t="s">
        <v>13</v>
      </c>
      <c r="F1868" s="4" t="s">
        <v>28</v>
      </c>
      <c r="G1868" s="4" t="s">
        <v>37</v>
      </c>
      <c r="H1868" s="4">
        <v>3</v>
      </c>
      <c r="I1868" s="4">
        <v>10</v>
      </c>
      <c r="J1868" s="5">
        <v>45581</v>
      </c>
      <c r="K1868" s="6">
        <v>0.4283912037037037</v>
      </c>
    </row>
    <row r="1869" spans="1:11" x14ac:dyDescent="0.25">
      <c r="A1869" s="4">
        <v>10</v>
      </c>
      <c r="B1869" s="4" t="s">
        <v>11</v>
      </c>
      <c r="C1869" s="7">
        <v>30.86</v>
      </c>
      <c r="D1869" s="4" t="s">
        <v>19</v>
      </c>
      <c r="E1869" s="4" t="s">
        <v>13</v>
      </c>
      <c r="F1869" s="4" t="s">
        <v>28</v>
      </c>
      <c r="G1869" s="4" t="s">
        <v>37</v>
      </c>
      <c r="H1869" s="4">
        <v>3</v>
      </c>
      <c r="I1869" s="4">
        <v>10</v>
      </c>
      <c r="J1869" s="5">
        <v>45581</v>
      </c>
      <c r="K1869" s="6">
        <v>0.44819444444444445</v>
      </c>
    </row>
    <row r="1870" spans="1:11" x14ac:dyDescent="0.25">
      <c r="A1870" s="4">
        <v>11</v>
      </c>
      <c r="B1870" s="4" t="s">
        <v>11</v>
      </c>
      <c r="C1870" s="7">
        <v>25.96</v>
      </c>
      <c r="D1870" s="4" t="s">
        <v>18</v>
      </c>
      <c r="E1870" s="4" t="s">
        <v>13</v>
      </c>
      <c r="F1870" s="4" t="s">
        <v>28</v>
      </c>
      <c r="G1870" s="4" t="s">
        <v>37</v>
      </c>
      <c r="H1870" s="4">
        <v>3</v>
      </c>
      <c r="I1870" s="4">
        <v>10</v>
      </c>
      <c r="J1870" s="5">
        <v>45581</v>
      </c>
      <c r="K1870" s="6">
        <v>0.49287037037037035</v>
      </c>
    </row>
    <row r="1871" spans="1:11" x14ac:dyDescent="0.25">
      <c r="A1871" s="4">
        <v>12</v>
      </c>
      <c r="B1871" s="4" t="s">
        <v>11</v>
      </c>
      <c r="C1871" s="7">
        <v>30.86</v>
      </c>
      <c r="D1871" s="4" t="s">
        <v>19</v>
      </c>
      <c r="E1871" s="4" t="s">
        <v>17</v>
      </c>
      <c r="F1871" s="4" t="s">
        <v>28</v>
      </c>
      <c r="G1871" s="4" t="s">
        <v>37</v>
      </c>
      <c r="H1871" s="4">
        <v>3</v>
      </c>
      <c r="I1871" s="4">
        <v>10</v>
      </c>
      <c r="J1871" s="5">
        <v>45581</v>
      </c>
      <c r="K1871" s="6">
        <v>0.52064814814814819</v>
      </c>
    </row>
    <row r="1872" spans="1:11" x14ac:dyDescent="0.25">
      <c r="A1872" s="4">
        <v>13</v>
      </c>
      <c r="B1872" s="4" t="s">
        <v>11</v>
      </c>
      <c r="C1872" s="7">
        <v>25.96</v>
      </c>
      <c r="D1872" s="4" t="s">
        <v>18</v>
      </c>
      <c r="E1872" s="4" t="s">
        <v>17</v>
      </c>
      <c r="F1872" s="4" t="s">
        <v>28</v>
      </c>
      <c r="G1872" s="4" t="s">
        <v>37</v>
      </c>
      <c r="H1872" s="4">
        <v>3</v>
      </c>
      <c r="I1872" s="4">
        <v>10</v>
      </c>
      <c r="J1872" s="5">
        <v>45581</v>
      </c>
      <c r="K1872" s="6">
        <v>0.5556712962962963</v>
      </c>
    </row>
    <row r="1873" spans="1:11" x14ac:dyDescent="0.25">
      <c r="A1873" s="4">
        <v>16</v>
      </c>
      <c r="B1873" s="4" t="s">
        <v>11</v>
      </c>
      <c r="C1873" s="7">
        <v>35.76</v>
      </c>
      <c r="D1873" s="4" t="s">
        <v>12</v>
      </c>
      <c r="E1873" s="4" t="s">
        <v>17</v>
      </c>
      <c r="F1873" s="4" t="s">
        <v>28</v>
      </c>
      <c r="G1873" s="4" t="s">
        <v>37</v>
      </c>
      <c r="H1873" s="4">
        <v>3</v>
      </c>
      <c r="I1873" s="4">
        <v>10</v>
      </c>
      <c r="J1873" s="5">
        <v>45581</v>
      </c>
      <c r="K1873" s="6">
        <v>0.69825231481481487</v>
      </c>
    </row>
    <row r="1874" spans="1:11" x14ac:dyDescent="0.25">
      <c r="A1874" s="4">
        <v>17</v>
      </c>
      <c r="B1874" s="4" t="s">
        <v>11</v>
      </c>
      <c r="C1874" s="7">
        <v>30.86</v>
      </c>
      <c r="D1874" s="4" t="s">
        <v>19</v>
      </c>
      <c r="E1874" s="4" t="s">
        <v>20</v>
      </c>
      <c r="F1874" s="4" t="s">
        <v>28</v>
      </c>
      <c r="G1874" s="4" t="s">
        <v>37</v>
      </c>
      <c r="H1874" s="4">
        <v>3</v>
      </c>
      <c r="I1874" s="4">
        <v>10</v>
      </c>
      <c r="J1874" s="5">
        <v>45581</v>
      </c>
      <c r="K1874" s="6">
        <v>0.73842592592592593</v>
      </c>
    </row>
    <row r="1875" spans="1:11" x14ac:dyDescent="0.25">
      <c r="A1875" s="4">
        <v>19</v>
      </c>
      <c r="B1875" s="4" t="s">
        <v>11</v>
      </c>
      <c r="C1875" s="7">
        <v>30.86</v>
      </c>
      <c r="D1875" s="4" t="s">
        <v>19</v>
      </c>
      <c r="E1875" s="4" t="s">
        <v>20</v>
      </c>
      <c r="F1875" s="4" t="s">
        <v>28</v>
      </c>
      <c r="G1875" s="4" t="s">
        <v>37</v>
      </c>
      <c r="H1875" s="4">
        <v>3</v>
      </c>
      <c r="I1875" s="4">
        <v>10</v>
      </c>
      <c r="J1875" s="5">
        <v>45581</v>
      </c>
      <c r="K1875" s="6">
        <v>0.81784722222222217</v>
      </c>
    </row>
    <row r="1876" spans="1:11" x14ac:dyDescent="0.25">
      <c r="A1876" s="4">
        <v>19</v>
      </c>
      <c r="B1876" s="4" t="s">
        <v>11</v>
      </c>
      <c r="C1876" s="7">
        <v>30.86</v>
      </c>
      <c r="D1876" s="4" t="s">
        <v>19</v>
      </c>
      <c r="E1876" s="4" t="s">
        <v>20</v>
      </c>
      <c r="F1876" s="4" t="s">
        <v>28</v>
      </c>
      <c r="G1876" s="4" t="s">
        <v>37</v>
      </c>
      <c r="H1876" s="4">
        <v>3</v>
      </c>
      <c r="I1876" s="4">
        <v>10</v>
      </c>
      <c r="J1876" s="5">
        <v>45581</v>
      </c>
      <c r="K1876" s="6">
        <v>0.81847222222222227</v>
      </c>
    </row>
    <row r="1877" spans="1:11" x14ac:dyDescent="0.25">
      <c r="A1877" s="4">
        <v>21</v>
      </c>
      <c r="B1877" s="4" t="s">
        <v>11</v>
      </c>
      <c r="C1877" s="7">
        <v>35.76</v>
      </c>
      <c r="D1877" s="4" t="s">
        <v>16</v>
      </c>
      <c r="E1877" s="4" t="s">
        <v>20</v>
      </c>
      <c r="F1877" s="4" t="s">
        <v>28</v>
      </c>
      <c r="G1877" s="4" t="s">
        <v>37</v>
      </c>
      <c r="H1877" s="4">
        <v>3</v>
      </c>
      <c r="I1877" s="4">
        <v>10</v>
      </c>
      <c r="J1877" s="5">
        <v>45581</v>
      </c>
      <c r="K1877" s="6">
        <v>0.88921296296296293</v>
      </c>
    </row>
    <row r="1878" spans="1:11" x14ac:dyDescent="0.25">
      <c r="A1878" s="4">
        <v>7</v>
      </c>
      <c r="B1878" s="4" t="s">
        <v>11</v>
      </c>
      <c r="C1878" s="7">
        <v>35.76</v>
      </c>
      <c r="D1878" s="4" t="s">
        <v>12</v>
      </c>
      <c r="E1878" s="4" t="s">
        <v>13</v>
      </c>
      <c r="F1878" s="4" t="s">
        <v>30</v>
      </c>
      <c r="G1878" s="4" t="s">
        <v>37</v>
      </c>
      <c r="H1878" s="4">
        <v>4</v>
      </c>
      <c r="I1878" s="4">
        <v>10</v>
      </c>
      <c r="J1878" s="5">
        <v>45582</v>
      </c>
      <c r="K1878" s="6">
        <v>0.32430555555555557</v>
      </c>
    </row>
    <row r="1879" spans="1:11" x14ac:dyDescent="0.25">
      <c r="A1879" s="4">
        <v>7</v>
      </c>
      <c r="B1879" s="4" t="s">
        <v>11</v>
      </c>
      <c r="C1879" s="7">
        <v>35.76</v>
      </c>
      <c r="D1879" s="4" t="s">
        <v>12</v>
      </c>
      <c r="E1879" s="4" t="s">
        <v>13</v>
      </c>
      <c r="F1879" s="4" t="s">
        <v>30</v>
      </c>
      <c r="G1879" s="4" t="s">
        <v>37</v>
      </c>
      <c r="H1879" s="4">
        <v>4</v>
      </c>
      <c r="I1879" s="4">
        <v>10</v>
      </c>
      <c r="J1879" s="5">
        <v>45582</v>
      </c>
      <c r="K1879" s="6">
        <v>0.33201388888888889</v>
      </c>
    </row>
    <row r="1880" spans="1:11" x14ac:dyDescent="0.25">
      <c r="A1880" s="4">
        <v>9</v>
      </c>
      <c r="B1880" s="4" t="s">
        <v>11</v>
      </c>
      <c r="C1880" s="7">
        <v>30.86</v>
      </c>
      <c r="D1880" s="4" t="s">
        <v>19</v>
      </c>
      <c r="E1880" s="4" t="s">
        <v>13</v>
      </c>
      <c r="F1880" s="4" t="s">
        <v>30</v>
      </c>
      <c r="G1880" s="4" t="s">
        <v>37</v>
      </c>
      <c r="H1880" s="4">
        <v>4</v>
      </c>
      <c r="I1880" s="4">
        <v>10</v>
      </c>
      <c r="J1880" s="5">
        <v>45582</v>
      </c>
      <c r="K1880" s="6">
        <v>0.39197916666666666</v>
      </c>
    </row>
    <row r="1881" spans="1:11" x14ac:dyDescent="0.25">
      <c r="A1881" s="4">
        <v>10</v>
      </c>
      <c r="B1881" s="4" t="s">
        <v>11</v>
      </c>
      <c r="C1881" s="7">
        <v>35.76</v>
      </c>
      <c r="D1881" s="4" t="s">
        <v>12</v>
      </c>
      <c r="E1881" s="4" t="s">
        <v>13</v>
      </c>
      <c r="F1881" s="4" t="s">
        <v>30</v>
      </c>
      <c r="G1881" s="4" t="s">
        <v>37</v>
      </c>
      <c r="H1881" s="4">
        <v>4</v>
      </c>
      <c r="I1881" s="4">
        <v>10</v>
      </c>
      <c r="J1881" s="5">
        <v>45582</v>
      </c>
      <c r="K1881" s="6">
        <v>0.43515046296296295</v>
      </c>
    </row>
    <row r="1882" spans="1:11" x14ac:dyDescent="0.25">
      <c r="A1882" s="4">
        <v>10</v>
      </c>
      <c r="B1882" s="4" t="s">
        <v>11</v>
      </c>
      <c r="C1882" s="7">
        <v>35.76</v>
      </c>
      <c r="D1882" s="4" t="s">
        <v>16</v>
      </c>
      <c r="E1882" s="4" t="s">
        <v>13</v>
      </c>
      <c r="F1882" s="4" t="s">
        <v>30</v>
      </c>
      <c r="G1882" s="4" t="s">
        <v>37</v>
      </c>
      <c r="H1882" s="4">
        <v>4</v>
      </c>
      <c r="I1882" s="4">
        <v>10</v>
      </c>
      <c r="J1882" s="5">
        <v>45582</v>
      </c>
      <c r="K1882" s="6">
        <v>0.44784722222222223</v>
      </c>
    </row>
    <row r="1883" spans="1:11" x14ac:dyDescent="0.25">
      <c r="A1883" s="4">
        <v>11</v>
      </c>
      <c r="B1883" s="4" t="s">
        <v>11</v>
      </c>
      <c r="C1883" s="7">
        <v>30.86</v>
      </c>
      <c r="D1883" s="4" t="s">
        <v>19</v>
      </c>
      <c r="E1883" s="4" t="s">
        <v>13</v>
      </c>
      <c r="F1883" s="4" t="s">
        <v>30</v>
      </c>
      <c r="G1883" s="4" t="s">
        <v>37</v>
      </c>
      <c r="H1883" s="4">
        <v>4</v>
      </c>
      <c r="I1883" s="4">
        <v>10</v>
      </c>
      <c r="J1883" s="5">
        <v>45582</v>
      </c>
      <c r="K1883" s="6">
        <v>0.49960648148148146</v>
      </c>
    </row>
    <row r="1884" spans="1:11" x14ac:dyDescent="0.25">
      <c r="A1884" s="4">
        <v>13</v>
      </c>
      <c r="B1884" s="4" t="s">
        <v>11</v>
      </c>
      <c r="C1884" s="7">
        <v>35.76</v>
      </c>
      <c r="D1884" s="4" t="s">
        <v>12</v>
      </c>
      <c r="E1884" s="4" t="s">
        <v>17</v>
      </c>
      <c r="F1884" s="4" t="s">
        <v>30</v>
      </c>
      <c r="G1884" s="4" t="s">
        <v>37</v>
      </c>
      <c r="H1884" s="4">
        <v>4</v>
      </c>
      <c r="I1884" s="4">
        <v>10</v>
      </c>
      <c r="J1884" s="5">
        <v>45582</v>
      </c>
      <c r="K1884" s="6">
        <v>0.58152777777777775</v>
      </c>
    </row>
    <row r="1885" spans="1:11" x14ac:dyDescent="0.25">
      <c r="A1885" s="4">
        <v>14</v>
      </c>
      <c r="B1885" s="4" t="s">
        <v>11</v>
      </c>
      <c r="C1885" s="7">
        <v>25.96</v>
      </c>
      <c r="D1885" s="4" t="s">
        <v>18</v>
      </c>
      <c r="E1885" s="4" t="s">
        <v>17</v>
      </c>
      <c r="F1885" s="4" t="s">
        <v>30</v>
      </c>
      <c r="G1885" s="4" t="s">
        <v>37</v>
      </c>
      <c r="H1885" s="4">
        <v>4</v>
      </c>
      <c r="I1885" s="4">
        <v>10</v>
      </c>
      <c r="J1885" s="5">
        <v>45582</v>
      </c>
      <c r="K1885" s="6">
        <v>0.60743055555555558</v>
      </c>
    </row>
    <row r="1886" spans="1:11" x14ac:dyDescent="0.25">
      <c r="A1886" s="4">
        <v>16</v>
      </c>
      <c r="B1886" s="4" t="s">
        <v>11</v>
      </c>
      <c r="C1886" s="7">
        <v>35.76</v>
      </c>
      <c r="D1886" s="4" t="s">
        <v>16</v>
      </c>
      <c r="E1886" s="4" t="s">
        <v>17</v>
      </c>
      <c r="F1886" s="4" t="s">
        <v>30</v>
      </c>
      <c r="G1886" s="4" t="s">
        <v>37</v>
      </c>
      <c r="H1886" s="4">
        <v>4</v>
      </c>
      <c r="I1886" s="4">
        <v>10</v>
      </c>
      <c r="J1886" s="5">
        <v>45582</v>
      </c>
      <c r="K1886" s="6">
        <v>0.6925</v>
      </c>
    </row>
    <row r="1887" spans="1:11" x14ac:dyDescent="0.25">
      <c r="A1887" s="4">
        <v>16</v>
      </c>
      <c r="B1887" s="4" t="s">
        <v>11</v>
      </c>
      <c r="C1887" s="7">
        <v>35.76</v>
      </c>
      <c r="D1887" s="4" t="s">
        <v>16</v>
      </c>
      <c r="E1887" s="4" t="s">
        <v>17</v>
      </c>
      <c r="F1887" s="4" t="s">
        <v>30</v>
      </c>
      <c r="G1887" s="4" t="s">
        <v>37</v>
      </c>
      <c r="H1887" s="4">
        <v>4</v>
      </c>
      <c r="I1887" s="4">
        <v>10</v>
      </c>
      <c r="J1887" s="5">
        <v>45582</v>
      </c>
      <c r="K1887" s="6">
        <v>0.69325231481481486</v>
      </c>
    </row>
    <row r="1888" spans="1:11" x14ac:dyDescent="0.25">
      <c r="A1888" s="4">
        <v>16</v>
      </c>
      <c r="B1888" s="4" t="s">
        <v>11</v>
      </c>
      <c r="C1888" s="7">
        <v>35.76</v>
      </c>
      <c r="D1888" s="4" t="s">
        <v>12</v>
      </c>
      <c r="E1888" s="4" t="s">
        <v>17</v>
      </c>
      <c r="F1888" s="4" t="s">
        <v>30</v>
      </c>
      <c r="G1888" s="4" t="s">
        <v>37</v>
      </c>
      <c r="H1888" s="4">
        <v>4</v>
      </c>
      <c r="I1888" s="4">
        <v>10</v>
      </c>
      <c r="J1888" s="5">
        <v>45582</v>
      </c>
      <c r="K1888" s="6">
        <v>0.69385416666666666</v>
      </c>
    </row>
    <row r="1889" spans="1:11" x14ac:dyDescent="0.25">
      <c r="A1889" s="4">
        <v>16</v>
      </c>
      <c r="B1889" s="4" t="s">
        <v>11</v>
      </c>
      <c r="C1889" s="7">
        <v>35.76</v>
      </c>
      <c r="D1889" s="4" t="s">
        <v>16</v>
      </c>
      <c r="E1889" s="4" t="s">
        <v>17</v>
      </c>
      <c r="F1889" s="4" t="s">
        <v>30</v>
      </c>
      <c r="G1889" s="4" t="s">
        <v>37</v>
      </c>
      <c r="H1889" s="4">
        <v>4</v>
      </c>
      <c r="I1889" s="4">
        <v>10</v>
      </c>
      <c r="J1889" s="5">
        <v>45582</v>
      </c>
      <c r="K1889" s="6">
        <v>0.70040509259259254</v>
      </c>
    </row>
    <row r="1890" spans="1:11" x14ac:dyDescent="0.25">
      <c r="A1890" s="4">
        <v>16</v>
      </c>
      <c r="B1890" s="4" t="s">
        <v>11</v>
      </c>
      <c r="C1890" s="7">
        <v>35.76</v>
      </c>
      <c r="D1890" s="4" t="s">
        <v>16</v>
      </c>
      <c r="E1890" s="4" t="s">
        <v>17</v>
      </c>
      <c r="F1890" s="4" t="s">
        <v>30</v>
      </c>
      <c r="G1890" s="4" t="s">
        <v>37</v>
      </c>
      <c r="H1890" s="4">
        <v>4</v>
      </c>
      <c r="I1890" s="4">
        <v>10</v>
      </c>
      <c r="J1890" s="5">
        <v>45582</v>
      </c>
      <c r="K1890" s="6">
        <v>0.7010763888888889</v>
      </c>
    </row>
    <row r="1891" spans="1:11" x14ac:dyDescent="0.25">
      <c r="A1891" s="4">
        <v>17</v>
      </c>
      <c r="B1891" s="4" t="s">
        <v>11</v>
      </c>
      <c r="C1891" s="7">
        <v>35.76</v>
      </c>
      <c r="D1891" s="4" t="s">
        <v>29</v>
      </c>
      <c r="E1891" s="4" t="s">
        <v>20</v>
      </c>
      <c r="F1891" s="4" t="s">
        <v>30</v>
      </c>
      <c r="G1891" s="4" t="s">
        <v>37</v>
      </c>
      <c r="H1891" s="4">
        <v>4</v>
      </c>
      <c r="I1891" s="4">
        <v>10</v>
      </c>
      <c r="J1891" s="5">
        <v>45582</v>
      </c>
      <c r="K1891" s="6">
        <v>0.71420138888888884</v>
      </c>
    </row>
    <row r="1892" spans="1:11" x14ac:dyDescent="0.25">
      <c r="A1892" s="4">
        <v>17</v>
      </c>
      <c r="B1892" s="4" t="s">
        <v>11</v>
      </c>
      <c r="C1892" s="7">
        <v>35.76</v>
      </c>
      <c r="D1892" s="4" t="s">
        <v>16</v>
      </c>
      <c r="E1892" s="4" t="s">
        <v>20</v>
      </c>
      <c r="F1892" s="4" t="s">
        <v>30</v>
      </c>
      <c r="G1892" s="4" t="s">
        <v>37</v>
      </c>
      <c r="H1892" s="4">
        <v>4</v>
      </c>
      <c r="I1892" s="4">
        <v>10</v>
      </c>
      <c r="J1892" s="5">
        <v>45582</v>
      </c>
      <c r="K1892" s="6">
        <v>0.71493055555555551</v>
      </c>
    </row>
    <row r="1893" spans="1:11" x14ac:dyDescent="0.25">
      <c r="A1893" s="4">
        <v>19</v>
      </c>
      <c r="B1893" s="4" t="s">
        <v>11</v>
      </c>
      <c r="C1893" s="7">
        <v>35.76</v>
      </c>
      <c r="D1893" s="4" t="s">
        <v>12</v>
      </c>
      <c r="E1893" s="4" t="s">
        <v>20</v>
      </c>
      <c r="F1893" s="4" t="s">
        <v>30</v>
      </c>
      <c r="G1893" s="4" t="s">
        <v>37</v>
      </c>
      <c r="H1893" s="4">
        <v>4</v>
      </c>
      <c r="I1893" s="4">
        <v>10</v>
      </c>
      <c r="J1893" s="5">
        <v>45582</v>
      </c>
      <c r="K1893" s="6">
        <v>0.82166666666666666</v>
      </c>
    </row>
    <row r="1894" spans="1:11" x14ac:dyDescent="0.25">
      <c r="A1894" s="4">
        <v>20</v>
      </c>
      <c r="B1894" s="4" t="s">
        <v>11</v>
      </c>
      <c r="C1894" s="7">
        <v>30.86</v>
      </c>
      <c r="D1894" s="4" t="s">
        <v>19</v>
      </c>
      <c r="E1894" s="4" t="s">
        <v>20</v>
      </c>
      <c r="F1894" s="4" t="s">
        <v>30</v>
      </c>
      <c r="G1894" s="4" t="s">
        <v>37</v>
      </c>
      <c r="H1894" s="4">
        <v>4</v>
      </c>
      <c r="I1894" s="4">
        <v>10</v>
      </c>
      <c r="J1894" s="5">
        <v>45582</v>
      </c>
      <c r="K1894" s="6">
        <v>0.84138888888888885</v>
      </c>
    </row>
    <row r="1895" spans="1:11" x14ac:dyDescent="0.25">
      <c r="A1895" s="4">
        <v>21</v>
      </c>
      <c r="B1895" s="4" t="s">
        <v>11</v>
      </c>
      <c r="C1895" s="7">
        <v>35.76</v>
      </c>
      <c r="D1895" s="4" t="s">
        <v>12</v>
      </c>
      <c r="E1895" s="4" t="s">
        <v>20</v>
      </c>
      <c r="F1895" s="4" t="s">
        <v>30</v>
      </c>
      <c r="G1895" s="4" t="s">
        <v>37</v>
      </c>
      <c r="H1895" s="4">
        <v>4</v>
      </c>
      <c r="I1895" s="4">
        <v>10</v>
      </c>
      <c r="J1895" s="5">
        <v>45582</v>
      </c>
      <c r="K1895" s="6">
        <v>0.90708333333333335</v>
      </c>
    </row>
    <row r="1896" spans="1:11" x14ac:dyDescent="0.25">
      <c r="A1896" s="4">
        <v>21</v>
      </c>
      <c r="B1896" s="4" t="s">
        <v>11</v>
      </c>
      <c r="C1896" s="7">
        <v>35.76</v>
      </c>
      <c r="D1896" s="4" t="s">
        <v>12</v>
      </c>
      <c r="E1896" s="4" t="s">
        <v>20</v>
      </c>
      <c r="F1896" s="4" t="s">
        <v>30</v>
      </c>
      <c r="G1896" s="4" t="s">
        <v>37</v>
      </c>
      <c r="H1896" s="4">
        <v>4</v>
      </c>
      <c r="I1896" s="4">
        <v>10</v>
      </c>
      <c r="J1896" s="5">
        <v>45582</v>
      </c>
      <c r="K1896" s="6">
        <v>0.90787037037037033</v>
      </c>
    </row>
    <row r="1897" spans="1:11" x14ac:dyDescent="0.25">
      <c r="A1897" s="4">
        <v>21</v>
      </c>
      <c r="B1897" s="4" t="s">
        <v>11</v>
      </c>
      <c r="C1897" s="7">
        <v>35.76</v>
      </c>
      <c r="D1897" s="4" t="s">
        <v>12</v>
      </c>
      <c r="E1897" s="4" t="s">
        <v>20</v>
      </c>
      <c r="F1897" s="4" t="s">
        <v>30</v>
      </c>
      <c r="G1897" s="4" t="s">
        <v>37</v>
      </c>
      <c r="H1897" s="4">
        <v>4</v>
      </c>
      <c r="I1897" s="4">
        <v>10</v>
      </c>
      <c r="J1897" s="5">
        <v>45582</v>
      </c>
      <c r="K1897" s="6">
        <v>0.90869212962962964</v>
      </c>
    </row>
    <row r="1898" spans="1:11" x14ac:dyDescent="0.25">
      <c r="A1898" s="4">
        <v>21</v>
      </c>
      <c r="B1898" s="4" t="s">
        <v>11</v>
      </c>
      <c r="C1898" s="7">
        <v>35.76</v>
      </c>
      <c r="D1898" s="4" t="s">
        <v>16</v>
      </c>
      <c r="E1898" s="4" t="s">
        <v>20</v>
      </c>
      <c r="F1898" s="4" t="s">
        <v>30</v>
      </c>
      <c r="G1898" s="4" t="s">
        <v>37</v>
      </c>
      <c r="H1898" s="4">
        <v>4</v>
      </c>
      <c r="I1898" s="4">
        <v>10</v>
      </c>
      <c r="J1898" s="5">
        <v>45582</v>
      </c>
      <c r="K1898" s="6">
        <v>0.90965277777777775</v>
      </c>
    </row>
    <row r="1899" spans="1:11" x14ac:dyDescent="0.25">
      <c r="A1899" s="4">
        <v>8</v>
      </c>
      <c r="B1899" s="4" t="s">
        <v>11</v>
      </c>
      <c r="C1899" s="7">
        <v>35.76</v>
      </c>
      <c r="D1899" s="4" t="s">
        <v>21</v>
      </c>
      <c r="E1899" s="4" t="s">
        <v>13</v>
      </c>
      <c r="F1899" s="4" t="s">
        <v>14</v>
      </c>
      <c r="G1899" s="4" t="s">
        <v>37</v>
      </c>
      <c r="H1899" s="4">
        <v>5</v>
      </c>
      <c r="I1899" s="4">
        <v>10</v>
      </c>
      <c r="J1899" s="5">
        <v>45583</v>
      </c>
      <c r="K1899" s="6">
        <v>0.36248842592592595</v>
      </c>
    </row>
    <row r="1900" spans="1:11" x14ac:dyDescent="0.25">
      <c r="A1900" s="4">
        <v>8</v>
      </c>
      <c r="B1900" s="4" t="s">
        <v>11</v>
      </c>
      <c r="C1900" s="7">
        <v>35.76</v>
      </c>
      <c r="D1900" s="4" t="s">
        <v>21</v>
      </c>
      <c r="E1900" s="4" t="s">
        <v>13</v>
      </c>
      <c r="F1900" s="4" t="s">
        <v>14</v>
      </c>
      <c r="G1900" s="4" t="s">
        <v>37</v>
      </c>
      <c r="H1900" s="4">
        <v>5</v>
      </c>
      <c r="I1900" s="4">
        <v>10</v>
      </c>
      <c r="J1900" s="5">
        <v>45583</v>
      </c>
      <c r="K1900" s="6">
        <v>0.36318287037037039</v>
      </c>
    </row>
    <row r="1901" spans="1:11" x14ac:dyDescent="0.25">
      <c r="A1901" s="4">
        <v>9</v>
      </c>
      <c r="B1901" s="4" t="s">
        <v>11</v>
      </c>
      <c r="C1901" s="7">
        <v>35.76</v>
      </c>
      <c r="D1901" s="4" t="s">
        <v>21</v>
      </c>
      <c r="E1901" s="4" t="s">
        <v>13</v>
      </c>
      <c r="F1901" s="4" t="s">
        <v>14</v>
      </c>
      <c r="G1901" s="4" t="s">
        <v>37</v>
      </c>
      <c r="H1901" s="4">
        <v>5</v>
      </c>
      <c r="I1901" s="4">
        <v>10</v>
      </c>
      <c r="J1901" s="5">
        <v>45583</v>
      </c>
      <c r="K1901" s="6">
        <v>0.39769675925925924</v>
      </c>
    </row>
    <row r="1902" spans="1:11" x14ac:dyDescent="0.25">
      <c r="A1902" s="4">
        <v>9</v>
      </c>
      <c r="B1902" s="4" t="s">
        <v>11</v>
      </c>
      <c r="C1902" s="7">
        <v>35.76</v>
      </c>
      <c r="D1902" s="4" t="s">
        <v>21</v>
      </c>
      <c r="E1902" s="4" t="s">
        <v>13</v>
      </c>
      <c r="F1902" s="4" t="s">
        <v>14</v>
      </c>
      <c r="G1902" s="4" t="s">
        <v>37</v>
      </c>
      <c r="H1902" s="4">
        <v>5</v>
      </c>
      <c r="I1902" s="4">
        <v>10</v>
      </c>
      <c r="J1902" s="5">
        <v>45583</v>
      </c>
      <c r="K1902" s="6">
        <v>0.39870370370370373</v>
      </c>
    </row>
    <row r="1903" spans="1:11" x14ac:dyDescent="0.25">
      <c r="A1903" s="4">
        <v>9</v>
      </c>
      <c r="B1903" s="4" t="s">
        <v>11</v>
      </c>
      <c r="C1903" s="7">
        <v>35.76</v>
      </c>
      <c r="D1903" s="4" t="s">
        <v>29</v>
      </c>
      <c r="E1903" s="4" t="s">
        <v>13</v>
      </c>
      <c r="F1903" s="4" t="s">
        <v>14</v>
      </c>
      <c r="G1903" s="4" t="s">
        <v>37</v>
      </c>
      <c r="H1903" s="4">
        <v>5</v>
      </c>
      <c r="I1903" s="4">
        <v>10</v>
      </c>
      <c r="J1903" s="5">
        <v>45583</v>
      </c>
      <c r="K1903" s="6">
        <v>0.41342592592592592</v>
      </c>
    </row>
    <row r="1904" spans="1:11" x14ac:dyDescent="0.25">
      <c r="A1904" s="4">
        <v>11</v>
      </c>
      <c r="B1904" s="4" t="s">
        <v>11</v>
      </c>
      <c r="C1904" s="7">
        <v>35.76</v>
      </c>
      <c r="D1904" s="4" t="s">
        <v>29</v>
      </c>
      <c r="E1904" s="4" t="s">
        <v>13</v>
      </c>
      <c r="F1904" s="4" t="s">
        <v>14</v>
      </c>
      <c r="G1904" s="4" t="s">
        <v>37</v>
      </c>
      <c r="H1904" s="4">
        <v>5</v>
      </c>
      <c r="I1904" s="4">
        <v>10</v>
      </c>
      <c r="J1904" s="5">
        <v>45583</v>
      </c>
      <c r="K1904" s="6">
        <v>0.49650462962962966</v>
      </c>
    </row>
    <row r="1905" spans="1:11" x14ac:dyDescent="0.25">
      <c r="A1905" s="4">
        <v>14</v>
      </c>
      <c r="B1905" s="4" t="s">
        <v>11</v>
      </c>
      <c r="C1905" s="7">
        <v>35.76</v>
      </c>
      <c r="D1905" s="4" t="s">
        <v>12</v>
      </c>
      <c r="E1905" s="4" t="s">
        <v>17</v>
      </c>
      <c r="F1905" s="4" t="s">
        <v>14</v>
      </c>
      <c r="G1905" s="4" t="s">
        <v>37</v>
      </c>
      <c r="H1905" s="4">
        <v>5</v>
      </c>
      <c r="I1905" s="4">
        <v>10</v>
      </c>
      <c r="J1905" s="5">
        <v>45583</v>
      </c>
      <c r="K1905" s="6">
        <v>0.61879629629629629</v>
      </c>
    </row>
    <row r="1906" spans="1:11" x14ac:dyDescent="0.25">
      <c r="A1906" s="4">
        <v>14</v>
      </c>
      <c r="B1906" s="4" t="s">
        <v>11</v>
      </c>
      <c r="C1906" s="7">
        <v>35.76</v>
      </c>
      <c r="D1906" s="4" t="s">
        <v>29</v>
      </c>
      <c r="E1906" s="4" t="s">
        <v>17</v>
      </c>
      <c r="F1906" s="4" t="s">
        <v>14</v>
      </c>
      <c r="G1906" s="4" t="s">
        <v>37</v>
      </c>
      <c r="H1906" s="4">
        <v>5</v>
      </c>
      <c r="I1906" s="4">
        <v>10</v>
      </c>
      <c r="J1906" s="5">
        <v>45583</v>
      </c>
      <c r="K1906" s="6">
        <v>0.6196180555555556</v>
      </c>
    </row>
    <row r="1907" spans="1:11" x14ac:dyDescent="0.25">
      <c r="A1907" s="4">
        <v>15</v>
      </c>
      <c r="B1907" s="4" t="s">
        <v>11</v>
      </c>
      <c r="C1907" s="7">
        <v>25.96</v>
      </c>
      <c r="D1907" s="4" t="s">
        <v>18</v>
      </c>
      <c r="E1907" s="4" t="s">
        <v>17</v>
      </c>
      <c r="F1907" s="4" t="s">
        <v>14</v>
      </c>
      <c r="G1907" s="4" t="s">
        <v>37</v>
      </c>
      <c r="H1907" s="4">
        <v>5</v>
      </c>
      <c r="I1907" s="4">
        <v>10</v>
      </c>
      <c r="J1907" s="5">
        <v>45583</v>
      </c>
      <c r="K1907" s="6">
        <v>0.65230324074074075</v>
      </c>
    </row>
    <row r="1908" spans="1:11" x14ac:dyDescent="0.25">
      <c r="A1908" s="4">
        <v>16</v>
      </c>
      <c r="B1908" s="4" t="s">
        <v>11</v>
      </c>
      <c r="C1908" s="7">
        <v>35.76</v>
      </c>
      <c r="D1908" s="4" t="s">
        <v>12</v>
      </c>
      <c r="E1908" s="4" t="s">
        <v>17</v>
      </c>
      <c r="F1908" s="4" t="s">
        <v>14</v>
      </c>
      <c r="G1908" s="4" t="s">
        <v>37</v>
      </c>
      <c r="H1908" s="4">
        <v>5</v>
      </c>
      <c r="I1908" s="4">
        <v>10</v>
      </c>
      <c r="J1908" s="5">
        <v>45583</v>
      </c>
      <c r="K1908" s="6">
        <v>0.67357638888888893</v>
      </c>
    </row>
    <row r="1909" spans="1:11" x14ac:dyDescent="0.25">
      <c r="A1909" s="4">
        <v>17</v>
      </c>
      <c r="B1909" s="4" t="s">
        <v>11</v>
      </c>
      <c r="C1909" s="7">
        <v>35.76</v>
      </c>
      <c r="D1909" s="4" t="s">
        <v>16</v>
      </c>
      <c r="E1909" s="4" t="s">
        <v>20</v>
      </c>
      <c r="F1909" s="4" t="s">
        <v>14</v>
      </c>
      <c r="G1909" s="4" t="s">
        <v>37</v>
      </c>
      <c r="H1909" s="4">
        <v>5</v>
      </c>
      <c r="I1909" s="4">
        <v>10</v>
      </c>
      <c r="J1909" s="5">
        <v>45583</v>
      </c>
      <c r="K1909" s="6">
        <v>0.74002314814814818</v>
      </c>
    </row>
    <row r="1910" spans="1:11" x14ac:dyDescent="0.25">
      <c r="A1910" s="4">
        <v>21</v>
      </c>
      <c r="B1910" s="4" t="s">
        <v>11</v>
      </c>
      <c r="C1910" s="7">
        <v>35.76</v>
      </c>
      <c r="D1910" s="4" t="s">
        <v>21</v>
      </c>
      <c r="E1910" s="4" t="s">
        <v>20</v>
      </c>
      <c r="F1910" s="4" t="s">
        <v>14</v>
      </c>
      <c r="G1910" s="4" t="s">
        <v>37</v>
      </c>
      <c r="H1910" s="4">
        <v>5</v>
      </c>
      <c r="I1910" s="4">
        <v>10</v>
      </c>
      <c r="J1910" s="5">
        <v>45583</v>
      </c>
      <c r="K1910" s="6">
        <v>0.88518518518518519</v>
      </c>
    </row>
    <row r="1911" spans="1:11" x14ac:dyDescent="0.25">
      <c r="A1911" s="4">
        <v>21</v>
      </c>
      <c r="B1911" s="4" t="s">
        <v>11</v>
      </c>
      <c r="C1911" s="7">
        <v>35.76</v>
      </c>
      <c r="D1911" s="4" t="s">
        <v>21</v>
      </c>
      <c r="E1911" s="4" t="s">
        <v>20</v>
      </c>
      <c r="F1911" s="4" t="s">
        <v>14</v>
      </c>
      <c r="G1911" s="4" t="s">
        <v>37</v>
      </c>
      <c r="H1911" s="4">
        <v>5</v>
      </c>
      <c r="I1911" s="4">
        <v>10</v>
      </c>
      <c r="J1911" s="5">
        <v>45583</v>
      </c>
      <c r="K1911" s="6">
        <v>0.88567129629629626</v>
      </c>
    </row>
    <row r="1912" spans="1:11" x14ac:dyDescent="0.25">
      <c r="A1912" s="4">
        <v>21</v>
      </c>
      <c r="B1912" s="4" t="s">
        <v>11</v>
      </c>
      <c r="C1912" s="7">
        <v>30.86</v>
      </c>
      <c r="D1912" s="4" t="s">
        <v>19</v>
      </c>
      <c r="E1912" s="4" t="s">
        <v>20</v>
      </c>
      <c r="F1912" s="4" t="s">
        <v>14</v>
      </c>
      <c r="G1912" s="4" t="s">
        <v>37</v>
      </c>
      <c r="H1912" s="4">
        <v>5</v>
      </c>
      <c r="I1912" s="4">
        <v>10</v>
      </c>
      <c r="J1912" s="5">
        <v>45583</v>
      </c>
      <c r="K1912" s="6">
        <v>0.91137731481481477</v>
      </c>
    </row>
    <row r="1913" spans="1:11" x14ac:dyDescent="0.25">
      <c r="A1913" s="4">
        <v>22</v>
      </c>
      <c r="B1913" s="4" t="s">
        <v>11</v>
      </c>
      <c r="C1913" s="7">
        <v>35.76</v>
      </c>
      <c r="D1913" s="4" t="s">
        <v>12</v>
      </c>
      <c r="E1913" s="4" t="s">
        <v>20</v>
      </c>
      <c r="F1913" s="4" t="s">
        <v>14</v>
      </c>
      <c r="G1913" s="4" t="s">
        <v>37</v>
      </c>
      <c r="H1913" s="4">
        <v>5</v>
      </c>
      <c r="I1913" s="4">
        <v>10</v>
      </c>
      <c r="J1913" s="5">
        <v>45583</v>
      </c>
      <c r="K1913" s="6">
        <v>0.91905092592592597</v>
      </c>
    </row>
    <row r="1914" spans="1:11" x14ac:dyDescent="0.25">
      <c r="A1914" s="4">
        <v>8</v>
      </c>
      <c r="B1914" s="4" t="s">
        <v>11</v>
      </c>
      <c r="C1914" s="7">
        <v>30.86</v>
      </c>
      <c r="D1914" s="4" t="s">
        <v>19</v>
      </c>
      <c r="E1914" s="4" t="s">
        <v>13</v>
      </c>
      <c r="F1914" s="4" t="s">
        <v>22</v>
      </c>
      <c r="G1914" s="4" t="s">
        <v>37</v>
      </c>
      <c r="H1914" s="4">
        <v>6</v>
      </c>
      <c r="I1914" s="4">
        <v>10</v>
      </c>
      <c r="J1914" s="5">
        <v>45584</v>
      </c>
      <c r="K1914" s="6">
        <v>0.3570949074074074</v>
      </c>
    </row>
    <row r="1915" spans="1:11" x14ac:dyDescent="0.25">
      <c r="A1915" s="4">
        <v>13</v>
      </c>
      <c r="B1915" s="4" t="s">
        <v>11</v>
      </c>
      <c r="C1915" s="7">
        <v>35.76</v>
      </c>
      <c r="D1915" s="4" t="s">
        <v>12</v>
      </c>
      <c r="E1915" s="4" t="s">
        <v>17</v>
      </c>
      <c r="F1915" s="4" t="s">
        <v>22</v>
      </c>
      <c r="G1915" s="4" t="s">
        <v>37</v>
      </c>
      <c r="H1915" s="4">
        <v>6</v>
      </c>
      <c r="I1915" s="4">
        <v>10</v>
      </c>
      <c r="J1915" s="5">
        <v>45584</v>
      </c>
      <c r="K1915" s="6">
        <v>0.55701388888888892</v>
      </c>
    </row>
    <row r="1916" spans="1:11" x14ac:dyDescent="0.25">
      <c r="A1916" s="4">
        <v>14</v>
      </c>
      <c r="B1916" s="4" t="s">
        <v>11</v>
      </c>
      <c r="C1916" s="7">
        <v>35.76</v>
      </c>
      <c r="D1916" s="4" t="s">
        <v>29</v>
      </c>
      <c r="E1916" s="4" t="s">
        <v>17</v>
      </c>
      <c r="F1916" s="4" t="s">
        <v>22</v>
      </c>
      <c r="G1916" s="4" t="s">
        <v>37</v>
      </c>
      <c r="H1916" s="4">
        <v>6</v>
      </c>
      <c r="I1916" s="4">
        <v>10</v>
      </c>
      <c r="J1916" s="5">
        <v>45584</v>
      </c>
      <c r="K1916" s="6">
        <v>0.59064814814814814</v>
      </c>
    </row>
    <row r="1917" spans="1:11" x14ac:dyDescent="0.25">
      <c r="A1917" s="4">
        <v>15</v>
      </c>
      <c r="B1917" s="4" t="s">
        <v>11</v>
      </c>
      <c r="C1917" s="7">
        <v>35.76</v>
      </c>
      <c r="D1917" s="4" t="s">
        <v>16</v>
      </c>
      <c r="E1917" s="4" t="s">
        <v>17</v>
      </c>
      <c r="F1917" s="4" t="s">
        <v>22</v>
      </c>
      <c r="G1917" s="4" t="s">
        <v>37</v>
      </c>
      <c r="H1917" s="4">
        <v>6</v>
      </c>
      <c r="I1917" s="4">
        <v>10</v>
      </c>
      <c r="J1917" s="5">
        <v>45584</v>
      </c>
      <c r="K1917" s="6">
        <v>0.664525462962963</v>
      </c>
    </row>
    <row r="1918" spans="1:11" x14ac:dyDescent="0.25">
      <c r="A1918" s="4">
        <v>15</v>
      </c>
      <c r="B1918" s="4" t="s">
        <v>11</v>
      </c>
      <c r="C1918" s="7">
        <v>35.76</v>
      </c>
      <c r="D1918" s="4" t="s">
        <v>12</v>
      </c>
      <c r="E1918" s="4" t="s">
        <v>17</v>
      </c>
      <c r="F1918" s="4" t="s">
        <v>22</v>
      </c>
      <c r="G1918" s="4" t="s">
        <v>37</v>
      </c>
      <c r="H1918" s="4">
        <v>6</v>
      </c>
      <c r="I1918" s="4">
        <v>10</v>
      </c>
      <c r="J1918" s="5">
        <v>45584</v>
      </c>
      <c r="K1918" s="6">
        <v>0.66625000000000001</v>
      </c>
    </row>
    <row r="1919" spans="1:11" x14ac:dyDescent="0.25">
      <c r="A1919" s="4">
        <v>16</v>
      </c>
      <c r="B1919" s="4" t="s">
        <v>11</v>
      </c>
      <c r="C1919" s="7">
        <v>35.76</v>
      </c>
      <c r="D1919" s="4" t="s">
        <v>12</v>
      </c>
      <c r="E1919" s="4" t="s">
        <v>17</v>
      </c>
      <c r="F1919" s="4" t="s">
        <v>22</v>
      </c>
      <c r="G1919" s="4" t="s">
        <v>37</v>
      </c>
      <c r="H1919" s="4">
        <v>6</v>
      </c>
      <c r="I1919" s="4">
        <v>10</v>
      </c>
      <c r="J1919" s="5">
        <v>45584</v>
      </c>
      <c r="K1919" s="6">
        <v>0.66857638888888893</v>
      </c>
    </row>
    <row r="1920" spans="1:11" x14ac:dyDescent="0.25">
      <c r="A1920" s="4">
        <v>16</v>
      </c>
      <c r="B1920" s="4" t="s">
        <v>11</v>
      </c>
      <c r="C1920" s="7">
        <v>35.76</v>
      </c>
      <c r="D1920" s="4" t="s">
        <v>12</v>
      </c>
      <c r="E1920" s="4" t="s">
        <v>17</v>
      </c>
      <c r="F1920" s="4" t="s">
        <v>22</v>
      </c>
      <c r="G1920" s="4" t="s">
        <v>37</v>
      </c>
      <c r="H1920" s="4">
        <v>6</v>
      </c>
      <c r="I1920" s="4">
        <v>10</v>
      </c>
      <c r="J1920" s="5">
        <v>45584</v>
      </c>
      <c r="K1920" s="6">
        <v>0.67895833333333333</v>
      </c>
    </row>
    <row r="1921" spans="1:11" x14ac:dyDescent="0.25">
      <c r="A1921" s="4">
        <v>21</v>
      </c>
      <c r="B1921" s="4" t="s">
        <v>11</v>
      </c>
      <c r="C1921" s="7">
        <v>35.76</v>
      </c>
      <c r="D1921" s="4" t="s">
        <v>21</v>
      </c>
      <c r="E1921" s="4" t="s">
        <v>20</v>
      </c>
      <c r="F1921" s="4" t="s">
        <v>22</v>
      </c>
      <c r="G1921" s="4" t="s">
        <v>37</v>
      </c>
      <c r="H1921" s="4">
        <v>6</v>
      </c>
      <c r="I1921" s="4">
        <v>10</v>
      </c>
      <c r="J1921" s="5">
        <v>45584</v>
      </c>
      <c r="K1921" s="6">
        <v>0.90746527777777775</v>
      </c>
    </row>
    <row r="1922" spans="1:11" x14ac:dyDescent="0.25">
      <c r="A1922" s="4">
        <v>22</v>
      </c>
      <c r="B1922" s="4" t="s">
        <v>11</v>
      </c>
      <c r="C1922" s="7">
        <v>35.76</v>
      </c>
      <c r="D1922" s="4" t="s">
        <v>29</v>
      </c>
      <c r="E1922" s="4" t="s">
        <v>20</v>
      </c>
      <c r="F1922" s="4" t="s">
        <v>22</v>
      </c>
      <c r="G1922" s="4" t="s">
        <v>37</v>
      </c>
      <c r="H1922" s="4">
        <v>6</v>
      </c>
      <c r="I1922" s="4">
        <v>10</v>
      </c>
      <c r="J1922" s="5">
        <v>45584</v>
      </c>
      <c r="K1922" s="6">
        <v>0.94903935185185184</v>
      </c>
    </row>
    <row r="1923" spans="1:11" x14ac:dyDescent="0.25">
      <c r="A1923" s="4">
        <v>8</v>
      </c>
      <c r="B1923" s="4" t="s">
        <v>11</v>
      </c>
      <c r="C1923" s="7">
        <v>35.76</v>
      </c>
      <c r="D1923" s="4" t="s">
        <v>12</v>
      </c>
      <c r="E1923" s="4" t="s">
        <v>13</v>
      </c>
      <c r="F1923" s="4" t="s">
        <v>23</v>
      </c>
      <c r="G1923" s="4" t="s">
        <v>37</v>
      </c>
      <c r="H1923" s="4">
        <v>7</v>
      </c>
      <c r="I1923" s="4">
        <v>10</v>
      </c>
      <c r="J1923" s="5">
        <v>45585</v>
      </c>
      <c r="K1923" s="6">
        <v>0.36160879629629628</v>
      </c>
    </row>
    <row r="1924" spans="1:11" x14ac:dyDescent="0.25">
      <c r="A1924" s="4">
        <v>8</v>
      </c>
      <c r="B1924" s="4" t="s">
        <v>11</v>
      </c>
      <c r="C1924" s="7">
        <v>35.76</v>
      </c>
      <c r="D1924" s="4" t="s">
        <v>21</v>
      </c>
      <c r="E1924" s="4" t="s">
        <v>13</v>
      </c>
      <c r="F1924" s="4" t="s">
        <v>23</v>
      </c>
      <c r="G1924" s="4" t="s">
        <v>37</v>
      </c>
      <c r="H1924" s="4">
        <v>7</v>
      </c>
      <c r="I1924" s="4">
        <v>10</v>
      </c>
      <c r="J1924" s="5">
        <v>45585</v>
      </c>
      <c r="K1924" s="6">
        <v>0.36238425925925927</v>
      </c>
    </row>
    <row r="1925" spans="1:11" x14ac:dyDescent="0.25">
      <c r="A1925" s="4">
        <v>11</v>
      </c>
      <c r="B1925" s="4" t="s">
        <v>11</v>
      </c>
      <c r="C1925" s="7">
        <v>35.76</v>
      </c>
      <c r="D1925" s="4" t="s">
        <v>12</v>
      </c>
      <c r="E1925" s="4" t="s">
        <v>13</v>
      </c>
      <c r="F1925" s="4" t="s">
        <v>23</v>
      </c>
      <c r="G1925" s="4" t="s">
        <v>37</v>
      </c>
      <c r="H1925" s="4">
        <v>7</v>
      </c>
      <c r="I1925" s="4">
        <v>10</v>
      </c>
      <c r="J1925" s="5">
        <v>45585</v>
      </c>
      <c r="K1925" s="6">
        <v>0.4700347222222222</v>
      </c>
    </row>
    <row r="1926" spans="1:11" x14ac:dyDescent="0.25">
      <c r="A1926" s="4">
        <v>14</v>
      </c>
      <c r="B1926" s="4" t="s">
        <v>11</v>
      </c>
      <c r="C1926" s="7">
        <v>35.76</v>
      </c>
      <c r="D1926" s="4" t="s">
        <v>16</v>
      </c>
      <c r="E1926" s="4" t="s">
        <v>17</v>
      </c>
      <c r="F1926" s="4" t="s">
        <v>23</v>
      </c>
      <c r="G1926" s="4" t="s">
        <v>37</v>
      </c>
      <c r="H1926" s="4">
        <v>7</v>
      </c>
      <c r="I1926" s="4">
        <v>10</v>
      </c>
      <c r="J1926" s="5">
        <v>45585</v>
      </c>
      <c r="K1926" s="6">
        <v>0.6033101851851852</v>
      </c>
    </row>
    <row r="1927" spans="1:11" x14ac:dyDescent="0.25">
      <c r="A1927" s="4">
        <v>14</v>
      </c>
      <c r="B1927" s="4" t="s">
        <v>11</v>
      </c>
      <c r="C1927" s="7">
        <v>25.96</v>
      </c>
      <c r="D1927" s="4" t="s">
        <v>24</v>
      </c>
      <c r="E1927" s="4" t="s">
        <v>17</v>
      </c>
      <c r="F1927" s="4" t="s">
        <v>23</v>
      </c>
      <c r="G1927" s="4" t="s">
        <v>37</v>
      </c>
      <c r="H1927" s="4">
        <v>7</v>
      </c>
      <c r="I1927" s="4">
        <v>10</v>
      </c>
      <c r="J1927" s="5">
        <v>45585</v>
      </c>
      <c r="K1927" s="6">
        <v>0.60396990740740741</v>
      </c>
    </row>
    <row r="1928" spans="1:11" x14ac:dyDescent="0.25">
      <c r="A1928" s="4">
        <v>15</v>
      </c>
      <c r="B1928" s="4" t="s">
        <v>11</v>
      </c>
      <c r="C1928" s="7">
        <v>30.86</v>
      </c>
      <c r="D1928" s="4" t="s">
        <v>19</v>
      </c>
      <c r="E1928" s="4" t="s">
        <v>17</v>
      </c>
      <c r="F1928" s="4" t="s">
        <v>23</v>
      </c>
      <c r="G1928" s="4" t="s">
        <v>37</v>
      </c>
      <c r="H1928" s="4">
        <v>7</v>
      </c>
      <c r="I1928" s="4">
        <v>10</v>
      </c>
      <c r="J1928" s="5">
        <v>45585</v>
      </c>
      <c r="K1928" s="6">
        <v>0.6616319444444444</v>
      </c>
    </row>
    <row r="1929" spans="1:11" x14ac:dyDescent="0.25">
      <c r="A1929" s="4">
        <v>16</v>
      </c>
      <c r="B1929" s="4" t="s">
        <v>11</v>
      </c>
      <c r="C1929" s="7">
        <v>35.76</v>
      </c>
      <c r="D1929" s="4" t="s">
        <v>12</v>
      </c>
      <c r="E1929" s="4" t="s">
        <v>17</v>
      </c>
      <c r="F1929" s="4" t="s">
        <v>23</v>
      </c>
      <c r="G1929" s="4" t="s">
        <v>37</v>
      </c>
      <c r="H1929" s="4">
        <v>7</v>
      </c>
      <c r="I1929" s="4">
        <v>10</v>
      </c>
      <c r="J1929" s="5">
        <v>45585</v>
      </c>
      <c r="K1929" s="6">
        <v>0.69802083333333331</v>
      </c>
    </row>
    <row r="1930" spans="1:11" x14ac:dyDescent="0.25">
      <c r="A1930" s="4">
        <v>16</v>
      </c>
      <c r="B1930" s="4" t="s">
        <v>11</v>
      </c>
      <c r="C1930" s="7">
        <v>35.76</v>
      </c>
      <c r="D1930" s="4" t="s">
        <v>12</v>
      </c>
      <c r="E1930" s="4" t="s">
        <v>17</v>
      </c>
      <c r="F1930" s="4" t="s">
        <v>23</v>
      </c>
      <c r="G1930" s="4" t="s">
        <v>37</v>
      </c>
      <c r="H1930" s="4">
        <v>7</v>
      </c>
      <c r="I1930" s="4">
        <v>10</v>
      </c>
      <c r="J1930" s="5">
        <v>45585</v>
      </c>
      <c r="K1930" s="6">
        <v>0.69865740740740745</v>
      </c>
    </row>
    <row r="1931" spans="1:11" x14ac:dyDescent="0.25">
      <c r="A1931" s="4">
        <v>17</v>
      </c>
      <c r="B1931" s="4" t="s">
        <v>11</v>
      </c>
      <c r="C1931" s="7">
        <v>35.76</v>
      </c>
      <c r="D1931" s="4" t="s">
        <v>12</v>
      </c>
      <c r="E1931" s="4" t="s">
        <v>20</v>
      </c>
      <c r="F1931" s="4" t="s">
        <v>23</v>
      </c>
      <c r="G1931" s="4" t="s">
        <v>37</v>
      </c>
      <c r="H1931" s="4">
        <v>7</v>
      </c>
      <c r="I1931" s="4">
        <v>10</v>
      </c>
      <c r="J1931" s="5">
        <v>45585</v>
      </c>
      <c r="K1931" s="6">
        <v>0.72714120370370372</v>
      </c>
    </row>
    <row r="1932" spans="1:11" x14ac:dyDescent="0.25">
      <c r="A1932" s="4">
        <v>18</v>
      </c>
      <c r="B1932" s="4" t="s">
        <v>11</v>
      </c>
      <c r="C1932" s="7">
        <v>35.76</v>
      </c>
      <c r="D1932" s="4" t="s">
        <v>21</v>
      </c>
      <c r="E1932" s="4" t="s">
        <v>20</v>
      </c>
      <c r="F1932" s="4" t="s">
        <v>23</v>
      </c>
      <c r="G1932" s="4" t="s">
        <v>37</v>
      </c>
      <c r="H1932" s="4">
        <v>7</v>
      </c>
      <c r="I1932" s="4">
        <v>10</v>
      </c>
      <c r="J1932" s="5">
        <v>45585</v>
      </c>
      <c r="K1932" s="6">
        <v>0.77379629629629632</v>
      </c>
    </row>
    <row r="1933" spans="1:11" x14ac:dyDescent="0.25">
      <c r="A1933" s="4">
        <v>18</v>
      </c>
      <c r="B1933" s="4" t="s">
        <v>11</v>
      </c>
      <c r="C1933" s="7">
        <v>35.76</v>
      </c>
      <c r="D1933" s="4" t="s">
        <v>21</v>
      </c>
      <c r="E1933" s="4" t="s">
        <v>20</v>
      </c>
      <c r="F1933" s="4" t="s">
        <v>23</v>
      </c>
      <c r="G1933" s="4" t="s">
        <v>37</v>
      </c>
      <c r="H1933" s="4">
        <v>7</v>
      </c>
      <c r="I1933" s="4">
        <v>10</v>
      </c>
      <c r="J1933" s="5">
        <v>45585</v>
      </c>
      <c r="K1933" s="6">
        <v>0.77439814814814811</v>
      </c>
    </row>
    <row r="1934" spans="1:11" x14ac:dyDescent="0.25">
      <c r="A1934" s="4">
        <v>21</v>
      </c>
      <c r="B1934" s="4" t="s">
        <v>11</v>
      </c>
      <c r="C1934" s="7">
        <v>35.76</v>
      </c>
      <c r="D1934" s="4" t="s">
        <v>16</v>
      </c>
      <c r="E1934" s="4" t="s">
        <v>20</v>
      </c>
      <c r="F1934" s="4" t="s">
        <v>23</v>
      </c>
      <c r="G1934" s="4" t="s">
        <v>37</v>
      </c>
      <c r="H1934" s="4">
        <v>7</v>
      </c>
      <c r="I1934" s="4">
        <v>10</v>
      </c>
      <c r="J1934" s="5">
        <v>45585</v>
      </c>
      <c r="K1934" s="6">
        <v>0.88493055555555555</v>
      </c>
    </row>
    <row r="1935" spans="1:11" x14ac:dyDescent="0.25">
      <c r="A1935" s="4">
        <v>21</v>
      </c>
      <c r="B1935" s="4" t="s">
        <v>11</v>
      </c>
      <c r="C1935" s="7">
        <v>25.96</v>
      </c>
      <c r="D1935" s="4" t="s">
        <v>24</v>
      </c>
      <c r="E1935" s="4" t="s">
        <v>20</v>
      </c>
      <c r="F1935" s="4" t="s">
        <v>23</v>
      </c>
      <c r="G1935" s="4" t="s">
        <v>37</v>
      </c>
      <c r="H1935" s="4">
        <v>7</v>
      </c>
      <c r="I1935" s="4">
        <v>10</v>
      </c>
      <c r="J1935" s="5">
        <v>45585</v>
      </c>
      <c r="K1935" s="6">
        <v>0.88561342592592596</v>
      </c>
    </row>
    <row r="1936" spans="1:11" x14ac:dyDescent="0.25">
      <c r="A1936" s="4">
        <v>21</v>
      </c>
      <c r="B1936" s="4" t="s">
        <v>11</v>
      </c>
      <c r="C1936" s="7">
        <v>35.76</v>
      </c>
      <c r="D1936" s="4" t="s">
        <v>21</v>
      </c>
      <c r="E1936" s="4" t="s">
        <v>20</v>
      </c>
      <c r="F1936" s="4" t="s">
        <v>23</v>
      </c>
      <c r="G1936" s="4" t="s">
        <v>37</v>
      </c>
      <c r="H1936" s="4">
        <v>7</v>
      </c>
      <c r="I1936" s="4">
        <v>10</v>
      </c>
      <c r="J1936" s="5">
        <v>45585</v>
      </c>
      <c r="K1936" s="6">
        <v>0.88710648148148152</v>
      </c>
    </row>
    <row r="1937" spans="1:11" x14ac:dyDescent="0.25">
      <c r="A1937" s="4">
        <v>21</v>
      </c>
      <c r="B1937" s="4" t="s">
        <v>11</v>
      </c>
      <c r="C1937" s="7">
        <v>35.76</v>
      </c>
      <c r="D1937" s="4" t="s">
        <v>12</v>
      </c>
      <c r="E1937" s="4" t="s">
        <v>20</v>
      </c>
      <c r="F1937" s="4" t="s">
        <v>23</v>
      </c>
      <c r="G1937" s="4" t="s">
        <v>37</v>
      </c>
      <c r="H1937" s="4">
        <v>7</v>
      </c>
      <c r="I1937" s="4">
        <v>10</v>
      </c>
      <c r="J1937" s="5">
        <v>45585</v>
      </c>
      <c r="K1937" s="6">
        <v>0.89236111111111116</v>
      </c>
    </row>
    <row r="1938" spans="1:11" x14ac:dyDescent="0.25">
      <c r="A1938" s="4">
        <v>22</v>
      </c>
      <c r="B1938" s="4" t="s">
        <v>11</v>
      </c>
      <c r="C1938" s="7">
        <v>35.76</v>
      </c>
      <c r="D1938" s="4" t="s">
        <v>29</v>
      </c>
      <c r="E1938" s="4" t="s">
        <v>20</v>
      </c>
      <c r="F1938" s="4" t="s">
        <v>23</v>
      </c>
      <c r="G1938" s="4" t="s">
        <v>37</v>
      </c>
      <c r="H1938" s="4">
        <v>7</v>
      </c>
      <c r="I1938" s="4">
        <v>10</v>
      </c>
      <c r="J1938" s="5">
        <v>45585</v>
      </c>
      <c r="K1938" s="6">
        <v>0.92880787037037038</v>
      </c>
    </row>
    <row r="1939" spans="1:11" x14ac:dyDescent="0.25">
      <c r="A1939" s="4">
        <v>7</v>
      </c>
      <c r="B1939" s="4" t="s">
        <v>11</v>
      </c>
      <c r="C1939" s="7">
        <v>35.76</v>
      </c>
      <c r="D1939" s="4" t="s">
        <v>12</v>
      </c>
      <c r="E1939" s="4" t="s">
        <v>13</v>
      </c>
      <c r="F1939" s="4" t="s">
        <v>25</v>
      </c>
      <c r="G1939" s="4" t="s">
        <v>37</v>
      </c>
      <c r="H1939" s="4">
        <v>1</v>
      </c>
      <c r="I1939" s="4">
        <v>10</v>
      </c>
      <c r="J1939" s="5">
        <v>45586</v>
      </c>
      <c r="K1939" s="6">
        <v>0.32549768518518518</v>
      </c>
    </row>
    <row r="1940" spans="1:11" x14ac:dyDescent="0.25">
      <c r="A1940" s="4">
        <v>8</v>
      </c>
      <c r="B1940" s="4" t="s">
        <v>11</v>
      </c>
      <c r="C1940" s="7">
        <v>35.76</v>
      </c>
      <c r="D1940" s="4" t="s">
        <v>12</v>
      </c>
      <c r="E1940" s="4" t="s">
        <v>13</v>
      </c>
      <c r="F1940" s="4" t="s">
        <v>25</v>
      </c>
      <c r="G1940" s="4" t="s">
        <v>37</v>
      </c>
      <c r="H1940" s="4">
        <v>1</v>
      </c>
      <c r="I1940" s="4">
        <v>10</v>
      </c>
      <c r="J1940" s="5">
        <v>45586</v>
      </c>
      <c r="K1940" s="6">
        <v>0.34717592592592594</v>
      </c>
    </row>
    <row r="1941" spans="1:11" x14ac:dyDescent="0.25">
      <c r="A1941" s="4">
        <v>9</v>
      </c>
      <c r="B1941" s="4" t="s">
        <v>11</v>
      </c>
      <c r="C1941" s="7">
        <v>30.86</v>
      </c>
      <c r="D1941" s="4" t="s">
        <v>19</v>
      </c>
      <c r="E1941" s="4" t="s">
        <v>13</v>
      </c>
      <c r="F1941" s="4" t="s">
        <v>25</v>
      </c>
      <c r="G1941" s="4" t="s">
        <v>37</v>
      </c>
      <c r="H1941" s="4">
        <v>1</v>
      </c>
      <c r="I1941" s="4">
        <v>10</v>
      </c>
      <c r="J1941" s="5">
        <v>45586</v>
      </c>
      <c r="K1941" s="6">
        <v>0.37840277777777775</v>
      </c>
    </row>
    <row r="1942" spans="1:11" x14ac:dyDescent="0.25">
      <c r="A1942" s="4">
        <v>9</v>
      </c>
      <c r="B1942" s="4" t="s">
        <v>11</v>
      </c>
      <c r="C1942" s="7">
        <v>35.76</v>
      </c>
      <c r="D1942" s="4" t="s">
        <v>12</v>
      </c>
      <c r="E1942" s="4" t="s">
        <v>13</v>
      </c>
      <c r="F1942" s="4" t="s">
        <v>25</v>
      </c>
      <c r="G1942" s="4" t="s">
        <v>37</v>
      </c>
      <c r="H1942" s="4">
        <v>1</v>
      </c>
      <c r="I1942" s="4">
        <v>10</v>
      </c>
      <c r="J1942" s="5">
        <v>45586</v>
      </c>
      <c r="K1942" s="6">
        <v>0.39890046296296294</v>
      </c>
    </row>
    <row r="1943" spans="1:11" x14ac:dyDescent="0.25">
      <c r="A1943" s="4">
        <v>10</v>
      </c>
      <c r="B1943" s="4" t="s">
        <v>11</v>
      </c>
      <c r="C1943" s="7">
        <v>25.96</v>
      </c>
      <c r="D1943" s="4" t="s">
        <v>18</v>
      </c>
      <c r="E1943" s="4" t="s">
        <v>13</v>
      </c>
      <c r="F1943" s="4" t="s">
        <v>25</v>
      </c>
      <c r="G1943" s="4" t="s">
        <v>37</v>
      </c>
      <c r="H1943" s="4">
        <v>1</v>
      </c>
      <c r="I1943" s="4">
        <v>10</v>
      </c>
      <c r="J1943" s="5">
        <v>45586</v>
      </c>
      <c r="K1943" s="6">
        <v>0.43413194444444442</v>
      </c>
    </row>
    <row r="1944" spans="1:11" x14ac:dyDescent="0.25">
      <c r="A1944" s="4">
        <v>10</v>
      </c>
      <c r="B1944" s="4" t="s">
        <v>11</v>
      </c>
      <c r="C1944" s="7">
        <v>25.96</v>
      </c>
      <c r="D1944" s="4" t="s">
        <v>24</v>
      </c>
      <c r="E1944" s="4" t="s">
        <v>13</v>
      </c>
      <c r="F1944" s="4" t="s">
        <v>25</v>
      </c>
      <c r="G1944" s="4" t="s">
        <v>37</v>
      </c>
      <c r="H1944" s="4">
        <v>1</v>
      </c>
      <c r="I1944" s="4">
        <v>10</v>
      </c>
      <c r="J1944" s="5">
        <v>45586</v>
      </c>
      <c r="K1944" s="6">
        <v>0.44564814814814813</v>
      </c>
    </row>
    <row r="1945" spans="1:11" x14ac:dyDescent="0.25">
      <c r="A1945" s="4">
        <v>10</v>
      </c>
      <c r="B1945" s="4" t="s">
        <v>11</v>
      </c>
      <c r="C1945" s="7">
        <v>25.96</v>
      </c>
      <c r="D1945" s="4" t="s">
        <v>24</v>
      </c>
      <c r="E1945" s="4" t="s">
        <v>13</v>
      </c>
      <c r="F1945" s="4" t="s">
        <v>25</v>
      </c>
      <c r="G1945" s="4" t="s">
        <v>37</v>
      </c>
      <c r="H1945" s="4">
        <v>1</v>
      </c>
      <c r="I1945" s="4">
        <v>10</v>
      </c>
      <c r="J1945" s="5">
        <v>45586</v>
      </c>
      <c r="K1945" s="6">
        <v>0.44623842592592594</v>
      </c>
    </row>
    <row r="1946" spans="1:11" x14ac:dyDescent="0.25">
      <c r="A1946" s="4">
        <v>11</v>
      </c>
      <c r="B1946" s="4" t="s">
        <v>11</v>
      </c>
      <c r="C1946" s="7">
        <v>21.06</v>
      </c>
      <c r="D1946" s="4" t="s">
        <v>26</v>
      </c>
      <c r="E1946" s="4" t="s">
        <v>13</v>
      </c>
      <c r="F1946" s="4" t="s">
        <v>25</v>
      </c>
      <c r="G1946" s="4" t="s">
        <v>37</v>
      </c>
      <c r="H1946" s="4">
        <v>1</v>
      </c>
      <c r="I1946" s="4">
        <v>10</v>
      </c>
      <c r="J1946" s="5">
        <v>45586</v>
      </c>
      <c r="K1946" s="6">
        <v>0.4775578703703704</v>
      </c>
    </row>
    <row r="1947" spans="1:11" x14ac:dyDescent="0.25">
      <c r="A1947" s="4">
        <v>12</v>
      </c>
      <c r="B1947" s="4" t="s">
        <v>11</v>
      </c>
      <c r="C1947" s="7">
        <v>35.76</v>
      </c>
      <c r="D1947" s="4" t="s">
        <v>29</v>
      </c>
      <c r="E1947" s="4" t="s">
        <v>17</v>
      </c>
      <c r="F1947" s="4" t="s">
        <v>25</v>
      </c>
      <c r="G1947" s="4" t="s">
        <v>37</v>
      </c>
      <c r="H1947" s="4">
        <v>1</v>
      </c>
      <c r="I1947" s="4">
        <v>10</v>
      </c>
      <c r="J1947" s="5">
        <v>45586</v>
      </c>
      <c r="K1947" s="6">
        <v>0.5280555555555555</v>
      </c>
    </row>
    <row r="1948" spans="1:11" x14ac:dyDescent="0.25">
      <c r="A1948" s="4">
        <v>14</v>
      </c>
      <c r="B1948" s="4" t="s">
        <v>11</v>
      </c>
      <c r="C1948" s="7">
        <v>35.76</v>
      </c>
      <c r="D1948" s="4" t="s">
        <v>12</v>
      </c>
      <c r="E1948" s="4" t="s">
        <v>17</v>
      </c>
      <c r="F1948" s="4" t="s">
        <v>25</v>
      </c>
      <c r="G1948" s="4" t="s">
        <v>37</v>
      </c>
      <c r="H1948" s="4">
        <v>1</v>
      </c>
      <c r="I1948" s="4">
        <v>10</v>
      </c>
      <c r="J1948" s="5">
        <v>45586</v>
      </c>
      <c r="K1948" s="6">
        <v>0.61314814814814811</v>
      </c>
    </row>
    <row r="1949" spans="1:11" x14ac:dyDescent="0.25">
      <c r="A1949" s="4">
        <v>14</v>
      </c>
      <c r="B1949" s="4" t="s">
        <v>11</v>
      </c>
      <c r="C1949" s="7">
        <v>35.76</v>
      </c>
      <c r="D1949" s="4" t="s">
        <v>12</v>
      </c>
      <c r="E1949" s="4" t="s">
        <v>17</v>
      </c>
      <c r="F1949" s="4" t="s">
        <v>25</v>
      </c>
      <c r="G1949" s="4" t="s">
        <v>37</v>
      </c>
      <c r="H1949" s="4">
        <v>1</v>
      </c>
      <c r="I1949" s="4">
        <v>10</v>
      </c>
      <c r="J1949" s="5">
        <v>45586</v>
      </c>
      <c r="K1949" s="6">
        <v>0.61386574074074074</v>
      </c>
    </row>
    <row r="1950" spans="1:11" x14ac:dyDescent="0.25">
      <c r="A1950" s="4">
        <v>15</v>
      </c>
      <c r="B1950" s="4" t="s">
        <v>11</v>
      </c>
      <c r="C1950" s="7">
        <v>30.86</v>
      </c>
      <c r="D1950" s="4" t="s">
        <v>19</v>
      </c>
      <c r="E1950" s="4" t="s">
        <v>17</v>
      </c>
      <c r="F1950" s="4" t="s">
        <v>25</v>
      </c>
      <c r="G1950" s="4" t="s">
        <v>37</v>
      </c>
      <c r="H1950" s="4">
        <v>1</v>
      </c>
      <c r="I1950" s="4">
        <v>10</v>
      </c>
      <c r="J1950" s="5">
        <v>45586</v>
      </c>
      <c r="K1950" s="6">
        <v>0.64377314814814812</v>
      </c>
    </row>
    <row r="1951" spans="1:11" x14ac:dyDescent="0.25">
      <c r="A1951" s="4">
        <v>15</v>
      </c>
      <c r="B1951" s="4" t="s">
        <v>11</v>
      </c>
      <c r="C1951" s="7">
        <v>25.96</v>
      </c>
      <c r="D1951" s="4" t="s">
        <v>24</v>
      </c>
      <c r="E1951" s="4" t="s">
        <v>17</v>
      </c>
      <c r="F1951" s="4" t="s">
        <v>25</v>
      </c>
      <c r="G1951" s="4" t="s">
        <v>37</v>
      </c>
      <c r="H1951" s="4">
        <v>1</v>
      </c>
      <c r="I1951" s="4">
        <v>10</v>
      </c>
      <c r="J1951" s="5">
        <v>45586</v>
      </c>
      <c r="K1951" s="6">
        <v>0.65212962962962961</v>
      </c>
    </row>
    <row r="1952" spans="1:11" x14ac:dyDescent="0.25">
      <c r="A1952" s="4">
        <v>16</v>
      </c>
      <c r="B1952" s="4" t="s">
        <v>11</v>
      </c>
      <c r="C1952" s="7">
        <v>35.76</v>
      </c>
      <c r="D1952" s="4" t="s">
        <v>21</v>
      </c>
      <c r="E1952" s="4" t="s">
        <v>17</v>
      </c>
      <c r="F1952" s="4" t="s">
        <v>25</v>
      </c>
      <c r="G1952" s="4" t="s">
        <v>37</v>
      </c>
      <c r="H1952" s="4">
        <v>1</v>
      </c>
      <c r="I1952" s="4">
        <v>10</v>
      </c>
      <c r="J1952" s="5">
        <v>45586</v>
      </c>
      <c r="K1952" s="6">
        <v>0.69649305555555552</v>
      </c>
    </row>
    <row r="1953" spans="1:11" x14ac:dyDescent="0.25">
      <c r="A1953" s="4">
        <v>16</v>
      </c>
      <c r="B1953" s="4" t="s">
        <v>11</v>
      </c>
      <c r="C1953" s="7">
        <v>35.76</v>
      </c>
      <c r="D1953" s="4" t="s">
        <v>12</v>
      </c>
      <c r="E1953" s="4" t="s">
        <v>17</v>
      </c>
      <c r="F1953" s="4" t="s">
        <v>25</v>
      </c>
      <c r="G1953" s="4" t="s">
        <v>37</v>
      </c>
      <c r="H1953" s="4">
        <v>1</v>
      </c>
      <c r="I1953" s="4">
        <v>10</v>
      </c>
      <c r="J1953" s="5">
        <v>45586</v>
      </c>
      <c r="K1953" s="6">
        <v>0.70511574074074079</v>
      </c>
    </row>
    <row r="1954" spans="1:11" x14ac:dyDescent="0.25">
      <c r="A1954" s="4">
        <v>19</v>
      </c>
      <c r="B1954" s="4" t="s">
        <v>11</v>
      </c>
      <c r="C1954" s="7">
        <v>35.76</v>
      </c>
      <c r="D1954" s="4" t="s">
        <v>16</v>
      </c>
      <c r="E1954" s="4" t="s">
        <v>20</v>
      </c>
      <c r="F1954" s="4" t="s">
        <v>25</v>
      </c>
      <c r="G1954" s="4" t="s">
        <v>37</v>
      </c>
      <c r="H1954" s="4">
        <v>1</v>
      </c>
      <c r="I1954" s="4">
        <v>10</v>
      </c>
      <c r="J1954" s="5">
        <v>45586</v>
      </c>
      <c r="K1954" s="6">
        <v>0.80640046296296297</v>
      </c>
    </row>
    <row r="1955" spans="1:11" x14ac:dyDescent="0.25">
      <c r="A1955" s="4">
        <v>21</v>
      </c>
      <c r="B1955" s="4" t="s">
        <v>11</v>
      </c>
      <c r="C1955" s="7">
        <v>35.76</v>
      </c>
      <c r="D1955" s="4" t="s">
        <v>12</v>
      </c>
      <c r="E1955" s="4" t="s">
        <v>20</v>
      </c>
      <c r="F1955" s="4" t="s">
        <v>25</v>
      </c>
      <c r="G1955" s="4" t="s">
        <v>37</v>
      </c>
      <c r="H1955" s="4">
        <v>1</v>
      </c>
      <c r="I1955" s="4">
        <v>10</v>
      </c>
      <c r="J1955" s="5">
        <v>45586</v>
      </c>
      <c r="K1955" s="6">
        <v>0.87888888888888894</v>
      </c>
    </row>
    <row r="1956" spans="1:11" x14ac:dyDescent="0.25">
      <c r="A1956" s="4">
        <v>22</v>
      </c>
      <c r="B1956" s="4" t="s">
        <v>11</v>
      </c>
      <c r="C1956" s="7">
        <v>35.76</v>
      </c>
      <c r="D1956" s="4" t="s">
        <v>21</v>
      </c>
      <c r="E1956" s="4" t="s">
        <v>20</v>
      </c>
      <c r="F1956" s="4" t="s">
        <v>25</v>
      </c>
      <c r="G1956" s="4" t="s">
        <v>37</v>
      </c>
      <c r="H1956" s="4">
        <v>1</v>
      </c>
      <c r="I1956" s="4">
        <v>10</v>
      </c>
      <c r="J1956" s="5">
        <v>45586</v>
      </c>
      <c r="K1956" s="6">
        <v>0.93800925925925926</v>
      </c>
    </row>
    <row r="1957" spans="1:11" x14ac:dyDescent="0.25">
      <c r="A1957" s="4">
        <v>22</v>
      </c>
      <c r="B1957" s="4" t="s">
        <v>11</v>
      </c>
      <c r="C1957" s="7">
        <v>35.76</v>
      </c>
      <c r="D1957" s="4" t="s">
        <v>16</v>
      </c>
      <c r="E1957" s="4" t="s">
        <v>20</v>
      </c>
      <c r="F1957" s="4" t="s">
        <v>25</v>
      </c>
      <c r="G1957" s="4" t="s">
        <v>37</v>
      </c>
      <c r="H1957" s="4">
        <v>1</v>
      </c>
      <c r="I1957" s="4">
        <v>10</v>
      </c>
      <c r="J1957" s="5">
        <v>45586</v>
      </c>
      <c r="K1957" s="6">
        <v>0.93857638888888884</v>
      </c>
    </row>
    <row r="1958" spans="1:11" x14ac:dyDescent="0.25">
      <c r="A1958" s="4">
        <v>7</v>
      </c>
      <c r="B1958" s="4" t="s">
        <v>11</v>
      </c>
      <c r="C1958" s="7">
        <v>35.76</v>
      </c>
      <c r="D1958" s="4" t="s">
        <v>12</v>
      </c>
      <c r="E1958" s="4" t="s">
        <v>13</v>
      </c>
      <c r="F1958" s="4" t="s">
        <v>27</v>
      </c>
      <c r="G1958" s="4" t="s">
        <v>37</v>
      </c>
      <c r="H1958" s="4">
        <v>2</v>
      </c>
      <c r="I1958" s="4">
        <v>10</v>
      </c>
      <c r="J1958" s="5">
        <v>45587</v>
      </c>
      <c r="K1958" s="6">
        <v>0.31457175925925923</v>
      </c>
    </row>
    <row r="1959" spans="1:11" x14ac:dyDescent="0.25">
      <c r="A1959" s="4">
        <v>7</v>
      </c>
      <c r="B1959" s="4" t="s">
        <v>11</v>
      </c>
      <c r="C1959" s="7">
        <v>35.76</v>
      </c>
      <c r="D1959" s="4" t="s">
        <v>29</v>
      </c>
      <c r="E1959" s="4" t="s">
        <v>13</v>
      </c>
      <c r="F1959" s="4" t="s">
        <v>27</v>
      </c>
      <c r="G1959" s="4" t="s">
        <v>37</v>
      </c>
      <c r="H1959" s="4">
        <v>2</v>
      </c>
      <c r="I1959" s="4">
        <v>10</v>
      </c>
      <c r="J1959" s="5">
        <v>45587</v>
      </c>
      <c r="K1959" s="6">
        <v>0.31527777777777777</v>
      </c>
    </row>
    <row r="1960" spans="1:11" x14ac:dyDescent="0.25">
      <c r="A1960" s="4">
        <v>8</v>
      </c>
      <c r="B1960" s="4" t="s">
        <v>11</v>
      </c>
      <c r="C1960" s="7">
        <v>30.86</v>
      </c>
      <c r="D1960" s="4" t="s">
        <v>19</v>
      </c>
      <c r="E1960" s="4" t="s">
        <v>13</v>
      </c>
      <c r="F1960" s="4" t="s">
        <v>27</v>
      </c>
      <c r="G1960" s="4" t="s">
        <v>37</v>
      </c>
      <c r="H1960" s="4">
        <v>2</v>
      </c>
      <c r="I1960" s="4">
        <v>10</v>
      </c>
      <c r="J1960" s="5">
        <v>45587</v>
      </c>
      <c r="K1960" s="6">
        <v>0.35106481481481483</v>
      </c>
    </row>
    <row r="1961" spans="1:11" x14ac:dyDescent="0.25">
      <c r="A1961" s="4">
        <v>9</v>
      </c>
      <c r="B1961" s="4" t="s">
        <v>11</v>
      </c>
      <c r="C1961" s="7">
        <v>25.96</v>
      </c>
      <c r="D1961" s="4" t="s">
        <v>24</v>
      </c>
      <c r="E1961" s="4" t="s">
        <v>13</v>
      </c>
      <c r="F1961" s="4" t="s">
        <v>27</v>
      </c>
      <c r="G1961" s="4" t="s">
        <v>37</v>
      </c>
      <c r="H1961" s="4">
        <v>2</v>
      </c>
      <c r="I1961" s="4">
        <v>10</v>
      </c>
      <c r="J1961" s="5">
        <v>45587</v>
      </c>
      <c r="K1961" s="6">
        <v>0.38738425925925923</v>
      </c>
    </row>
    <row r="1962" spans="1:11" x14ac:dyDescent="0.25">
      <c r="A1962" s="4">
        <v>10</v>
      </c>
      <c r="B1962" s="4" t="s">
        <v>11</v>
      </c>
      <c r="C1962" s="7">
        <v>21.06</v>
      </c>
      <c r="D1962" s="4" t="s">
        <v>26</v>
      </c>
      <c r="E1962" s="4" t="s">
        <v>13</v>
      </c>
      <c r="F1962" s="4" t="s">
        <v>27</v>
      </c>
      <c r="G1962" s="4" t="s">
        <v>37</v>
      </c>
      <c r="H1962" s="4">
        <v>2</v>
      </c>
      <c r="I1962" s="4">
        <v>10</v>
      </c>
      <c r="J1962" s="5">
        <v>45587</v>
      </c>
      <c r="K1962" s="6">
        <v>0.45245370370370369</v>
      </c>
    </row>
    <row r="1963" spans="1:11" x14ac:dyDescent="0.25">
      <c r="A1963" s="4">
        <v>10</v>
      </c>
      <c r="B1963" s="4" t="s">
        <v>11</v>
      </c>
      <c r="C1963" s="7">
        <v>25.96</v>
      </c>
      <c r="D1963" s="4" t="s">
        <v>24</v>
      </c>
      <c r="E1963" s="4" t="s">
        <v>13</v>
      </c>
      <c r="F1963" s="4" t="s">
        <v>27</v>
      </c>
      <c r="G1963" s="4" t="s">
        <v>37</v>
      </c>
      <c r="H1963" s="4">
        <v>2</v>
      </c>
      <c r="I1963" s="4">
        <v>10</v>
      </c>
      <c r="J1963" s="5">
        <v>45587</v>
      </c>
      <c r="K1963" s="6">
        <v>0.45297453703703705</v>
      </c>
    </row>
    <row r="1964" spans="1:11" x14ac:dyDescent="0.25">
      <c r="A1964" s="4">
        <v>18</v>
      </c>
      <c r="B1964" s="4" t="s">
        <v>11</v>
      </c>
      <c r="C1964" s="7">
        <v>25.96</v>
      </c>
      <c r="D1964" s="4" t="s">
        <v>18</v>
      </c>
      <c r="E1964" s="4" t="s">
        <v>20</v>
      </c>
      <c r="F1964" s="4" t="s">
        <v>27</v>
      </c>
      <c r="G1964" s="4" t="s">
        <v>37</v>
      </c>
      <c r="H1964" s="4">
        <v>2</v>
      </c>
      <c r="I1964" s="4">
        <v>10</v>
      </c>
      <c r="J1964" s="5">
        <v>45587</v>
      </c>
      <c r="K1964" s="6">
        <v>0.75488425925925928</v>
      </c>
    </row>
    <row r="1965" spans="1:11" x14ac:dyDescent="0.25">
      <c r="A1965" s="4">
        <v>19</v>
      </c>
      <c r="B1965" s="4" t="s">
        <v>11</v>
      </c>
      <c r="C1965" s="7">
        <v>35.76</v>
      </c>
      <c r="D1965" s="4" t="s">
        <v>16</v>
      </c>
      <c r="E1965" s="4" t="s">
        <v>20</v>
      </c>
      <c r="F1965" s="4" t="s">
        <v>27</v>
      </c>
      <c r="G1965" s="4" t="s">
        <v>37</v>
      </c>
      <c r="H1965" s="4">
        <v>2</v>
      </c>
      <c r="I1965" s="4">
        <v>10</v>
      </c>
      <c r="J1965" s="5">
        <v>45587</v>
      </c>
      <c r="K1965" s="6">
        <v>0.82406250000000003</v>
      </c>
    </row>
    <row r="1966" spans="1:11" x14ac:dyDescent="0.25">
      <c r="A1966" s="4">
        <v>19</v>
      </c>
      <c r="B1966" s="4" t="s">
        <v>11</v>
      </c>
      <c r="C1966" s="7">
        <v>35.76</v>
      </c>
      <c r="D1966" s="4" t="s">
        <v>12</v>
      </c>
      <c r="E1966" s="4" t="s">
        <v>20</v>
      </c>
      <c r="F1966" s="4" t="s">
        <v>27</v>
      </c>
      <c r="G1966" s="4" t="s">
        <v>37</v>
      </c>
      <c r="H1966" s="4">
        <v>2</v>
      </c>
      <c r="I1966" s="4">
        <v>10</v>
      </c>
      <c r="J1966" s="5">
        <v>45587</v>
      </c>
      <c r="K1966" s="6">
        <v>0.82488425925925923</v>
      </c>
    </row>
    <row r="1967" spans="1:11" x14ac:dyDescent="0.25">
      <c r="A1967" s="4">
        <v>7</v>
      </c>
      <c r="B1967" s="4" t="s">
        <v>11</v>
      </c>
      <c r="C1967" s="7">
        <v>35.76</v>
      </c>
      <c r="D1967" s="4" t="s">
        <v>12</v>
      </c>
      <c r="E1967" s="4" t="s">
        <v>13</v>
      </c>
      <c r="F1967" s="4" t="s">
        <v>28</v>
      </c>
      <c r="G1967" s="4" t="s">
        <v>37</v>
      </c>
      <c r="H1967" s="4">
        <v>3</v>
      </c>
      <c r="I1967" s="4">
        <v>10</v>
      </c>
      <c r="J1967" s="5">
        <v>45588</v>
      </c>
      <c r="K1967" s="6">
        <v>0.33201388888888889</v>
      </c>
    </row>
    <row r="1968" spans="1:11" x14ac:dyDescent="0.25">
      <c r="A1968" s="4">
        <v>8</v>
      </c>
      <c r="B1968" s="4" t="s">
        <v>11</v>
      </c>
      <c r="C1968" s="7">
        <v>30.86</v>
      </c>
      <c r="D1968" s="4" t="s">
        <v>19</v>
      </c>
      <c r="E1968" s="4" t="s">
        <v>13</v>
      </c>
      <c r="F1968" s="4" t="s">
        <v>28</v>
      </c>
      <c r="G1968" s="4" t="s">
        <v>37</v>
      </c>
      <c r="H1968" s="4">
        <v>3</v>
      </c>
      <c r="I1968" s="4">
        <v>10</v>
      </c>
      <c r="J1968" s="5">
        <v>45588</v>
      </c>
      <c r="K1968" s="6">
        <v>0.36474537037037036</v>
      </c>
    </row>
    <row r="1969" spans="1:11" x14ac:dyDescent="0.25">
      <c r="A1969" s="4">
        <v>10</v>
      </c>
      <c r="B1969" s="4" t="s">
        <v>11</v>
      </c>
      <c r="C1969" s="7">
        <v>25.96</v>
      </c>
      <c r="D1969" s="4" t="s">
        <v>24</v>
      </c>
      <c r="E1969" s="4" t="s">
        <v>13</v>
      </c>
      <c r="F1969" s="4" t="s">
        <v>28</v>
      </c>
      <c r="G1969" s="4" t="s">
        <v>37</v>
      </c>
      <c r="H1969" s="4">
        <v>3</v>
      </c>
      <c r="I1969" s="4">
        <v>10</v>
      </c>
      <c r="J1969" s="5">
        <v>45588</v>
      </c>
      <c r="K1969" s="6">
        <v>0.43399305555555556</v>
      </c>
    </row>
    <row r="1970" spans="1:11" x14ac:dyDescent="0.25">
      <c r="A1970" s="4">
        <v>12</v>
      </c>
      <c r="B1970" s="4" t="s">
        <v>11</v>
      </c>
      <c r="C1970" s="7">
        <v>30.86</v>
      </c>
      <c r="D1970" s="4" t="s">
        <v>19</v>
      </c>
      <c r="E1970" s="4" t="s">
        <v>17</v>
      </c>
      <c r="F1970" s="4" t="s">
        <v>28</v>
      </c>
      <c r="G1970" s="4" t="s">
        <v>37</v>
      </c>
      <c r="H1970" s="4">
        <v>3</v>
      </c>
      <c r="I1970" s="4">
        <v>10</v>
      </c>
      <c r="J1970" s="5">
        <v>45588</v>
      </c>
      <c r="K1970" s="6">
        <v>0.52158564814814812</v>
      </c>
    </row>
    <row r="1971" spans="1:11" x14ac:dyDescent="0.25">
      <c r="A1971" s="4">
        <v>16</v>
      </c>
      <c r="B1971" s="4" t="s">
        <v>11</v>
      </c>
      <c r="C1971" s="7">
        <v>30.86</v>
      </c>
      <c r="D1971" s="4" t="s">
        <v>19</v>
      </c>
      <c r="E1971" s="4" t="s">
        <v>17</v>
      </c>
      <c r="F1971" s="4" t="s">
        <v>28</v>
      </c>
      <c r="G1971" s="4" t="s">
        <v>37</v>
      </c>
      <c r="H1971" s="4">
        <v>3</v>
      </c>
      <c r="I1971" s="4">
        <v>10</v>
      </c>
      <c r="J1971" s="5">
        <v>45588</v>
      </c>
      <c r="K1971" s="6">
        <v>0.68057870370370366</v>
      </c>
    </row>
    <row r="1972" spans="1:11" x14ac:dyDescent="0.25">
      <c r="A1972" s="4">
        <v>16</v>
      </c>
      <c r="B1972" s="4" t="s">
        <v>11</v>
      </c>
      <c r="C1972" s="7">
        <v>30.86</v>
      </c>
      <c r="D1972" s="4" t="s">
        <v>19</v>
      </c>
      <c r="E1972" s="4" t="s">
        <v>17</v>
      </c>
      <c r="F1972" s="4" t="s">
        <v>28</v>
      </c>
      <c r="G1972" s="4" t="s">
        <v>37</v>
      </c>
      <c r="H1972" s="4">
        <v>3</v>
      </c>
      <c r="I1972" s="4">
        <v>10</v>
      </c>
      <c r="J1972" s="5">
        <v>45588</v>
      </c>
      <c r="K1972" s="6">
        <v>0.68135416666666671</v>
      </c>
    </row>
    <row r="1973" spans="1:11" x14ac:dyDescent="0.25">
      <c r="A1973" s="4">
        <v>16</v>
      </c>
      <c r="B1973" s="4" t="s">
        <v>11</v>
      </c>
      <c r="C1973" s="7">
        <v>35.76</v>
      </c>
      <c r="D1973" s="4" t="s">
        <v>29</v>
      </c>
      <c r="E1973" s="4" t="s">
        <v>17</v>
      </c>
      <c r="F1973" s="4" t="s">
        <v>28</v>
      </c>
      <c r="G1973" s="4" t="s">
        <v>37</v>
      </c>
      <c r="H1973" s="4">
        <v>3</v>
      </c>
      <c r="I1973" s="4">
        <v>10</v>
      </c>
      <c r="J1973" s="5">
        <v>45588</v>
      </c>
      <c r="K1973" s="6">
        <v>0.69618055555555558</v>
      </c>
    </row>
    <row r="1974" spans="1:11" x14ac:dyDescent="0.25">
      <c r="A1974" s="4">
        <v>17</v>
      </c>
      <c r="B1974" s="4" t="s">
        <v>11</v>
      </c>
      <c r="C1974" s="7">
        <v>21.06</v>
      </c>
      <c r="D1974" s="4" t="s">
        <v>26</v>
      </c>
      <c r="E1974" s="4" t="s">
        <v>20</v>
      </c>
      <c r="F1974" s="4" t="s">
        <v>28</v>
      </c>
      <c r="G1974" s="4" t="s">
        <v>37</v>
      </c>
      <c r="H1974" s="4">
        <v>3</v>
      </c>
      <c r="I1974" s="4">
        <v>10</v>
      </c>
      <c r="J1974" s="5">
        <v>45588</v>
      </c>
      <c r="K1974" s="6">
        <v>0.7102546296296296</v>
      </c>
    </row>
    <row r="1975" spans="1:11" x14ac:dyDescent="0.25">
      <c r="A1975" s="4">
        <v>18</v>
      </c>
      <c r="B1975" s="4" t="s">
        <v>11</v>
      </c>
      <c r="C1975" s="7">
        <v>35.76</v>
      </c>
      <c r="D1975" s="4" t="s">
        <v>21</v>
      </c>
      <c r="E1975" s="4" t="s">
        <v>20</v>
      </c>
      <c r="F1975" s="4" t="s">
        <v>28</v>
      </c>
      <c r="G1975" s="4" t="s">
        <v>37</v>
      </c>
      <c r="H1975" s="4">
        <v>3</v>
      </c>
      <c r="I1975" s="4">
        <v>10</v>
      </c>
      <c r="J1975" s="5">
        <v>45588</v>
      </c>
      <c r="K1975" s="6">
        <v>0.79094907407407411</v>
      </c>
    </row>
    <row r="1976" spans="1:11" x14ac:dyDescent="0.25">
      <c r="A1976" s="4">
        <v>19</v>
      </c>
      <c r="B1976" s="4" t="s">
        <v>11</v>
      </c>
      <c r="C1976" s="7">
        <v>35.76</v>
      </c>
      <c r="D1976" s="4" t="s">
        <v>29</v>
      </c>
      <c r="E1976" s="4" t="s">
        <v>20</v>
      </c>
      <c r="F1976" s="4" t="s">
        <v>28</v>
      </c>
      <c r="G1976" s="4" t="s">
        <v>37</v>
      </c>
      <c r="H1976" s="4">
        <v>3</v>
      </c>
      <c r="I1976" s="4">
        <v>10</v>
      </c>
      <c r="J1976" s="5">
        <v>45588</v>
      </c>
      <c r="K1976" s="6">
        <v>0.79216435185185186</v>
      </c>
    </row>
    <row r="1977" spans="1:11" x14ac:dyDescent="0.25">
      <c r="A1977" s="4">
        <v>21</v>
      </c>
      <c r="B1977" s="4" t="s">
        <v>11</v>
      </c>
      <c r="C1977" s="7">
        <v>30.86</v>
      </c>
      <c r="D1977" s="4" t="s">
        <v>19</v>
      </c>
      <c r="E1977" s="4" t="s">
        <v>20</v>
      </c>
      <c r="F1977" s="4" t="s">
        <v>28</v>
      </c>
      <c r="G1977" s="4" t="s">
        <v>37</v>
      </c>
      <c r="H1977" s="4">
        <v>3</v>
      </c>
      <c r="I1977" s="4">
        <v>10</v>
      </c>
      <c r="J1977" s="5">
        <v>45588</v>
      </c>
      <c r="K1977" s="6">
        <v>0.91481481481481486</v>
      </c>
    </row>
    <row r="1978" spans="1:11" x14ac:dyDescent="0.25">
      <c r="A1978" s="4">
        <v>21</v>
      </c>
      <c r="B1978" s="4" t="s">
        <v>11</v>
      </c>
      <c r="C1978" s="7">
        <v>35.76</v>
      </c>
      <c r="D1978" s="4" t="s">
        <v>16</v>
      </c>
      <c r="E1978" s="4" t="s">
        <v>20</v>
      </c>
      <c r="F1978" s="4" t="s">
        <v>28</v>
      </c>
      <c r="G1978" s="4" t="s">
        <v>37</v>
      </c>
      <c r="H1978" s="4">
        <v>3</v>
      </c>
      <c r="I1978" s="4">
        <v>10</v>
      </c>
      <c r="J1978" s="5">
        <v>45588</v>
      </c>
      <c r="K1978" s="6">
        <v>0.91554398148148153</v>
      </c>
    </row>
    <row r="1979" spans="1:11" x14ac:dyDescent="0.25">
      <c r="A1979" s="4">
        <v>22</v>
      </c>
      <c r="B1979" s="4" t="s">
        <v>11</v>
      </c>
      <c r="C1979" s="7">
        <v>35.76</v>
      </c>
      <c r="D1979" s="4" t="s">
        <v>12</v>
      </c>
      <c r="E1979" s="4" t="s">
        <v>20</v>
      </c>
      <c r="F1979" s="4" t="s">
        <v>28</v>
      </c>
      <c r="G1979" s="4" t="s">
        <v>37</v>
      </c>
      <c r="H1979" s="4">
        <v>3</v>
      </c>
      <c r="I1979" s="4">
        <v>10</v>
      </c>
      <c r="J1979" s="5">
        <v>45588</v>
      </c>
      <c r="K1979" s="6">
        <v>0.93307870370370372</v>
      </c>
    </row>
    <row r="1980" spans="1:11" x14ac:dyDescent="0.25">
      <c r="A1980" s="4">
        <v>12</v>
      </c>
      <c r="B1980" s="4" t="s">
        <v>11</v>
      </c>
      <c r="C1980" s="7">
        <v>25.96</v>
      </c>
      <c r="D1980" s="4" t="s">
        <v>18</v>
      </c>
      <c r="E1980" s="4" t="s">
        <v>17</v>
      </c>
      <c r="F1980" s="4" t="s">
        <v>30</v>
      </c>
      <c r="G1980" s="4" t="s">
        <v>37</v>
      </c>
      <c r="H1980" s="4">
        <v>4</v>
      </c>
      <c r="I1980" s="4">
        <v>10</v>
      </c>
      <c r="J1980" s="5">
        <v>45589</v>
      </c>
      <c r="K1980" s="6">
        <v>0.50539351851851855</v>
      </c>
    </row>
    <row r="1981" spans="1:11" x14ac:dyDescent="0.25">
      <c r="A1981" s="4">
        <v>13</v>
      </c>
      <c r="B1981" s="4" t="s">
        <v>11</v>
      </c>
      <c r="C1981" s="7">
        <v>35.76</v>
      </c>
      <c r="D1981" s="4" t="s">
        <v>29</v>
      </c>
      <c r="E1981" s="4" t="s">
        <v>17</v>
      </c>
      <c r="F1981" s="4" t="s">
        <v>30</v>
      </c>
      <c r="G1981" s="4" t="s">
        <v>37</v>
      </c>
      <c r="H1981" s="4">
        <v>4</v>
      </c>
      <c r="I1981" s="4">
        <v>10</v>
      </c>
      <c r="J1981" s="5">
        <v>45589</v>
      </c>
      <c r="K1981" s="6">
        <v>0.55832175925925931</v>
      </c>
    </row>
    <row r="1982" spans="1:11" x14ac:dyDescent="0.25">
      <c r="A1982" s="4">
        <v>14</v>
      </c>
      <c r="B1982" s="4" t="s">
        <v>11</v>
      </c>
      <c r="C1982" s="7">
        <v>35.76</v>
      </c>
      <c r="D1982" s="4" t="s">
        <v>29</v>
      </c>
      <c r="E1982" s="4" t="s">
        <v>17</v>
      </c>
      <c r="F1982" s="4" t="s">
        <v>30</v>
      </c>
      <c r="G1982" s="4" t="s">
        <v>37</v>
      </c>
      <c r="H1982" s="4">
        <v>4</v>
      </c>
      <c r="I1982" s="4">
        <v>10</v>
      </c>
      <c r="J1982" s="5">
        <v>45589</v>
      </c>
      <c r="K1982" s="6">
        <v>0.59011574074074069</v>
      </c>
    </row>
    <row r="1983" spans="1:11" x14ac:dyDescent="0.25">
      <c r="A1983" s="4">
        <v>14</v>
      </c>
      <c r="B1983" s="4" t="s">
        <v>11</v>
      </c>
      <c r="C1983" s="7">
        <v>35.76</v>
      </c>
      <c r="D1983" s="4" t="s">
        <v>16</v>
      </c>
      <c r="E1983" s="4" t="s">
        <v>17</v>
      </c>
      <c r="F1983" s="4" t="s">
        <v>30</v>
      </c>
      <c r="G1983" s="4" t="s">
        <v>37</v>
      </c>
      <c r="H1983" s="4">
        <v>4</v>
      </c>
      <c r="I1983" s="4">
        <v>10</v>
      </c>
      <c r="J1983" s="5">
        <v>45589</v>
      </c>
      <c r="K1983" s="6">
        <v>0.61737268518518518</v>
      </c>
    </row>
    <row r="1984" spans="1:11" x14ac:dyDescent="0.25">
      <c r="A1984" s="4">
        <v>14</v>
      </c>
      <c r="B1984" s="4" t="s">
        <v>11</v>
      </c>
      <c r="C1984" s="7">
        <v>35.76</v>
      </c>
      <c r="D1984" s="4" t="s">
        <v>12</v>
      </c>
      <c r="E1984" s="4" t="s">
        <v>17</v>
      </c>
      <c r="F1984" s="4" t="s">
        <v>30</v>
      </c>
      <c r="G1984" s="4" t="s">
        <v>37</v>
      </c>
      <c r="H1984" s="4">
        <v>4</v>
      </c>
      <c r="I1984" s="4">
        <v>10</v>
      </c>
      <c r="J1984" s="5">
        <v>45589</v>
      </c>
      <c r="K1984" s="6">
        <v>0.61792824074074071</v>
      </c>
    </row>
    <row r="1985" spans="1:11" x14ac:dyDescent="0.25">
      <c r="A1985" s="4">
        <v>15</v>
      </c>
      <c r="B1985" s="4" t="s">
        <v>11</v>
      </c>
      <c r="C1985" s="7">
        <v>35.76</v>
      </c>
      <c r="D1985" s="4" t="s">
        <v>12</v>
      </c>
      <c r="E1985" s="4" t="s">
        <v>17</v>
      </c>
      <c r="F1985" s="4" t="s">
        <v>30</v>
      </c>
      <c r="G1985" s="4" t="s">
        <v>37</v>
      </c>
      <c r="H1985" s="4">
        <v>4</v>
      </c>
      <c r="I1985" s="4">
        <v>10</v>
      </c>
      <c r="J1985" s="5">
        <v>45589</v>
      </c>
      <c r="K1985" s="6">
        <v>0.65800925925925924</v>
      </c>
    </row>
    <row r="1986" spans="1:11" x14ac:dyDescent="0.25">
      <c r="A1986" s="4">
        <v>15</v>
      </c>
      <c r="B1986" s="4" t="s">
        <v>11</v>
      </c>
      <c r="C1986" s="7">
        <v>35.76</v>
      </c>
      <c r="D1986" s="4" t="s">
        <v>12</v>
      </c>
      <c r="E1986" s="4" t="s">
        <v>17</v>
      </c>
      <c r="F1986" s="4" t="s">
        <v>30</v>
      </c>
      <c r="G1986" s="4" t="s">
        <v>37</v>
      </c>
      <c r="H1986" s="4">
        <v>4</v>
      </c>
      <c r="I1986" s="4">
        <v>10</v>
      </c>
      <c r="J1986" s="5">
        <v>45589</v>
      </c>
      <c r="K1986" s="6">
        <v>0.65866898148148145</v>
      </c>
    </row>
    <row r="1987" spans="1:11" x14ac:dyDescent="0.25">
      <c r="A1987" s="4">
        <v>18</v>
      </c>
      <c r="B1987" s="4" t="s">
        <v>11</v>
      </c>
      <c r="C1987" s="7">
        <v>25.96</v>
      </c>
      <c r="D1987" s="4" t="s">
        <v>18</v>
      </c>
      <c r="E1987" s="4" t="s">
        <v>20</v>
      </c>
      <c r="F1987" s="4" t="s">
        <v>30</v>
      </c>
      <c r="G1987" s="4" t="s">
        <v>37</v>
      </c>
      <c r="H1987" s="4">
        <v>4</v>
      </c>
      <c r="I1987" s="4">
        <v>10</v>
      </c>
      <c r="J1987" s="5">
        <v>45589</v>
      </c>
      <c r="K1987" s="6">
        <v>0.78734953703703703</v>
      </c>
    </row>
    <row r="1988" spans="1:11" x14ac:dyDescent="0.25">
      <c r="A1988" s="4">
        <v>18</v>
      </c>
      <c r="B1988" s="4" t="s">
        <v>11</v>
      </c>
      <c r="C1988" s="7">
        <v>25.96</v>
      </c>
      <c r="D1988" s="4" t="s">
        <v>18</v>
      </c>
      <c r="E1988" s="4" t="s">
        <v>20</v>
      </c>
      <c r="F1988" s="4" t="s">
        <v>30</v>
      </c>
      <c r="G1988" s="4" t="s">
        <v>37</v>
      </c>
      <c r="H1988" s="4">
        <v>4</v>
      </c>
      <c r="I1988" s="4">
        <v>10</v>
      </c>
      <c r="J1988" s="5">
        <v>45589</v>
      </c>
      <c r="K1988" s="6">
        <v>0.78827546296296291</v>
      </c>
    </row>
    <row r="1989" spans="1:11" x14ac:dyDescent="0.25">
      <c r="A1989" s="4">
        <v>19</v>
      </c>
      <c r="B1989" s="4" t="s">
        <v>11</v>
      </c>
      <c r="C1989" s="7">
        <v>35.76</v>
      </c>
      <c r="D1989" s="4" t="s">
        <v>12</v>
      </c>
      <c r="E1989" s="4" t="s">
        <v>20</v>
      </c>
      <c r="F1989" s="4" t="s">
        <v>30</v>
      </c>
      <c r="G1989" s="4" t="s">
        <v>37</v>
      </c>
      <c r="H1989" s="4">
        <v>4</v>
      </c>
      <c r="I1989" s="4">
        <v>10</v>
      </c>
      <c r="J1989" s="5">
        <v>45589</v>
      </c>
      <c r="K1989" s="6">
        <v>0.82659722222222221</v>
      </c>
    </row>
    <row r="1990" spans="1:11" x14ac:dyDescent="0.25">
      <c r="A1990" s="4">
        <v>20</v>
      </c>
      <c r="B1990" s="4" t="s">
        <v>11</v>
      </c>
      <c r="C1990" s="7">
        <v>25.96</v>
      </c>
      <c r="D1990" s="4" t="s">
        <v>18</v>
      </c>
      <c r="E1990" s="4" t="s">
        <v>20</v>
      </c>
      <c r="F1990" s="4" t="s">
        <v>30</v>
      </c>
      <c r="G1990" s="4" t="s">
        <v>37</v>
      </c>
      <c r="H1990" s="4">
        <v>4</v>
      </c>
      <c r="I1990" s="4">
        <v>10</v>
      </c>
      <c r="J1990" s="5">
        <v>45589</v>
      </c>
      <c r="K1990" s="6">
        <v>0.86401620370370369</v>
      </c>
    </row>
    <row r="1991" spans="1:11" x14ac:dyDescent="0.25">
      <c r="A1991" s="4">
        <v>21</v>
      </c>
      <c r="B1991" s="4" t="s">
        <v>11</v>
      </c>
      <c r="C1991" s="7">
        <v>35.76</v>
      </c>
      <c r="D1991" s="4" t="s">
        <v>16</v>
      </c>
      <c r="E1991" s="4" t="s">
        <v>20</v>
      </c>
      <c r="F1991" s="4" t="s">
        <v>30</v>
      </c>
      <c r="G1991" s="4" t="s">
        <v>37</v>
      </c>
      <c r="H1991" s="4">
        <v>4</v>
      </c>
      <c r="I1991" s="4">
        <v>10</v>
      </c>
      <c r="J1991" s="5">
        <v>45589</v>
      </c>
      <c r="K1991" s="6">
        <v>0.88523148148148145</v>
      </c>
    </row>
    <row r="1992" spans="1:11" x14ac:dyDescent="0.25">
      <c r="A1992" s="4">
        <v>21</v>
      </c>
      <c r="B1992" s="4" t="s">
        <v>11</v>
      </c>
      <c r="C1992" s="7">
        <v>35.76</v>
      </c>
      <c r="D1992" s="4" t="s">
        <v>16</v>
      </c>
      <c r="E1992" s="4" t="s">
        <v>20</v>
      </c>
      <c r="F1992" s="4" t="s">
        <v>30</v>
      </c>
      <c r="G1992" s="4" t="s">
        <v>37</v>
      </c>
      <c r="H1992" s="4">
        <v>4</v>
      </c>
      <c r="I1992" s="4">
        <v>10</v>
      </c>
      <c r="J1992" s="5">
        <v>45589</v>
      </c>
      <c r="K1992" s="6">
        <v>0.88575231481481487</v>
      </c>
    </row>
    <row r="1993" spans="1:11" x14ac:dyDescent="0.25">
      <c r="A1993" s="4">
        <v>21</v>
      </c>
      <c r="B1993" s="4" t="s">
        <v>11</v>
      </c>
      <c r="C1993" s="7">
        <v>35.76</v>
      </c>
      <c r="D1993" s="4" t="s">
        <v>16</v>
      </c>
      <c r="E1993" s="4" t="s">
        <v>20</v>
      </c>
      <c r="F1993" s="4" t="s">
        <v>30</v>
      </c>
      <c r="G1993" s="4" t="s">
        <v>37</v>
      </c>
      <c r="H1993" s="4">
        <v>4</v>
      </c>
      <c r="I1993" s="4">
        <v>10</v>
      </c>
      <c r="J1993" s="5">
        <v>45589</v>
      </c>
      <c r="K1993" s="6">
        <v>0.91412037037037042</v>
      </c>
    </row>
    <row r="1994" spans="1:11" x14ac:dyDescent="0.25">
      <c r="A1994" s="4">
        <v>21</v>
      </c>
      <c r="B1994" s="4" t="s">
        <v>11</v>
      </c>
      <c r="C1994" s="7">
        <v>35.76</v>
      </c>
      <c r="D1994" s="4" t="s">
        <v>29</v>
      </c>
      <c r="E1994" s="4" t="s">
        <v>20</v>
      </c>
      <c r="F1994" s="4" t="s">
        <v>30</v>
      </c>
      <c r="G1994" s="4" t="s">
        <v>37</v>
      </c>
      <c r="H1994" s="4">
        <v>4</v>
      </c>
      <c r="I1994" s="4">
        <v>10</v>
      </c>
      <c r="J1994" s="5">
        <v>45589</v>
      </c>
      <c r="K1994" s="6">
        <v>0.91469907407407403</v>
      </c>
    </row>
    <row r="1995" spans="1:11" x14ac:dyDescent="0.25">
      <c r="A1995" s="4">
        <v>7</v>
      </c>
      <c r="B1995" s="4" t="s">
        <v>11</v>
      </c>
      <c r="C1995" s="7">
        <v>35.76</v>
      </c>
      <c r="D1995" s="4" t="s">
        <v>29</v>
      </c>
      <c r="E1995" s="4" t="s">
        <v>13</v>
      </c>
      <c r="F1995" s="4" t="s">
        <v>14</v>
      </c>
      <c r="G1995" s="4" t="s">
        <v>37</v>
      </c>
      <c r="H1995" s="4">
        <v>5</v>
      </c>
      <c r="I1995" s="4">
        <v>10</v>
      </c>
      <c r="J1995" s="5">
        <v>45590</v>
      </c>
      <c r="K1995" s="6">
        <v>0.31818287037037035</v>
      </c>
    </row>
    <row r="1996" spans="1:11" x14ac:dyDescent="0.25">
      <c r="A1996" s="4">
        <v>7</v>
      </c>
      <c r="B1996" s="4" t="s">
        <v>11</v>
      </c>
      <c r="C1996" s="7">
        <v>21.06</v>
      </c>
      <c r="D1996" s="4" t="s">
        <v>26</v>
      </c>
      <c r="E1996" s="4" t="s">
        <v>13</v>
      </c>
      <c r="F1996" s="4" t="s">
        <v>14</v>
      </c>
      <c r="G1996" s="4" t="s">
        <v>37</v>
      </c>
      <c r="H1996" s="4">
        <v>5</v>
      </c>
      <c r="I1996" s="4">
        <v>10</v>
      </c>
      <c r="J1996" s="5">
        <v>45590</v>
      </c>
      <c r="K1996" s="6">
        <v>0.32317129629629632</v>
      </c>
    </row>
    <row r="1997" spans="1:11" x14ac:dyDescent="0.25">
      <c r="A1997" s="4">
        <v>8</v>
      </c>
      <c r="B1997" s="4" t="s">
        <v>11</v>
      </c>
      <c r="C1997" s="7">
        <v>35.76</v>
      </c>
      <c r="D1997" s="4" t="s">
        <v>21</v>
      </c>
      <c r="E1997" s="4" t="s">
        <v>13</v>
      </c>
      <c r="F1997" s="4" t="s">
        <v>14</v>
      </c>
      <c r="G1997" s="4" t="s">
        <v>37</v>
      </c>
      <c r="H1997" s="4">
        <v>5</v>
      </c>
      <c r="I1997" s="4">
        <v>10</v>
      </c>
      <c r="J1997" s="5">
        <v>45590</v>
      </c>
      <c r="K1997" s="6">
        <v>0.34032407407407406</v>
      </c>
    </row>
    <row r="1998" spans="1:11" x14ac:dyDescent="0.25">
      <c r="A1998" s="4">
        <v>8</v>
      </c>
      <c r="B1998" s="4" t="s">
        <v>11</v>
      </c>
      <c r="C1998" s="7">
        <v>35.76</v>
      </c>
      <c r="D1998" s="4" t="s">
        <v>12</v>
      </c>
      <c r="E1998" s="4" t="s">
        <v>13</v>
      </c>
      <c r="F1998" s="4" t="s">
        <v>14</v>
      </c>
      <c r="G1998" s="4" t="s">
        <v>37</v>
      </c>
      <c r="H1998" s="4">
        <v>5</v>
      </c>
      <c r="I1998" s="4">
        <v>10</v>
      </c>
      <c r="J1998" s="5">
        <v>45590</v>
      </c>
      <c r="K1998" s="6">
        <v>0.34090277777777778</v>
      </c>
    </row>
    <row r="1999" spans="1:11" x14ac:dyDescent="0.25">
      <c r="A1999" s="4">
        <v>8</v>
      </c>
      <c r="B1999" s="4" t="s">
        <v>11</v>
      </c>
      <c r="C1999" s="7">
        <v>35.76</v>
      </c>
      <c r="D1999" s="4" t="s">
        <v>21</v>
      </c>
      <c r="E1999" s="4" t="s">
        <v>13</v>
      </c>
      <c r="F1999" s="4" t="s">
        <v>14</v>
      </c>
      <c r="G1999" s="4" t="s">
        <v>37</v>
      </c>
      <c r="H1999" s="4">
        <v>5</v>
      </c>
      <c r="I1999" s="4">
        <v>10</v>
      </c>
      <c r="J1999" s="5">
        <v>45590</v>
      </c>
      <c r="K1999" s="6">
        <v>0.34640046296296295</v>
      </c>
    </row>
    <row r="2000" spans="1:11" x14ac:dyDescent="0.25">
      <c r="A2000" s="4">
        <v>10</v>
      </c>
      <c r="B2000" s="4" t="s">
        <v>11</v>
      </c>
      <c r="C2000" s="7">
        <v>25.96</v>
      </c>
      <c r="D2000" s="4" t="s">
        <v>18</v>
      </c>
      <c r="E2000" s="4" t="s">
        <v>13</v>
      </c>
      <c r="F2000" s="4" t="s">
        <v>14</v>
      </c>
      <c r="G2000" s="4" t="s">
        <v>37</v>
      </c>
      <c r="H2000" s="4">
        <v>5</v>
      </c>
      <c r="I2000" s="4">
        <v>10</v>
      </c>
      <c r="J2000" s="5">
        <v>45590</v>
      </c>
      <c r="K2000" s="6">
        <v>0.4190740740740741</v>
      </c>
    </row>
    <row r="2001" spans="1:11" x14ac:dyDescent="0.25">
      <c r="A2001" s="4">
        <v>10</v>
      </c>
      <c r="B2001" s="4" t="s">
        <v>11</v>
      </c>
      <c r="C2001" s="7">
        <v>25.96</v>
      </c>
      <c r="D2001" s="4" t="s">
        <v>18</v>
      </c>
      <c r="E2001" s="4" t="s">
        <v>13</v>
      </c>
      <c r="F2001" s="4" t="s">
        <v>14</v>
      </c>
      <c r="G2001" s="4" t="s">
        <v>37</v>
      </c>
      <c r="H2001" s="4">
        <v>5</v>
      </c>
      <c r="I2001" s="4">
        <v>10</v>
      </c>
      <c r="J2001" s="5">
        <v>45590</v>
      </c>
      <c r="K2001" s="6">
        <v>0.42038194444444443</v>
      </c>
    </row>
    <row r="2002" spans="1:11" x14ac:dyDescent="0.25">
      <c r="A2002" s="4">
        <v>10</v>
      </c>
      <c r="B2002" s="4" t="s">
        <v>11</v>
      </c>
      <c r="C2002" s="7">
        <v>30.86</v>
      </c>
      <c r="D2002" s="4" t="s">
        <v>19</v>
      </c>
      <c r="E2002" s="4" t="s">
        <v>13</v>
      </c>
      <c r="F2002" s="4" t="s">
        <v>14</v>
      </c>
      <c r="G2002" s="4" t="s">
        <v>37</v>
      </c>
      <c r="H2002" s="4">
        <v>5</v>
      </c>
      <c r="I2002" s="4">
        <v>10</v>
      </c>
      <c r="J2002" s="5">
        <v>45590</v>
      </c>
      <c r="K2002" s="6">
        <v>0.45209490740740743</v>
      </c>
    </row>
    <row r="2003" spans="1:11" x14ac:dyDescent="0.25">
      <c r="A2003" s="4">
        <v>11</v>
      </c>
      <c r="B2003" s="4" t="s">
        <v>11</v>
      </c>
      <c r="C2003" s="7">
        <v>35.76</v>
      </c>
      <c r="D2003" s="4" t="s">
        <v>21</v>
      </c>
      <c r="E2003" s="4" t="s">
        <v>13</v>
      </c>
      <c r="F2003" s="4" t="s">
        <v>14</v>
      </c>
      <c r="G2003" s="4" t="s">
        <v>37</v>
      </c>
      <c r="H2003" s="4">
        <v>5</v>
      </c>
      <c r="I2003" s="4">
        <v>10</v>
      </c>
      <c r="J2003" s="5">
        <v>45590</v>
      </c>
      <c r="K2003" s="6">
        <v>0.49284722222222221</v>
      </c>
    </row>
    <row r="2004" spans="1:11" x14ac:dyDescent="0.25">
      <c r="A2004" s="4">
        <v>11</v>
      </c>
      <c r="B2004" s="4" t="s">
        <v>11</v>
      </c>
      <c r="C2004" s="7">
        <v>35.76</v>
      </c>
      <c r="D2004" s="4" t="s">
        <v>21</v>
      </c>
      <c r="E2004" s="4" t="s">
        <v>13</v>
      </c>
      <c r="F2004" s="4" t="s">
        <v>14</v>
      </c>
      <c r="G2004" s="4" t="s">
        <v>37</v>
      </c>
      <c r="H2004" s="4">
        <v>5</v>
      </c>
      <c r="I2004" s="4">
        <v>10</v>
      </c>
      <c r="J2004" s="5">
        <v>45590</v>
      </c>
      <c r="K2004" s="6">
        <v>0.4934027777777778</v>
      </c>
    </row>
    <row r="2005" spans="1:11" x14ac:dyDescent="0.25">
      <c r="A2005" s="4">
        <v>12</v>
      </c>
      <c r="B2005" s="4" t="s">
        <v>11</v>
      </c>
      <c r="C2005" s="7">
        <v>25.96</v>
      </c>
      <c r="D2005" s="4" t="s">
        <v>24</v>
      </c>
      <c r="E2005" s="4" t="s">
        <v>17</v>
      </c>
      <c r="F2005" s="4" t="s">
        <v>14</v>
      </c>
      <c r="G2005" s="4" t="s">
        <v>37</v>
      </c>
      <c r="H2005" s="4">
        <v>5</v>
      </c>
      <c r="I2005" s="4">
        <v>10</v>
      </c>
      <c r="J2005" s="5">
        <v>45590</v>
      </c>
      <c r="K2005" s="6">
        <v>0.50474537037037037</v>
      </c>
    </row>
    <row r="2006" spans="1:11" x14ac:dyDescent="0.25">
      <c r="A2006" s="4">
        <v>12</v>
      </c>
      <c r="B2006" s="4" t="s">
        <v>11</v>
      </c>
      <c r="C2006" s="7">
        <v>35.76</v>
      </c>
      <c r="D2006" s="4" t="s">
        <v>12</v>
      </c>
      <c r="E2006" s="4" t="s">
        <v>17</v>
      </c>
      <c r="F2006" s="4" t="s">
        <v>14</v>
      </c>
      <c r="G2006" s="4" t="s">
        <v>37</v>
      </c>
      <c r="H2006" s="4">
        <v>5</v>
      </c>
      <c r="I2006" s="4">
        <v>10</v>
      </c>
      <c r="J2006" s="5">
        <v>45590</v>
      </c>
      <c r="K2006" s="6">
        <v>0.52820601851851856</v>
      </c>
    </row>
    <row r="2007" spans="1:11" x14ac:dyDescent="0.25">
      <c r="A2007" s="4">
        <v>14</v>
      </c>
      <c r="B2007" s="4" t="s">
        <v>11</v>
      </c>
      <c r="C2007" s="7">
        <v>35.76</v>
      </c>
      <c r="D2007" s="4" t="s">
        <v>29</v>
      </c>
      <c r="E2007" s="4" t="s">
        <v>17</v>
      </c>
      <c r="F2007" s="4" t="s">
        <v>14</v>
      </c>
      <c r="G2007" s="4" t="s">
        <v>37</v>
      </c>
      <c r="H2007" s="4">
        <v>5</v>
      </c>
      <c r="I2007" s="4">
        <v>10</v>
      </c>
      <c r="J2007" s="5">
        <v>45590</v>
      </c>
      <c r="K2007" s="6">
        <v>0.59949074074074071</v>
      </c>
    </row>
    <row r="2008" spans="1:11" x14ac:dyDescent="0.25">
      <c r="A2008" s="4">
        <v>22</v>
      </c>
      <c r="B2008" s="4" t="s">
        <v>11</v>
      </c>
      <c r="C2008" s="7">
        <v>35.76</v>
      </c>
      <c r="D2008" s="4" t="s">
        <v>16</v>
      </c>
      <c r="E2008" s="4" t="s">
        <v>20</v>
      </c>
      <c r="F2008" s="4" t="s">
        <v>14</v>
      </c>
      <c r="G2008" s="4" t="s">
        <v>37</v>
      </c>
      <c r="H2008" s="4">
        <v>5</v>
      </c>
      <c r="I2008" s="4">
        <v>10</v>
      </c>
      <c r="J2008" s="5">
        <v>45590</v>
      </c>
      <c r="K2008" s="6">
        <v>0.93012731481481481</v>
      </c>
    </row>
    <row r="2009" spans="1:11" x14ac:dyDescent="0.25">
      <c r="A2009" s="4">
        <v>22</v>
      </c>
      <c r="B2009" s="4" t="s">
        <v>11</v>
      </c>
      <c r="C2009" s="7">
        <v>21.06</v>
      </c>
      <c r="D2009" s="4" t="s">
        <v>26</v>
      </c>
      <c r="E2009" s="4" t="s">
        <v>20</v>
      </c>
      <c r="F2009" s="4" t="s">
        <v>14</v>
      </c>
      <c r="G2009" s="4" t="s">
        <v>37</v>
      </c>
      <c r="H2009" s="4">
        <v>5</v>
      </c>
      <c r="I2009" s="4">
        <v>10</v>
      </c>
      <c r="J2009" s="5">
        <v>45590</v>
      </c>
      <c r="K2009" s="6">
        <v>0.93230324074074078</v>
      </c>
    </row>
    <row r="2010" spans="1:11" x14ac:dyDescent="0.25">
      <c r="A2010" s="4">
        <v>7</v>
      </c>
      <c r="B2010" s="4" t="s">
        <v>11</v>
      </c>
      <c r="C2010" s="7">
        <v>35.76</v>
      </c>
      <c r="D2010" s="4" t="s">
        <v>29</v>
      </c>
      <c r="E2010" s="4" t="s">
        <v>13</v>
      </c>
      <c r="F2010" s="4" t="s">
        <v>22</v>
      </c>
      <c r="G2010" s="4" t="s">
        <v>37</v>
      </c>
      <c r="H2010" s="4">
        <v>6</v>
      </c>
      <c r="I2010" s="4">
        <v>10</v>
      </c>
      <c r="J2010" s="5">
        <v>45591</v>
      </c>
      <c r="K2010" s="6">
        <v>0.3263773148148148</v>
      </c>
    </row>
    <row r="2011" spans="1:11" x14ac:dyDescent="0.25">
      <c r="A2011" s="4">
        <v>8</v>
      </c>
      <c r="B2011" s="4" t="s">
        <v>11</v>
      </c>
      <c r="C2011" s="7">
        <v>25.96</v>
      </c>
      <c r="D2011" s="4" t="s">
        <v>24</v>
      </c>
      <c r="E2011" s="4" t="s">
        <v>13</v>
      </c>
      <c r="F2011" s="4" t="s">
        <v>22</v>
      </c>
      <c r="G2011" s="4" t="s">
        <v>37</v>
      </c>
      <c r="H2011" s="4">
        <v>6</v>
      </c>
      <c r="I2011" s="4">
        <v>10</v>
      </c>
      <c r="J2011" s="5">
        <v>45591</v>
      </c>
      <c r="K2011" s="6">
        <v>0.36231481481481481</v>
      </c>
    </row>
    <row r="2012" spans="1:11" x14ac:dyDescent="0.25">
      <c r="A2012" s="4">
        <v>8</v>
      </c>
      <c r="B2012" s="4" t="s">
        <v>11</v>
      </c>
      <c r="C2012" s="7">
        <v>35.76</v>
      </c>
      <c r="D2012" s="4" t="s">
        <v>29</v>
      </c>
      <c r="E2012" s="4" t="s">
        <v>13</v>
      </c>
      <c r="F2012" s="4" t="s">
        <v>22</v>
      </c>
      <c r="G2012" s="4" t="s">
        <v>37</v>
      </c>
      <c r="H2012" s="4">
        <v>6</v>
      </c>
      <c r="I2012" s="4">
        <v>10</v>
      </c>
      <c r="J2012" s="5">
        <v>45591</v>
      </c>
      <c r="K2012" s="6">
        <v>0.37012731481481481</v>
      </c>
    </row>
    <row r="2013" spans="1:11" x14ac:dyDescent="0.25">
      <c r="A2013" s="4">
        <v>10</v>
      </c>
      <c r="B2013" s="4" t="s">
        <v>11</v>
      </c>
      <c r="C2013" s="7">
        <v>25.96</v>
      </c>
      <c r="D2013" s="4" t="s">
        <v>18</v>
      </c>
      <c r="E2013" s="4" t="s">
        <v>13</v>
      </c>
      <c r="F2013" s="4" t="s">
        <v>22</v>
      </c>
      <c r="G2013" s="4" t="s">
        <v>37</v>
      </c>
      <c r="H2013" s="4">
        <v>6</v>
      </c>
      <c r="I2013" s="4">
        <v>10</v>
      </c>
      <c r="J2013" s="5">
        <v>45591</v>
      </c>
      <c r="K2013" s="6">
        <v>0.43377314814814816</v>
      </c>
    </row>
    <row r="2014" spans="1:11" x14ac:dyDescent="0.25">
      <c r="A2014" s="4">
        <v>12</v>
      </c>
      <c r="B2014" s="4" t="s">
        <v>11</v>
      </c>
      <c r="C2014" s="7">
        <v>35.76</v>
      </c>
      <c r="D2014" s="4" t="s">
        <v>21</v>
      </c>
      <c r="E2014" s="4" t="s">
        <v>17</v>
      </c>
      <c r="F2014" s="4" t="s">
        <v>22</v>
      </c>
      <c r="G2014" s="4" t="s">
        <v>37</v>
      </c>
      <c r="H2014" s="4">
        <v>6</v>
      </c>
      <c r="I2014" s="4">
        <v>10</v>
      </c>
      <c r="J2014" s="5">
        <v>45591</v>
      </c>
      <c r="K2014" s="6">
        <v>0.51260416666666664</v>
      </c>
    </row>
    <row r="2015" spans="1:11" x14ac:dyDescent="0.25">
      <c r="A2015" s="4">
        <v>13</v>
      </c>
      <c r="B2015" s="4" t="s">
        <v>11</v>
      </c>
      <c r="C2015" s="7">
        <v>35.76</v>
      </c>
      <c r="D2015" s="4" t="s">
        <v>12</v>
      </c>
      <c r="E2015" s="4" t="s">
        <v>17</v>
      </c>
      <c r="F2015" s="4" t="s">
        <v>22</v>
      </c>
      <c r="G2015" s="4" t="s">
        <v>37</v>
      </c>
      <c r="H2015" s="4">
        <v>6</v>
      </c>
      <c r="I2015" s="4">
        <v>10</v>
      </c>
      <c r="J2015" s="5">
        <v>45591</v>
      </c>
      <c r="K2015" s="6">
        <v>0.54410879629629627</v>
      </c>
    </row>
    <row r="2016" spans="1:11" x14ac:dyDescent="0.25">
      <c r="A2016" s="4">
        <v>14</v>
      </c>
      <c r="B2016" s="4" t="s">
        <v>11</v>
      </c>
      <c r="C2016" s="7">
        <v>35.76</v>
      </c>
      <c r="D2016" s="4" t="s">
        <v>12</v>
      </c>
      <c r="E2016" s="4" t="s">
        <v>17</v>
      </c>
      <c r="F2016" s="4" t="s">
        <v>22</v>
      </c>
      <c r="G2016" s="4" t="s">
        <v>37</v>
      </c>
      <c r="H2016" s="4">
        <v>6</v>
      </c>
      <c r="I2016" s="4">
        <v>10</v>
      </c>
      <c r="J2016" s="5">
        <v>45591</v>
      </c>
      <c r="K2016" s="6">
        <v>0.60761574074074076</v>
      </c>
    </row>
    <row r="2017" spans="1:11" x14ac:dyDescent="0.25">
      <c r="A2017" s="4">
        <v>14</v>
      </c>
      <c r="B2017" s="4" t="s">
        <v>11</v>
      </c>
      <c r="C2017" s="7">
        <v>30.86</v>
      </c>
      <c r="D2017" s="4" t="s">
        <v>19</v>
      </c>
      <c r="E2017" s="4" t="s">
        <v>17</v>
      </c>
      <c r="F2017" s="4" t="s">
        <v>22</v>
      </c>
      <c r="G2017" s="4" t="s">
        <v>37</v>
      </c>
      <c r="H2017" s="4">
        <v>6</v>
      </c>
      <c r="I2017" s="4">
        <v>10</v>
      </c>
      <c r="J2017" s="5">
        <v>45591</v>
      </c>
      <c r="K2017" s="6">
        <v>0.60849537037037038</v>
      </c>
    </row>
    <row r="2018" spans="1:11" x14ac:dyDescent="0.25">
      <c r="A2018" s="4">
        <v>15</v>
      </c>
      <c r="B2018" s="4" t="s">
        <v>11</v>
      </c>
      <c r="C2018" s="7">
        <v>25.96</v>
      </c>
      <c r="D2018" s="4" t="s">
        <v>24</v>
      </c>
      <c r="E2018" s="4" t="s">
        <v>17</v>
      </c>
      <c r="F2018" s="4" t="s">
        <v>22</v>
      </c>
      <c r="G2018" s="4" t="s">
        <v>37</v>
      </c>
      <c r="H2018" s="4">
        <v>6</v>
      </c>
      <c r="I2018" s="4">
        <v>10</v>
      </c>
      <c r="J2018" s="5">
        <v>45591</v>
      </c>
      <c r="K2018" s="6">
        <v>0.62872685185185184</v>
      </c>
    </row>
    <row r="2019" spans="1:11" x14ac:dyDescent="0.25">
      <c r="A2019" s="4">
        <v>15</v>
      </c>
      <c r="B2019" s="4" t="s">
        <v>11</v>
      </c>
      <c r="C2019" s="7">
        <v>25.96</v>
      </c>
      <c r="D2019" s="4" t="s">
        <v>24</v>
      </c>
      <c r="E2019" s="4" t="s">
        <v>17</v>
      </c>
      <c r="F2019" s="4" t="s">
        <v>22</v>
      </c>
      <c r="G2019" s="4" t="s">
        <v>37</v>
      </c>
      <c r="H2019" s="4">
        <v>6</v>
      </c>
      <c r="I2019" s="4">
        <v>10</v>
      </c>
      <c r="J2019" s="5">
        <v>45591</v>
      </c>
      <c r="K2019" s="6">
        <v>0.62938657407407406</v>
      </c>
    </row>
    <row r="2020" spans="1:11" x14ac:dyDescent="0.25">
      <c r="A2020" s="4">
        <v>15</v>
      </c>
      <c r="B2020" s="4" t="s">
        <v>11</v>
      </c>
      <c r="C2020" s="7">
        <v>35.76</v>
      </c>
      <c r="D2020" s="4" t="s">
        <v>12</v>
      </c>
      <c r="E2020" s="4" t="s">
        <v>17</v>
      </c>
      <c r="F2020" s="4" t="s">
        <v>22</v>
      </c>
      <c r="G2020" s="4" t="s">
        <v>37</v>
      </c>
      <c r="H2020" s="4">
        <v>6</v>
      </c>
      <c r="I2020" s="4">
        <v>10</v>
      </c>
      <c r="J2020" s="5">
        <v>45591</v>
      </c>
      <c r="K2020" s="6">
        <v>0.65171296296296299</v>
      </c>
    </row>
    <row r="2021" spans="1:11" x14ac:dyDescent="0.25">
      <c r="A2021" s="4">
        <v>15</v>
      </c>
      <c r="B2021" s="4" t="s">
        <v>11</v>
      </c>
      <c r="C2021" s="7">
        <v>35.76</v>
      </c>
      <c r="D2021" s="4" t="s">
        <v>12</v>
      </c>
      <c r="E2021" s="4" t="s">
        <v>17</v>
      </c>
      <c r="F2021" s="4" t="s">
        <v>22</v>
      </c>
      <c r="G2021" s="4" t="s">
        <v>37</v>
      </c>
      <c r="H2021" s="4">
        <v>6</v>
      </c>
      <c r="I2021" s="4">
        <v>10</v>
      </c>
      <c r="J2021" s="5">
        <v>45591</v>
      </c>
      <c r="K2021" s="6">
        <v>0.65241898148148147</v>
      </c>
    </row>
    <row r="2022" spans="1:11" x14ac:dyDescent="0.25">
      <c r="A2022" s="4">
        <v>15</v>
      </c>
      <c r="B2022" s="4" t="s">
        <v>11</v>
      </c>
      <c r="C2022" s="7">
        <v>30.86</v>
      </c>
      <c r="D2022" s="4" t="s">
        <v>19</v>
      </c>
      <c r="E2022" s="4" t="s">
        <v>17</v>
      </c>
      <c r="F2022" s="4" t="s">
        <v>22</v>
      </c>
      <c r="G2022" s="4" t="s">
        <v>37</v>
      </c>
      <c r="H2022" s="4">
        <v>6</v>
      </c>
      <c r="I2022" s="4">
        <v>10</v>
      </c>
      <c r="J2022" s="5">
        <v>45591</v>
      </c>
      <c r="K2022" s="6">
        <v>0.66112268518518513</v>
      </c>
    </row>
    <row r="2023" spans="1:11" x14ac:dyDescent="0.25">
      <c r="A2023" s="4">
        <v>15</v>
      </c>
      <c r="B2023" s="4" t="s">
        <v>11</v>
      </c>
      <c r="C2023" s="7">
        <v>30.86</v>
      </c>
      <c r="D2023" s="4" t="s">
        <v>19</v>
      </c>
      <c r="E2023" s="4" t="s">
        <v>17</v>
      </c>
      <c r="F2023" s="4" t="s">
        <v>22</v>
      </c>
      <c r="G2023" s="4" t="s">
        <v>37</v>
      </c>
      <c r="H2023" s="4">
        <v>6</v>
      </c>
      <c r="I2023" s="4">
        <v>10</v>
      </c>
      <c r="J2023" s="5">
        <v>45591</v>
      </c>
      <c r="K2023" s="6">
        <v>0.66204861111111113</v>
      </c>
    </row>
    <row r="2024" spans="1:11" x14ac:dyDescent="0.25">
      <c r="A2024" s="4">
        <v>19</v>
      </c>
      <c r="B2024" s="4" t="s">
        <v>11</v>
      </c>
      <c r="C2024" s="7">
        <v>35.76</v>
      </c>
      <c r="D2024" s="4" t="s">
        <v>29</v>
      </c>
      <c r="E2024" s="4" t="s">
        <v>20</v>
      </c>
      <c r="F2024" s="4" t="s">
        <v>22</v>
      </c>
      <c r="G2024" s="4" t="s">
        <v>37</v>
      </c>
      <c r="H2024" s="4">
        <v>6</v>
      </c>
      <c r="I2024" s="4">
        <v>10</v>
      </c>
      <c r="J2024" s="5">
        <v>45591</v>
      </c>
      <c r="K2024" s="6">
        <v>0.80510416666666662</v>
      </c>
    </row>
    <row r="2025" spans="1:11" x14ac:dyDescent="0.25">
      <c r="A2025" s="4">
        <v>20</v>
      </c>
      <c r="B2025" s="4" t="s">
        <v>11</v>
      </c>
      <c r="C2025" s="7">
        <v>30.86</v>
      </c>
      <c r="D2025" s="4" t="s">
        <v>19</v>
      </c>
      <c r="E2025" s="4" t="s">
        <v>20</v>
      </c>
      <c r="F2025" s="4" t="s">
        <v>22</v>
      </c>
      <c r="G2025" s="4" t="s">
        <v>37</v>
      </c>
      <c r="H2025" s="4">
        <v>6</v>
      </c>
      <c r="I2025" s="4">
        <v>10</v>
      </c>
      <c r="J2025" s="5">
        <v>45591</v>
      </c>
      <c r="K2025" s="6">
        <v>0.85747685185185185</v>
      </c>
    </row>
    <row r="2026" spans="1:11" x14ac:dyDescent="0.25">
      <c r="A2026" s="4">
        <v>11</v>
      </c>
      <c r="B2026" s="4" t="s">
        <v>11</v>
      </c>
      <c r="C2026" s="7">
        <v>30.86</v>
      </c>
      <c r="D2026" s="4" t="s">
        <v>19</v>
      </c>
      <c r="E2026" s="4" t="s">
        <v>13</v>
      </c>
      <c r="F2026" s="4" t="s">
        <v>23</v>
      </c>
      <c r="G2026" s="4" t="s">
        <v>37</v>
      </c>
      <c r="H2026" s="4">
        <v>7</v>
      </c>
      <c r="I2026" s="4">
        <v>10</v>
      </c>
      <c r="J2026" s="5">
        <v>45592</v>
      </c>
      <c r="K2026" s="6">
        <v>0.45967592592592593</v>
      </c>
    </row>
    <row r="2027" spans="1:11" x14ac:dyDescent="0.25">
      <c r="A2027" s="4">
        <v>12</v>
      </c>
      <c r="B2027" s="4" t="s">
        <v>11</v>
      </c>
      <c r="C2027" s="7">
        <v>35.76</v>
      </c>
      <c r="D2027" s="4" t="s">
        <v>12</v>
      </c>
      <c r="E2027" s="4" t="s">
        <v>17</v>
      </c>
      <c r="F2027" s="4" t="s">
        <v>23</v>
      </c>
      <c r="G2027" s="4" t="s">
        <v>37</v>
      </c>
      <c r="H2027" s="4">
        <v>7</v>
      </c>
      <c r="I2027" s="4">
        <v>10</v>
      </c>
      <c r="J2027" s="5">
        <v>45592</v>
      </c>
      <c r="K2027" s="6">
        <v>0.5370949074074074</v>
      </c>
    </row>
    <row r="2028" spans="1:11" x14ac:dyDescent="0.25">
      <c r="A2028" s="4">
        <v>12</v>
      </c>
      <c r="B2028" s="4" t="s">
        <v>11</v>
      </c>
      <c r="C2028" s="7">
        <v>30.86</v>
      </c>
      <c r="D2028" s="4" t="s">
        <v>19</v>
      </c>
      <c r="E2028" s="4" t="s">
        <v>17</v>
      </c>
      <c r="F2028" s="4" t="s">
        <v>23</v>
      </c>
      <c r="G2028" s="4" t="s">
        <v>37</v>
      </c>
      <c r="H2028" s="4">
        <v>7</v>
      </c>
      <c r="I2028" s="4">
        <v>10</v>
      </c>
      <c r="J2028" s="5">
        <v>45592</v>
      </c>
      <c r="K2028" s="6">
        <v>0.53781250000000003</v>
      </c>
    </row>
    <row r="2029" spans="1:11" x14ac:dyDescent="0.25">
      <c r="A2029" s="4">
        <v>13</v>
      </c>
      <c r="B2029" s="4" t="s">
        <v>11</v>
      </c>
      <c r="C2029" s="7">
        <v>35.76</v>
      </c>
      <c r="D2029" s="4" t="s">
        <v>29</v>
      </c>
      <c r="E2029" s="4" t="s">
        <v>17</v>
      </c>
      <c r="F2029" s="4" t="s">
        <v>23</v>
      </c>
      <c r="G2029" s="4" t="s">
        <v>37</v>
      </c>
      <c r="H2029" s="4">
        <v>7</v>
      </c>
      <c r="I2029" s="4">
        <v>10</v>
      </c>
      <c r="J2029" s="5">
        <v>45592</v>
      </c>
      <c r="K2029" s="6">
        <v>0.5720601851851852</v>
      </c>
    </row>
    <row r="2030" spans="1:11" x14ac:dyDescent="0.25">
      <c r="A2030" s="4">
        <v>16</v>
      </c>
      <c r="B2030" s="4" t="s">
        <v>11</v>
      </c>
      <c r="C2030" s="7">
        <v>35.76</v>
      </c>
      <c r="D2030" s="4" t="s">
        <v>12</v>
      </c>
      <c r="E2030" s="4" t="s">
        <v>17</v>
      </c>
      <c r="F2030" s="4" t="s">
        <v>23</v>
      </c>
      <c r="G2030" s="4" t="s">
        <v>37</v>
      </c>
      <c r="H2030" s="4">
        <v>7</v>
      </c>
      <c r="I2030" s="4">
        <v>10</v>
      </c>
      <c r="J2030" s="5">
        <v>45592</v>
      </c>
      <c r="K2030" s="6">
        <v>0.67854166666666671</v>
      </c>
    </row>
    <row r="2031" spans="1:11" x14ac:dyDescent="0.25">
      <c r="A2031" s="4">
        <v>7</v>
      </c>
      <c r="B2031" s="4" t="s">
        <v>11</v>
      </c>
      <c r="C2031" s="7">
        <v>35.76</v>
      </c>
      <c r="D2031" s="4" t="s">
        <v>29</v>
      </c>
      <c r="E2031" s="4" t="s">
        <v>13</v>
      </c>
      <c r="F2031" s="4" t="s">
        <v>25</v>
      </c>
      <c r="G2031" s="4" t="s">
        <v>37</v>
      </c>
      <c r="H2031" s="4">
        <v>1</v>
      </c>
      <c r="I2031" s="4">
        <v>10</v>
      </c>
      <c r="J2031" s="5">
        <v>45593</v>
      </c>
      <c r="K2031" s="6">
        <v>0.32393518518518516</v>
      </c>
    </row>
    <row r="2032" spans="1:11" x14ac:dyDescent="0.25">
      <c r="A2032" s="4">
        <v>8</v>
      </c>
      <c r="B2032" s="4" t="s">
        <v>11</v>
      </c>
      <c r="C2032" s="7">
        <v>25.96</v>
      </c>
      <c r="D2032" s="4" t="s">
        <v>18</v>
      </c>
      <c r="E2032" s="4" t="s">
        <v>13</v>
      </c>
      <c r="F2032" s="4" t="s">
        <v>25</v>
      </c>
      <c r="G2032" s="4" t="s">
        <v>37</v>
      </c>
      <c r="H2032" s="4">
        <v>1</v>
      </c>
      <c r="I2032" s="4">
        <v>10</v>
      </c>
      <c r="J2032" s="5">
        <v>45593</v>
      </c>
      <c r="K2032" s="6">
        <v>0.33416666666666667</v>
      </c>
    </row>
    <row r="2033" spans="1:11" x14ac:dyDescent="0.25">
      <c r="A2033" s="4">
        <v>8</v>
      </c>
      <c r="B2033" s="4" t="s">
        <v>11</v>
      </c>
      <c r="C2033" s="7">
        <v>35.76</v>
      </c>
      <c r="D2033" s="4" t="s">
        <v>12</v>
      </c>
      <c r="E2033" s="4" t="s">
        <v>13</v>
      </c>
      <c r="F2033" s="4" t="s">
        <v>25</v>
      </c>
      <c r="G2033" s="4" t="s">
        <v>37</v>
      </c>
      <c r="H2033" s="4">
        <v>1</v>
      </c>
      <c r="I2033" s="4">
        <v>10</v>
      </c>
      <c r="J2033" s="5">
        <v>45593</v>
      </c>
      <c r="K2033" s="6">
        <v>0.35766203703703703</v>
      </c>
    </row>
    <row r="2034" spans="1:11" x14ac:dyDescent="0.25">
      <c r="A2034" s="4">
        <v>9</v>
      </c>
      <c r="B2034" s="4" t="s">
        <v>11</v>
      </c>
      <c r="C2034" s="7">
        <v>30.86</v>
      </c>
      <c r="D2034" s="4" t="s">
        <v>19</v>
      </c>
      <c r="E2034" s="4" t="s">
        <v>13</v>
      </c>
      <c r="F2034" s="4" t="s">
        <v>25</v>
      </c>
      <c r="G2034" s="4" t="s">
        <v>37</v>
      </c>
      <c r="H2034" s="4">
        <v>1</v>
      </c>
      <c r="I2034" s="4">
        <v>10</v>
      </c>
      <c r="J2034" s="5">
        <v>45593</v>
      </c>
      <c r="K2034" s="6">
        <v>0.38590277777777776</v>
      </c>
    </row>
    <row r="2035" spans="1:11" x14ac:dyDescent="0.25">
      <c r="A2035" s="4">
        <v>11</v>
      </c>
      <c r="B2035" s="4" t="s">
        <v>11</v>
      </c>
      <c r="C2035" s="7">
        <v>35.76</v>
      </c>
      <c r="D2035" s="4" t="s">
        <v>12</v>
      </c>
      <c r="E2035" s="4" t="s">
        <v>13</v>
      </c>
      <c r="F2035" s="4" t="s">
        <v>25</v>
      </c>
      <c r="G2035" s="4" t="s">
        <v>37</v>
      </c>
      <c r="H2035" s="4">
        <v>1</v>
      </c>
      <c r="I2035" s="4">
        <v>10</v>
      </c>
      <c r="J2035" s="5">
        <v>45593</v>
      </c>
      <c r="K2035" s="6">
        <v>0.48791666666666667</v>
      </c>
    </row>
    <row r="2036" spans="1:11" x14ac:dyDescent="0.25">
      <c r="A2036" s="4">
        <v>11</v>
      </c>
      <c r="B2036" s="4" t="s">
        <v>11</v>
      </c>
      <c r="C2036" s="7">
        <v>35.76</v>
      </c>
      <c r="D2036" s="4" t="s">
        <v>12</v>
      </c>
      <c r="E2036" s="4" t="s">
        <v>13</v>
      </c>
      <c r="F2036" s="4" t="s">
        <v>25</v>
      </c>
      <c r="G2036" s="4" t="s">
        <v>37</v>
      </c>
      <c r="H2036" s="4">
        <v>1</v>
      </c>
      <c r="I2036" s="4">
        <v>10</v>
      </c>
      <c r="J2036" s="5">
        <v>45593</v>
      </c>
      <c r="K2036" s="6">
        <v>0.48869212962962966</v>
      </c>
    </row>
    <row r="2037" spans="1:11" x14ac:dyDescent="0.25">
      <c r="A2037" s="4">
        <v>12</v>
      </c>
      <c r="B2037" s="4" t="s">
        <v>11</v>
      </c>
      <c r="C2037" s="7">
        <v>35.76</v>
      </c>
      <c r="D2037" s="4" t="s">
        <v>16</v>
      </c>
      <c r="E2037" s="4" t="s">
        <v>17</v>
      </c>
      <c r="F2037" s="4" t="s">
        <v>25</v>
      </c>
      <c r="G2037" s="4" t="s">
        <v>37</v>
      </c>
      <c r="H2037" s="4">
        <v>1</v>
      </c>
      <c r="I2037" s="4">
        <v>10</v>
      </c>
      <c r="J2037" s="5">
        <v>45593</v>
      </c>
      <c r="K2037" s="6">
        <v>0.50111111111111106</v>
      </c>
    </row>
    <row r="2038" spans="1:11" x14ac:dyDescent="0.25">
      <c r="A2038" s="4">
        <v>12</v>
      </c>
      <c r="B2038" s="4" t="s">
        <v>11</v>
      </c>
      <c r="C2038" s="7">
        <v>30.86</v>
      </c>
      <c r="D2038" s="4" t="s">
        <v>19</v>
      </c>
      <c r="E2038" s="4" t="s">
        <v>17</v>
      </c>
      <c r="F2038" s="4" t="s">
        <v>25</v>
      </c>
      <c r="G2038" s="4" t="s">
        <v>37</v>
      </c>
      <c r="H2038" s="4">
        <v>1</v>
      </c>
      <c r="I2038" s="4">
        <v>10</v>
      </c>
      <c r="J2038" s="5">
        <v>45593</v>
      </c>
      <c r="K2038" s="6">
        <v>0.50178240740740743</v>
      </c>
    </row>
    <row r="2039" spans="1:11" x14ac:dyDescent="0.25">
      <c r="A2039" s="4">
        <v>12</v>
      </c>
      <c r="B2039" s="4" t="s">
        <v>11</v>
      </c>
      <c r="C2039" s="7">
        <v>35.76</v>
      </c>
      <c r="D2039" s="4" t="s">
        <v>29</v>
      </c>
      <c r="E2039" s="4" t="s">
        <v>17</v>
      </c>
      <c r="F2039" s="4" t="s">
        <v>25</v>
      </c>
      <c r="G2039" s="4" t="s">
        <v>37</v>
      </c>
      <c r="H2039" s="4">
        <v>1</v>
      </c>
      <c r="I2039" s="4">
        <v>10</v>
      </c>
      <c r="J2039" s="5">
        <v>45593</v>
      </c>
      <c r="K2039" s="6">
        <v>0.51493055555555556</v>
      </c>
    </row>
    <row r="2040" spans="1:11" x14ac:dyDescent="0.25">
      <c r="A2040" s="4">
        <v>14</v>
      </c>
      <c r="B2040" s="4" t="s">
        <v>11</v>
      </c>
      <c r="C2040" s="7">
        <v>30.86</v>
      </c>
      <c r="D2040" s="4" t="s">
        <v>19</v>
      </c>
      <c r="E2040" s="4" t="s">
        <v>17</v>
      </c>
      <c r="F2040" s="4" t="s">
        <v>25</v>
      </c>
      <c r="G2040" s="4" t="s">
        <v>37</v>
      </c>
      <c r="H2040" s="4">
        <v>1</v>
      </c>
      <c r="I2040" s="4">
        <v>10</v>
      </c>
      <c r="J2040" s="5">
        <v>45593</v>
      </c>
      <c r="K2040" s="6">
        <v>0.59090277777777778</v>
      </c>
    </row>
    <row r="2041" spans="1:11" x14ac:dyDescent="0.25">
      <c r="A2041" s="4">
        <v>14</v>
      </c>
      <c r="B2041" s="4" t="s">
        <v>11</v>
      </c>
      <c r="C2041" s="7">
        <v>30.86</v>
      </c>
      <c r="D2041" s="4" t="s">
        <v>19</v>
      </c>
      <c r="E2041" s="4" t="s">
        <v>17</v>
      </c>
      <c r="F2041" s="4" t="s">
        <v>25</v>
      </c>
      <c r="G2041" s="4" t="s">
        <v>37</v>
      </c>
      <c r="H2041" s="4">
        <v>1</v>
      </c>
      <c r="I2041" s="4">
        <v>10</v>
      </c>
      <c r="J2041" s="5">
        <v>45593</v>
      </c>
      <c r="K2041" s="6">
        <v>0.59162037037037041</v>
      </c>
    </row>
    <row r="2042" spans="1:11" x14ac:dyDescent="0.25">
      <c r="A2042" s="4">
        <v>14</v>
      </c>
      <c r="B2042" s="4" t="s">
        <v>11</v>
      </c>
      <c r="C2042" s="7">
        <v>30.86</v>
      </c>
      <c r="D2042" s="4" t="s">
        <v>19</v>
      </c>
      <c r="E2042" s="4" t="s">
        <v>17</v>
      </c>
      <c r="F2042" s="4" t="s">
        <v>25</v>
      </c>
      <c r="G2042" s="4" t="s">
        <v>37</v>
      </c>
      <c r="H2042" s="4">
        <v>1</v>
      </c>
      <c r="I2042" s="4">
        <v>10</v>
      </c>
      <c r="J2042" s="5">
        <v>45593</v>
      </c>
      <c r="K2042" s="6">
        <v>0.60484953703703703</v>
      </c>
    </row>
    <row r="2043" spans="1:11" x14ac:dyDescent="0.25">
      <c r="A2043" s="4">
        <v>16</v>
      </c>
      <c r="B2043" s="4" t="s">
        <v>11</v>
      </c>
      <c r="C2043" s="7">
        <v>35.76</v>
      </c>
      <c r="D2043" s="4" t="s">
        <v>12</v>
      </c>
      <c r="E2043" s="4" t="s">
        <v>17</v>
      </c>
      <c r="F2043" s="4" t="s">
        <v>25</v>
      </c>
      <c r="G2043" s="4" t="s">
        <v>37</v>
      </c>
      <c r="H2043" s="4">
        <v>1</v>
      </c>
      <c r="I2043" s="4">
        <v>10</v>
      </c>
      <c r="J2043" s="5">
        <v>45593</v>
      </c>
      <c r="K2043" s="6">
        <v>0.66759259259259263</v>
      </c>
    </row>
    <row r="2044" spans="1:11" x14ac:dyDescent="0.25">
      <c r="A2044" s="4">
        <v>17</v>
      </c>
      <c r="B2044" s="4" t="s">
        <v>11</v>
      </c>
      <c r="C2044" s="7">
        <v>35.76</v>
      </c>
      <c r="D2044" s="4" t="s">
        <v>21</v>
      </c>
      <c r="E2044" s="4" t="s">
        <v>20</v>
      </c>
      <c r="F2044" s="4" t="s">
        <v>25</v>
      </c>
      <c r="G2044" s="4" t="s">
        <v>37</v>
      </c>
      <c r="H2044" s="4">
        <v>1</v>
      </c>
      <c r="I2044" s="4">
        <v>10</v>
      </c>
      <c r="J2044" s="5">
        <v>45593</v>
      </c>
      <c r="K2044" s="6">
        <v>0.74673611111111116</v>
      </c>
    </row>
    <row r="2045" spans="1:11" x14ac:dyDescent="0.25">
      <c r="A2045" s="4">
        <v>17</v>
      </c>
      <c r="B2045" s="4" t="s">
        <v>11</v>
      </c>
      <c r="C2045" s="7">
        <v>35.76</v>
      </c>
      <c r="D2045" s="4" t="s">
        <v>21</v>
      </c>
      <c r="E2045" s="4" t="s">
        <v>20</v>
      </c>
      <c r="F2045" s="4" t="s">
        <v>25</v>
      </c>
      <c r="G2045" s="4" t="s">
        <v>37</v>
      </c>
      <c r="H2045" s="4">
        <v>1</v>
      </c>
      <c r="I2045" s="4">
        <v>10</v>
      </c>
      <c r="J2045" s="5">
        <v>45593</v>
      </c>
      <c r="K2045" s="6">
        <v>0.74724537037037042</v>
      </c>
    </row>
    <row r="2046" spans="1:11" x14ac:dyDescent="0.25">
      <c r="A2046" s="4">
        <v>19</v>
      </c>
      <c r="B2046" s="4" t="s">
        <v>11</v>
      </c>
      <c r="C2046" s="7">
        <v>35.76</v>
      </c>
      <c r="D2046" s="4" t="s">
        <v>29</v>
      </c>
      <c r="E2046" s="4" t="s">
        <v>20</v>
      </c>
      <c r="F2046" s="4" t="s">
        <v>25</v>
      </c>
      <c r="G2046" s="4" t="s">
        <v>37</v>
      </c>
      <c r="H2046" s="4">
        <v>1</v>
      </c>
      <c r="I2046" s="4">
        <v>10</v>
      </c>
      <c r="J2046" s="5">
        <v>45593</v>
      </c>
      <c r="K2046" s="6">
        <v>0.79890046296296291</v>
      </c>
    </row>
    <row r="2047" spans="1:11" x14ac:dyDescent="0.25">
      <c r="A2047" s="4">
        <v>21</v>
      </c>
      <c r="B2047" s="4" t="s">
        <v>11</v>
      </c>
      <c r="C2047" s="7">
        <v>30.86</v>
      </c>
      <c r="D2047" s="4" t="s">
        <v>19</v>
      </c>
      <c r="E2047" s="4" t="s">
        <v>20</v>
      </c>
      <c r="F2047" s="4" t="s">
        <v>25</v>
      </c>
      <c r="G2047" s="4" t="s">
        <v>37</v>
      </c>
      <c r="H2047" s="4">
        <v>1</v>
      </c>
      <c r="I2047" s="4">
        <v>10</v>
      </c>
      <c r="J2047" s="5">
        <v>45593</v>
      </c>
      <c r="K2047" s="6">
        <v>0.88892361111111107</v>
      </c>
    </row>
    <row r="2048" spans="1:11" x14ac:dyDescent="0.25">
      <c r="A2048" s="4">
        <v>22</v>
      </c>
      <c r="B2048" s="4" t="s">
        <v>11</v>
      </c>
      <c r="C2048" s="7">
        <v>30.86</v>
      </c>
      <c r="D2048" s="4" t="s">
        <v>19</v>
      </c>
      <c r="E2048" s="4" t="s">
        <v>20</v>
      </c>
      <c r="F2048" s="4" t="s">
        <v>25</v>
      </c>
      <c r="G2048" s="4" t="s">
        <v>37</v>
      </c>
      <c r="H2048" s="4">
        <v>1</v>
      </c>
      <c r="I2048" s="4">
        <v>10</v>
      </c>
      <c r="J2048" s="5">
        <v>45593</v>
      </c>
      <c r="K2048" s="6">
        <v>0.92071759259259256</v>
      </c>
    </row>
    <row r="2049" spans="1:11" x14ac:dyDescent="0.25">
      <c r="A2049" s="4">
        <v>8</v>
      </c>
      <c r="B2049" s="4" t="s">
        <v>11</v>
      </c>
      <c r="C2049" s="7">
        <v>35.76</v>
      </c>
      <c r="D2049" s="4" t="s">
        <v>12</v>
      </c>
      <c r="E2049" s="4" t="s">
        <v>13</v>
      </c>
      <c r="F2049" s="4" t="s">
        <v>27</v>
      </c>
      <c r="G2049" s="4" t="s">
        <v>37</v>
      </c>
      <c r="H2049" s="4">
        <v>2</v>
      </c>
      <c r="I2049" s="4">
        <v>10</v>
      </c>
      <c r="J2049" s="5">
        <v>45594</v>
      </c>
      <c r="K2049" s="6">
        <v>0.36171296296296296</v>
      </c>
    </row>
    <row r="2050" spans="1:11" x14ac:dyDescent="0.25">
      <c r="A2050" s="4">
        <v>8</v>
      </c>
      <c r="B2050" s="4" t="s">
        <v>11</v>
      </c>
      <c r="C2050" s="7">
        <v>35.76</v>
      </c>
      <c r="D2050" s="4" t="s">
        <v>12</v>
      </c>
      <c r="E2050" s="4" t="s">
        <v>13</v>
      </c>
      <c r="F2050" s="4" t="s">
        <v>27</v>
      </c>
      <c r="G2050" s="4" t="s">
        <v>37</v>
      </c>
      <c r="H2050" s="4">
        <v>2</v>
      </c>
      <c r="I2050" s="4">
        <v>10</v>
      </c>
      <c r="J2050" s="5">
        <v>45594</v>
      </c>
      <c r="K2050" s="6">
        <v>0.36603009259259262</v>
      </c>
    </row>
    <row r="2051" spans="1:11" x14ac:dyDescent="0.25">
      <c r="A2051" s="4">
        <v>9</v>
      </c>
      <c r="B2051" s="4" t="s">
        <v>11</v>
      </c>
      <c r="C2051" s="7">
        <v>35.76</v>
      </c>
      <c r="D2051" s="4" t="s">
        <v>12</v>
      </c>
      <c r="E2051" s="4" t="s">
        <v>13</v>
      </c>
      <c r="F2051" s="4" t="s">
        <v>27</v>
      </c>
      <c r="G2051" s="4" t="s">
        <v>37</v>
      </c>
      <c r="H2051" s="4">
        <v>2</v>
      </c>
      <c r="I2051" s="4">
        <v>10</v>
      </c>
      <c r="J2051" s="5">
        <v>45594</v>
      </c>
      <c r="K2051" s="6">
        <v>0.39718750000000003</v>
      </c>
    </row>
    <row r="2052" spans="1:11" x14ac:dyDescent="0.25">
      <c r="A2052" s="4">
        <v>11</v>
      </c>
      <c r="B2052" s="4" t="s">
        <v>11</v>
      </c>
      <c r="C2052" s="7">
        <v>30.86</v>
      </c>
      <c r="D2052" s="4" t="s">
        <v>19</v>
      </c>
      <c r="E2052" s="4" t="s">
        <v>13</v>
      </c>
      <c r="F2052" s="4" t="s">
        <v>27</v>
      </c>
      <c r="G2052" s="4" t="s">
        <v>37</v>
      </c>
      <c r="H2052" s="4">
        <v>2</v>
      </c>
      <c r="I2052" s="4">
        <v>10</v>
      </c>
      <c r="J2052" s="5">
        <v>45594</v>
      </c>
      <c r="K2052" s="6">
        <v>0.49983796296296296</v>
      </c>
    </row>
    <row r="2053" spans="1:11" x14ac:dyDescent="0.25">
      <c r="A2053" s="4">
        <v>12</v>
      </c>
      <c r="B2053" s="4" t="s">
        <v>11</v>
      </c>
      <c r="C2053" s="7">
        <v>21.06</v>
      </c>
      <c r="D2053" s="4" t="s">
        <v>26</v>
      </c>
      <c r="E2053" s="4" t="s">
        <v>17</v>
      </c>
      <c r="F2053" s="4" t="s">
        <v>27</v>
      </c>
      <c r="G2053" s="4" t="s">
        <v>37</v>
      </c>
      <c r="H2053" s="4">
        <v>2</v>
      </c>
      <c r="I2053" s="4">
        <v>10</v>
      </c>
      <c r="J2053" s="5">
        <v>45594</v>
      </c>
      <c r="K2053" s="6">
        <v>0.51500000000000001</v>
      </c>
    </row>
    <row r="2054" spans="1:11" x14ac:dyDescent="0.25">
      <c r="A2054" s="4">
        <v>14</v>
      </c>
      <c r="B2054" s="4" t="s">
        <v>11</v>
      </c>
      <c r="C2054" s="7">
        <v>25.96</v>
      </c>
      <c r="D2054" s="4" t="s">
        <v>24</v>
      </c>
      <c r="E2054" s="4" t="s">
        <v>17</v>
      </c>
      <c r="F2054" s="4" t="s">
        <v>27</v>
      </c>
      <c r="G2054" s="4" t="s">
        <v>37</v>
      </c>
      <c r="H2054" s="4">
        <v>2</v>
      </c>
      <c r="I2054" s="4">
        <v>10</v>
      </c>
      <c r="J2054" s="5">
        <v>45594</v>
      </c>
      <c r="K2054" s="6">
        <v>0.59424768518518523</v>
      </c>
    </row>
    <row r="2055" spans="1:11" x14ac:dyDescent="0.25">
      <c r="A2055" s="4">
        <v>14</v>
      </c>
      <c r="B2055" s="4" t="s">
        <v>11</v>
      </c>
      <c r="C2055" s="7">
        <v>25.96</v>
      </c>
      <c r="D2055" s="4" t="s">
        <v>24</v>
      </c>
      <c r="E2055" s="4" t="s">
        <v>17</v>
      </c>
      <c r="F2055" s="4" t="s">
        <v>27</v>
      </c>
      <c r="G2055" s="4" t="s">
        <v>37</v>
      </c>
      <c r="H2055" s="4">
        <v>2</v>
      </c>
      <c r="I2055" s="4">
        <v>10</v>
      </c>
      <c r="J2055" s="5">
        <v>45594</v>
      </c>
      <c r="K2055" s="6">
        <v>0.59513888888888888</v>
      </c>
    </row>
    <row r="2056" spans="1:11" x14ac:dyDescent="0.25">
      <c r="A2056" s="4">
        <v>14</v>
      </c>
      <c r="B2056" s="4" t="s">
        <v>11</v>
      </c>
      <c r="C2056" s="7">
        <v>35.76</v>
      </c>
      <c r="D2056" s="4" t="s">
        <v>29</v>
      </c>
      <c r="E2056" s="4" t="s">
        <v>17</v>
      </c>
      <c r="F2056" s="4" t="s">
        <v>27</v>
      </c>
      <c r="G2056" s="4" t="s">
        <v>37</v>
      </c>
      <c r="H2056" s="4">
        <v>2</v>
      </c>
      <c r="I2056" s="4">
        <v>10</v>
      </c>
      <c r="J2056" s="5">
        <v>45594</v>
      </c>
      <c r="K2056" s="6">
        <v>0.60943287037037042</v>
      </c>
    </row>
    <row r="2057" spans="1:11" x14ac:dyDescent="0.25">
      <c r="A2057" s="4">
        <v>16</v>
      </c>
      <c r="B2057" s="4" t="s">
        <v>11</v>
      </c>
      <c r="C2057" s="7">
        <v>35.76</v>
      </c>
      <c r="D2057" s="4" t="s">
        <v>16</v>
      </c>
      <c r="E2057" s="4" t="s">
        <v>17</v>
      </c>
      <c r="F2057" s="4" t="s">
        <v>27</v>
      </c>
      <c r="G2057" s="4" t="s">
        <v>37</v>
      </c>
      <c r="H2057" s="4">
        <v>2</v>
      </c>
      <c r="I2057" s="4">
        <v>10</v>
      </c>
      <c r="J2057" s="5">
        <v>45594</v>
      </c>
      <c r="K2057" s="6">
        <v>0.67329861111111111</v>
      </c>
    </row>
    <row r="2058" spans="1:11" x14ac:dyDescent="0.25">
      <c r="A2058" s="4">
        <v>16</v>
      </c>
      <c r="B2058" s="4" t="s">
        <v>11</v>
      </c>
      <c r="C2058" s="7">
        <v>35.76</v>
      </c>
      <c r="D2058" s="4" t="s">
        <v>21</v>
      </c>
      <c r="E2058" s="4" t="s">
        <v>17</v>
      </c>
      <c r="F2058" s="4" t="s">
        <v>27</v>
      </c>
      <c r="G2058" s="4" t="s">
        <v>37</v>
      </c>
      <c r="H2058" s="4">
        <v>2</v>
      </c>
      <c r="I2058" s="4">
        <v>10</v>
      </c>
      <c r="J2058" s="5">
        <v>45594</v>
      </c>
      <c r="K2058" s="6">
        <v>0.67425925925925922</v>
      </c>
    </row>
    <row r="2059" spans="1:11" x14ac:dyDescent="0.25">
      <c r="A2059" s="4">
        <v>16</v>
      </c>
      <c r="B2059" s="4" t="s">
        <v>11</v>
      </c>
      <c r="C2059" s="7">
        <v>35.76</v>
      </c>
      <c r="D2059" s="4" t="s">
        <v>21</v>
      </c>
      <c r="E2059" s="4" t="s">
        <v>17</v>
      </c>
      <c r="F2059" s="4" t="s">
        <v>27</v>
      </c>
      <c r="G2059" s="4" t="s">
        <v>37</v>
      </c>
      <c r="H2059" s="4">
        <v>2</v>
      </c>
      <c r="I2059" s="4">
        <v>10</v>
      </c>
      <c r="J2059" s="5">
        <v>45594</v>
      </c>
      <c r="K2059" s="6">
        <v>0.67885416666666665</v>
      </c>
    </row>
    <row r="2060" spans="1:11" x14ac:dyDescent="0.25">
      <c r="A2060" s="4">
        <v>18</v>
      </c>
      <c r="B2060" s="4" t="s">
        <v>11</v>
      </c>
      <c r="C2060" s="7">
        <v>30.86</v>
      </c>
      <c r="D2060" s="4" t="s">
        <v>19</v>
      </c>
      <c r="E2060" s="4" t="s">
        <v>20</v>
      </c>
      <c r="F2060" s="4" t="s">
        <v>27</v>
      </c>
      <c r="G2060" s="4" t="s">
        <v>37</v>
      </c>
      <c r="H2060" s="4">
        <v>2</v>
      </c>
      <c r="I2060" s="4">
        <v>10</v>
      </c>
      <c r="J2060" s="5">
        <v>45594</v>
      </c>
      <c r="K2060" s="6">
        <v>0.75143518518518515</v>
      </c>
    </row>
    <row r="2061" spans="1:11" x14ac:dyDescent="0.25">
      <c r="A2061" s="4">
        <v>18</v>
      </c>
      <c r="B2061" s="4" t="s">
        <v>11</v>
      </c>
      <c r="C2061" s="7">
        <v>30.86</v>
      </c>
      <c r="D2061" s="4" t="s">
        <v>19</v>
      </c>
      <c r="E2061" s="4" t="s">
        <v>20</v>
      </c>
      <c r="F2061" s="4" t="s">
        <v>27</v>
      </c>
      <c r="G2061" s="4" t="s">
        <v>37</v>
      </c>
      <c r="H2061" s="4">
        <v>2</v>
      </c>
      <c r="I2061" s="4">
        <v>10</v>
      </c>
      <c r="J2061" s="5">
        <v>45594</v>
      </c>
      <c r="K2061" s="6">
        <v>0.7520486111111111</v>
      </c>
    </row>
    <row r="2062" spans="1:11" x14ac:dyDescent="0.25">
      <c r="A2062" s="4">
        <v>19</v>
      </c>
      <c r="B2062" s="4" t="s">
        <v>11</v>
      </c>
      <c r="C2062" s="7">
        <v>30.86</v>
      </c>
      <c r="D2062" s="4" t="s">
        <v>19</v>
      </c>
      <c r="E2062" s="4" t="s">
        <v>20</v>
      </c>
      <c r="F2062" s="4" t="s">
        <v>27</v>
      </c>
      <c r="G2062" s="4" t="s">
        <v>37</v>
      </c>
      <c r="H2062" s="4">
        <v>2</v>
      </c>
      <c r="I2062" s="4">
        <v>10</v>
      </c>
      <c r="J2062" s="5">
        <v>45594</v>
      </c>
      <c r="K2062" s="6">
        <v>0.79311342592592593</v>
      </c>
    </row>
    <row r="2063" spans="1:11" x14ac:dyDescent="0.25">
      <c r="A2063" s="4">
        <v>19</v>
      </c>
      <c r="B2063" s="4" t="s">
        <v>11</v>
      </c>
      <c r="C2063" s="7">
        <v>35.76</v>
      </c>
      <c r="D2063" s="4" t="s">
        <v>29</v>
      </c>
      <c r="E2063" s="4" t="s">
        <v>20</v>
      </c>
      <c r="F2063" s="4" t="s">
        <v>27</v>
      </c>
      <c r="G2063" s="4" t="s">
        <v>37</v>
      </c>
      <c r="H2063" s="4">
        <v>2</v>
      </c>
      <c r="I2063" s="4">
        <v>10</v>
      </c>
      <c r="J2063" s="5">
        <v>45594</v>
      </c>
      <c r="K2063" s="6">
        <v>0.7956481481481481</v>
      </c>
    </row>
    <row r="2064" spans="1:11" x14ac:dyDescent="0.25">
      <c r="A2064" s="4">
        <v>19</v>
      </c>
      <c r="B2064" s="4" t="s">
        <v>11</v>
      </c>
      <c r="C2064" s="7">
        <v>35.76</v>
      </c>
      <c r="D2064" s="4" t="s">
        <v>16</v>
      </c>
      <c r="E2064" s="4" t="s">
        <v>20</v>
      </c>
      <c r="F2064" s="4" t="s">
        <v>27</v>
      </c>
      <c r="G2064" s="4" t="s">
        <v>37</v>
      </c>
      <c r="H2064" s="4">
        <v>2</v>
      </c>
      <c r="I2064" s="4">
        <v>10</v>
      </c>
      <c r="J2064" s="5">
        <v>45594</v>
      </c>
      <c r="K2064" s="6">
        <v>0.82722222222222219</v>
      </c>
    </row>
    <row r="2065" spans="1:11" x14ac:dyDescent="0.25">
      <c r="A2065" s="4">
        <v>19</v>
      </c>
      <c r="B2065" s="4" t="s">
        <v>11</v>
      </c>
      <c r="C2065" s="7">
        <v>35.76</v>
      </c>
      <c r="D2065" s="4" t="s">
        <v>12</v>
      </c>
      <c r="E2065" s="4" t="s">
        <v>20</v>
      </c>
      <c r="F2065" s="4" t="s">
        <v>27</v>
      </c>
      <c r="G2065" s="4" t="s">
        <v>37</v>
      </c>
      <c r="H2065" s="4">
        <v>2</v>
      </c>
      <c r="I2065" s="4">
        <v>10</v>
      </c>
      <c r="J2065" s="5">
        <v>45594</v>
      </c>
      <c r="K2065" s="6">
        <v>0.8291898148148148</v>
      </c>
    </row>
    <row r="2066" spans="1:11" x14ac:dyDescent="0.25">
      <c r="A2066" s="4">
        <v>20</v>
      </c>
      <c r="B2066" s="4" t="s">
        <v>11</v>
      </c>
      <c r="C2066" s="7">
        <v>35.76</v>
      </c>
      <c r="D2066" s="4" t="s">
        <v>12</v>
      </c>
      <c r="E2066" s="4" t="s">
        <v>20</v>
      </c>
      <c r="F2066" s="4" t="s">
        <v>27</v>
      </c>
      <c r="G2066" s="4" t="s">
        <v>37</v>
      </c>
      <c r="H2066" s="4">
        <v>2</v>
      </c>
      <c r="I2066" s="4">
        <v>10</v>
      </c>
      <c r="J2066" s="5">
        <v>45594</v>
      </c>
      <c r="K2066" s="6">
        <v>0.83859953703703705</v>
      </c>
    </row>
    <row r="2067" spans="1:11" x14ac:dyDescent="0.25">
      <c r="A2067" s="4">
        <v>7</v>
      </c>
      <c r="B2067" s="4" t="s">
        <v>11</v>
      </c>
      <c r="C2067" s="7">
        <v>35.76</v>
      </c>
      <c r="D2067" s="4" t="s">
        <v>12</v>
      </c>
      <c r="E2067" s="4" t="s">
        <v>13</v>
      </c>
      <c r="F2067" s="4" t="s">
        <v>28</v>
      </c>
      <c r="G2067" s="4" t="s">
        <v>37</v>
      </c>
      <c r="H2067" s="4">
        <v>3</v>
      </c>
      <c r="I2067" s="4">
        <v>10</v>
      </c>
      <c r="J2067" s="5">
        <v>45595</v>
      </c>
      <c r="K2067" s="6">
        <v>0.32783564814814814</v>
      </c>
    </row>
    <row r="2068" spans="1:11" x14ac:dyDescent="0.25">
      <c r="A2068" s="4">
        <v>8</v>
      </c>
      <c r="B2068" s="4" t="s">
        <v>11</v>
      </c>
      <c r="C2068" s="7">
        <v>30.86</v>
      </c>
      <c r="D2068" s="4" t="s">
        <v>19</v>
      </c>
      <c r="E2068" s="4" t="s">
        <v>13</v>
      </c>
      <c r="F2068" s="4" t="s">
        <v>28</v>
      </c>
      <c r="G2068" s="4" t="s">
        <v>37</v>
      </c>
      <c r="H2068" s="4">
        <v>3</v>
      </c>
      <c r="I2068" s="4">
        <v>10</v>
      </c>
      <c r="J2068" s="5">
        <v>45595</v>
      </c>
      <c r="K2068" s="6">
        <v>0.36557870370370371</v>
      </c>
    </row>
    <row r="2069" spans="1:11" x14ac:dyDescent="0.25">
      <c r="A2069" s="4">
        <v>8</v>
      </c>
      <c r="B2069" s="4" t="s">
        <v>11</v>
      </c>
      <c r="C2069" s="7">
        <v>30.86</v>
      </c>
      <c r="D2069" s="4" t="s">
        <v>19</v>
      </c>
      <c r="E2069" s="4" t="s">
        <v>13</v>
      </c>
      <c r="F2069" s="4" t="s">
        <v>28</v>
      </c>
      <c r="G2069" s="4" t="s">
        <v>37</v>
      </c>
      <c r="H2069" s="4">
        <v>3</v>
      </c>
      <c r="I2069" s="4">
        <v>10</v>
      </c>
      <c r="J2069" s="5">
        <v>45595</v>
      </c>
      <c r="K2069" s="6">
        <v>0.36630787037037038</v>
      </c>
    </row>
    <row r="2070" spans="1:11" x14ac:dyDescent="0.25">
      <c r="A2070" s="4">
        <v>9</v>
      </c>
      <c r="B2070" s="4" t="s">
        <v>11</v>
      </c>
      <c r="C2070" s="7">
        <v>35.76</v>
      </c>
      <c r="D2070" s="4" t="s">
        <v>12</v>
      </c>
      <c r="E2070" s="4" t="s">
        <v>13</v>
      </c>
      <c r="F2070" s="4" t="s">
        <v>28</v>
      </c>
      <c r="G2070" s="4" t="s">
        <v>37</v>
      </c>
      <c r="H2070" s="4">
        <v>3</v>
      </c>
      <c r="I2070" s="4">
        <v>10</v>
      </c>
      <c r="J2070" s="5">
        <v>45595</v>
      </c>
      <c r="K2070" s="6">
        <v>0.38297453703703704</v>
      </c>
    </row>
    <row r="2071" spans="1:11" x14ac:dyDescent="0.25">
      <c r="A2071" s="4">
        <v>10</v>
      </c>
      <c r="B2071" s="4" t="s">
        <v>11</v>
      </c>
      <c r="C2071" s="7">
        <v>35.76</v>
      </c>
      <c r="D2071" s="4" t="s">
        <v>12</v>
      </c>
      <c r="E2071" s="4" t="s">
        <v>13</v>
      </c>
      <c r="F2071" s="4" t="s">
        <v>28</v>
      </c>
      <c r="G2071" s="4" t="s">
        <v>37</v>
      </c>
      <c r="H2071" s="4">
        <v>3</v>
      </c>
      <c r="I2071" s="4">
        <v>10</v>
      </c>
      <c r="J2071" s="5">
        <v>45595</v>
      </c>
      <c r="K2071" s="6">
        <v>0.43880787037037039</v>
      </c>
    </row>
    <row r="2072" spans="1:11" x14ac:dyDescent="0.25">
      <c r="A2072" s="4">
        <v>10</v>
      </c>
      <c r="B2072" s="4" t="s">
        <v>11</v>
      </c>
      <c r="C2072" s="7">
        <v>35.76</v>
      </c>
      <c r="D2072" s="4" t="s">
        <v>12</v>
      </c>
      <c r="E2072" s="4" t="s">
        <v>13</v>
      </c>
      <c r="F2072" s="4" t="s">
        <v>28</v>
      </c>
      <c r="G2072" s="4" t="s">
        <v>37</v>
      </c>
      <c r="H2072" s="4">
        <v>3</v>
      </c>
      <c r="I2072" s="4">
        <v>10</v>
      </c>
      <c r="J2072" s="5">
        <v>45595</v>
      </c>
      <c r="K2072" s="6">
        <v>0.43966435185185188</v>
      </c>
    </row>
    <row r="2073" spans="1:11" x14ac:dyDescent="0.25">
      <c r="A2073" s="4">
        <v>12</v>
      </c>
      <c r="B2073" s="4" t="s">
        <v>11</v>
      </c>
      <c r="C2073" s="7">
        <v>35.76</v>
      </c>
      <c r="D2073" s="4" t="s">
        <v>12</v>
      </c>
      <c r="E2073" s="4" t="s">
        <v>17</v>
      </c>
      <c r="F2073" s="4" t="s">
        <v>28</v>
      </c>
      <c r="G2073" s="4" t="s">
        <v>37</v>
      </c>
      <c r="H2073" s="4">
        <v>3</v>
      </c>
      <c r="I2073" s="4">
        <v>10</v>
      </c>
      <c r="J2073" s="5">
        <v>45595</v>
      </c>
      <c r="K2073" s="6">
        <v>0.50607638888888884</v>
      </c>
    </row>
    <row r="2074" spans="1:11" x14ac:dyDescent="0.25">
      <c r="A2074" s="4">
        <v>12</v>
      </c>
      <c r="B2074" s="4" t="s">
        <v>11</v>
      </c>
      <c r="C2074" s="7">
        <v>25.96</v>
      </c>
      <c r="D2074" s="4" t="s">
        <v>18</v>
      </c>
      <c r="E2074" s="4" t="s">
        <v>17</v>
      </c>
      <c r="F2074" s="4" t="s">
        <v>28</v>
      </c>
      <c r="G2074" s="4" t="s">
        <v>37</v>
      </c>
      <c r="H2074" s="4">
        <v>3</v>
      </c>
      <c r="I2074" s="4">
        <v>10</v>
      </c>
      <c r="J2074" s="5">
        <v>45595</v>
      </c>
      <c r="K2074" s="6">
        <v>0.50678240740740743</v>
      </c>
    </row>
    <row r="2075" spans="1:11" x14ac:dyDescent="0.25">
      <c r="A2075" s="4">
        <v>12</v>
      </c>
      <c r="B2075" s="4" t="s">
        <v>11</v>
      </c>
      <c r="C2075" s="7">
        <v>30.86</v>
      </c>
      <c r="D2075" s="4" t="s">
        <v>19</v>
      </c>
      <c r="E2075" s="4" t="s">
        <v>17</v>
      </c>
      <c r="F2075" s="4" t="s">
        <v>28</v>
      </c>
      <c r="G2075" s="4" t="s">
        <v>37</v>
      </c>
      <c r="H2075" s="4">
        <v>3</v>
      </c>
      <c r="I2075" s="4">
        <v>10</v>
      </c>
      <c r="J2075" s="5">
        <v>45595</v>
      </c>
      <c r="K2075" s="6">
        <v>0.50761574074074078</v>
      </c>
    </row>
    <row r="2076" spans="1:11" x14ac:dyDescent="0.25">
      <c r="A2076" s="4">
        <v>12</v>
      </c>
      <c r="B2076" s="4" t="s">
        <v>11</v>
      </c>
      <c r="C2076" s="7">
        <v>25.96</v>
      </c>
      <c r="D2076" s="4" t="s">
        <v>18</v>
      </c>
      <c r="E2076" s="4" t="s">
        <v>17</v>
      </c>
      <c r="F2076" s="4" t="s">
        <v>28</v>
      </c>
      <c r="G2076" s="4" t="s">
        <v>37</v>
      </c>
      <c r="H2076" s="4">
        <v>3</v>
      </c>
      <c r="I2076" s="4">
        <v>10</v>
      </c>
      <c r="J2076" s="5">
        <v>45595</v>
      </c>
      <c r="K2076" s="6">
        <v>0.52569444444444446</v>
      </c>
    </row>
    <row r="2077" spans="1:11" x14ac:dyDescent="0.25">
      <c r="A2077" s="4">
        <v>15</v>
      </c>
      <c r="B2077" s="4" t="s">
        <v>11</v>
      </c>
      <c r="C2077" s="7">
        <v>35.76</v>
      </c>
      <c r="D2077" s="4" t="s">
        <v>12</v>
      </c>
      <c r="E2077" s="4" t="s">
        <v>17</v>
      </c>
      <c r="F2077" s="4" t="s">
        <v>28</v>
      </c>
      <c r="G2077" s="4" t="s">
        <v>37</v>
      </c>
      <c r="H2077" s="4">
        <v>3</v>
      </c>
      <c r="I2077" s="4">
        <v>10</v>
      </c>
      <c r="J2077" s="5">
        <v>45595</v>
      </c>
      <c r="K2077" s="6">
        <v>0.62864583333333335</v>
      </c>
    </row>
    <row r="2078" spans="1:11" x14ac:dyDescent="0.25">
      <c r="A2078" s="4">
        <v>15</v>
      </c>
      <c r="B2078" s="4" t="s">
        <v>11</v>
      </c>
      <c r="C2078" s="7">
        <v>35.76</v>
      </c>
      <c r="D2078" s="4" t="s">
        <v>12</v>
      </c>
      <c r="E2078" s="4" t="s">
        <v>17</v>
      </c>
      <c r="F2078" s="4" t="s">
        <v>28</v>
      </c>
      <c r="G2078" s="4" t="s">
        <v>37</v>
      </c>
      <c r="H2078" s="4">
        <v>3</v>
      </c>
      <c r="I2078" s="4">
        <v>10</v>
      </c>
      <c r="J2078" s="5">
        <v>45595</v>
      </c>
      <c r="K2078" s="6">
        <v>0.62989583333333332</v>
      </c>
    </row>
    <row r="2079" spans="1:11" x14ac:dyDescent="0.25">
      <c r="A2079" s="4">
        <v>16</v>
      </c>
      <c r="B2079" s="4" t="s">
        <v>11</v>
      </c>
      <c r="C2079" s="7">
        <v>30.86</v>
      </c>
      <c r="D2079" s="4" t="s">
        <v>19</v>
      </c>
      <c r="E2079" s="4" t="s">
        <v>17</v>
      </c>
      <c r="F2079" s="4" t="s">
        <v>28</v>
      </c>
      <c r="G2079" s="4" t="s">
        <v>37</v>
      </c>
      <c r="H2079" s="4">
        <v>3</v>
      </c>
      <c r="I2079" s="4">
        <v>10</v>
      </c>
      <c r="J2079" s="5">
        <v>45595</v>
      </c>
      <c r="K2079" s="6">
        <v>0.67</v>
      </c>
    </row>
    <row r="2080" spans="1:11" x14ac:dyDescent="0.25">
      <c r="A2080" s="4">
        <v>18</v>
      </c>
      <c r="B2080" s="4" t="s">
        <v>11</v>
      </c>
      <c r="C2080" s="7">
        <v>35.76</v>
      </c>
      <c r="D2080" s="4" t="s">
        <v>16</v>
      </c>
      <c r="E2080" s="4" t="s">
        <v>20</v>
      </c>
      <c r="F2080" s="4" t="s">
        <v>28</v>
      </c>
      <c r="G2080" s="4" t="s">
        <v>37</v>
      </c>
      <c r="H2080" s="4">
        <v>3</v>
      </c>
      <c r="I2080" s="4">
        <v>10</v>
      </c>
      <c r="J2080" s="5">
        <v>45595</v>
      </c>
      <c r="K2080" s="6">
        <v>0.75569444444444445</v>
      </c>
    </row>
    <row r="2081" spans="1:11" x14ac:dyDescent="0.25">
      <c r="A2081" s="4">
        <v>19</v>
      </c>
      <c r="B2081" s="4" t="s">
        <v>11</v>
      </c>
      <c r="C2081" s="7">
        <v>30.86</v>
      </c>
      <c r="D2081" s="4" t="s">
        <v>19</v>
      </c>
      <c r="E2081" s="4" t="s">
        <v>20</v>
      </c>
      <c r="F2081" s="4" t="s">
        <v>28</v>
      </c>
      <c r="G2081" s="4" t="s">
        <v>37</v>
      </c>
      <c r="H2081" s="4">
        <v>3</v>
      </c>
      <c r="I2081" s="4">
        <v>10</v>
      </c>
      <c r="J2081" s="5">
        <v>45595</v>
      </c>
      <c r="K2081" s="6">
        <v>0.80452546296296301</v>
      </c>
    </row>
    <row r="2082" spans="1:11" x14ac:dyDescent="0.25">
      <c r="A2082" s="4">
        <v>19</v>
      </c>
      <c r="B2082" s="4" t="s">
        <v>11</v>
      </c>
      <c r="C2082" s="7">
        <v>30.86</v>
      </c>
      <c r="D2082" s="4" t="s">
        <v>19</v>
      </c>
      <c r="E2082" s="4" t="s">
        <v>20</v>
      </c>
      <c r="F2082" s="4" t="s">
        <v>28</v>
      </c>
      <c r="G2082" s="4" t="s">
        <v>37</v>
      </c>
      <c r="H2082" s="4">
        <v>3</v>
      </c>
      <c r="I2082" s="4">
        <v>10</v>
      </c>
      <c r="J2082" s="5">
        <v>45595</v>
      </c>
      <c r="K2082" s="6">
        <v>0.82177083333333334</v>
      </c>
    </row>
    <row r="2083" spans="1:11" x14ac:dyDescent="0.25">
      <c r="A2083" s="4">
        <v>7</v>
      </c>
      <c r="B2083" s="4" t="s">
        <v>11</v>
      </c>
      <c r="C2083" s="7">
        <v>35.76</v>
      </c>
      <c r="D2083" s="4" t="s">
        <v>12</v>
      </c>
      <c r="E2083" s="4" t="s">
        <v>13</v>
      </c>
      <c r="F2083" s="4" t="s">
        <v>30</v>
      </c>
      <c r="G2083" s="4" t="s">
        <v>37</v>
      </c>
      <c r="H2083" s="4">
        <v>4</v>
      </c>
      <c r="I2083" s="4">
        <v>10</v>
      </c>
      <c r="J2083" s="5">
        <v>45596</v>
      </c>
      <c r="K2083" s="6">
        <v>0.32936342592592593</v>
      </c>
    </row>
    <row r="2084" spans="1:11" x14ac:dyDescent="0.25">
      <c r="A2084" s="4">
        <v>8</v>
      </c>
      <c r="B2084" s="4" t="s">
        <v>11</v>
      </c>
      <c r="C2084" s="7">
        <v>35.76</v>
      </c>
      <c r="D2084" s="4" t="s">
        <v>12</v>
      </c>
      <c r="E2084" s="4" t="s">
        <v>13</v>
      </c>
      <c r="F2084" s="4" t="s">
        <v>30</v>
      </c>
      <c r="G2084" s="4" t="s">
        <v>37</v>
      </c>
      <c r="H2084" s="4">
        <v>4</v>
      </c>
      <c r="I2084" s="4">
        <v>10</v>
      </c>
      <c r="J2084" s="5">
        <v>45596</v>
      </c>
      <c r="K2084" s="6">
        <v>0.36033564814814817</v>
      </c>
    </row>
    <row r="2085" spans="1:11" x14ac:dyDescent="0.25">
      <c r="A2085" s="4">
        <v>9</v>
      </c>
      <c r="B2085" s="4" t="s">
        <v>11</v>
      </c>
      <c r="C2085" s="7">
        <v>30.86</v>
      </c>
      <c r="D2085" s="4" t="s">
        <v>19</v>
      </c>
      <c r="E2085" s="4" t="s">
        <v>13</v>
      </c>
      <c r="F2085" s="4" t="s">
        <v>30</v>
      </c>
      <c r="G2085" s="4" t="s">
        <v>37</v>
      </c>
      <c r="H2085" s="4">
        <v>4</v>
      </c>
      <c r="I2085" s="4">
        <v>10</v>
      </c>
      <c r="J2085" s="5">
        <v>45596</v>
      </c>
      <c r="K2085" s="6">
        <v>0.38771990740740742</v>
      </c>
    </row>
    <row r="2086" spans="1:11" x14ac:dyDescent="0.25">
      <c r="A2086" s="4">
        <v>15</v>
      </c>
      <c r="B2086" s="4" t="s">
        <v>11</v>
      </c>
      <c r="C2086" s="7">
        <v>35.76</v>
      </c>
      <c r="D2086" s="4" t="s">
        <v>12</v>
      </c>
      <c r="E2086" s="4" t="s">
        <v>17</v>
      </c>
      <c r="F2086" s="4" t="s">
        <v>30</v>
      </c>
      <c r="G2086" s="4" t="s">
        <v>37</v>
      </c>
      <c r="H2086" s="4">
        <v>4</v>
      </c>
      <c r="I2086" s="4">
        <v>10</v>
      </c>
      <c r="J2086" s="5">
        <v>45596</v>
      </c>
      <c r="K2086" s="6">
        <v>0.6662731481481482</v>
      </c>
    </row>
    <row r="2087" spans="1:11" x14ac:dyDescent="0.25">
      <c r="A2087" s="4">
        <v>16</v>
      </c>
      <c r="B2087" s="4" t="s">
        <v>11</v>
      </c>
      <c r="C2087" s="7">
        <v>30.86</v>
      </c>
      <c r="D2087" s="4" t="s">
        <v>19</v>
      </c>
      <c r="E2087" s="4" t="s">
        <v>17</v>
      </c>
      <c r="F2087" s="4" t="s">
        <v>30</v>
      </c>
      <c r="G2087" s="4" t="s">
        <v>37</v>
      </c>
      <c r="H2087" s="4">
        <v>4</v>
      </c>
      <c r="I2087" s="4">
        <v>10</v>
      </c>
      <c r="J2087" s="5">
        <v>45596</v>
      </c>
      <c r="K2087" s="6">
        <v>0.66701388888888891</v>
      </c>
    </row>
    <row r="2088" spans="1:11" x14ac:dyDescent="0.25">
      <c r="A2088" s="4">
        <v>8</v>
      </c>
      <c r="B2088" s="4" t="s">
        <v>11</v>
      </c>
      <c r="C2088" s="7">
        <v>35.76</v>
      </c>
      <c r="D2088" s="4" t="s">
        <v>21</v>
      </c>
      <c r="E2088" s="4" t="s">
        <v>13</v>
      </c>
      <c r="F2088" s="4" t="s">
        <v>14</v>
      </c>
      <c r="G2088" s="4" t="s">
        <v>38</v>
      </c>
      <c r="H2088" s="4">
        <v>5</v>
      </c>
      <c r="I2088" s="4">
        <v>11</v>
      </c>
      <c r="J2088" s="5">
        <v>45597</v>
      </c>
      <c r="K2088" s="6">
        <v>0.35003472222222221</v>
      </c>
    </row>
    <row r="2089" spans="1:11" x14ac:dyDescent="0.25">
      <c r="A2089" s="4">
        <v>8</v>
      </c>
      <c r="B2089" s="4" t="s">
        <v>11</v>
      </c>
      <c r="C2089" s="7">
        <v>25.96</v>
      </c>
      <c r="D2089" s="4" t="s">
        <v>18</v>
      </c>
      <c r="E2089" s="4" t="s">
        <v>13</v>
      </c>
      <c r="F2089" s="4" t="s">
        <v>14</v>
      </c>
      <c r="G2089" s="4" t="s">
        <v>38</v>
      </c>
      <c r="H2089" s="4">
        <v>5</v>
      </c>
      <c r="I2089" s="4">
        <v>11</v>
      </c>
      <c r="J2089" s="5">
        <v>45597</v>
      </c>
      <c r="K2089" s="6">
        <v>0.3548263888888889</v>
      </c>
    </row>
    <row r="2090" spans="1:11" x14ac:dyDescent="0.25">
      <c r="A2090" s="4">
        <v>10</v>
      </c>
      <c r="B2090" s="4" t="s">
        <v>11</v>
      </c>
      <c r="C2090" s="7">
        <v>35.76</v>
      </c>
      <c r="D2090" s="4" t="s">
        <v>12</v>
      </c>
      <c r="E2090" s="4" t="s">
        <v>13</v>
      </c>
      <c r="F2090" s="4" t="s">
        <v>14</v>
      </c>
      <c r="G2090" s="4" t="s">
        <v>38</v>
      </c>
      <c r="H2090" s="4">
        <v>5</v>
      </c>
      <c r="I2090" s="4">
        <v>11</v>
      </c>
      <c r="J2090" s="5">
        <v>45597</v>
      </c>
      <c r="K2090" s="6">
        <v>0.45474537037037038</v>
      </c>
    </row>
    <row r="2091" spans="1:11" x14ac:dyDescent="0.25">
      <c r="A2091" s="4">
        <v>12</v>
      </c>
      <c r="B2091" s="4" t="s">
        <v>11</v>
      </c>
      <c r="C2091" s="7">
        <v>35.76</v>
      </c>
      <c r="D2091" s="4" t="s">
        <v>21</v>
      </c>
      <c r="E2091" s="4" t="s">
        <v>17</v>
      </c>
      <c r="F2091" s="4" t="s">
        <v>14</v>
      </c>
      <c r="G2091" s="4" t="s">
        <v>38</v>
      </c>
      <c r="H2091" s="4">
        <v>5</v>
      </c>
      <c r="I2091" s="4">
        <v>11</v>
      </c>
      <c r="J2091" s="5">
        <v>45597</v>
      </c>
      <c r="K2091" s="6">
        <v>0.52877314814814813</v>
      </c>
    </row>
    <row r="2092" spans="1:11" x14ac:dyDescent="0.25">
      <c r="A2092" s="4">
        <v>12</v>
      </c>
      <c r="B2092" s="4" t="s">
        <v>11</v>
      </c>
      <c r="C2092" s="7">
        <v>35.76</v>
      </c>
      <c r="D2092" s="4" t="s">
        <v>21</v>
      </c>
      <c r="E2092" s="4" t="s">
        <v>17</v>
      </c>
      <c r="F2092" s="4" t="s">
        <v>14</v>
      </c>
      <c r="G2092" s="4" t="s">
        <v>38</v>
      </c>
      <c r="H2092" s="4">
        <v>5</v>
      </c>
      <c r="I2092" s="4">
        <v>11</v>
      </c>
      <c r="J2092" s="5">
        <v>45597</v>
      </c>
      <c r="K2092" s="6">
        <v>0.52937500000000004</v>
      </c>
    </row>
    <row r="2093" spans="1:11" x14ac:dyDescent="0.25">
      <c r="A2093" s="4">
        <v>15</v>
      </c>
      <c r="B2093" s="4" t="s">
        <v>11</v>
      </c>
      <c r="C2093" s="7">
        <v>25.96</v>
      </c>
      <c r="D2093" s="4" t="s">
        <v>24</v>
      </c>
      <c r="E2093" s="4" t="s">
        <v>17</v>
      </c>
      <c r="F2093" s="4" t="s">
        <v>14</v>
      </c>
      <c r="G2093" s="4" t="s">
        <v>38</v>
      </c>
      <c r="H2093" s="4">
        <v>5</v>
      </c>
      <c r="I2093" s="4">
        <v>11</v>
      </c>
      <c r="J2093" s="5">
        <v>45597</v>
      </c>
      <c r="K2093" s="6">
        <v>0.66368055555555561</v>
      </c>
    </row>
    <row r="2094" spans="1:11" x14ac:dyDescent="0.25">
      <c r="A2094" s="4">
        <v>22</v>
      </c>
      <c r="B2094" s="4" t="s">
        <v>11</v>
      </c>
      <c r="C2094" s="7">
        <v>30.86</v>
      </c>
      <c r="D2094" s="4" t="s">
        <v>19</v>
      </c>
      <c r="E2094" s="4" t="s">
        <v>20</v>
      </c>
      <c r="F2094" s="4" t="s">
        <v>14</v>
      </c>
      <c r="G2094" s="4" t="s">
        <v>38</v>
      </c>
      <c r="H2094" s="4">
        <v>5</v>
      </c>
      <c r="I2094" s="4">
        <v>11</v>
      </c>
      <c r="J2094" s="5">
        <v>45597</v>
      </c>
      <c r="K2094" s="6">
        <v>0.945775462962963</v>
      </c>
    </row>
    <row r="2095" spans="1:11" x14ac:dyDescent="0.25">
      <c r="A2095" s="4">
        <v>8</v>
      </c>
      <c r="B2095" s="4" t="s">
        <v>11</v>
      </c>
      <c r="C2095" s="7">
        <v>25.96</v>
      </c>
      <c r="D2095" s="4" t="s">
        <v>24</v>
      </c>
      <c r="E2095" s="4" t="s">
        <v>13</v>
      </c>
      <c r="F2095" s="4" t="s">
        <v>22</v>
      </c>
      <c r="G2095" s="4" t="s">
        <v>38</v>
      </c>
      <c r="H2095" s="4">
        <v>6</v>
      </c>
      <c r="I2095" s="4">
        <v>11</v>
      </c>
      <c r="J2095" s="5">
        <v>45598</v>
      </c>
      <c r="K2095" s="6">
        <v>0.34703703703703703</v>
      </c>
    </row>
    <row r="2096" spans="1:11" x14ac:dyDescent="0.25">
      <c r="A2096" s="4">
        <v>10</v>
      </c>
      <c r="B2096" s="4" t="s">
        <v>11</v>
      </c>
      <c r="C2096" s="7">
        <v>35.76</v>
      </c>
      <c r="D2096" s="4" t="s">
        <v>21</v>
      </c>
      <c r="E2096" s="4" t="s">
        <v>13</v>
      </c>
      <c r="F2096" s="4" t="s">
        <v>22</v>
      </c>
      <c r="G2096" s="4" t="s">
        <v>38</v>
      </c>
      <c r="H2096" s="4">
        <v>6</v>
      </c>
      <c r="I2096" s="4">
        <v>11</v>
      </c>
      <c r="J2096" s="5">
        <v>45598</v>
      </c>
      <c r="K2096" s="6">
        <v>0.43454861111111109</v>
      </c>
    </row>
    <row r="2097" spans="1:11" x14ac:dyDescent="0.25">
      <c r="A2097" s="4">
        <v>10</v>
      </c>
      <c r="B2097" s="4" t="s">
        <v>11</v>
      </c>
      <c r="C2097" s="7">
        <v>30.86</v>
      </c>
      <c r="D2097" s="4" t="s">
        <v>19</v>
      </c>
      <c r="E2097" s="4" t="s">
        <v>13</v>
      </c>
      <c r="F2097" s="4" t="s">
        <v>22</v>
      </c>
      <c r="G2097" s="4" t="s">
        <v>38</v>
      </c>
      <c r="H2097" s="4">
        <v>6</v>
      </c>
      <c r="I2097" s="4">
        <v>11</v>
      </c>
      <c r="J2097" s="5">
        <v>45598</v>
      </c>
      <c r="K2097" s="6">
        <v>0.43968750000000001</v>
      </c>
    </row>
    <row r="2098" spans="1:11" x14ac:dyDescent="0.25">
      <c r="A2098" s="4">
        <v>14</v>
      </c>
      <c r="B2098" s="4" t="s">
        <v>11</v>
      </c>
      <c r="C2098" s="7">
        <v>30.86</v>
      </c>
      <c r="D2098" s="4" t="s">
        <v>19</v>
      </c>
      <c r="E2098" s="4" t="s">
        <v>17</v>
      </c>
      <c r="F2098" s="4" t="s">
        <v>22</v>
      </c>
      <c r="G2098" s="4" t="s">
        <v>38</v>
      </c>
      <c r="H2098" s="4">
        <v>6</v>
      </c>
      <c r="I2098" s="4">
        <v>11</v>
      </c>
      <c r="J2098" s="5">
        <v>45598</v>
      </c>
      <c r="K2098" s="6">
        <v>0.62099537037037034</v>
      </c>
    </row>
    <row r="2099" spans="1:11" x14ac:dyDescent="0.25">
      <c r="A2099" s="4">
        <v>16</v>
      </c>
      <c r="B2099" s="4" t="s">
        <v>11</v>
      </c>
      <c r="C2099" s="7">
        <v>35.76</v>
      </c>
      <c r="D2099" s="4" t="s">
        <v>16</v>
      </c>
      <c r="E2099" s="4" t="s">
        <v>17</v>
      </c>
      <c r="F2099" s="4" t="s">
        <v>22</v>
      </c>
      <c r="G2099" s="4" t="s">
        <v>38</v>
      </c>
      <c r="H2099" s="4">
        <v>6</v>
      </c>
      <c r="I2099" s="4">
        <v>11</v>
      </c>
      <c r="J2099" s="5">
        <v>45598</v>
      </c>
      <c r="K2099" s="6">
        <v>0.68350694444444449</v>
      </c>
    </row>
    <row r="2100" spans="1:11" x14ac:dyDescent="0.25">
      <c r="A2100" s="4">
        <v>16</v>
      </c>
      <c r="B2100" s="4" t="s">
        <v>11</v>
      </c>
      <c r="C2100" s="7">
        <v>35.76</v>
      </c>
      <c r="D2100" s="4" t="s">
        <v>12</v>
      </c>
      <c r="E2100" s="4" t="s">
        <v>17</v>
      </c>
      <c r="F2100" s="4" t="s">
        <v>22</v>
      </c>
      <c r="G2100" s="4" t="s">
        <v>38</v>
      </c>
      <c r="H2100" s="4">
        <v>6</v>
      </c>
      <c r="I2100" s="4">
        <v>11</v>
      </c>
      <c r="J2100" s="5">
        <v>45598</v>
      </c>
      <c r="K2100" s="6">
        <v>0.6846875</v>
      </c>
    </row>
    <row r="2101" spans="1:11" x14ac:dyDescent="0.25">
      <c r="A2101" s="4">
        <v>16</v>
      </c>
      <c r="B2101" s="4" t="s">
        <v>11</v>
      </c>
      <c r="C2101" s="7">
        <v>35.76</v>
      </c>
      <c r="D2101" s="4" t="s">
        <v>12</v>
      </c>
      <c r="E2101" s="4" t="s">
        <v>17</v>
      </c>
      <c r="F2101" s="4" t="s">
        <v>22</v>
      </c>
      <c r="G2101" s="4" t="s">
        <v>38</v>
      </c>
      <c r="H2101" s="4">
        <v>6</v>
      </c>
      <c r="I2101" s="4">
        <v>11</v>
      </c>
      <c r="J2101" s="5">
        <v>45598</v>
      </c>
      <c r="K2101" s="6">
        <v>0.69241898148148151</v>
      </c>
    </row>
    <row r="2102" spans="1:11" x14ac:dyDescent="0.25">
      <c r="A2102" s="4">
        <v>18</v>
      </c>
      <c r="B2102" s="4" t="s">
        <v>11</v>
      </c>
      <c r="C2102" s="7">
        <v>30.86</v>
      </c>
      <c r="D2102" s="4" t="s">
        <v>19</v>
      </c>
      <c r="E2102" s="4" t="s">
        <v>20</v>
      </c>
      <c r="F2102" s="4" t="s">
        <v>22</v>
      </c>
      <c r="G2102" s="4" t="s">
        <v>38</v>
      </c>
      <c r="H2102" s="4">
        <v>6</v>
      </c>
      <c r="I2102" s="4">
        <v>11</v>
      </c>
      <c r="J2102" s="5">
        <v>45598</v>
      </c>
      <c r="K2102" s="6">
        <v>0.7628125</v>
      </c>
    </row>
    <row r="2103" spans="1:11" x14ac:dyDescent="0.25">
      <c r="A2103" s="4">
        <v>18</v>
      </c>
      <c r="B2103" s="4" t="s">
        <v>11</v>
      </c>
      <c r="C2103" s="7">
        <v>25.96</v>
      </c>
      <c r="D2103" s="4" t="s">
        <v>18</v>
      </c>
      <c r="E2103" s="4" t="s">
        <v>20</v>
      </c>
      <c r="F2103" s="4" t="s">
        <v>22</v>
      </c>
      <c r="G2103" s="4" t="s">
        <v>38</v>
      </c>
      <c r="H2103" s="4">
        <v>6</v>
      </c>
      <c r="I2103" s="4">
        <v>11</v>
      </c>
      <c r="J2103" s="5">
        <v>45598</v>
      </c>
      <c r="K2103" s="6">
        <v>0.79054398148148153</v>
      </c>
    </row>
    <row r="2104" spans="1:11" x14ac:dyDescent="0.25">
      <c r="A2104" s="4">
        <v>8</v>
      </c>
      <c r="B2104" s="4" t="s">
        <v>11</v>
      </c>
      <c r="C2104" s="7">
        <v>25.96</v>
      </c>
      <c r="D2104" s="4" t="s">
        <v>24</v>
      </c>
      <c r="E2104" s="4" t="s">
        <v>13</v>
      </c>
      <c r="F2104" s="4" t="s">
        <v>23</v>
      </c>
      <c r="G2104" s="4" t="s">
        <v>38</v>
      </c>
      <c r="H2104" s="4">
        <v>7</v>
      </c>
      <c r="I2104" s="4">
        <v>11</v>
      </c>
      <c r="J2104" s="5">
        <v>45599</v>
      </c>
      <c r="K2104" s="6">
        <v>0.34930555555555554</v>
      </c>
    </row>
    <row r="2105" spans="1:11" x14ac:dyDescent="0.25">
      <c r="A2105" s="4">
        <v>9</v>
      </c>
      <c r="B2105" s="4" t="s">
        <v>11</v>
      </c>
      <c r="C2105" s="7">
        <v>30.86</v>
      </c>
      <c r="D2105" s="4" t="s">
        <v>19</v>
      </c>
      <c r="E2105" s="4" t="s">
        <v>13</v>
      </c>
      <c r="F2105" s="4" t="s">
        <v>23</v>
      </c>
      <c r="G2105" s="4" t="s">
        <v>38</v>
      </c>
      <c r="H2105" s="4">
        <v>7</v>
      </c>
      <c r="I2105" s="4">
        <v>11</v>
      </c>
      <c r="J2105" s="5">
        <v>45599</v>
      </c>
      <c r="K2105" s="6">
        <v>0.40770833333333334</v>
      </c>
    </row>
    <row r="2106" spans="1:11" x14ac:dyDescent="0.25">
      <c r="A2106" s="4">
        <v>9</v>
      </c>
      <c r="B2106" s="4" t="s">
        <v>11</v>
      </c>
      <c r="C2106" s="7">
        <v>30.86</v>
      </c>
      <c r="D2106" s="4" t="s">
        <v>19</v>
      </c>
      <c r="E2106" s="4" t="s">
        <v>13</v>
      </c>
      <c r="F2106" s="4" t="s">
        <v>23</v>
      </c>
      <c r="G2106" s="4" t="s">
        <v>38</v>
      </c>
      <c r="H2106" s="4">
        <v>7</v>
      </c>
      <c r="I2106" s="4">
        <v>11</v>
      </c>
      <c r="J2106" s="5">
        <v>45599</v>
      </c>
      <c r="K2106" s="6">
        <v>0.40847222222222224</v>
      </c>
    </row>
    <row r="2107" spans="1:11" x14ac:dyDescent="0.25">
      <c r="A2107" s="4">
        <v>13</v>
      </c>
      <c r="B2107" s="4" t="s">
        <v>11</v>
      </c>
      <c r="C2107" s="7">
        <v>35.76</v>
      </c>
      <c r="D2107" s="4" t="s">
        <v>12</v>
      </c>
      <c r="E2107" s="4" t="s">
        <v>17</v>
      </c>
      <c r="F2107" s="4" t="s">
        <v>23</v>
      </c>
      <c r="G2107" s="4" t="s">
        <v>38</v>
      </c>
      <c r="H2107" s="4">
        <v>7</v>
      </c>
      <c r="I2107" s="4">
        <v>11</v>
      </c>
      <c r="J2107" s="5">
        <v>45599</v>
      </c>
      <c r="K2107" s="6">
        <v>0.55128472222222225</v>
      </c>
    </row>
    <row r="2108" spans="1:11" x14ac:dyDescent="0.25">
      <c r="A2108" s="4">
        <v>13</v>
      </c>
      <c r="B2108" s="4" t="s">
        <v>11</v>
      </c>
      <c r="C2108" s="7">
        <v>30.86</v>
      </c>
      <c r="D2108" s="4" t="s">
        <v>19</v>
      </c>
      <c r="E2108" s="4" t="s">
        <v>17</v>
      </c>
      <c r="F2108" s="4" t="s">
        <v>23</v>
      </c>
      <c r="G2108" s="4" t="s">
        <v>38</v>
      </c>
      <c r="H2108" s="4">
        <v>7</v>
      </c>
      <c r="I2108" s="4">
        <v>11</v>
      </c>
      <c r="J2108" s="5">
        <v>45599</v>
      </c>
      <c r="K2108" s="6">
        <v>0.55203703703703699</v>
      </c>
    </row>
    <row r="2109" spans="1:11" x14ac:dyDescent="0.25">
      <c r="A2109" s="4">
        <v>13</v>
      </c>
      <c r="B2109" s="4" t="s">
        <v>11</v>
      </c>
      <c r="C2109" s="7">
        <v>35.76</v>
      </c>
      <c r="D2109" s="4" t="s">
        <v>21</v>
      </c>
      <c r="E2109" s="4" t="s">
        <v>17</v>
      </c>
      <c r="F2109" s="4" t="s">
        <v>23</v>
      </c>
      <c r="G2109" s="4" t="s">
        <v>38</v>
      </c>
      <c r="H2109" s="4">
        <v>7</v>
      </c>
      <c r="I2109" s="4">
        <v>11</v>
      </c>
      <c r="J2109" s="5">
        <v>45599</v>
      </c>
      <c r="K2109" s="6">
        <v>0.55444444444444441</v>
      </c>
    </row>
    <row r="2110" spans="1:11" x14ac:dyDescent="0.25">
      <c r="A2110" s="4">
        <v>13</v>
      </c>
      <c r="B2110" s="4" t="s">
        <v>11</v>
      </c>
      <c r="C2110" s="7">
        <v>25.96</v>
      </c>
      <c r="D2110" s="4" t="s">
        <v>18</v>
      </c>
      <c r="E2110" s="4" t="s">
        <v>17</v>
      </c>
      <c r="F2110" s="4" t="s">
        <v>23</v>
      </c>
      <c r="G2110" s="4" t="s">
        <v>38</v>
      </c>
      <c r="H2110" s="4">
        <v>7</v>
      </c>
      <c r="I2110" s="4">
        <v>11</v>
      </c>
      <c r="J2110" s="5">
        <v>45599</v>
      </c>
      <c r="K2110" s="6">
        <v>0.57243055555555555</v>
      </c>
    </row>
    <row r="2111" spans="1:11" x14ac:dyDescent="0.25">
      <c r="A2111" s="4">
        <v>13</v>
      </c>
      <c r="B2111" s="4" t="s">
        <v>11</v>
      </c>
      <c r="C2111" s="7">
        <v>30.86</v>
      </c>
      <c r="D2111" s="4" t="s">
        <v>19</v>
      </c>
      <c r="E2111" s="4" t="s">
        <v>17</v>
      </c>
      <c r="F2111" s="4" t="s">
        <v>23</v>
      </c>
      <c r="G2111" s="4" t="s">
        <v>38</v>
      </c>
      <c r="H2111" s="4">
        <v>7</v>
      </c>
      <c r="I2111" s="4">
        <v>11</v>
      </c>
      <c r="J2111" s="5">
        <v>45599</v>
      </c>
      <c r="K2111" s="6">
        <v>0.58265046296296297</v>
      </c>
    </row>
    <row r="2112" spans="1:11" x14ac:dyDescent="0.25">
      <c r="A2112" s="4">
        <v>16</v>
      </c>
      <c r="B2112" s="4" t="s">
        <v>11</v>
      </c>
      <c r="C2112" s="7">
        <v>35.76</v>
      </c>
      <c r="D2112" s="4" t="s">
        <v>16</v>
      </c>
      <c r="E2112" s="4" t="s">
        <v>17</v>
      </c>
      <c r="F2112" s="4" t="s">
        <v>23</v>
      </c>
      <c r="G2112" s="4" t="s">
        <v>38</v>
      </c>
      <c r="H2112" s="4">
        <v>7</v>
      </c>
      <c r="I2112" s="4">
        <v>11</v>
      </c>
      <c r="J2112" s="5">
        <v>45599</v>
      </c>
      <c r="K2112" s="6">
        <v>0.67728009259259259</v>
      </c>
    </row>
    <row r="2113" spans="1:11" x14ac:dyDescent="0.25">
      <c r="A2113" s="4">
        <v>16</v>
      </c>
      <c r="B2113" s="4" t="s">
        <v>11</v>
      </c>
      <c r="C2113" s="7">
        <v>35.76</v>
      </c>
      <c r="D2113" s="4" t="s">
        <v>16</v>
      </c>
      <c r="E2113" s="4" t="s">
        <v>17</v>
      </c>
      <c r="F2113" s="4" t="s">
        <v>23</v>
      </c>
      <c r="G2113" s="4" t="s">
        <v>38</v>
      </c>
      <c r="H2113" s="4">
        <v>7</v>
      </c>
      <c r="I2113" s="4">
        <v>11</v>
      </c>
      <c r="J2113" s="5">
        <v>45599</v>
      </c>
      <c r="K2113" s="6">
        <v>0.67827546296296293</v>
      </c>
    </row>
    <row r="2114" spans="1:11" x14ac:dyDescent="0.25">
      <c r="A2114" s="4">
        <v>16</v>
      </c>
      <c r="B2114" s="4" t="s">
        <v>11</v>
      </c>
      <c r="C2114" s="7">
        <v>25.96</v>
      </c>
      <c r="D2114" s="4" t="s">
        <v>18</v>
      </c>
      <c r="E2114" s="4" t="s">
        <v>17</v>
      </c>
      <c r="F2114" s="4" t="s">
        <v>23</v>
      </c>
      <c r="G2114" s="4" t="s">
        <v>38</v>
      </c>
      <c r="H2114" s="4">
        <v>7</v>
      </c>
      <c r="I2114" s="4">
        <v>11</v>
      </c>
      <c r="J2114" s="5">
        <v>45599</v>
      </c>
      <c r="K2114" s="6">
        <v>0.68098379629629635</v>
      </c>
    </row>
    <row r="2115" spans="1:11" x14ac:dyDescent="0.25">
      <c r="A2115" s="4">
        <v>16</v>
      </c>
      <c r="B2115" s="4" t="s">
        <v>11</v>
      </c>
      <c r="C2115" s="7">
        <v>25.96</v>
      </c>
      <c r="D2115" s="4" t="s">
        <v>18</v>
      </c>
      <c r="E2115" s="4" t="s">
        <v>17</v>
      </c>
      <c r="F2115" s="4" t="s">
        <v>23</v>
      </c>
      <c r="G2115" s="4" t="s">
        <v>38</v>
      </c>
      <c r="H2115" s="4">
        <v>7</v>
      </c>
      <c r="I2115" s="4">
        <v>11</v>
      </c>
      <c r="J2115" s="5">
        <v>45599</v>
      </c>
      <c r="K2115" s="6">
        <v>0.68178240740740736</v>
      </c>
    </row>
    <row r="2116" spans="1:11" x14ac:dyDescent="0.25">
      <c r="A2116" s="4">
        <v>20</v>
      </c>
      <c r="B2116" s="4" t="s">
        <v>11</v>
      </c>
      <c r="C2116" s="7">
        <v>35.76</v>
      </c>
      <c r="D2116" s="4" t="s">
        <v>21</v>
      </c>
      <c r="E2116" s="4" t="s">
        <v>20</v>
      </c>
      <c r="F2116" s="4" t="s">
        <v>23</v>
      </c>
      <c r="G2116" s="4" t="s">
        <v>38</v>
      </c>
      <c r="H2116" s="4">
        <v>7</v>
      </c>
      <c r="I2116" s="4">
        <v>11</v>
      </c>
      <c r="J2116" s="5">
        <v>45599</v>
      </c>
      <c r="K2116" s="6">
        <v>0.85155092592592596</v>
      </c>
    </row>
    <row r="2117" spans="1:11" x14ac:dyDescent="0.25">
      <c r="A2117" s="4">
        <v>7</v>
      </c>
      <c r="B2117" s="4" t="s">
        <v>11</v>
      </c>
      <c r="C2117" s="7">
        <v>35.76</v>
      </c>
      <c r="D2117" s="4" t="s">
        <v>12</v>
      </c>
      <c r="E2117" s="4" t="s">
        <v>13</v>
      </c>
      <c r="F2117" s="4" t="s">
        <v>25</v>
      </c>
      <c r="G2117" s="4" t="s">
        <v>38</v>
      </c>
      <c r="H2117" s="4">
        <v>1</v>
      </c>
      <c r="I2117" s="4">
        <v>11</v>
      </c>
      <c r="J2117" s="5">
        <v>45600</v>
      </c>
      <c r="K2117" s="6">
        <v>0.32194444444444442</v>
      </c>
    </row>
    <row r="2118" spans="1:11" x14ac:dyDescent="0.25">
      <c r="A2118" s="4">
        <v>8</v>
      </c>
      <c r="B2118" s="4" t="s">
        <v>11</v>
      </c>
      <c r="C2118" s="7">
        <v>35.76</v>
      </c>
      <c r="D2118" s="4" t="s">
        <v>12</v>
      </c>
      <c r="E2118" s="4" t="s">
        <v>13</v>
      </c>
      <c r="F2118" s="4" t="s">
        <v>25</v>
      </c>
      <c r="G2118" s="4" t="s">
        <v>38</v>
      </c>
      <c r="H2118" s="4">
        <v>1</v>
      </c>
      <c r="I2118" s="4">
        <v>11</v>
      </c>
      <c r="J2118" s="5">
        <v>45600</v>
      </c>
      <c r="K2118" s="6">
        <v>0.35940972222222223</v>
      </c>
    </row>
    <row r="2119" spans="1:11" x14ac:dyDescent="0.25">
      <c r="A2119" s="4">
        <v>8</v>
      </c>
      <c r="B2119" s="4" t="s">
        <v>11</v>
      </c>
      <c r="C2119" s="7">
        <v>30.86</v>
      </c>
      <c r="D2119" s="4" t="s">
        <v>19</v>
      </c>
      <c r="E2119" s="4" t="s">
        <v>13</v>
      </c>
      <c r="F2119" s="4" t="s">
        <v>25</v>
      </c>
      <c r="G2119" s="4" t="s">
        <v>38</v>
      </c>
      <c r="H2119" s="4">
        <v>1</v>
      </c>
      <c r="I2119" s="4">
        <v>11</v>
      </c>
      <c r="J2119" s="5">
        <v>45600</v>
      </c>
      <c r="K2119" s="6">
        <v>0.36039351851851853</v>
      </c>
    </row>
    <row r="2120" spans="1:11" x14ac:dyDescent="0.25">
      <c r="A2120" s="4">
        <v>12</v>
      </c>
      <c r="B2120" s="4" t="s">
        <v>11</v>
      </c>
      <c r="C2120" s="7">
        <v>25.96</v>
      </c>
      <c r="D2120" s="4" t="s">
        <v>18</v>
      </c>
      <c r="E2120" s="4" t="s">
        <v>17</v>
      </c>
      <c r="F2120" s="4" t="s">
        <v>25</v>
      </c>
      <c r="G2120" s="4" t="s">
        <v>38</v>
      </c>
      <c r="H2120" s="4">
        <v>1</v>
      </c>
      <c r="I2120" s="4">
        <v>11</v>
      </c>
      <c r="J2120" s="5">
        <v>45600</v>
      </c>
      <c r="K2120" s="6">
        <v>0.52332175925925928</v>
      </c>
    </row>
    <row r="2121" spans="1:11" x14ac:dyDescent="0.25">
      <c r="A2121" s="4">
        <v>12</v>
      </c>
      <c r="B2121" s="4" t="s">
        <v>11</v>
      </c>
      <c r="C2121" s="7">
        <v>30.86</v>
      </c>
      <c r="D2121" s="4" t="s">
        <v>19</v>
      </c>
      <c r="E2121" s="4" t="s">
        <v>17</v>
      </c>
      <c r="F2121" s="4" t="s">
        <v>25</v>
      </c>
      <c r="G2121" s="4" t="s">
        <v>38</v>
      </c>
      <c r="H2121" s="4">
        <v>1</v>
      </c>
      <c r="I2121" s="4">
        <v>11</v>
      </c>
      <c r="J2121" s="5">
        <v>45600</v>
      </c>
      <c r="K2121" s="6">
        <v>0.52437500000000004</v>
      </c>
    </row>
    <row r="2122" spans="1:11" x14ac:dyDescent="0.25">
      <c r="A2122" s="4">
        <v>14</v>
      </c>
      <c r="B2122" s="4" t="s">
        <v>11</v>
      </c>
      <c r="C2122" s="7">
        <v>35.76</v>
      </c>
      <c r="D2122" s="4" t="s">
        <v>21</v>
      </c>
      <c r="E2122" s="4" t="s">
        <v>17</v>
      </c>
      <c r="F2122" s="4" t="s">
        <v>25</v>
      </c>
      <c r="G2122" s="4" t="s">
        <v>38</v>
      </c>
      <c r="H2122" s="4">
        <v>1</v>
      </c>
      <c r="I2122" s="4">
        <v>11</v>
      </c>
      <c r="J2122" s="5">
        <v>45600</v>
      </c>
      <c r="K2122" s="6">
        <v>0.61432870370370374</v>
      </c>
    </row>
    <row r="2123" spans="1:11" x14ac:dyDescent="0.25">
      <c r="A2123" s="4">
        <v>14</v>
      </c>
      <c r="B2123" s="4" t="s">
        <v>11</v>
      </c>
      <c r="C2123" s="7">
        <v>35.76</v>
      </c>
      <c r="D2123" s="4" t="s">
        <v>21</v>
      </c>
      <c r="E2123" s="4" t="s">
        <v>17</v>
      </c>
      <c r="F2123" s="4" t="s">
        <v>25</v>
      </c>
      <c r="G2123" s="4" t="s">
        <v>38</v>
      </c>
      <c r="H2123" s="4">
        <v>1</v>
      </c>
      <c r="I2123" s="4">
        <v>11</v>
      </c>
      <c r="J2123" s="5">
        <v>45600</v>
      </c>
      <c r="K2123" s="6">
        <v>0.61481481481481481</v>
      </c>
    </row>
    <row r="2124" spans="1:11" x14ac:dyDescent="0.25">
      <c r="A2124" s="4">
        <v>7</v>
      </c>
      <c r="B2124" s="4" t="s">
        <v>11</v>
      </c>
      <c r="C2124" s="7">
        <v>35.76</v>
      </c>
      <c r="D2124" s="4" t="s">
        <v>21</v>
      </c>
      <c r="E2124" s="4" t="s">
        <v>13</v>
      </c>
      <c r="F2124" s="4" t="s">
        <v>27</v>
      </c>
      <c r="G2124" s="4" t="s">
        <v>38</v>
      </c>
      <c r="H2124" s="4">
        <v>2</v>
      </c>
      <c r="I2124" s="4">
        <v>11</v>
      </c>
      <c r="J2124" s="5">
        <v>45601</v>
      </c>
      <c r="K2124" s="6">
        <v>0.32605324074074077</v>
      </c>
    </row>
    <row r="2125" spans="1:11" x14ac:dyDescent="0.25">
      <c r="A2125" s="4">
        <v>9</v>
      </c>
      <c r="B2125" s="4" t="s">
        <v>11</v>
      </c>
      <c r="C2125" s="7">
        <v>30.86</v>
      </c>
      <c r="D2125" s="4" t="s">
        <v>19</v>
      </c>
      <c r="E2125" s="4" t="s">
        <v>13</v>
      </c>
      <c r="F2125" s="4" t="s">
        <v>27</v>
      </c>
      <c r="G2125" s="4" t="s">
        <v>38</v>
      </c>
      <c r="H2125" s="4">
        <v>2</v>
      </c>
      <c r="I2125" s="4">
        <v>11</v>
      </c>
      <c r="J2125" s="5">
        <v>45601</v>
      </c>
      <c r="K2125" s="6">
        <v>0.37894675925925925</v>
      </c>
    </row>
    <row r="2126" spans="1:11" x14ac:dyDescent="0.25">
      <c r="A2126" s="4">
        <v>9</v>
      </c>
      <c r="B2126" s="4" t="s">
        <v>11</v>
      </c>
      <c r="C2126" s="7">
        <v>35.76</v>
      </c>
      <c r="D2126" s="4" t="s">
        <v>29</v>
      </c>
      <c r="E2126" s="4" t="s">
        <v>13</v>
      </c>
      <c r="F2126" s="4" t="s">
        <v>27</v>
      </c>
      <c r="G2126" s="4" t="s">
        <v>38</v>
      </c>
      <c r="H2126" s="4">
        <v>2</v>
      </c>
      <c r="I2126" s="4">
        <v>11</v>
      </c>
      <c r="J2126" s="5">
        <v>45601</v>
      </c>
      <c r="K2126" s="6">
        <v>0.38347222222222221</v>
      </c>
    </row>
    <row r="2127" spans="1:11" x14ac:dyDescent="0.25">
      <c r="A2127" s="4">
        <v>9</v>
      </c>
      <c r="B2127" s="4" t="s">
        <v>11</v>
      </c>
      <c r="C2127" s="7">
        <v>30.86</v>
      </c>
      <c r="D2127" s="4" t="s">
        <v>19</v>
      </c>
      <c r="E2127" s="4" t="s">
        <v>13</v>
      </c>
      <c r="F2127" s="4" t="s">
        <v>27</v>
      </c>
      <c r="G2127" s="4" t="s">
        <v>38</v>
      </c>
      <c r="H2127" s="4">
        <v>2</v>
      </c>
      <c r="I2127" s="4">
        <v>11</v>
      </c>
      <c r="J2127" s="5">
        <v>45601</v>
      </c>
      <c r="K2127" s="6">
        <v>0.38449074074074074</v>
      </c>
    </row>
    <row r="2128" spans="1:11" x14ac:dyDescent="0.25">
      <c r="A2128" s="4">
        <v>10</v>
      </c>
      <c r="B2128" s="4" t="s">
        <v>11</v>
      </c>
      <c r="C2128" s="7">
        <v>30.86</v>
      </c>
      <c r="D2128" s="4" t="s">
        <v>19</v>
      </c>
      <c r="E2128" s="4" t="s">
        <v>13</v>
      </c>
      <c r="F2128" s="4" t="s">
        <v>27</v>
      </c>
      <c r="G2128" s="4" t="s">
        <v>38</v>
      </c>
      <c r="H2128" s="4">
        <v>2</v>
      </c>
      <c r="I2128" s="4">
        <v>11</v>
      </c>
      <c r="J2128" s="5">
        <v>45601</v>
      </c>
      <c r="K2128" s="6">
        <v>0.44564814814814813</v>
      </c>
    </row>
    <row r="2129" spans="1:11" x14ac:dyDescent="0.25">
      <c r="A2129" s="4">
        <v>11</v>
      </c>
      <c r="B2129" s="4" t="s">
        <v>11</v>
      </c>
      <c r="C2129" s="7">
        <v>35.76</v>
      </c>
      <c r="D2129" s="4" t="s">
        <v>21</v>
      </c>
      <c r="E2129" s="4" t="s">
        <v>13</v>
      </c>
      <c r="F2129" s="4" t="s">
        <v>27</v>
      </c>
      <c r="G2129" s="4" t="s">
        <v>38</v>
      </c>
      <c r="H2129" s="4">
        <v>2</v>
      </c>
      <c r="I2129" s="4">
        <v>11</v>
      </c>
      <c r="J2129" s="5">
        <v>45601</v>
      </c>
      <c r="K2129" s="6">
        <v>0.49130787037037038</v>
      </c>
    </row>
    <row r="2130" spans="1:11" x14ac:dyDescent="0.25">
      <c r="A2130" s="4">
        <v>11</v>
      </c>
      <c r="B2130" s="4" t="s">
        <v>11</v>
      </c>
      <c r="C2130" s="7">
        <v>35.76</v>
      </c>
      <c r="D2130" s="4" t="s">
        <v>12</v>
      </c>
      <c r="E2130" s="4" t="s">
        <v>13</v>
      </c>
      <c r="F2130" s="4" t="s">
        <v>27</v>
      </c>
      <c r="G2130" s="4" t="s">
        <v>38</v>
      </c>
      <c r="H2130" s="4">
        <v>2</v>
      </c>
      <c r="I2130" s="4">
        <v>11</v>
      </c>
      <c r="J2130" s="5">
        <v>45601</v>
      </c>
      <c r="K2130" s="6">
        <v>0.49192129629629627</v>
      </c>
    </row>
    <row r="2131" spans="1:11" x14ac:dyDescent="0.25">
      <c r="A2131" s="4">
        <v>14</v>
      </c>
      <c r="B2131" s="4" t="s">
        <v>11</v>
      </c>
      <c r="C2131" s="7">
        <v>35.76</v>
      </c>
      <c r="D2131" s="4" t="s">
        <v>12</v>
      </c>
      <c r="E2131" s="4" t="s">
        <v>17</v>
      </c>
      <c r="F2131" s="4" t="s">
        <v>27</v>
      </c>
      <c r="G2131" s="4" t="s">
        <v>38</v>
      </c>
      <c r="H2131" s="4">
        <v>2</v>
      </c>
      <c r="I2131" s="4">
        <v>11</v>
      </c>
      <c r="J2131" s="5">
        <v>45601</v>
      </c>
      <c r="K2131" s="6">
        <v>0.60876157407407405</v>
      </c>
    </row>
    <row r="2132" spans="1:11" x14ac:dyDescent="0.25">
      <c r="A2132" s="4">
        <v>14</v>
      </c>
      <c r="B2132" s="4" t="s">
        <v>11</v>
      </c>
      <c r="C2132" s="7">
        <v>35.76</v>
      </c>
      <c r="D2132" s="4" t="s">
        <v>12</v>
      </c>
      <c r="E2132" s="4" t="s">
        <v>17</v>
      </c>
      <c r="F2132" s="4" t="s">
        <v>27</v>
      </c>
      <c r="G2132" s="4" t="s">
        <v>38</v>
      </c>
      <c r="H2132" s="4">
        <v>2</v>
      </c>
      <c r="I2132" s="4">
        <v>11</v>
      </c>
      <c r="J2132" s="5">
        <v>45601</v>
      </c>
      <c r="K2132" s="6">
        <v>0.61236111111111113</v>
      </c>
    </row>
    <row r="2133" spans="1:11" x14ac:dyDescent="0.25">
      <c r="A2133" s="4">
        <v>18</v>
      </c>
      <c r="B2133" s="4" t="s">
        <v>11</v>
      </c>
      <c r="C2133" s="7">
        <v>35.76</v>
      </c>
      <c r="D2133" s="4" t="s">
        <v>29</v>
      </c>
      <c r="E2133" s="4" t="s">
        <v>20</v>
      </c>
      <c r="F2133" s="4" t="s">
        <v>27</v>
      </c>
      <c r="G2133" s="4" t="s">
        <v>38</v>
      </c>
      <c r="H2133" s="4">
        <v>2</v>
      </c>
      <c r="I2133" s="4">
        <v>11</v>
      </c>
      <c r="J2133" s="5">
        <v>45601</v>
      </c>
      <c r="K2133" s="6">
        <v>0.78675925925925927</v>
      </c>
    </row>
    <row r="2134" spans="1:11" x14ac:dyDescent="0.25">
      <c r="A2134" s="4">
        <v>18</v>
      </c>
      <c r="B2134" s="4" t="s">
        <v>11</v>
      </c>
      <c r="C2134" s="7">
        <v>35.76</v>
      </c>
      <c r="D2134" s="4" t="s">
        <v>29</v>
      </c>
      <c r="E2134" s="4" t="s">
        <v>20</v>
      </c>
      <c r="F2134" s="4" t="s">
        <v>27</v>
      </c>
      <c r="G2134" s="4" t="s">
        <v>38</v>
      </c>
      <c r="H2134" s="4">
        <v>2</v>
      </c>
      <c r="I2134" s="4">
        <v>11</v>
      </c>
      <c r="J2134" s="5">
        <v>45601</v>
      </c>
      <c r="K2134" s="6">
        <v>0.7876157407407407</v>
      </c>
    </row>
    <row r="2135" spans="1:11" x14ac:dyDescent="0.25">
      <c r="A2135" s="4">
        <v>18</v>
      </c>
      <c r="B2135" s="4" t="s">
        <v>11</v>
      </c>
      <c r="C2135" s="7">
        <v>35.76</v>
      </c>
      <c r="D2135" s="4" t="s">
        <v>29</v>
      </c>
      <c r="E2135" s="4" t="s">
        <v>20</v>
      </c>
      <c r="F2135" s="4" t="s">
        <v>27</v>
      </c>
      <c r="G2135" s="4" t="s">
        <v>38</v>
      </c>
      <c r="H2135" s="4">
        <v>2</v>
      </c>
      <c r="I2135" s="4">
        <v>11</v>
      </c>
      <c r="J2135" s="5">
        <v>45601</v>
      </c>
      <c r="K2135" s="6">
        <v>0.78840277777777779</v>
      </c>
    </row>
    <row r="2136" spans="1:11" x14ac:dyDescent="0.25">
      <c r="A2136" s="4">
        <v>21</v>
      </c>
      <c r="B2136" s="4" t="s">
        <v>11</v>
      </c>
      <c r="C2136" s="7">
        <v>35.76</v>
      </c>
      <c r="D2136" s="4" t="s">
        <v>21</v>
      </c>
      <c r="E2136" s="4" t="s">
        <v>20</v>
      </c>
      <c r="F2136" s="4" t="s">
        <v>27</v>
      </c>
      <c r="G2136" s="4" t="s">
        <v>38</v>
      </c>
      <c r="H2136" s="4">
        <v>2</v>
      </c>
      <c r="I2136" s="4">
        <v>11</v>
      </c>
      <c r="J2136" s="5">
        <v>45601</v>
      </c>
      <c r="K2136" s="6">
        <v>0.90328703703703705</v>
      </c>
    </row>
    <row r="2137" spans="1:11" x14ac:dyDescent="0.25">
      <c r="A2137" s="4">
        <v>21</v>
      </c>
      <c r="B2137" s="4" t="s">
        <v>11</v>
      </c>
      <c r="C2137" s="7">
        <v>35.76</v>
      </c>
      <c r="D2137" s="4" t="s">
        <v>21</v>
      </c>
      <c r="E2137" s="4" t="s">
        <v>20</v>
      </c>
      <c r="F2137" s="4" t="s">
        <v>27</v>
      </c>
      <c r="G2137" s="4" t="s">
        <v>38</v>
      </c>
      <c r="H2137" s="4">
        <v>2</v>
      </c>
      <c r="I2137" s="4">
        <v>11</v>
      </c>
      <c r="J2137" s="5">
        <v>45601</v>
      </c>
      <c r="K2137" s="6">
        <v>0.90418981481481486</v>
      </c>
    </row>
    <row r="2138" spans="1:11" x14ac:dyDescent="0.25">
      <c r="A2138" s="4">
        <v>21</v>
      </c>
      <c r="B2138" s="4" t="s">
        <v>11</v>
      </c>
      <c r="C2138" s="7">
        <v>35.76</v>
      </c>
      <c r="D2138" s="4" t="s">
        <v>16</v>
      </c>
      <c r="E2138" s="4" t="s">
        <v>20</v>
      </c>
      <c r="F2138" s="4" t="s">
        <v>27</v>
      </c>
      <c r="G2138" s="4" t="s">
        <v>38</v>
      </c>
      <c r="H2138" s="4">
        <v>2</v>
      </c>
      <c r="I2138" s="4">
        <v>11</v>
      </c>
      <c r="J2138" s="5">
        <v>45601</v>
      </c>
      <c r="K2138" s="6">
        <v>0.91271990740740738</v>
      </c>
    </row>
    <row r="2139" spans="1:11" x14ac:dyDescent="0.25">
      <c r="A2139" s="4">
        <v>22</v>
      </c>
      <c r="B2139" s="4" t="s">
        <v>11</v>
      </c>
      <c r="C2139" s="7">
        <v>35.76</v>
      </c>
      <c r="D2139" s="4" t="s">
        <v>16</v>
      </c>
      <c r="E2139" s="4" t="s">
        <v>20</v>
      </c>
      <c r="F2139" s="4" t="s">
        <v>27</v>
      </c>
      <c r="G2139" s="4" t="s">
        <v>38</v>
      </c>
      <c r="H2139" s="4">
        <v>2</v>
      </c>
      <c r="I2139" s="4">
        <v>11</v>
      </c>
      <c r="J2139" s="5">
        <v>45601</v>
      </c>
      <c r="K2139" s="6">
        <v>0.92071759259259256</v>
      </c>
    </row>
    <row r="2140" spans="1:11" x14ac:dyDescent="0.25">
      <c r="A2140" s="4">
        <v>22</v>
      </c>
      <c r="B2140" s="4" t="s">
        <v>11</v>
      </c>
      <c r="C2140" s="7">
        <v>30.86</v>
      </c>
      <c r="D2140" s="4" t="s">
        <v>19</v>
      </c>
      <c r="E2140" s="4" t="s">
        <v>20</v>
      </c>
      <c r="F2140" s="4" t="s">
        <v>27</v>
      </c>
      <c r="G2140" s="4" t="s">
        <v>38</v>
      </c>
      <c r="H2140" s="4">
        <v>2</v>
      </c>
      <c r="I2140" s="4">
        <v>11</v>
      </c>
      <c r="J2140" s="5">
        <v>45601</v>
      </c>
      <c r="K2140" s="6">
        <v>0.9212731481481482</v>
      </c>
    </row>
    <row r="2141" spans="1:11" x14ac:dyDescent="0.25">
      <c r="A2141" s="4">
        <v>8</v>
      </c>
      <c r="B2141" s="4" t="s">
        <v>11</v>
      </c>
      <c r="C2141" s="7">
        <v>35.76</v>
      </c>
      <c r="D2141" s="4" t="s">
        <v>12</v>
      </c>
      <c r="E2141" s="4" t="s">
        <v>13</v>
      </c>
      <c r="F2141" s="4" t="s">
        <v>28</v>
      </c>
      <c r="G2141" s="4" t="s">
        <v>38</v>
      </c>
      <c r="H2141" s="4">
        <v>3</v>
      </c>
      <c r="I2141" s="4">
        <v>11</v>
      </c>
      <c r="J2141" s="5">
        <v>45602</v>
      </c>
      <c r="K2141" s="6">
        <v>0.34126157407407409</v>
      </c>
    </row>
    <row r="2142" spans="1:11" x14ac:dyDescent="0.25">
      <c r="A2142" s="4">
        <v>11</v>
      </c>
      <c r="B2142" s="4" t="s">
        <v>11</v>
      </c>
      <c r="C2142" s="7">
        <v>21.06</v>
      </c>
      <c r="D2142" s="4" t="s">
        <v>26</v>
      </c>
      <c r="E2142" s="4" t="s">
        <v>13</v>
      </c>
      <c r="F2142" s="4" t="s">
        <v>28</v>
      </c>
      <c r="G2142" s="4" t="s">
        <v>38</v>
      </c>
      <c r="H2142" s="4">
        <v>3</v>
      </c>
      <c r="I2142" s="4">
        <v>11</v>
      </c>
      <c r="J2142" s="5">
        <v>45602</v>
      </c>
      <c r="K2142" s="6">
        <v>0.48994212962962963</v>
      </c>
    </row>
    <row r="2143" spans="1:11" x14ac:dyDescent="0.25">
      <c r="A2143" s="4">
        <v>13</v>
      </c>
      <c r="B2143" s="4" t="s">
        <v>11</v>
      </c>
      <c r="C2143" s="7">
        <v>25.96</v>
      </c>
      <c r="D2143" s="4" t="s">
        <v>18</v>
      </c>
      <c r="E2143" s="4" t="s">
        <v>17</v>
      </c>
      <c r="F2143" s="4" t="s">
        <v>28</v>
      </c>
      <c r="G2143" s="4" t="s">
        <v>38</v>
      </c>
      <c r="H2143" s="4">
        <v>3</v>
      </c>
      <c r="I2143" s="4">
        <v>11</v>
      </c>
      <c r="J2143" s="5">
        <v>45602</v>
      </c>
      <c r="K2143" s="6">
        <v>0.55245370370370372</v>
      </c>
    </row>
    <row r="2144" spans="1:11" x14ac:dyDescent="0.25">
      <c r="A2144" s="4">
        <v>15</v>
      </c>
      <c r="B2144" s="4" t="s">
        <v>11</v>
      </c>
      <c r="C2144" s="7">
        <v>35.76</v>
      </c>
      <c r="D2144" s="4" t="s">
        <v>29</v>
      </c>
      <c r="E2144" s="4" t="s">
        <v>17</v>
      </c>
      <c r="F2144" s="4" t="s">
        <v>28</v>
      </c>
      <c r="G2144" s="4" t="s">
        <v>38</v>
      </c>
      <c r="H2144" s="4">
        <v>3</v>
      </c>
      <c r="I2144" s="4">
        <v>11</v>
      </c>
      <c r="J2144" s="5">
        <v>45602</v>
      </c>
      <c r="K2144" s="6">
        <v>0.65574074074074074</v>
      </c>
    </row>
    <row r="2145" spans="1:11" x14ac:dyDescent="0.25">
      <c r="A2145" s="4">
        <v>16</v>
      </c>
      <c r="B2145" s="4" t="s">
        <v>11</v>
      </c>
      <c r="C2145" s="7">
        <v>35.76</v>
      </c>
      <c r="D2145" s="4" t="s">
        <v>12</v>
      </c>
      <c r="E2145" s="4" t="s">
        <v>17</v>
      </c>
      <c r="F2145" s="4" t="s">
        <v>28</v>
      </c>
      <c r="G2145" s="4" t="s">
        <v>38</v>
      </c>
      <c r="H2145" s="4">
        <v>3</v>
      </c>
      <c r="I2145" s="4">
        <v>11</v>
      </c>
      <c r="J2145" s="5">
        <v>45602</v>
      </c>
      <c r="K2145" s="6">
        <v>0.66716435185185186</v>
      </c>
    </row>
    <row r="2146" spans="1:11" x14ac:dyDescent="0.25">
      <c r="A2146" s="4">
        <v>16</v>
      </c>
      <c r="B2146" s="4" t="s">
        <v>11</v>
      </c>
      <c r="C2146" s="7">
        <v>35.76</v>
      </c>
      <c r="D2146" s="4" t="s">
        <v>29</v>
      </c>
      <c r="E2146" s="4" t="s">
        <v>17</v>
      </c>
      <c r="F2146" s="4" t="s">
        <v>28</v>
      </c>
      <c r="G2146" s="4" t="s">
        <v>38</v>
      </c>
      <c r="H2146" s="4">
        <v>3</v>
      </c>
      <c r="I2146" s="4">
        <v>11</v>
      </c>
      <c r="J2146" s="5">
        <v>45602</v>
      </c>
      <c r="K2146" s="6">
        <v>0.66811342592592593</v>
      </c>
    </row>
    <row r="2147" spans="1:11" x14ac:dyDescent="0.25">
      <c r="A2147" s="4">
        <v>18</v>
      </c>
      <c r="B2147" s="4" t="s">
        <v>11</v>
      </c>
      <c r="C2147" s="7">
        <v>35.76</v>
      </c>
      <c r="D2147" s="4" t="s">
        <v>16</v>
      </c>
      <c r="E2147" s="4" t="s">
        <v>20</v>
      </c>
      <c r="F2147" s="4" t="s">
        <v>28</v>
      </c>
      <c r="G2147" s="4" t="s">
        <v>38</v>
      </c>
      <c r="H2147" s="4">
        <v>3</v>
      </c>
      <c r="I2147" s="4">
        <v>11</v>
      </c>
      <c r="J2147" s="5">
        <v>45602</v>
      </c>
      <c r="K2147" s="6">
        <v>0.77826388888888887</v>
      </c>
    </row>
    <row r="2148" spans="1:11" x14ac:dyDescent="0.25">
      <c r="A2148" s="4">
        <v>18</v>
      </c>
      <c r="B2148" s="4" t="s">
        <v>11</v>
      </c>
      <c r="C2148" s="7">
        <v>35.76</v>
      </c>
      <c r="D2148" s="4" t="s">
        <v>16</v>
      </c>
      <c r="E2148" s="4" t="s">
        <v>20</v>
      </c>
      <c r="F2148" s="4" t="s">
        <v>28</v>
      </c>
      <c r="G2148" s="4" t="s">
        <v>38</v>
      </c>
      <c r="H2148" s="4">
        <v>3</v>
      </c>
      <c r="I2148" s="4">
        <v>11</v>
      </c>
      <c r="J2148" s="5">
        <v>45602</v>
      </c>
      <c r="K2148" s="6">
        <v>0.7788194444444444</v>
      </c>
    </row>
    <row r="2149" spans="1:11" x14ac:dyDescent="0.25">
      <c r="A2149" s="4">
        <v>12</v>
      </c>
      <c r="B2149" s="4" t="s">
        <v>11</v>
      </c>
      <c r="C2149" s="7">
        <v>35.76</v>
      </c>
      <c r="D2149" s="4" t="s">
        <v>12</v>
      </c>
      <c r="E2149" s="4" t="s">
        <v>17</v>
      </c>
      <c r="F2149" s="4" t="s">
        <v>30</v>
      </c>
      <c r="G2149" s="4" t="s">
        <v>38</v>
      </c>
      <c r="H2149" s="4">
        <v>4</v>
      </c>
      <c r="I2149" s="4">
        <v>11</v>
      </c>
      <c r="J2149" s="5">
        <v>45603</v>
      </c>
      <c r="K2149" s="6">
        <v>0.51197916666666665</v>
      </c>
    </row>
    <row r="2150" spans="1:11" x14ac:dyDescent="0.25">
      <c r="A2150" s="4">
        <v>15</v>
      </c>
      <c r="B2150" s="4" t="s">
        <v>11</v>
      </c>
      <c r="C2150" s="7">
        <v>25.96</v>
      </c>
      <c r="D2150" s="4" t="s">
        <v>18</v>
      </c>
      <c r="E2150" s="4" t="s">
        <v>17</v>
      </c>
      <c r="F2150" s="4" t="s">
        <v>30</v>
      </c>
      <c r="G2150" s="4" t="s">
        <v>38</v>
      </c>
      <c r="H2150" s="4">
        <v>4</v>
      </c>
      <c r="I2150" s="4">
        <v>11</v>
      </c>
      <c r="J2150" s="5">
        <v>45603</v>
      </c>
      <c r="K2150" s="6">
        <v>0.65983796296296293</v>
      </c>
    </row>
    <row r="2151" spans="1:11" x14ac:dyDescent="0.25">
      <c r="A2151" s="4">
        <v>16</v>
      </c>
      <c r="B2151" s="4" t="s">
        <v>11</v>
      </c>
      <c r="C2151" s="7">
        <v>25.96</v>
      </c>
      <c r="D2151" s="4" t="s">
        <v>18</v>
      </c>
      <c r="E2151" s="4" t="s">
        <v>17</v>
      </c>
      <c r="F2151" s="4" t="s">
        <v>30</v>
      </c>
      <c r="G2151" s="4" t="s">
        <v>38</v>
      </c>
      <c r="H2151" s="4">
        <v>4</v>
      </c>
      <c r="I2151" s="4">
        <v>11</v>
      </c>
      <c r="J2151" s="5">
        <v>45603</v>
      </c>
      <c r="K2151" s="6">
        <v>0.69420138888888894</v>
      </c>
    </row>
    <row r="2152" spans="1:11" x14ac:dyDescent="0.25">
      <c r="A2152" s="4">
        <v>18</v>
      </c>
      <c r="B2152" s="4" t="s">
        <v>11</v>
      </c>
      <c r="C2152" s="7">
        <v>35.76</v>
      </c>
      <c r="D2152" s="4" t="s">
        <v>21</v>
      </c>
      <c r="E2152" s="4" t="s">
        <v>20</v>
      </c>
      <c r="F2152" s="4" t="s">
        <v>30</v>
      </c>
      <c r="G2152" s="4" t="s">
        <v>38</v>
      </c>
      <c r="H2152" s="4">
        <v>4</v>
      </c>
      <c r="I2152" s="4">
        <v>11</v>
      </c>
      <c r="J2152" s="5">
        <v>45603</v>
      </c>
      <c r="K2152" s="6">
        <v>0.76218750000000002</v>
      </c>
    </row>
    <row r="2153" spans="1:11" x14ac:dyDescent="0.25">
      <c r="A2153" s="4">
        <v>19</v>
      </c>
      <c r="B2153" s="4" t="s">
        <v>11</v>
      </c>
      <c r="C2153" s="7">
        <v>35.76</v>
      </c>
      <c r="D2153" s="4" t="s">
        <v>16</v>
      </c>
      <c r="E2153" s="4" t="s">
        <v>20</v>
      </c>
      <c r="F2153" s="4" t="s">
        <v>30</v>
      </c>
      <c r="G2153" s="4" t="s">
        <v>38</v>
      </c>
      <c r="H2153" s="4">
        <v>4</v>
      </c>
      <c r="I2153" s="4">
        <v>11</v>
      </c>
      <c r="J2153" s="5">
        <v>45603</v>
      </c>
      <c r="K2153" s="6">
        <v>0.80571759259259257</v>
      </c>
    </row>
    <row r="2154" spans="1:11" x14ac:dyDescent="0.25">
      <c r="A2154" s="4">
        <v>19</v>
      </c>
      <c r="B2154" s="4" t="s">
        <v>11</v>
      </c>
      <c r="C2154" s="7">
        <v>35.76</v>
      </c>
      <c r="D2154" s="4" t="s">
        <v>12</v>
      </c>
      <c r="E2154" s="4" t="s">
        <v>20</v>
      </c>
      <c r="F2154" s="4" t="s">
        <v>30</v>
      </c>
      <c r="G2154" s="4" t="s">
        <v>38</v>
      </c>
      <c r="H2154" s="4">
        <v>4</v>
      </c>
      <c r="I2154" s="4">
        <v>11</v>
      </c>
      <c r="J2154" s="5">
        <v>45603</v>
      </c>
      <c r="K2154" s="6">
        <v>0.80668981481481483</v>
      </c>
    </row>
    <row r="2155" spans="1:11" x14ac:dyDescent="0.25">
      <c r="A2155" s="4">
        <v>20</v>
      </c>
      <c r="B2155" s="4" t="s">
        <v>11</v>
      </c>
      <c r="C2155" s="7">
        <v>35.76</v>
      </c>
      <c r="D2155" s="4" t="s">
        <v>12</v>
      </c>
      <c r="E2155" s="4" t="s">
        <v>20</v>
      </c>
      <c r="F2155" s="4" t="s">
        <v>30</v>
      </c>
      <c r="G2155" s="4" t="s">
        <v>38</v>
      </c>
      <c r="H2155" s="4">
        <v>4</v>
      </c>
      <c r="I2155" s="4">
        <v>11</v>
      </c>
      <c r="J2155" s="5">
        <v>45603</v>
      </c>
      <c r="K2155" s="6">
        <v>0.83506944444444442</v>
      </c>
    </row>
    <row r="2156" spans="1:11" x14ac:dyDescent="0.25">
      <c r="A2156" s="4">
        <v>9</v>
      </c>
      <c r="B2156" s="4" t="s">
        <v>11</v>
      </c>
      <c r="C2156" s="7">
        <v>30.86</v>
      </c>
      <c r="D2156" s="4" t="s">
        <v>19</v>
      </c>
      <c r="E2156" s="4" t="s">
        <v>13</v>
      </c>
      <c r="F2156" s="4" t="s">
        <v>14</v>
      </c>
      <c r="G2156" s="4" t="s">
        <v>38</v>
      </c>
      <c r="H2156" s="4">
        <v>5</v>
      </c>
      <c r="I2156" s="4">
        <v>11</v>
      </c>
      <c r="J2156" s="5">
        <v>45604</v>
      </c>
      <c r="K2156" s="6">
        <v>0.37895833333333334</v>
      </c>
    </row>
    <row r="2157" spans="1:11" x14ac:dyDescent="0.25">
      <c r="A2157" s="4">
        <v>9</v>
      </c>
      <c r="B2157" s="4" t="s">
        <v>11</v>
      </c>
      <c r="C2157" s="7">
        <v>25.96</v>
      </c>
      <c r="D2157" s="4" t="s">
        <v>18</v>
      </c>
      <c r="E2157" s="4" t="s">
        <v>13</v>
      </c>
      <c r="F2157" s="4" t="s">
        <v>14</v>
      </c>
      <c r="G2157" s="4" t="s">
        <v>38</v>
      </c>
      <c r="H2157" s="4">
        <v>5</v>
      </c>
      <c r="I2157" s="4">
        <v>11</v>
      </c>
      <c r="J2157" s="5">
        <v>45604</v>
      </c>
      <c r="K2157" s="6">
        <v>0.4079861111111111</v>
      </c>
    </row>
    <row r="2158" spans="1:11" x14ac:dyDescent="0.25">
      <c r="A2158" s="4">
        <v>9</v>
      </c>
      <c r="B2158" s="4" t="s">
        <v>11</v>
      </c>
      <c r="C2158" s="7">
        <v>25.96</v>
      </c>
      <c r="D2158" s="4" t="s">
        <v>18</v>
      </c>
      <c r="E2158" s="4" t="s">
        <v>13</v>
      </c>
      <c r="F2158" s="4" t="s">
        <v>14</v>
      </c>
      <c r="G2158" s="4" t="s">
        <v>38</v>
      </c>
      <c r="H2158" s="4">
        <v>5</v>
      </c>
      <c r="I2158" s="4">
        <v>11</v>
      </c>
      <c r="J2158" s="5">
        <v>45604</v>
      </c>
      <c r="K2158" s="6">
        <v>0.40901620370370373</v>
      </c>
    </row>
    <row r="2159" spans="1:11" x14ac:dyDescent="0.25">
      <c r="A2159" s="4">
        <v>11</v>
      </c>
      <c r="B2159" s="4" t="s">
        <v>11</v>
      </c>
      <c r="C2159" s="7">
        <v>35.76</v>
      </c>
      <c r="D2159" s="4" t="s">
        <v>29</v>
      </c>
      <c r="E2159" s="4" t="s">
        <v>13</v>
      </c>
      <c r="F2159" s="4" t="s">
        <v>14</v>
      </c>
      <c r="G2159" s="4" t="s">
        <v>38</v>
      </c>
      <c r="H2159" s="4">
        <v>5</v>
      </c>
      <c r="I2159" s="4">
        <v>11</v>
      </c>
      <c r="J2159" s="5">
        <v>45604</v>
      </c>
      <c r="K2159" s="6">
        <v>0.49109953703703701</v>
      </c>
    </row>
    <row r="2160" spans="1:11" x14ac:dyDescent="0.25">
      <c r="A2160" s="4">
        <v>13</v>
      </c>
      <c r="B2160" s="4" t="s">
        <v>11</v>
      </c>
      <c r="C2160" s="7">
        <v>35.76</v>
      </c>
      <c r="D2160" s="4" t="s">
        <v>12</v>
      </c>
      <c r="E2160" s="4" t="s">
        <v>17</v>
      </c>
      <c r="F2160" s="4" t="s">
        <v>14</v>
      </c>
      <c r="G2160" s="4" t="s">
        <v>38</v>
      </c>
      <c r="H2160" s="4">
        <v>5</v>
      </c>
      <c r="I2160" s="4">
        <v>11</v>
      </c>
      <c r="J2160" s="5">
        <v>45604</v>
      </c>
      <c r="K2160" s="6">
        <v>0.55917824074074074</v>
      </c>
    </row>
    <row r="2161" spans="1:11" x14ac:dyDescent="0.25">
      <c r="A2161" s="4">
        <v>13</v>
      </c>
      <c r="B2161" s="4" t="s">
        <v>11</v>
      </c>
      <c r="C2161" s="7">
        <v>35.76</v>
      </c>
      <c r="D2161" s="4" t="s">
        <v>12</v>
      </c>
      <c r="E2161" s="4" t="s">
        <v>17</v>
      </c>
      <c r="F2161" s="4" t="s">
        <v>14</v>
      </c>
      <c r="G2161" s="4" t="s">
        <v>38</v>
      </c>
      <c r="H2161" s="4">
        <v>5</v>
      </c>
      <c r="I2161" s="4">
        <v>11</v>
      </c>
      <c r="J2161" s="5">
        <v>45604</v>
      </c>
      <c r="K2161" s="6">
        <v>0.55991898148148145</v>
      </c>
    </row>
    <row r="2162" spans="1:11" x14ac:dyDescent="0.25">
      <c r="A2162" s="4">
        <v>16</v>
      </c>
      <c r="B2162" s="4" t="s">
        <v>11</v>
      </c>
      <c r="C2162" s="7">
        <v>30.86</v>
      </c>
      <c r="D2162" s="4" t="s">
        <v>19</v>
      </c>
      <c r="E2162" s="4" t="s">
        <v>17</v>
      </c>
      <c r="F2162" s="4" t="s">
        <v>14</v>
      </c>
      <c r="G2162" s="4" t="s">
        <v>38</v>
      </c>
      <c r="H2162" s="4">
        <v>5</v>
      </c>
      <c r="I2162" s="4">
        <v>11</v>
      </c>
      <c r="J2162" s="5">
        <v>45604</v>
      </c>
      <c r="K2162" s="6">
        <v>0.68960648148148151</v>
      </c>
    </row>
    <row r="2163" spans="1:11" x14ac:dyDescent="0.25">
      <c r="A2163" s="4">
        <v>16</v>
      </c>
      <c r="B2163" s="4" t="s">
        <v>11</v>
      </c>
      <c r="C2163" s="7">
        <v>30.86</v>
      </c>
      <c r="D2163" s="4" t="s">
        <v>19</v>
      </c>
      <c r="E2163" s="4" t="s">
        <v>17</v>
      </c>
      <c r="F2163" s="4" t="s">
        <v>14</v>
      </c>
      <c r="G2163" s="4" t="s">
        <v>38</v>
      </c>
      <c r="H2163" s="4">
        <v>5</v>
      </c>
      <c r="I2163" s="4">
        <v>11</v>
      </c>
      <c r="J2163" s="5">
        <v>45604</v>
      </c>
      <c r="K2163" s="6">
        <v>0.70518518518518514</v>
      </c>
    </row>
    <row r="2164" spans="1:11" x14ac:dyDescent="0.25">
      <c r="A2164" s="4">
        <v>20</v>
      </c>
      <c r="B2164" s="4" t="s">
        <v>11</v>
      </c>
      <c r="C2164" s="7">
        <v>35.76</v>
      </c>
      <c r="D2164" s="4" t="s">
        <v>16</v>
      </c>
      <c r="E2164" s="4" t="s">
        <v>20</v>
      </c>
      <c r="F2164" s="4" t="s">
        <v>14</v>
      </c>
      <c r="G2164" s="4" t="s">
        <v>38</v>
      </c>
      <c r="H2164" s="4">
        <v>5</v>
      </c>
      <c r="I2164" s="4">
        <v>11</v>
      </c>
      <c r="J2164" s="5">
        <v>45604</v>
      </c>
      <c r="K2164" s="6">
        <v>0.84273148148148147</v>
      </c>
    </row>
    <row r="2165" spans="1:11" x14ac:dyDescent="0.25">
      <c r="A2165" s="4">
        <v>20</v>
      </c>
      <c r="B2165" s="4" t="s">
        <v>11</v>
      </c>
      <c r="C2165" s="7">
        <v>35.76</v>
      </c>
      <c r="D2165" s="4" t="s">
        <v>16</v>
      </c>
      <c r="E2165" s="4" t="s">
        <v>20</v>
      </c>
      <c r="F2165" s="4" t="s">
        <v>14</v>
      </c>
      <c r="G2165" s="4" t="s">
        <v>38</v>
      </c>
      <c r="H2165" s="4">
        <v>5</v>
      </c>
      <c r="I2165" s="4">
        <v>11</v>
      </c>
      <c r="J2165" s="5">
        <v>45604</v>
      </c>
      <c r="K2165" s="6">
        <v>0.84333333333333338</v>
      </c>
    </row>
    <row r="2166" spans="1:11" x14ac:dyDescent="0.25">
      <c r="A2166" s="4">
        <v>20</v>
      </c>
      <c r="B2166" s="4" t="s">
        <v>11</v>
      </c>
      <c r="C2166" s="7">
        <v>35.76</v>
      </c>
      <c r="D2166" s="4" t="s">
        <v>16</v>
      </c>
      <c r="E2166" s="4" t="s">
        <v>20</v>
      </c>
      <c r="F2166" s="4" t="s">
        <v>14</v>
      </c>
      <c r="G2166" s="4" t="s">
        <v>38</v>
      </c>
      <c r="H2166" s="4">
        <v>5</v>
      </c>
      <c r="I2166" s="4">
        <v>11</v>
      </c>
      <c r="J2166" s="5">
        <v>45604</v>
      </c>
      <c r="K2166" s="6">
        <v>0.84398148148148144</v>
      </c>
    </row>
    <row r="2167" spans="1:11" x14ac:dyDescent="0.25">
      <c r="A2167" s="4">
        <v>22</v>
      </c>
      <c r="B2167" s="4" t="s">
        <v>11</v>
      </c>
      <c r="C2167" s="7">
        <v>35.76</v>
      </c>
      <c r="D2167" s="4" t="s">
        <v>12</v>
      </c>
      <c r="E2167" s="4" t="s">
        <v>20</v>
      </c>
      <c r="F2167" s="4" t="s">
        <v>14</v>
      </c>
      <c r="G2167" s="4" t="s">
        <v>38</v>
      </c>
      <c r="H2167" s="4">
        <v>5</v>
      </c>
      <c r="I2167" s="4">
        <v>11</v>
      </c>
      <c r="J2167" s="5">
        <v>45604</v>
      </c>
      <c r="K2167" s="6">
        <v>0.93552083333333336</v>
      </c>
    </row>
    <row r="2168" spans="1:11" x14ac:dyDescent="0.25">
      <c r="A2168" s="4">
        <v>10</v>
      </c>
      <c r="B2168" s="4" t="s">
        <v>11</v>
      </c>
      <c r="C2168" s="7">
        <v>30.86</v>
      </c>
      <c r="D2168" s="4" t="s">
        <v>19</v>
      </c>
      <c r="E2168" s="4" t="s">
        <v>13</v>
      </c>
      <c r="F2168" s="4" t="s">
        <v>22</v>
      </c>
      <c r="G2168" s="4" t="s">
        <v>38</v>
      </c>
      <c r="H2168" s="4">
        <v>6</v>
      </c>
      <c r="I2168" s="4">
        <v>11</v>
      </c>
      <c r="J2168" s="5">
        <v>45605</v>
      </c>
      <c r="K2168" s="6">
        <v>0.42243055555555553</v>
      </c>
    </row>
    <row r="2169" spans="1:11" x14ac:dyDescent="0.25">
      <c r="A2169" s="4">
        <v>11</v>
      </c>
      <c r="B2169" s="4" t="s">
        <v>11</v>
      </c>
      <c r="C2169" s="7">
        <v>25.96</v>
      </c>
      <c r="D2169" s="4" t="s">
        <v>24</v>
      </c>
      <c r="E2169" s="4" t="s">
        <v>13</v>
      </c>
      <c r="F2169" s="4" t="s">
        <v>22</v>
      </c>
      <c r="G2169" s="4" t="s">
        <v>38</v>
      </c>
      <c r="H2169" s="4">
        <v>6</v>
      </c>
      <c r="I2169" s="4">
        <v>11</v>
      </c>
      <c r="J2169" s="5">
        <v>45605</v>
      </c>
      <c r="K2169" s="6">
        <v>0.45981481481481479</v>
      </c>
    </row>
    <row r="2170" spans="1:11" x14ac:dyDescent="0.25">
      <c r="A2170" s="4">
        <v>11</v>
      </c>
      <c r="B2170" s="4" t="s">
        <v>11</v>
      </c>
      <c r="C2170" s="7">
        <v>25.96</v>
      </c>
      <c r="D2170" s="4" t="s">
        <v>24</v>
      </c>
      <c r="E2170" s="4" t="s">
        <v>13</v>
      </c>
      <c r="F2170" s="4" t="s">
        <v>22</v>
      </c>
      <c r="G2170" s="4" t="s">
        <v>38</v>
      </c>
      <c r="H2170" s="4">
        <v>6</v>
      </c>
      <c r="I2170" s="4">
        <v>11</v>
      </c>
      <c r="J2170" s="5">
        <v>45605</v>
      </c>
      <c r="K2170" s="6">
        <v>0.46041666666666664</v>
      </c>
    </row>
    <row r="2171" spans="1:11" x14ac:dyDescent="0.25">
      <c r="A2171" s="4">
        <v>11</v>
      </c>
      <c r="B2171" s="4" t="s">
        <v>11</v>
      </c>
      <c r="C2171" s="7">
        <v>35.76</v>
      </c>
      <c r="D2171" s="4" t="s">
        <v>12</v>
      </c>
      <c r="E2171" s="4" t="s">
        <v>13</v>
      </c>
      <c r="F2171" s="4" t="s">
        <v>22</v>
      </c>
      <c r="G2171" s="4" t="s">
        <v>38</v>
      </c>
      <c r="H2171" s="4">
        <v>6</v>
      </c>
      <c r="I2171" s="4">
        <v>11</v>
      </c>
      <c r="J2171" s="5">
        <v>45605</v>
      </c>
      <c r="K2171" s="6">
        <v>0.46439814814814817</v>
      </c>
    </row>
    <row r="2172" spans="1:11" x14ac:dyDescent="0.25">
      <c r="A2172" s="4">
        <v>13</v>
      </c>
      <c r="B2172" s="4" t="s">
        <v>11</v>
      </c>
      <c r="C2172" s="7">
        <v>35.76</v>
      </c>
      <c r="D2172" s="4" t="s">
        <v>16</v>
      </c>
      <c r="E2172" s="4" t="s">
        <v>17</v>
      </c>
      <c r="F2172" s="4" t="s">
        <v>22</v>
      </c>
      <c r="G2172" s="4" t="s">
        <v>38</v>
      </c>
      <c r="H2172" s="4">
        <v>6</v>
      </c>
      <c r="I2172" s="4">
        <v>11</v>
      </c>
      <c r="J2172" s="5">
        <v>45605</v>
      </c>
      <c r="K2172" s="6">
        <v>0.57655092592592594</v>
      </c>
    </row>
    <row r="2173" spans="1:11" x14ac:dyDescent="0.25">
      <c r="A2173" s="4">
        <v>13</v>
      </c>
      <c r="B2173" s="4" t="s">
        <v>11</v>
      </c>
      <c r="C2173" s="7">
        <v>35.76</v>
      </c>
      <c r="D2173" s="4" t="s">
        <v>16</v>
      </c>
      <c r="E2173" s="4" t="s">
        <v>17</v>
      </c>
      <c r="F2173" s="4" t="s">
        <v>22</v>
      </c>
      <c r="G2173" s="4" t="s">
        <v>38</v>
      </c>
      <c r="H2173" s="4">
        <v>6</v>
      </c>
      <c r="I2173" s="4">
        <v>11</v>
      </c>
      <c r="J2173" s="5">
        <v>45605</v>
      </c>
      <c r="K2173" s="6">
        <v>0.57702546296296298</v>
      </c>
    </row>
    <row r="2174" spans="1:11" x14ac:dyDescent="0.25">
      <c r="A2174" s="4">
        <v>14</v>
      </c>
      <c r="B2174" s="4" t="s">
        <v>11</v>
      </c>
      <c r="C2174" s="7">
        <v>35.76</v>
      </c>
      <c r="D2174" s="4" t="s">
        <v>16</v>
      </c>
      <c r="E2174" s="4" t="s">
        <v>17</v>
      </c>
      <c r="F2174" s="4" t="s">
        <v>22</v>
      </c>
      <c r="G2174" s="4" t="s">
        <v>38</v>
      </c>
      <c r="H2174" s="4">
        <v>6</v>
      </c>
      <c r="I2174" s="4">
        <v>11</v>
      </c>
      <c r="J2174" s="5">
        <v>45605</v>
      </c>
      <c r="K2174" s="6">
        <v>0.59850694444444441</v>
      </c>
    </row>
    <row r="2175" spans="1:11" x14ac:dyDescent="0.25">
      <c r="A2175" s="4">
        <v>14</v>
      </c>
      <c r="B2175" s="4" t="s">
        <v>11</v>
      </c>
      <c r="C2175" s="7">
        <v>35.76</v>
      </c>
      <c r="D2175" s="4" t="s">
        <v>16</v>
      </c>
      <c r="E2175" s="4" t="s">
        <v>17</v>
      </c>
      <c r="F2175" s="4" t="s">
        <v>22</v>
      </c>
      <c r="G2175" s="4" t="s">
        <v>38</v>
      </c>
      <c r="H2175" s="4">
        <v>6</v>
      </c>
      <c r="I2175" s="4">
        <v>11</v>
      </c>
      <c r="J2175" s="5">
        <v>45605</v>
      </c>
      <c r="K2175" s="6">
        <v>0.59918981481481481</v>
      </c>
    </row>
    <row r="2176" spans="1:11" x14ac:dyDescent="0.25">
      <c r="A2176" s="4">
        <v>14</v>
      </c>
      <c r="B2176" s="4" t="s">
        <v>11</v>
      </c>
      <c r="C2176" s="7">
        <v>25.96</v>
      </c>
      <c r="D2176" s="4" t="s">
        <v>18</v>
      </c>
      <c r="E2176" s="4" t="s">
        <v>17</v>
      </c>
      <c r="F2176" s="4" t="s">
        <v>22</v>
      </c>
      <c r="G2176" s="4" t="s">
        <v>38</v>
      </c>
      <c r="H2176" s="4">
        <v>6</v>
      </c>
      <c r="I2176" s="4">
        <v>11</v>
      </c>
      <c r="J2176" s="5">
        <v>45605</v>
      </c>
      <c r="K2176" s="6">
        <v>0.60940972222222223</v>
      </c>
    </row>
    <row r="2177" spans="1:11" x14ac:dyDescent="0.25">
      <c r="A2177" s="4">
        <v>15</v>
      </c>
      <c r="B2177" s="4" t="s">
        <v>11</v>
      </c>
      <c r="C2177" s="7">
        <v>30.86</v>
      </c>
      <c r="D2177" s="4" t="s">
        <v>19</v>
      </c>
      <c r="E2177" s="4" t="s">
        <v>17</v>
      </c>
      <c r="F2177" s="4" t="s">
        <v>22</v>
      </c>
      <c r="G2177" s="4" t="s">
        <v>38</v>
      </c>
      <c r="H2177" s="4">
        <v>6</v>
      </c>
      <c r="I2177" s="4">
        <v>11</v>
      </c>
      <c r="J2177" s="5">
        <v>45605</v>
      </c>
      <c r="K2177" s="6">
        <v>0.64571759259259254</v>
      </c>
    </row>
    <row r="2178" spans="1:11" x14ac:dyDescent="0.25">
      <c r="A2178" s="4">
        <v>16</v>
      </c>
      <c r="B2178" s="4" t="s">
        <v>11</v>
      </c>
      <c r="C2178" s="7">
        <v>35.76</v>
      </c>
      <c r="D2178" s="4" t="s">
        <v>12</v>
      </c>
      <c r="E2178" s="4" t="s">
        <v>17</v>
      </c>
      <c r="F2178" s="4" t="s">
        <v>22</v>
      </c>
      <c r="G2178" s="4" t="s">
        <v>38</v>
      </c>
      <c r="H2178" s="4">
        <v>6</v>
      </c>
      <c r="I2178" s="4">
        <v>11</v>
      </c>
      <c r="J2178" s="5">
        <v>45605</v>
      </c>
      <c r="K2178" s="6">
        <v>0.67762731481481486</v>
      </c>
    </row>
    <row r="2179" spans="1:11" x14ac:dyDescent="0.25">
      <c r="A2179" s="4">
        <v>16</v>
      </c>
      <c r="B2179" s="4" t="s">
        <v>11</v>
      </c>
      <c r="C2179" s="7">
        <v>35.76</v>
      </c>
      <c r="D2179" s="4" t="s">
        <v>21</v>
      </c>
      <c r="E2179" s="4" t="s">
        <v>17</v>
      </c>
      <c r="F2179" s="4" t="s">
        <v>22</v>
      </c>
      <c r="G2179" s="4" t="s">
        <v>38</v>
      </c>
      <c r="H2179" s="4">
        <v>6</v>
      </c>
      <c r="I2179" s="4">
        <v>11</v>
      </c>
      <c r="J2179" s="5">
        <v>45605</v>
      </c>
      <c r="K2179" s="6">
        <v>0.67837962962962961</v>
      </c>
    </row>
    <row r="2180" spans="1:11" x14ac:dyDescent="0.25">
      <c r="A2180" s="4">
        <v>20</v>
      </c>
      <c r="B2180" s="4" t="s">
        <v>11</v>
      </c>
      <c r="C2180" s="7">
        <v>25.96</v>
      </c>
      <c r="D2180" s="4" t="s">
        <v>18</v>
      </c>
      <c r="E2180" s="4" t="s">
        <v>20</v>
      </c>
      <c r="F2180" s="4" t="s">
        <v>22</v>
      </c>
      <c r="G2180" s="4" t="s">
        <v>38</v>
      </c>
      <c r="H2180" s="4">
        <v>6</v>
      </c>
      <c r="I2180" s="4">
        <v>11</v>
      </c>
      <c r="J2180" s="5">
        <v>45605</v>
      </c>
      <c r="K2180" s="6">
        <v>0.86254629629629631</v>
      </c>
    </row>
    <row r="2181" spans="1:11" x14ac:dyDescent="0.25">
      <c r="A2181" s="4">
        <v>20</v>
      </c>
      <c r="B2181" s="4" t="s">
        <v>11</v>
      </c>
      <c r="C2181" s="7">
        <v>35.76</v>
      </c>
      <c r="D2181" s="4" t="s">
        <v>12</v>
      </c>
      <c r="E2181" s="4" t="s">
        <v>20</v>
      </c>
      <c r="F2181" s="4" t="s">
        <v>22</v>
      </c>
      <c r="G2181" s="4" t="s">
        <v>38</v>
      </c>
      <c r="H2181" s="4">
        <v>6</v>
      </c>
      <c r="I2181" s="4">
        <v>11</v>
      </c>
      <c r="J2181" s="5">
        <v>45605</v>
      </c>
      <c r="K2181" s="6">
        <v>0.86350694444444442</v>
      </c>
    </row>
    <row r="2182" spans="1:11" x14ac:dyDescent="0.25">
      <c r="A2182" s="4">
        <v>22</v>
      </c>
      <c r="B2182" s="4" t="s">
        <v>11</v>
      </c>
      <c r="C2182" s="7">
        <v>35.76</v>
      </c>
      <c r="D2182" s="4" t="s">
        <v>21</v>
      </c>
      <c r="E2182" s="4" t="s">
        <v>20</v>
      </c>
      <c r="F2182" s="4" t="s">
        <v>22</v>
      </c>
      <c r="G2182" s="4" t="s">
        <v>38</v>
      </c>
      <c r="H2182" s="4">
        <v>6</v>
      </c>
      <c r="I2182" s="4">
        <v>11</v>
      </c>
      <c r="J2182" s="5">
        <v>45605</v>
      </c>
      <c r="K2182" s="6">
        <v>0.92600694444444442</v>
      </c>
    </row>
    <row r="2183" spans="1:11" x14ac:dyDescent="0.25">
      <c r="A2183" s="4">
        <v>22</v>
      </c>
      <c r="B2183" s="4" t="s">
        <v>11</v>
      </c>
      <c r="C2183" s="7">
        <v>25.96</v>
      </c>
      <c r="D2183" s="4" t="s">
        <v>18</v>
      </c>
      <c r="E2183" s="4" t="s">
        <v>20</v>
      </c>
      <c r="F2183" s="4" t="s">
        <v>22</v>
      </c>
      <c r="G2183" s="4" t="s">
        <v>38</v>
      </c>
      <c r="H2183" s="4">
        <v>6</v>
      </c>
      <c r="I2183" s="4">
        <v>11</v>
      </c>
      <c r="J2183" s="5">
        <v>45605</v>
      </c>
      <c r="K2183" s="6">
        <v>0.95344907407407409</v>
      </c>
    </row>
    <row r="2184" spans="1:11" x14ac:dyDescent="0.25">
      <c r="A2184" s="4">
        <v>22</v>
      </c>
      <c r="B2184" s="4" t="s">
        <v>11</v>
      </c>
      <c r="C2184" s="7">
        <v>25.96</v>
      </c>
      <c r="D2184" s="4" t="s">
        <v>18</v>
      </c>
      <c r="E2184" s="4" t="s">
        <v>20</v>
      </c>
      <c r="F2184" s="4" t="s">
        <v>22</v>
      </c>
      <c r="G2184" s="4" t="s">
        <v>38</v>
      </c>
      <c r="H2184" s="4">
        <v>6</v>
      </c>
      <c r="I2184" s="4">
        <v>11</v>
      </c>
      <c r="J2184" s="5">
        <v>45605</v>
      </c>
      <c r="K2184" s="6">
        <v>0.95438657407407412</v>
      </c>
    </row>
    <row r="2185" spans="1:11" x14ac:dyDescent="0.25">
      <c r="A2185" s="4">
        <v>9</v>
      </c>
      <c r="B2185" s="4" t="s">
        <v>11</v>
      </c>
      <c r="C2185" s="7">
        <v>25.96</v>
      </c>
      <c r="D2185" s="4" t="s">
        <v>18</v>
      </c>
      <c r="E2185" s="4" t="s">
        <v>13</v>
      </c>
      <c r="F2185" s="4" t="s">
        <v>23</v>
      </c>
      <c r="G2185" s="4" t="s">
        <v>38</v>
      </c>
      <c r="H2185" s="4">
        <v>7</v>
      </c>
      <c r="I2185" s="4">
        <v>11</v>
      </c>
      <c r="J2185" s="5">
        <v>45606</v>
      </c>
      <c r="K2185" s="6">
        <v>0.40718749999999998</v>
      </c>
    </row>
    <row r="2186" spans="1:11" x14ac:dyDescent="0.25">
      <c r="A2186" s="4">
        <v>17</v>
      </c>
      <c r="B2186" s="4" t="s">
        <v>11</v>
      </c>
      <c r="C2186" s="7">
        <v>35.76</v>
      </c>
      <c r="D2186" s="4" t="s">
        <v>21</v>
      </c>
      <c r="E2186" s="4" t="s">
        <v>20</v>
      </c>
      <c r="F2186" s="4" t="s">
        <v>23</v>
      </c>
      <c r="G2186" s="4" t="s">
        <v>38</v>
      </c>
      <c r="H2186" s="4">
        <v>7</v>
      </c>
      <c r="I2186" s="4">
        <v>11</v>
      </c>
      <c r="J2186" s="5">
        <v>45606</v>
      </c>
      <c r="K2186" s="6">
        <v>0.74498842592592596</v>
      </c>
    </row>
    <row r="2187" spans="1:11" x14ac:dyDescent="0.25">
      <c r="A2187" s="4">
        <v>18</v>
      </c>
      <c r="B2187" s="4" t="s">
        <v>11</v>
      </c>
      <c r="C2187" s="7">
        <v>35.76</v>
      </c>
      <c r="D2187" s="4" t="s">
        <v>16</v>
      </c>
      <c r="E2187" s="4" t="s">
        <v>20</v>
      </c>
      <c r="F2187" s="4" t="s">
        <v>23</v>
      </c>
      <c r="G2187" s="4" t="s">
        <v>38</v>
      </c>
      <c r="H2187" s="4">
        <v>7</v>
      </c>
      <c r="I2187" s="4">
        <v>11</v>
      </c>
      <c r="J2187" s="5">
        <v>45606</v>
      </c>
      <c r="K2187" s="6">
        <v>0.75894675925925925</v>
      </c>
    </row>
    <row r="2188" spans="1:11" x14ac:dyDescent="0.25">
      <c r="A2188" s="4">
        <v>18</v>
      </c>
      <c r="B2188" s="4" t="s">
        <v>11</v>
      </c>
      <c r="C2188" s="7">
        <v>35.76</v>
      </c>
      <c r="D2188" s="4" t="s">
        <v>16</v>
      </c>
      <c r="E2188" s="4" t="s">
        <v>20</v>
      </c>
      <c r="F2188" s="4" t="s">
        <v>23</v>
      </c>
      <c r="G2188" s="4" t="s">
        <v>38</v>
      </c>
      <c r="H2188" s="4">
        <v>7</v>
      </c>
      <c r="I2188" s="4">
        <v>11</v>
      </c>
      <c r="J2188" s="5">
        <v>45606</v>
      </c>
      <c r="K2188" s="6">
        <v>0.75975694444444442</v>
      </c>
    </row>
    <row r="2189" spans="1:11" x14ac:dyDescent="0.25">
      <c r="A2189" s="4">
        <v>20</v>
      </c>
      <c r="B2189" s="4" t="s">
        <v>11</v>
      </c>
      <c r="C2189" s="7">
        <v>35.76</v>
      </c>
      <c r="D2189" s="4" t="s">
        <v>29</v>
      </c>
      <c r="E2189" s="4" t="s">
        <v>20</v>
      </c>
      <c r="F2189" s="4" t="s">
        <v>23</v>
      </c>
      <c r="G2189" s="4" t="s">
        <v>38</v>
      </c>
      <c r="H2189" s="4">
        <v>7</v>
      </c>
      <c r="I2189" s="4">
        <v>11</v>
      </c>
      <c r="J2189" s="5">
        <v>45606</v>
      </c>
      <c r="K2189" s="6">
        <v>0.85981481481481481</v>
      </c>
    </row>
    <row r="2190" spans="1:11" x14ac:dyDescent="0.25">
      <c r="A2190" s="4">
        <v>20</v>
      </c>
      <c r="B2190" s="4" t="s">
        <v>11</v>
      </c>
      <c r="C2190" s="7">
        <v>35.76</v>
      </c>
      <c r="D2190" s="4" t="s">
        <v>29</v>
      </c>
      <c r="E2190" s="4" t="s">
        <v>20</v>
      </c>
      <c r="F2190" s="4" t="s">
        <v>23</v>
      </c>
      <c r="G2190" s="4" t="s">
        <v>38</v>
      </c>
      <c r="H2190" s="4">
        <v>7</v>
      </c>
      <c r="I2190" s="4">
        <v>11</v>
      </c>
      <c r="J2190" s="5">
        <v>45606</v>
      </c>
      <c r="K2190" s="6">
        <v>0.86048611111111106</v>
      </c>
    </row>
    <row r="2191" spans="1:11" x14ac:dyDescent="0.25">
      <c r="A2191" s="4">
        <v>7</v>
      </c>
      <c r="B2191" s="4" t="s">
        <v>11</v>
      </c>
      <c r="C2191" s="7">
        <v>35.76</v>
      </c>
      <c r="D2191" s="4" t="s">
        <v>29</v>
      </c>
      <c r="E2191" s="4" t="s">
        <v>13</v>
      </c>
      <c r="F2191" s="4" t="s">
        <v>25</v>
      </c>
      <c r="G2191" s="4" t="s">
        <v>38</v>
      </c>
      <c r="H2191" s="4">
        <v>1</v>
      </c>
      <c r="I2191" s="4">
        <v>11</v>
      </c>
      <c r="J2191" s="5">
        <v>45607</v>
      </c>
      <c r="K2191" s="6">
        <v>0.32530092592592591</v>
      </c>
    </row>
    <row r="2192" spans="1:11" x14ac:dyDescent="0.25">
      <c r="A2192" s="4">
        <v>9</v>
      </c>
      <c r="B2192" s="4" t="s">
        <v>11</v>
      </c>
      <c r="C2192" s="7">
        <v>30.86</v>
      </c>
      <c r="D2192" s="4" t="s">
        <v>19</v>
      </c>
      <c r="E2192" s="4" t="s">
        <v>13</v>
      </c>
      <c r="F2192" s="4" t="s">
        <v>25</v>
      </c>
      <c r="G2192" s="4" t="s">
        <v>38</v>
      </c>
      <c r="H2192" s="4">
        <v>1</v>
      </c>
      <c r="I2192" s="4">
        <v>11</v>
      </c>
      <c r="J2192" s="5">
        <v>45607</v>
      </c>
      <c r="K2192" s="6">
        <v>0.41140046296296295</v>
      </c>
    </row>
    <row r="2193" spans="1:11" x14ac:dyDescent="0.25">
      <c r="A2193" s="4">
        <v>10</v>
      </c>
      <c r="B2193" s="4" t="s">
        <v>11</v>
      </c>
      <c r="C2193" s="7">
        <v>25.96</v>
      </c>
      <c r="D2193" s="4" t="s">
        <v>24</v>
      </c>
      <c r="E2193" s="4" t="s">
        <v>13</v>
      </c>
      <c r="F2193" s="4" t="s">
        <v>25</v>
      </c>
      <c r="G2193" s="4" t="s">
        <v>38</v>
      </c>
      <c r="H2193" s="4">
        <v>1</v>
      </c>
      <c r="I2193" s="4">
        <v>11</v>
      </c>
      <c r="J2193" s="5">
        <v>45607</v>
      </c>
      <c r="K2193" s="6">
        <v>0.42996527777777777</v>
      </c>
    </row>
    <row r="2194" spans="1:11" x14ac:dyDescent="0.25">
      <c r="A2194" s="4">
        <v>16</v>
      </c>
      <c r="B2194" s="4" t="s">
        <v>11</v>
      </c>
      <c r="C2194" s="7">
        <v>35.76</v>
      </c>
      <c r="D2194" s="4" t="s">
        <v>29</v>
      </c>
      <c r="E2194" s="4" t="s">
        <v>17</v>
      </c>
      <c r="F2194" s="4" t="s">
        <v>25</v>
      </c>
      <c r="G2194" s="4" t="s">
        <v>38</v>
      </c>
      <c r="H2194" s="4">
        <v>1</v>
      </c>
      <c r="I2194" s="4">
        <v>11</v>
      </c>
      <c r="J2194" s="5">
        <v>45607</v>
      </c>
      <c r="K2194" s="6">
        <v>0.67967592592592596</v>
      </c>
    </row>
    <row r="2195" spans="1:11" x14ac:dyDescent="0.25">
      <c r="A2195" s="4">
        <v>16</v>
      </c>
      <c r="B2195" s="4" t="s">
        <v>11</v>
      </c>
      <c r="C2195" s="7">
        <v>35.76</v>
      </c>
      <c r="D2195" s="4" t="s">
        <v>16</v>
      </c>
      <c r="E2195" s="4" t="s">
        <v>17</v>
      </c>
      <c r="F2195" s="4" t="s">
        <v>25</v>
      </c>
      <c r="G2195" s="4" t="s">
        <v>38</v>
      </c>
      <c r="H2195" s="4">
        <v>1</v>
      </c>
      <c r="I2195" s="4">
        <v>11</v>
      </c>
      <c r="J2195" s="5">
        <v>45607</v>
      </c>
      <c r="K2195" s="6">
        <v>0.68046296296296294</v>
      </c>
    </row>
    <row r="2196" spans="1:11" x14ac:dyDescent="0.25">
      <c r="A2196" s="4">
        <v>17</v>
      </c>
      <c r="B2196" s="4" t="s">
        <v>11</v>
      </c>
      <c r="C2196" s="7">
        <v>35.76</v>
      </c>
      <c r="D2196" s="4" t="s">
        <v>29</v>
      </c>
      <c r="E2196" s="4" t="s">
        <v>20</v>
      </c>
      <c r="F2196" s="4" t="s">
        <v>25</v>
      </c>
      <c r="G2196" s="4" t="s">
        <v>38</v>
      </c>
      <c r="H2196" s="4">
        <v>1</v>
      </c>
      <c r="I2196" s="4">
        <v>11</v>
      </c>
      <c r="J2196" s="5">
        <v>45607</v>
      </c>
      <c r="K2196" s="6">
        <v>0.73162037037037042</v>
      </c>
    </row>
    <row r="2197" spans="1:11" x14ac:dyDescent="0.25">
      <c r="A2197" s="4">
        <v>19</v>
      </c>
      <c r="B2197" s="4" t="s">
        <v>11</v>
      </c>
      <c r="C2197" s="7">
        <v>35.76</v>
      </c>
      <c r="D2197" s="4" t="s">
        <v>12</v>
      </c>
      <c r="E2197" s="4" t="s">
        <v>20</v>
      </c>
      <c r="F2197" s="4" t="s">
        <v>25</v>
      </c>
      <c r="G2197" s="4" t="s">
        <v>38</v>
      </c>
      <c r="H2197" s="4">
        <v>1</v>
      </c>
      <c r="I2197" s="4">
        <v>11</v>
      </c>
      <c r="J2197" s="5">
        <v>45607</v>
      </c>
      <c r="K2197" s="6">
        <v>0.79219907407407408</v>
      </c>
    </row>
    <row r="2198" spans="1:11" x14ac:dyDescent="0.25">
      <c r="A2198" s="4">
        <v>19</v>
      </c>
      <c r="B2198" s="4" t="s">
        <v>11</v>
      </c>
      <c r="C2198" s="7">
        <v>35.76</v>
      </c>
      <c r="D2198" s="4" t="s">
        <v>16</v>
      </c>
      <c r="E2198" s="4" t="s">
        <v>20</v>
      </c>
      <c r="F2198" s="4" t="s">
        <v>25</v>
      </c>
      <c r="G2198" s="4" t="s">
        <v>38</v>
      </c>
      <c r="H2198" s="4">
        <v>1</v>
      </c>
      <c r="I2198" s="4">
        <v>11</v>
      </c>
      <c r="J2198" s="5">
        <v>45607</v>
      </c>
      <c r="K2198" s="6">
        <v>0.79461805555555554</v>
      </c>
    </row>
    <row r="2199" spans="1:11" x14ac:dyDescent="0.25">
      <c r="A2199" s="4">
        <v>21</v>
      </c>
      <c r="B2199" s="4" t="s">
        <v>11</v>
      </c>
      <c r="C2199" s="7">
        <v>35.76</v>
      </c>
      <c r="D2199" s="4" t="s">
        <v>12</v>
      </c>
      <c r="E2199" s="4" t="s">
        <v>20</v>
      </c>
      <c r="F2199" s="4" t="s">
        <v>25</v>
      </c>
      <c r="G2199" s="4" t="s">
        <v>38</v>
      </c>
      <c r="H2199" s="4">
        <v>1</v>
      </c>
      <c r="I2199" s="4">
        <v>11</v>
      </c>
      <c r="J2199" s="5">
        <v>45607</v>
      </c>
      <c r="K2199" s="6">
        <v>0.88091435185185185</v>
      </c>
    </row>
    <row r="2200" spans="1:11" x14ac:dyDescent="0.25">
      <c r="A2200" s="4">
        <v>21</v>
      </c>
      <c r="B2200" s="4" t="s">
        <v>11</v>
      </c>
      <c r="C2200" s="7">
        <v>35.76</v>
      </c>
      <c r="D2200" s="4" t="s">
        <v>12</v>
      </c>
      <c r="E2200" s="4" t="s">
        <v>20</v>
      </c>
      <c r="F2200" s="4" t="s">
        <v>25</v>
      </c>
      <c r="G2200" s="4" t="s">
        <v>38</v>
      </c>
      <c r="H2200" s="4">
        <v>1</v>
      </c>
      <c r="I2200" s="4">
        <v>11</v>
      </c>
      <c r="J2200" s="5">
        <v>45607</v>
      </c>
      <c r="K2200" s="6">
        <v>0.88178240740740743</v>
      </c>
    </row>
    <row r="2201" spans="1:11" x14ac:dyDescent="0.25">
      <c r="A2201" s="4">
        <v>10</v>
      </c>
      <c r="B2201" s="4" t="s">
        <v>11</v>
      </c>
      <c r="C2201" s="7">
        <v>35.76</v>
      </c>
      <c r="D2201" s="4" t="s">
        <v>12</v>
      </c>
      <c r="E2201" s="4" t="s">
        <v>13</v>
      </c>
      <c r="F2201" s="4" t="s">
        <v>27</v>
      </c>
      <c r="G2201" s="4" t="s">
        <v>38</v>
      </c>
      <c r="H2201" s="4">
        <v>2</v>
      </c>
      <c r="I2201" s="4">
        <v>11</v>
      </c>
      <c r="J2201" s="5">
        <v>45608</v>
      </c>
      <c r="K2201" s="6">
        <v>0.4188425925925926</v>
      </c>
    </row>
    <row r="2202" spans="1:11" x14ac:dyDescent="0.25">
      <c r="A2202" s="4">
        <v>13</v>
      </c>
      <c r="B2202" s="4" t="s">
        <v>11</v>
      </c>
      <c r="C2202" s="7">
        <v>35.76</v>
      </c>
      <c r="D2202" s="4" t="s">
        <v>12</v>
      </c>
      <c r="E2202" s="4" t="s">
        <v>17</v>
      </c>
      <c r="F2202" s="4" t="s">
        <v>27</v>
      </c>
      <c r="G2202" s="4" t="s">
        <v>38</v>
      </c>
      <c r="H2202" s="4">
        <v>2</v>
      </c>
      <c r="I2202" s="4">
        <v>11</v>
      </c>
      <c r="J2202" s="5">
        <v>45608</v>
      </c>
      <c r="K2202" s="6">
        <v>0.55260416666666667</v>
      </c>
    </row>
    <row r="2203" spans="1:11" x14ac:dyDescent="0.25">
      <c r="A2203" s="4">
        <v>14</v>
      </c>
      <c r="B2203" s="4" t="s">
        <v>11</v>
      </c>
      <c r="C2203" s="7">
        <v>35.76</v>
      </c>
      <c r="D2203" s="4" t="s">
        <v>12</v>
      </c>
      <c r="E2203" s="4" t="s">
        <v>17</v>
      </c>
      <c r="F2203" s="4" t="s">
        <v>27</v>
      </c>
      <c r="G2203" s="4" t="s">
        <v>38</v>
      </c>
      <c r="H2203" s="4">
        <v>2</v>
      </c>
      <c r="I2203" s="4">
        <v>11</v>
      </c>
      <c r="J2203" s="5">
        <v>45608</v>
      </c>
      <c r="K2203" s="6">
        <v>0.61057870370370371</v>
      </c>
    </row>
    <row r="2204" spans="1:11" x14ac:dyDescent="0.25">
      <c r="A2204" s="4">
        <v>16</v>
      </c>
      <c r="B2204" s="4" t="s">
        <v>11</v>
      </c>
      <c r="C2204" s="7">
        <v>35.76</v>
      </c>
      <c r="D2204" s="4" t="s">
        <v>16</v>
      </c>
      <c r="E2204" s="4" t="s">
        <v>17</v>
      </c>
      <c r="F2204" s="4" t="s">
        <v>27</v>
      </c>
      <c r="G2204" s="4" t="s">
        <v>38</v>
      </c>
      <c r="H2204" s="4">
        <v>2</v>
      </c>
      <c r="I2204" s="4">
        <v>11</v>
      </c>
      <c r="J2204" s="5">
        <v>45608</v>
      </c>
      <c r="K2204" s="6">
        <v>0.69946759259259261</v>
      </c>
    </row>
    <row r="2205" spans="1:11" x14ac:dyDescent="0.25">
      <c r="A2205" s="4">
        <v>16</v>
      </c>
      <c r="B2205" s="4" t="s">
        <v>11</v>
      </c>
      <c r="C2205" s="7">
        <v>35.76</v>
      </c>
      <c r="D2205" s="4" t="s">
        <v>16</v>
      </c>
      <c r="E2205" s="4" t="s">
        <v>17</v>
      </c>
      <c r="F2205" s="4" t="s">
        <v>27</v>
      </c>
      <c r="G2205" s="4" t="s">
        <v>38</v>
      </c>
      <c r="H2205" s="4">
        <v>2</v>
      </c>
      <c r="I2205" s="4">
        <v>11</v>
      </c>
      <c r="J2205" s="5">
        <v>45608</v>
      </c>
      <c r="K2205" s="6">
        <v>0.70004629629629633</v>
      </c>
    </row>
    <row r="2206" spans="1:11" x14ac:dyDescent="0.25">
      <c r="A2206" s="4">
        <v>16</v>
      </c>
      <c r="B2206" s="4" t="s">
        <v>11</v>
      </c>
      <c r="C2206" s="7">
        <v>35.76</v>
      </c>
      <c r="D2206" s="4" t="s">
        <v>21</v>
      </c>
      <c r="E2206" s="4" t="s">
        <v>17</v>
      </c>
      <c r="F2206" s="4" t="s">
        <v>27</v>
      </c>
      <c r="G2206" s="4" t="s">
        <v>38</v>
      </c>
      <c r="H2206" s="4">
        <v>2</v>
      </c>
      <c r="I2206" s="4">
        <v>11</v>
      </c>
      <c r="J2206" s="5">
        <v>45608</v>
      </c>
      <c r="K2206" s="6">
        <v>0.70072916666666663</v>
      </c>
    </row>
    <row r="2207" spans="1:11" x14ac:dyDescent="0.25">
      <c r="A2207" s="4">
        <v>18</v>
      </c>
      <c r="B2207" s="4" t="s">
        <v>11</v>
      </c>
      <c r="C2207" s="7">
        <v>35.76</v>
      </c>
      <c r="D2207" s="4" t="s">
        <v>29</v>
      </c>
      <c r="E2207" s="4" t="s">
        <v>20</v>
      </c>
      <c r="F2207" s="4" t="s">
        <v>27</v>
      </c>
      <c r="G2207" s="4" t="s">
        <v>38</v>
      </c>
      <c r="H2207" s="4">
        <v>2</v>
      </c>
      <c r="I2207" s="4">
        <v>11</v>
      </c>
      <c r="J2207" s="5">
        <v>45608</v>
      </c>
      <c r="K2207" s="6">
        <v>0.78141203703703699</v>
      </c>
    </row>
    <row r="2208" spans="1:11" x14ac:dyDescent="0.25">
      <c r="A2208" s="4">
        <v>20</v>
      </c>
      <c r="B2208" s="4" t="s">
        <v>11</v>
      </c>
      <c r="C2208" s="7">
        <v>35.76</v>
      </c>
      <c r="D2208" s="4" t="s">
        <v>12</v>
      </c>
      <c r="E2208" s="4" t="s">
        <v>20</v>
      </c>
      <c r="F2208" s="4" t="s">
        <v>27</v>
      </c>
      <c r="G2208" s="4" t="s">
        <v>38</v>
      </c>
      <c r="H2208" s="4">
        <v>2</v>
      </c>
      <c r="I2208" s="4">
        <v>11</v>
      </c>
      <c r="J2208" s="5">
        <v>45608</v>
      </c>
      <c r="K2208" s="6">
        <v>0.83885416666666668</v>
      </c>
    </row>
    <row r="2209" spans="1:11" x14ac:dyDescent="0.25">
      <c r="A2209" s="4">
        <v>20</v>
      </c>
      <c r="B2209" s="4" t="s">
        <v>11</v>
      </c>
      <c r="C2209" s="7">
        <v>35.76</v>
      </c>
      <c r="D2209" s="4" t="s">
        <v>21</v>
      </c>
      <c r="E2209" s="4" t="s">
        <v>20</v>
      </c>
      <c r="F2209" s="4" t="s">
        <v>27</v>
      </c>
      <c r="G2209" s="4" t="s">
        <v>38</v>
      </c>
      <c r="H2209" s="4">
        <v>2</v>
      </c>
      <c r="I2209" s="4">
        <v>11</v>
      </c>
      <c r="J2209" s="5">
        <v>45608</v>
      </c>
      <c r="K2209" s="6">
        <v>0.83982638888888894</v>
      </c>
    </row>
    <row r="2210" spans="1:11" x14ac:dyDescent="0.25">
      <c r="A2210" s="4">
        <v>8</v>
      </c>
      <c r="B2210" s="4" t="s">
        <v>11</v>
      </c>
      <c r="C2210" s="7">
        <v>30.86</v>
      </c>
      <c r="D2210" s="4" t="s">
        <v>19</v>
      </c>
      <c r="E2210" s="4" t="s">
        <v>13</v>
      </c>
      <c r="F2210" s="4" t="s">
        <v>28</v>
      </c>
      <c r="G2210" s="4" t="s">
        <v>38</v>
      </c>
      <c r="H2210" s="4">
        <v>3</v>
      </c>
      <c r="I2210" s="4">
        <v>11</v>
      </c>
      <c r="J2210" s="5">
        <v>45609</v>
      </c>
      <c r="K2210" s="6">
        <v>0.33969907407407407</v>
      </c>
    </row>
    <row r="2211" spans="1:11" x14ac:dyDescent="0.25">
      <c r="A2211" s="4">
        <v>10</v>
      </c>
      <c r="B2211" s="4" t="s">
        <v>11</v>
      </c>
      <c r="C2211" s="7">
        <v>35.76</v>
      </c>
      <c r="D2211" s="4" t="s">
        <v>12</v>
      </c>
      <c r="E2211" s="4" t="s">
        <v>13</v>
      </c>
      <c r="F2211" s="4" t="s">
        <v>28</v>
      </c>
      <c r="G2211" s="4" t="s">
        <v>38</v>
      </c>
      <c r="H2211" s="4">
        <v>3</v>
      </c>
      <c r="I2211" s="4">
        <v>11</v>
      </c>
      <c r="J2211" s="5">
        <v>45609</v>
      </c>
      <c r="K2211" s="6">
        <v>0.44285879629629632</v>
      </c>
    </row>
    <row r="2212" spans="1:11" x14ac:dyDescent="0.25">
      <c r="A2212" s="4">
        <v>13</v>
      </c>
      <c r="B2212" s="4" t="s">
        <v>11</v>
      </c>
      <c r="C2212" s="7">
        <v>30.86</v>
      </c>
      <c r="D2212" s="4" t="s">
        <v>19</v>
      </c>
      <c r="E2212" s="4" t="s">
        <v>17</v>
      </c>
      <c r="F2212" s="4" t="s">
        <v>28</v>
      </c>
      <c r="G2212" s="4" t="s">
        <v>38</v>
      </c>
      <c r="H2212" s="4">
        <v>3</v>
      </c>
      <c r="I2212" s="4">
        <v>11</v>
      </c>
      <c r="J2212" s="5">
        <v>45609</v>
      </c>
      <c r="K2212" s="6">
        <v>0.55548611111111112</v>
      </c>
    </row>
    <row r="2213" spans="1:11" x14ac:dyDescent="0.25">
      <c r="A2213" s="4">
        <v>13</v>
      </c>
      <c r="B2213" s="4" t="s">
        <v>11</v>
      </c>
      <c r="C2213" s="7">
        <v>30.86</v>
      </c>
      <c r="D2213" s="4" t="s">
        <v>19</v>
      </c>
      <c r="E2213" s="4" t="s">
        <v>17</v>
      </c>
      <c r="F2213" s="4" t="s">
        <v>28</v>
      </c>
      <c r="G2213" s="4" t="s">
        <v>38</v>
      </c>
      <c r="H2213" s="4">
        <v>3</v>
      </c>
      <c r="I2213" s="4">
        <v>11</v>
      </c>
      <c r="J2213" s="5">
        <v>45609</v>
      </c>
      <c r="K2213" s="6">
        <v>0.55622685185185183</v>
      </c>
    </row>
    <row r="2214" spans="1:11" x14ac:dyDescent="0.25">
      <c r="A2214" s="4">
        <v>14</v>
      </c>
      <c r="B2214" s="4" t="s">
        <v>11</v>
      </c>
      <c r="C2214" s="7">
        <v>30.86</v>
      </c>
      <c r="D2214" s="4" t="s">
        <v>19</v>
      </c>
      <c r="E2214" s="4" t="s">
        <v>17</v>
      </c>
      <c r="F2214" s="4" t="s">
        <v>28</v>
      </c>
      <c r="G2214" s="4" t="s">
        <v>38</v>
      </c>
      <c r="H2214" s="4">
        <v>3</v>
      </c>
      <c r="I2214" s="4">
        <v>11</v>
      </c>
      <c r="J2214" s="5">
        <v>45609</v>
      </c>
      <c r="K2214" s="6">
        <v>0.59548611111111116</v>
      </c>
    </row>
    <row r="2215" spans="1:11" x14ac:dyDescent="0.25">
      <c r="A2215" s="4">
        <v>14</v>
      </c>
      <c r="B2215" s="4" t="s">
        <v>11</v>
      </c>
      <c r="C2215" s="7">
        <v>35.76</v>
      </c>
      <c r="D2215" s="4" t="s">
        <v>12</v>
      </c>
      <c r="E2215" s="4" t="s">
        <v>17</v>
      </c>
      <c r="F2215" s="4" t="s">
        <v>28</v>
      </c>
      <c r="G2215" s="4" t="s">
        <v>38</v>
      </c>
      <c r="H2215" s="4">
        <v>3</v>
      </c>
      <c r="I2215" s="4">
        <v>11</v>
      </c>
      <c r="J2215" s="5">
        <v>45609</v>
      </c>
      <c r="K2215" s="6">
        <v>0.61594907407407407</v>
      </c>
    </row>
    <row r="2216" spans="1:11" x14ac:dyDescent="0.25">
      <c r="A2216" s="4">
        <v>9</v>
      </c>
      <c r="B2216" s="4" t="s">
        <v>11</v>
      </c>
      <c r="C2216" s="7">
        <v>35.76</v>
      </c>
      <c r="D2216" s="4" t="s">
        <v>12</v>
      </c>
      <c r="E2216" s="4" t="s">
        <v>13</v>
      </c>
      <c r="F2216" s="4" t="s">
        <v>30</v>
      </c>
      <c r="G2216" s="4" t="s">
        <v>38</v>
      </c>
      <c r="H2216" s="4">
        <v>4</v>
      </c>
      <c r="I2216" s="4">
        <v>11</v>
      </c>
      <c r="J2216" s="5">
        <v>45610</v>
      </c>
      <c r="K2216" s="6">
        <v>0.40031250000000002</v>
      </c>
    </row>
    <row r="2217" spans="1:11" x14ac:dyDescent="0.25">
      <c r="A2217" s="4">
        <v>10</v>
      </c>
      <c r="B2217" s="4" t="s">
        <v>11</v>
      </c>
      <c r="C2217" s="7">
        <v>25.96</v>
      </c>
      <c r="D2217" s="4" t="s">
        <v>18</v>
      </c>
      <c r="E2217" s="4" t="s">
        <v>13</v>
      </c>
      <c r="F2217" s="4" t="s">
        <v>30</v>
      </c>
      <c r="G2217" s="4" t="s">
        <v>38</v>
      </c>
      <c r="H2217" s="4">
        <v>4</v>
      </c>
      <c r="I2217" s="4">
        <v>11</v>
      </c>
      <c r="J2217" s="5">
        <v>45610</v>
      </c>
      <c r="K2217" s="6">
        <v>0.42131944444444447</v>
      </c>
    </row>
    <row r="2218" spans="1:11" x14ac:dyDescent="0.25">
      <c r="A2218" s="4">
        <v>12</v>
      </c>
      <c r="B2218" s="4" t="s">
        <v>11</v>
      </c>
      <c r="C2218" s="7">
        <v>21.06</v>
      </c>
      <c r="D2218" s="4" t="s">
        <v>26</v>
      </c>
      <c r="E2218" s="4" t="s">
        <v>17</v>
      </c>
      <c r="F2218" s="4" t="s">
        <v>30</v>
      </c>
      <c r="G2218" s="4" t="s">
        <v>38</v>
      </c>
      <c r="H2218" s="4">
        <v>4</v>
      </c>
      <c r="I2218" s="4">
        <v>11</v>
      </c>
      <c r="J2218" s="5">
        <v>45610</v>
      </c>
      <c r="K2218" s="6">
        <v>0.53391203703703705</v>
      </c>
    </row>
    <row r="2219" spans="1:11" x14ac:dyDescent="0.25">
      <c r="A2219" s="4">
        <v>15</v>
      </c>
      <c r="B2219" s="4" t="s">
        <v>11</v>
      </c>
      <c r="C2219" s="7">
        <v>35.76</v>
      </c>
      <c r="D2219" s="4" t="s">
        <v>29</v>
      </c>
      <c r="E2219" s="4" t="s">
        <v>17</v>
      </c>
      <c r="F2219" s="4" t="s">
        <v>30</v>
      </c>
      <c r="G2219" s="4" t="s">
        <v>38</v>
      </c>
      <c r="H2219" s="4">
        <v>4</v>
      </c>
      <c r="I2219" s="4">
        <v>11</v>
      </c>
      <c r="J2219" s="5">
        <v>45610</v>
      </c>
      <c r="K2219" s="6">
        <v>0.62760416666666663</v>
      </c>
    </row>
    <row r="2220" spans="1:11" x14ac:dyDescent="0.25">
      <c r="A2220" s="4">
        <v>15</v>
      </c>
      <c r="B2220" s="4" t="s">
        <v>11</v>
      </c>
      <c r="C2220" s="7">
        <v>35.76</v>
      </c>
      <c r="D2220" s="4" t="s">
        <v>12</v>
      </c>
      <c r="E2220" s="4" t="s">
        <v>17</v>
      </c>
      <c r="F2220" s="4" t="s">
        <v>30</v>
      </c>
      <c r="G2220" s="4" t="s">
        <v>38</v>
      </c>
      <c r="H2220" s="4">
        <v>4</v>
      </c>
      <c r="I2220" s="4">
        <v>11</v>
      </c>
      <c r="J2220" s="5">
        <v>45610</v>
      </c>
      <c r="K2220" s="6">
        <v>0.62842592592592594</v>
      </c>
    </row>
    <row r="2221" spans="1:11" x14ac:dyDescent="0.25">
      <c r="A2221" s="4">
        <v>15</v>
      </c>
      <c r="B2221" s="4" t="s">
        <v>11</v>
      </c>
      <c r="C2221" s="7">
        <v>35.76</v>
      </c>
      <c r="D2221" s="4" t="s">
        <v>29</v>
      </c>
      <c r="E2221" s="4" t="s">
        <v>17</v>
      </c>
      <c r="F2221" s="4" t="s">
        <v>30</v>
      </c>
      <c r="G2221" s="4" t="s">
        <v>38</v>
      </c>
      <c r="H2221" s="4">
        <v>4</v>
      </c>
      <c r="I2221" s="4">
        <v>11</v>
      </c>
      <c r="J2221" s="5">
        <v>45610</v>
      </c>
      <c r="K2221" s="6">
        <v>0.62903935185185189</v>
      </c>
    </row>
    <row r="2222" spans="1:11" x14ac:dyDescent="0.25">
      <c r="A2222" s="4">
        <v>16</v>
      </c>
      <c r="B2222" s="4" t="s">
        <v>11</v>
      </c>
      <c r="C2222" s="7">
        <v>30.86</v>
      </c>
      <c r="D2222" s="4" t="s">
        <v>19</v>
      </c>
      <c r="E2222" s="4" t="s">
        <v>17</v>
      </c>
      <c r="F2222" s="4" t="s">
        <v>30</v>
      </c>
      <c r="G2222" s="4" t="s">
        <v>38</v>
      </c>
      <c r="H2222" s="4">
        <v>4</v>
      </c>
      <c r="I2222" s="4">
        <v>11</v>
      </c>
      <c r="J2222" s="5">
        <v>45610</v>
      </c>
      <c r="K2222" s="6">
        <v>0.67578703703703702</v>
      </c>
    </row>
    <row r="2223" spans="1:11" x14ac:dyDescent="0.25">
      <c r="A2223" s="4">
        <v>16</v>
      </c>
      <c r="B2223" s="4" t="s">
        <v>11</v>
      </c>
      <c r="C2223" s="7">
        <v>35.76</v>
      </c>
      <c r="D2223" s="4" t="s">
        <v>29</v>
      </c>
      <c r="E2223" s="4" t="s">
        <v>17</v>
      </c>
      <c r="F2223" s="4" t="s">
        <v>30</v>
      </c>
      <c r="G2223" s="4" t="s">
        <v>38</v>
      </c>
      <c r="H2223" s="4">
        <v>4</v>
      </c>
      <c r="I2223" s="4">
        <v>11</v>
      </c>
      <c r="J2223" s="5">
        <v>45610</v>
      </c>
      <c r="K2223" s="6">
        <v>0.67663194444444441</v>
      </c>
    </row>
    <row r="2224" spans="1:11" x14ac:dyDescent="0.25">
      <c r="A2224" s="4">
        <v>19</v>
      </c>
      <c r="B2224" s="4" t="s">
        <v>11</v>
      </c>
      <c r="C2224" s="7">
        <v>35.76</v>
      </c>
      <c r="D2224" s="4" t="s">
        <v>16</v>
      </c>
      <c r="E2224" s="4" t="s">
        <v>20</v>
      </c>
      <c r="F2224" s="4" t="s">
        <v>30</v>
      </c>
      <c r="G2224" s="4" t="s">
        <v>38</v>
      </c>
      <c r="H2224" s="4">
        <v>4</v>
      </c>
      <c r="I2224" s="4">
        <v>11</v>
      </c>
      <c r="J2224" s="5">
        <v>45610</v>
      </c>
      <c r="K2224" s="6">
        <v>0.82182870370370376</v>
      </c>
    </row>
    <row r="2225" spans="1:11" x14ac:dyDescent="0.25">
      <c r="A2225" s="4">
        <v>19</v>
      </c>
      <c r="B2225" s="4" t="s">
        <v>11</v>
      </c>
      <c r="C2225" s="7">
        <v>35.76</v>
      </c>
      <c r="D2225" s="4" t="s">
        <v>16</v>
      </c>
      <c r="E2225" s="4" t="s">
        <v>20</v>
      </c>
      <c r="F2225" s="4" t="s">
        <v>30</v>
      </c>
      <c r="G2225" s="4" t="s">
        <v>38</v>
      </c>
      <c r="H2225" s="4">
        <v>4</v>
      </c>
      <c r="I2225" s="4">
        <v>11</v>
      </c>
      <c r="J2225" s="5">
        <v>45610</v>
      </c>
      <c r="K2225" s="6">
        <v>0.82403935185185184</v>
      </c>
    </row>
    <row r="2226" spans="1:11" x14ac:dyDescent="0.25">
      <c r="A2226" s="4">
        <v>20</v>
      </c>
      <c r="B2226" s="4" t="s">
        <v>11</v>
      </c>
      <c r="C2226" s="7">
        <v>35.76</v>
      </c>
      <c r="D2226" s="4" t="s">
        <v>21</v>
      </c>
      <c r="E2226" s="4" t="s">
        <v>20</v>
      </c>
      <c r="F2226" s="4" t="s">
        <v>30</v>
      </c>
      <c r="G2226" s="4" t="s">
        <v>38</v>
      </c>
      <c r="H2226" s="4">
        <v>4</v>
      </c>
      <c r="I2226" s="4">
        <v>11</v>
      </c>
      <c r="J2226" s="5">
        <v>45610</v>
      </c>
      <c r="K2226" s="6">
        <v>0.85520833333333335</v>
      </c>
    </row>
    <row r="2227" spans="1:11" x14ac:dyDescent="0.25">
      <c r="A2227" s="4">
        <v>20</v>
      </c>
      <c r="B2227" s="4" t="s">
        <v>11</v>
      </c>
      <c r="C2227" s="7">
        <v>35.76</v>
      </c>
      <c r="D2227" s="4" t="s">
        <v>16</v>
      </c>
      <c r="E2227" s="4" t="s">
        <v>20</v>
      </c>
      <c r="F2227" s="4" t="s">
        <v>30</v>
      </c>
      <c r="G2227" s="4" t="s">
        <v>38</v>
      </c>
      <c r="H2227" s="4">
        <v>4</v>
      </c>
      <c r="I2227" s="4">
        <v>11</v>
      </c>
      <c r="J2227" s="5">
        <v>45610</v>
      </c>
      <c r="K2227" s="6">
        <v>0.85590277777777779</v>
      </c>
    </row>
    <row r="2228" spans="1:11" x14ac:dyDescent="0.25">
      <c r="A2228" s="4">
        <v>21</v>
      </c>
      <c r="B2228" s="4" t="s">
        <v>11</v>
      </c>
      <c r="C2228" s="7">
        <v>35.76</v>
      </c>
      <c r="D2228" s="4" t="s">
        <v>12</v>
      </c>
      <c r="E2228" s="4" t="s">
        <v>20</v>
      </c>
      <c r="F2228" s="4" t="s">
        <v>30</v>
      </c>
      <c r="G2228" s="4" t="s">
        <v>38</v>
      </c>
      <c r="H2228" s="4">
        <v>4</v>
      </c>
      <c r="I2228" s="4">
        <v>11</v>
      </c>
      <c r="J2228" s="5">
        <v>45610</v>
      </c>
      <c r="K2228" s="6">
        <v>0.89202546296296292</v>
      </c>
    </row>
    <row r="2229" spans="1:11" x14ac:dyDescent="0.25">
      <c r="A2229" s="4">
        <v>22</v>
      </c>
      <c r="B2229" s="4" t="s">
        <v>11</v>
      </c>
      <c r="C2229" s="7">
        <v>35.76</v>
      </c>
      <c r="D2229" s="4" t="s">
        <v>12</v>
      </c>
      <c r="E2229" s="4" t="s">
        <v>20</v>
      </c>
      <c r="F2229" s="4" t="s">
        <v>30</v>
      </c>
      <c r="G2229" s="4" t="s">
        <v>38</v>
      </c>
      <c r="H2229" s="4">
        <v>4</v>
      </c>
      <c r="I2229" s="4">
        <v>11</v>
      </c>
      <c r="J2229" s="5">
        <v>45610</v>
      </c>
      <c r="K2229" s="6">
        <v>0.94493055555555561</v>
      </c>
    </row>
    <row r="2230" spans="1:11" x14ac:dyDescent="0.25">
      <c r="A2230" s="4">
        <v>8</v>
      </c>
      <c r="B2230" s="4" t="s">
        <v>11</v>
      </c>
      <c r="C2230" s="7">
        <v>30.86</v>
      </c>
      <c r="D2230" s="4" t="s">
        <v>19</v>
      </c>
      <c r="E2230" s="4" t="s">
        <v>13</v>
      </c>
      <c r="F2230" s="4" t="s">
        <v>14</v>
      </c>
      <c r="G2230" s="4" t="s">
        <v>38</v>
      </c>
      <c r="H2230" s="4">
        <v>5</v>
      </c>
      <c r="I2230" s="4">
        <v>11</v>
      </c>
      <c r="J2230" s="5">
        <v>45611</v>
      </c>
      <c r="K2230" s="6">
        <v>0.36517361111111113</v>
      </c>
    </row>
    <row r="2231" spans="1:11" x14ac:dyDescent="0.25">
      <c r="A2231" s="4">
        <v>11</v>
      </c>
      <c r="B2231" s="4" t="s">
        <v>11</v>
      </c>
      <c r="C2231" s="7">
        <v>30.86</v>
      </c>
      <c r="D2231" s="4" t="s">
        <v>19</v>
      </c>
      <c r="E2231" s="4" t="s">
        <v>13</v>
      </c>
      <c r="F2231" s="4" t="s">
        <v>14</v>
      </c>
      <c r="G2231" s="4" t="s">
        <v>38</v>
      </c>
      <c r="H2231" s="4">
        <v>5</v>
      </c>
      <c r="I2231" s="4">
        <v>11</v>
      </c>
      <c r="J2231" s="5">
        <v>45611</v>
      </c>
      <c r="K2231" s="6">
        <v>0.46241898148148147</v>
      </c>
    </row>
    <row r="2232" spans="1:11" x14ac:dyDescent="0.25">
      <c r="A2232" s="4">
        <v>12</v>
      </c>
      <c r="B2232" s="4" t="s">
        <v>11</v>
      </c>
      <c r="C2232" s="7">
        <v>35.76</v>
      </c>
      <c r="D2232" s="4" t="s">
        <v>21</v>
      </c>
      <c r="E2232" s="4" t="s">
        <v>17</v>
      </c>
      <c r="F2232" s="4" t="s">
        <v>14</v>
      </c>
      <c r="G2232" s="4" t="s">
        <v>38</v>
      </c>
      <c r="H2232" s="4">
        <v>5</v>
      </c>
      <c r="I2232" s="4">
        <v>11</v>
      </c>
      <c r="J2232" s="5">
        <v>45611</v>
      </c>
      <c r="K2232" s="6">
        <v>0.50624999999999998</v>
      </c>
    </row>
    <row r="2233" spans="1:11" x14ac:dyDescent="0.25">
      <c r="A2233" s="4">
        <v>12</v>
      </c>
      <c r="B2233" s="4" t="s">
        <v>11</v>
      </c>
      <c r="C2233" s="7">
        <v>35.76</v>
      </c>
      <c r="D2233" s="4" t="s">
        <v>21</v>
      </c>
      <c r="E2233" s="4" t="s">
        <v>17</v>
      </c>
      <c r="F2233" s="4" t="s">
        <v>14</v>
      </c>
      <c r="G2233" s="4" t="s">
        <v>38</v>
      </c>
      <c r="H2233" s="4">
        <v>5</v>
      </c>
      <c r="I2233" s="4">
        <v>11</v>
      </c>
      <c r="J2233" s="5">
        <v>45611</v>
      </c>
      <c r="K2233" s="6">
        <v>0.50993055555555555</v>
      </c>
    </row>
    <row r="2234" spans="1:11" x14ac:dyDescent="0.25">
      <c r="A2234" s="4">
        <v>13</v>
      </c>
      <c r="B2234" s="4" t="s">
        <v>11</v>
      </c>
      <c r="C2234" s="7">
        <v>35.76</v>
      </c>
      <c r="D2234" s="4" t="s">
        <v>12</v>
      </c>
      <c r="E2234" s="4" t="s">
        <v>17</v>
      </c>
      <c r="F2234" s="4" t="s">
        <v>14</v>
      </c>
      <c r="G2234" s="4" t="s">
        <v>38</v>
      </c>
      <c r="H2234" s="4">
        <v>5</v>
      </c>
      <c r="I2234" s="4">
        <v>11</v>
      </c>
      <c r="J2234" s="5">
        <v>45611</v>
      </c>
      <c r="K2234" s="6">
        <v>0.58163194444444444</v>
      </c>
    </row>
    <row r="2235" spans="1:11" x14ac:dyDescent="0.25">
      <c r="A2235" s="4">
        <v>15</v>
      </c>
      <c r="B2235" s="4" t="s">
        <v>11</v>
      </c>
      <c r="C2235" s="7">
        <v>25.96</v>
      </c>
      <c r="D2235" s="4" t="s">
        <v>18</v>
      </c>
      <c r="E2235" s="4" t="s">
        <v>17</v>
      </c>
      <c r="F2235" s="4" t="s">
        <v>14</v>
      </c>
      <c r="G2235" s="4" t="s">
        <v>38</v>
      </c>
      <c r="H2235" s="4">
        <v>5</v>
      </c>
      <c r="I2235" s="4">
        <v>11</v>
      </c>
      <c r="J2235" s="5">
        <v>45611</v>
      </c>
      <c r="K2235" s="6">
        <v>0.63877314814814812</v>
      </c>
    </row>
    <row r="2236" spans="1:11" x14ac:dyDescent="0.25">
      <c r="A2236" s="4">
        <v>17</v>
      </c>
      <c r="B2236" s="4" t="s">
        <v>11</v>
      </c>
      <c r="C2236" s="7">
        <v>30.86</v>
      </c>
      <c r="D2236" s="4" t="s">
        <v>19</v>
      </c>
      <c r="E2236" s="4" t="s">
        <v>20</v>
      </c>
      <c r="F2236" s="4" t="s">
        <v>14</v>
      </c>
      <c r="G2236" s="4" t="s">
        <v>38</v>
      </c>
      <c r="H2236" s="4">
        <v>5</v>
      </c>
      <c r="I2236" s="4">
        <v>11</v>
      </c>
      <c r="J2236" s="5">
        <v>45611</v>
      </c>
      <c r="K2236" s="6">
        <v>0.73311342592592588</v>
      </c>
    </row>
    <row r="2237" spans="1:11" x14ac:dyDescent="0.25">
      <c r="A2237" s="4">
        <v>17</v>
      </c>
      <c r="B2237" s="4" t="s">
        <v>11</v>
      </c>
      <c r="C2237" s="7">
        <v>35.76</v>
      </c>
      <c r="D2237" s="4" t="s">
        <v>12</v>
      </c>
      <c r="E2237" s="4" t="s">
        <v>20</v>
      </c>
      <c r="F2237" s="4" t="s">
        <v>14</v>
      </c>
      <c r="G2237" s="4" t="s">
        <v>38</v>
      </c>
      <c r="H2237" s="4">
        <v>5</v>
      </c>
      <c r="I2237" s="4">
        <v>11</v>
      </c>
      <c r="J2237" s="5">
        <v>45611</v>
      </c>
      <c r="K2237" s="6">
        <v>0.74653935185185183</v>
      </c>
    </row>
    <row r="2238" spans="1:11" x14ac:dyDescent="0.25">
      <c r="A2238" s="4">
        <v>18</v>
      </c>
      <c r="B2238" s="4" t="s">
        <v>11</v>
      </c>
      <c r="C2238" s="7">
        <v>35.76</v>
      </c>
      <c r="D2238" s="4" t="s">
        <v>16</v>
      </c>
      <c r="E2238" s="4" t="s">
        <v>20</v>
      </c>
      <c r="F2238" s="4" t="s">
        <v>14</v>
      </c>
      <c r="G2238" s="4" t="s">
        <v>38</v>
      </c>
      <c r="H2238" s="4">
        <v>5</v>
      </c>
      <c r="I2238" s="4">
        <v>11</v>
      </c>
      <c r="J2238" s="5">
        <v>45611</v>
      </c>
      <c r="K2238" s="6">
        <v>0.75884259259259257</v>
      </c>
    </row>
    <row r="2239" spans="1:11" x14ac:dyDescent="0.25">
      <c r="A2239" s="4">
        <v>18</v>
      </c>
      <c r="B2239" s="4" t="s">
        <v>11</v>
      </c>
      <c r="C2239" s="7">
        <v>30.86</v>
      </c>
      <c r="D2239" s="4" t="s">
        <v>19</v>
      </c>
      <c r="E2239" s="4" t="s">
        <v>20</v>
      </c>
      <c r="F2239" s="4" t="s">
        <v>14</v>
      </c>
      <c r="G2239" s="4" t="s">
        <v>38</v>
      </c>
      <c r="H2239" s="4">
        <v>5</v>
      </c>
      <c r="I2239" s="4">
        <v>11</v>
      </c>
      <c r="J2239" s="5">
        <v>45611</v>
      </c>
      <c r="K2239" s="6">
        <v>0.77940972222222227</v>
      </c>
    </row>
    <row r="2240" spans="1:11" x14ac:dyDescent="0.25">
      <c r="A2240" s="4">
        <v>18</v>
      </c>
      <c r="B2240" s="4" t="s">
        <v>11</v>
      </c>
      <c r="C2240" s="7">
        <v>30.86</v>
      </c>
      <c r="D2240" s="4" t="s">
        <v>19</v>
      </c>
      <c r="E2240" s="4" t="s">
        <v>20</v>
      </c>
      <c r="F2240" s="4" t="s">
        <v>14</v>
      </c>
      <c r="G2240" s="4" t="s">
        <v>38</v>
      </c>
      <c r="H2240" s="4">
        <v>5</v>
      </c>
      <c r="I2240" s="4">
        <v>11</v>
      </c>
      <c r="J2240" s="5">
        <v>45611</v>
      </c>
      <c r="K2240" s="6">
        <v>0.78010416666666671</v>
      </c>
    </row>
    <row r="2241" spans="1:11" x14ac:dyDescent="0.25">
      <c r="A2241" s="4">
        <v>10</v>
      </c>
      <c r="B2241" s="4" t="s">
        <v>11</v>
      </c>
      <c r="C2241" s="7">
        <v>25.96</v>
      </c>
      <c r="D2241" s="4" t="s">
        <v>24</v>
      </c>
      <c r="E2241" s="4" t="s">
        <v>13</v>
      </c>
      <c r="F2241" s="4" t="s">
        <v>22</v>
      </c>
      <c r="G2241" s="4" t="s">
        <v>38</v>
      </c>
      <c r="H2241" s="4">
        <v>6</v>
      </c>
      <c r="I2241" s="4">
        <v>11</v>
      </c>
      <c r="J2241" s="5">
        <v>45612</v>
      </c>
      <c r="K2241" s="6">
        <v>0.43164351851851851</v>
      </c>
    </row>
    <row r="2242" spans="1:11" x14ac:dyDescent="0.25">
      <c r="A2242" s="4">
        <v>10</v>
      </c>
      <c r="B2242" s="4" t="s">
        <v>11</v>
      </c>
      <c r="C2242" s="7">
        <v>25.96</v>
      </c>
      <c r="D2242" s="4" t="s">
        <v>24</v>
      </c>
      <c r="E2242" s="4" t="s">
        <v>13</v>
      </c>
      <c r="F2242" s="4" t="s">
        <v>22</v>
      </c>
      <c r="G2242" s="4" t="s">
        <v>38</v>
      </c>
      <c r="H2242" s="4">
        <v>6</v>
      </c>
      <c r="I2242" s="4">
        <v>11</v>
      </c>
      <c r="J2242" s="5">
        <v>45612</v>
      </c>
      <c r="K2242" s="6">
        <v>0.44850694444444444</v>
      </c>
    </row>
    <row r="2243" spans="1:11" x14ac:dyDescent="0.25">
      <c r="A2243" s="4">
        <v>11</v>
      </c>
      <c r="B2243" s="4" t="s">
        <v>11</v>
      </c>
      <c r="C2243" s="7">
        <v>35.76</v>
      </c>
      <c r="D2243" s="4" t="s">
        <v>16</v>
      </c>
      <c r="E2243" s="4" t="s">
        <v>13</v>
      </c>
      <c r="F2243" s="4" t="s">
        <v>22</v>
      </c>
      <c r="G2243" s="4" t="s">
        <v>38</v>
      </c>
      <c r="H2243" s="4">
        <v>6</v>
      </c>
      <c r="I2243" s="4">
        <v>11</v>
      </c>
      <c r="J2243" s="5">
        <v>45612</v>
      </c>
      <c r="K2243" s="6">
        <v>0.4597222222222222</v>
      </c>
    </row>
    <row r="2244" spans="1:11" x14ac:dyDescent="0.25">
      <c r="A2244" s="4">
        <v>11</v>
      </c>
      <c r="B2244" s="4" t="s">
        <v>11</v>
      </c>
      <c r="C2244" s="7">
        <v>35.76</v>
      </c>
      <c r="D2244" s="4" t="s">
        <v>12</v>
      </c>
      <c r="E2244" s="4" t="s">
        <v>13</v>
      </c>
      <c r="F2244" s="4" t="s">
        <v>22</v>
      </c>
      <c r="G2244" s="4" t="s">
        <v>38</v>
      </c>
      <c r="H2244" s="4">
        <v>6</v>
      </c>
      <c r="I2244" s="4">
        <v>11</v>
      </c>
      <c r="J2244" s="5">
        <v>45612</v>
      </c>
      <c r="K2244" s="6">
        <v>0.4604861111111111</v>
      </c>
    </row>
    <row r="2245" spans="1:11" x14ac:dyDescent="0.25">
      <c r="A2245" s="4">
        <v>11</v>
      </c>
      <c r="B2245" s="4" t="s">
        <v>11</v>
      </c>
      <c r="C2245" s="7">
        <v>25.96</v>
      </c>
      <c r="D2245" s="4" t="s">
        <v>18</v>
      </c>
      <c r="E2245" s="4" t="s">
        <v>13</v>
      </c>
      <c r="F2245" s="4" t="s">
        <v>22</v>
      </c>
      <c r="G2245" s="4" t="s">
        <v>38</v>
      </c>
      <c r="H2245" s="4">
        <v>6</v>
      </c>
      <c r="I2245" s="4">
        <v>11</v>
      </c>
      <c r="J2245" s="5">
        <v>45612</v>
      </c>
      <c r="K2245" s="6">
        <v>0.48569444444444443</v>
      </c>
    </row>
    <row r="2246" spans="1:11" x14ac:dyDescent="0.25">
      <c r="A2246" s="4">
        <v>12</v>
      </c>
      <c r="B2246" s="4" t="s">
        <v>11</v>
      </c>
      <c r="C2246" s="7">
        <v>35.76</v>
      </c>
      <c r="D2246" s="4" t="s">
        <v>29</v>
      </c>
      <c r="E2246" s="4" t="s">
        <v>17</v>
      </c>
      <c r="F2246" s="4" t="s">
        <v>22</v>
      </c>
      <c r="G2246" s="4" t="s">
        <v>38</v>
      </c>
      <c r="H2246" s="4">
        <v>6</v>
      </c>
      <c r="I2246" s="4">
        <v>11</v>
      </c>
      <c r="J2246" s="5">
        <v>45612</v>
      </c>
      <c r="K2246" s="6">
        <v>0.52099537037037036</v>
      </c>
    </row>
    <row r="2247" spans="1:11" x14ac:dyDescent="0.25">
      <c r="A2247" s="4">
        <v>12</v>
      </c>
      <c r="B2247" s="4" t="s">
        <v>11</v>
      </c>
      <c r="C2247" s="7">
        <v>30.86</v>
      </c>
      <c r="D2247" s="4" t="s">
        <v>19</v>
      </c>
      <c r="E2247" s="4" t="s">
        <v>17</v>
      </c>
      <c r="F2247" s="4" t="s">
        <v>22</v>
      </c>
      <c r="G2247" s="4" t="s">
        <v>38</v>
      </c>
      <c r="H2247" s="4">
        <v>6</v>
      </c>
      <c r="I2247" s="4">
        <v>11</v>
      </c>
      <c r="J2247" s="5">
        <v>45612</v>
      </c>
      <c r="K2247" s="6">
        <v>0.52210648148148153</v>
      </c>
    </row>
    <row r="2248" spans="1:11" x14ac:dyDescent="0.25">
      <c r="A2248" s="4">
        <v>12</v>
      </c>
      <c r="B2248" s="4" t="s">
        <v>11</v>
      </c>
      <c r="C2248" s="7">
        <v>35.76</v>
      </c>
      <c r="D2248" s="4" t="s">
        <v>12</v>
      </c>
      <c r="E2248" s="4" t="s">
        <v>17</v>
      </c>
      <c r="F2248" s="4" t="s">
        <v>22</v>
      </c>
      <c r="G2248" s="4" t="s">
        <v>38</v>
      </c>
      <c r="H2248" s="4">
        <v>6</v>
      </c>
      <c r="I2248" s="4">
        <v>11</v>
      </c>
      <c r="J2248" s="5">
        <v>45612</v>
      </c>
      <c r="K2248" s="6">
        <v>0.53373842592592591</v>
      </c>
    </row>
    <row r="2249" spans="1:11" x14ac:dyDescent="0.25">
      <c r="A2249" s="4">
        <v>12</v>
      </c>
      <c r="B2249" s="4" t="s">
        <v>11</v>
      </c>
      <c r="C2249" s="7">
        <v>35.76</v>
      </c>
      <c r="D2249" s="4" t="s">
        <v>12</v>
      </c>
      <c r="E2249" s="4" t="s">
        <v>17</v>
      </c>
      <c r="F2249" s="4" t="s">
        <v>22</v>
      </c>
      <c r="G2249" s="4" t="s">
        <v>38</v>
      </c>
      <c r="H2249" s="4">
        <v>6</v>
      </c>
      <c r="I2249" s="4">
        <v>11</v>
      </c>
      <c r="J2249" s="5">
        <v>45612</v>
      </c>
      <c r="K2249" s="6">
        <v>0.53443287037037035</v>
      </c>
    </row>
    <row r="2250" spans="1:11" x14ac:dyDescent="0.25">
      <c r="A2250" s="4">
        <v>13</v>
      </c>
      <c r="B2250" s="4" t="s">
        <v>11</v>
      </c>
      <c r="C2250" s="7">
        <v>30.86</v>
      </c>
      <c r="D2250" s="4" t="s">
        <v>19</v>
      </c>
      <c r="E2250" s="4" t="s">
        <v>17</v>
      </c>
      <c r="F2250" s="4" t="s">
        <v>22</v>
      </c>
      <c r="G2250" s="4" t="s">
        <v>38</v>
      </c>
      <c r="H2250" s="4">
        <v>6</v>
      </c>
      <c r="I2250" s="4">
        <v>11</v>
      </c>
      <c r="J2250" s="5">
        <v>45612</v>
      </c>
      <c r="K2250" s="6">
        <v>0.55341435185185184</v>
      </c>
    </row>
    <row r="2251" spans="1:11" x14ac:dyDescent="0.25">
      <c r="A2251" s="4">
        <v>13</v>
      </c>
      <c r="B2251" s="4" t="s">
        <v>11</v>
      </c>
      <c r="C2251" s="7">
        <v>35.76</v>
      </c>
      <c r="D2251" s="4" t="s">
        <v>12</v>
      </c>
      <c r="E2251" s="4" t="s">
        <v>17</v>
      </c>
      <c r="F2251" s="4" t="s">
        <v>22</v>
      </c>
      <c r="G2251" s="4" t="s">
        <v>38</v>
      </c>
      <c r="H2251" s="4">
        <v>6</v>
      </c>
      <c r="I2251" s="4">
        <v>11</v>
      </c>
      <c r="J2251" s="5">
        <v>45612</v>
      </c>
      <c r="K2251" s="6">
        <v>0.5541666666666667</v>
      </c>
    </row>
    <row r="2252" spans="1:11" x14ac:dyDescent="0.25">
      <c r="A2252" s="4">
        <v>13</v>
      </c>
      <c r="B2252" s="4" t="s">
        <v>11</v>
      </c>
      <c r="C2252" s="7">
        <v>35.76</v>
      </c>
      <c r="D2252" s="4" t="s">
        <v>12</v>
      </c>
      <c r="E2252" s="4" t="s">
        <v>17</v>
      </c>
      <c r="F2252" s="4" t="s">
        <v>22</v>
      </c>
      <c r="G2252" s="4" t="s">
        <v>38</v>
      </c>
      <c r="H2252" s="4">
        <v>6</v>
      </c>
      <c r="I2252" s="4">
        <v>11</v>
      </c>
      <c r="J2252" s="5">
        <v>45612</v>
      </c>
      <c r="K2252" s="6">
        <v>0.55496527777777782</v>
      </c>
    </row>
    <row r="2253" spans="1:11" x14ac:dyDescent="0.25">
      <c r="A2253" s="4">
        <v>14</v>
      </c>
      <c r="B2253" s="4" t="s">
        <v>11</v>
      </c>
      <c r="C2253" s="7">
        <v>30.86</v>
      </c>
      <c r="D2253" s="4" t="s">
        <v>19</v>
      </c>
      <c r="E2253" s="4" t="s">
        <v>17</v>
      </c>
      <c r="F2253" s="4" t="s">
        <v>22</v>
      </c>
      <c r="G2253" s="4" t="s">
        <v>38</v>
      </c>
      <c r="H2253" s="4">
        <v>6</v>
      </c>
      <c r="I2253" s="4">
        <v>11</v>
      </c>
      <c r="J2253" s="5">
        <v>45612</v>
      </c>
      <c r="K2253" s="6">
        <v>0.60123842592592591</v>
      </c>
    </row>
    <row r="2254" spans="1:11" x14ac:dyDescent="0.25">
      <c r="A2254" s="4">
        <v>10</v>
      </c>
      <c r="B2254" s="4" t="s">
        <v>11</v>
      </c>
      <c r="C2254" s="7">
        <v>30.86</v>
      </c>
      <c r="D2254" s="4" t="s">
        <v>19</v>
      </c>
      <c r="E2254" s="4" t="s">
        <v>13</v>
      </c>
      <c r="F2254" s="4" t="s">
        <v>23</v>
      </c>
      <c r="G2254" s="4" t="s">
        <v>38</v>
      </c>
      <c r="H2254" s="4">
        <v>7</v>
      </c>
      <c r="I2254" s="4">
        <v>11</v>
      </c>
      <c r="J2254" s="5">
        <v>45613</v>
      </c>
      <c r="K2254" s="6">
        <v>0.43722222222222223</v>
      </c>
    </row>
    <row r="2255" spans="1:11" x14ac:dyDescent="0.25">
      <c r="A2255" s="4">
        <v>13</v>
      </c>
      <c r="B2255" s="4" t="s">
        <v>11</v>
      </c>
      <c r="C2255" s="7">
        <v>30.86</v>
      </c>
      <c r="D2255" s="4" t="s">
        <v>19</v>
      </c>
      <c r="E2255" s="4" t="s">
        <v>17</v>
      </c>
      <c r="F2255" s="4" t="s">
        <v>23</v>
      </c>
      <c r="G2255" s="4" t="s">
        <v>38</v>
      </c>
      <c r="H2255" s="4">
        <v>7</v>
      </c>
      <c r="I2255" s="4">
        <v>11</v>
      </c>
      <c r="J2255" s="5">
        <v>45613</v>
      </c>
      <c r="K2255" s="6">
        <v>0.56619212962962961</v>
      </c>
    </row>
    <row r="2256" spans="1:11" x14ac:dyDescent="0.25">
      <c r="A2256" s="4">
        <v>14</v>
      </c>
      <c r="B2256" s="4" t="s">
        <v>11</v>
      </c>
      <c r="C2256" s="7">
        <v>25.96</v>
      </c>
      <c r="D2256" s="4" t="s">
        <v>18</v>
      </c>
      <c r="E2256" s="4" t="s">
        <v>17</v>
      </c>
      <c r="F2256" s="4" t="s">
        <v>23</v>
      </c>
      <c r="G2256" s="4" t="s">
        <v>38</v>
      </c>
      <c r="H2256" s="4">
        <v>7</v>
      </c>
      <c r="I2256" s="4">
        <v>11</v>
      </c>
      <c r="J2256" s="5">
        <v>45613</v>
      </c>
      <c r="K2256" s="6">
        <v>0.59630787037037036</v>
      </c>
    </row>
    <row r="2257" spans="1:11" x14ac:dyDescent="0.25">
      <c r="A2257" s="4">
        <v>14</v>
      </c>
      <c r="B2257" s="4" t="s">
        <v>11</v>
      </c>
      <c r="C2257" s="7">
        <v>30.86</v>
      </c>
      <c r="D2257" s="4" t="s">
        <v>19</v>
      </c>
      <c r="E2257" s="4" t="s">
        <v>17</v>
      </c>
      <c r="F2257" s="4" t="s">
        <v>23</v>
      </c>
      <c r="G2257" s="4" t="s">
        <v>38</v>
      </c>
      <c r="H2257" s="4">
        <v>7</v>
      </c>
      <c r="I2257" s="4">
        <v>11</v>
      </c>
      <c r="J2257" s="5">
        <v>45613</v>
      </c>
      <c r="K2257" s="6">
        <v>0.60671296296296295</v>
      </c>
    </row>
    <row r="2258" spans="1:11" x14ac:dyDescent="0.25">
      <c r="A2258" s="4">
        <v>16</v>
      </c>
      <c r="B2258" s="4" t="s">
        <v>11</v>
      </c>
      <c r="C2258" s="7">
        <v>35.76</v>
      </c>
      <c r="D2258" s="4" t="s">
        <v>12</v>
      </c>
      <c r="E2258" s="4" t="s">
        <v>17</v>
      </c>
      <c r="F2258" s="4" t="s">
        <v>23</v>
      </c>
      <c r="G2258" s="4" t="s">
        <v>38</v>
      </c>
      <c r="H2258" s="4">
        <v>7</v>
      </c>
      <c r="I2258" s="4">
        <v>11</v>
      </c>
      <c r="J2258" s="5">
        <v>45613</v>
      </c>
      <c r="K2258" s="6">
        <v>0.68571759259259257</v>
      </c>
    </row>
    <row r="2259" spans="1:11" x14ac:dyDescent="0.25">
      <c r="A2259" s="4">
        <v>16</v>
      </c>
      <c r="B2259" s="4" t="s">
        <v>11</v>
      </c>
      <c r="C2259" s="7">
        <v>35.76</v>
      </c>
      <c r="D2259" s="4" t="s">
        <v>12</v>
      </c>
      <c r="E2259" s="4" t="s">
        <v>17</v>
      </c>
      <c r="F2259" s="4" t="s">
        <v>23</v>
      </c>
      <c r="G2259" s="4" t="s">
        <v>38</v>
      </c>
      <c r="H2259" s="4">
        <v>7</v>
      </c>
      <c r="I2259" s="4">
        <v>11</v>
      </c>
      <c r="J2259" s="5">
        <v>45613</v>
      </c>
      <c r="K2259" s="6">
        <v>0.6865162037037037</v>
      </c>
    </row>
    <row r="2260" spans="1:11" x14ac:dyDescent="0.25">
      <c r="A2260" s="4">
        <v>18</v>
      </c>
      <c r="B2260" s="4" t="s">
        <v>11</v>
      </c>
      <c r="C2260" s="7">
        <v>35.76</v>
      </c>
      <c r="D2260" s="4" t="s">
        <v>16</v>
      </c>
      <c r="E2260" s="4" t="s">
        <v>20</v>
      </c>
      <c r="F2260" s="4" t="s">
        <v>23</v>
      </c>
      <c r="G2260" s="4" t="s">
        <v>38</v>
      </c>
      <c r="H2260" s="4">
        <v>7</v>
      </c>
      <c r="I2260" s="4">
        <v>11</v>
      </c>
      <c r="J2260" s="5">
        <v>45613</v>
      </c>
      <c r="K2260" s="6">
        <v>0.75701388888888888</v>
      </c>
    </row>
    <row r="2261" spans="1:11" x14ac:dyDescent="0.25">
      <c r="A2261" s="4">
        <v>19</v>
      </c>
      <c r="B2261" s="4" t="s">
        <v>11</v>
      </c>
      <c r="C2261" s="7">
        <v>35.76</v>
      </c>
      <c r="D2261" s="4" t="s">
        <v>16</v>
      </c>
      <c r="E2261" s="4" t="s">
        <v>20</v>
      </c>
      <c r="F2261" s="4" t="s">
        <v>23</v>
      </c>
      <c r="G2261" s="4" t="s">
        <v>38</v>
      </c>
      <c r="H2261" s="4">
        <v>7</v>
      </c>
      <c r="I2261" s="4">
        <v>11</v>
      </c>
      <c r="J2261" s="5">
        <v>45613</v>
      </c>
      <c r="K2261" s="6">
        <v>0.80386574074074069</v>
      </c>
    </row>
    <row r="2262" spans="1:11" x14ac:dyDescent="0.25">
      <c r="A2262" s="4">
        <v>19</v>
      </c>
      <c r="B2262" s="4" t="s">
        <v>11</v>
      </c>
      <c r="C2262" s="7">
        <v>35.76</v>
      </c>
      <c r="D2262" s="4" t="s">
        <v>16</v>
      </c>
      <c r="E2262" s="4" t="s">
        <v>20</v>
      </c>
      <c r="F2262" s="4" t="s">
        <v>23</v>
      </c>
      <c r="G2262" s="4" t="s">
        <v>38</v>
      </c>
      <c r="H2262" s="4">
        <v>7</v>
      </c>
      <c r="I2262" s="4">
        <v>11</v>
      </c>
      <c r="J2262" s="5">
        <v>45613</v>
      </c>
      <c r="K2262" s="6">
        <v>0.80447916666666663</v>
      </c>
    </row>
    <row r="2263" spans="1:11" x14ac:dyDescent="0.25">
      <c r="A2263" s="4">
        <v>7</v>
      </c>
      <c r="B2263" s="4" t="s">
        <v>11</v>
      </c>
      <c r="C2263" s="7">
        <v>30.86</v>
      </c>
      <c r="D2263" s="4" t="s">
        <v>19</v>
      </c>
      <c r="E2263" s="4" t="s">
        <v>13</v>
      </c>
      <c r="F2263" s="4" t="s">
        <v>25</v>
      </c>
      <c r="G2263" s="4" t="s">
        <v>38</v>
      </c>
      <c r="H2263" s="4">
        <v>1</v>
      </c>
      <c r="I2263" s="4">
        <v>11</v>
      </c>
      <c r="J2263" s="5">
        <v>45614</v>
      </c>
      <c r="K2263" s="6">
        <v>0.32799768518518518</v>
      </c>
    </row>
    <row r="2264" spans="1:11" x14ac:dyDescent="0.25">
      <c r="A2264" s="4">
        <v>7</v>
      </c>
      <c r="B2264" s="4" t="s">
        <v>11</v>
      </c>
      <c r="C2264" s="7">
        <v>30.86</v>
      </c>
      <c r="D2264" s="4" t="s">
        <v>19</v>
      </c>
      <c r="E2264" s="4" t="s">
        <v>13</v>
      </c>
      <c r="F2264" s="4" t="s">
        <v>25</v>
      </c>
      <c r="G2264" s="4" t="s">
        <v>38</v>
      </c>
      <c r="H2264" s="4">
        <v>1</v>
      </c>
      <c r="I2264" s="4">
        <v>11</v>
      </c>
      <c r="J2264" s="5">
        <v>45614</v>
      </c>
      <c r="K2264" s="6">
        <v>0.3286574074074074</v>
      </c>
    </row>
    <row r="2265" spans="1:11" x14ac:dyDescent="0.25">
      <c r="A2265" s="4">
        <v>7</v>
      </c>
      <c r="B2265" s="4" t="s">
        <v>11</v>
      </c>
      <c r="C2265" s="7">
        <v>35.76</v>
      </c>
      <c r="D2265" s="4" t="s">
        <v>12</v>
      </c>
      <c r="E2265" s="4" t="s">
        <v>13</v>
      </c>
      <c r="F2265" s="4" t="s">
        <v>25</v>
      </c>
      <c r="G2265" s="4" t="s">
        <v>38</v>
      </c>
      <c r="H2265" s="4">
        <v>1</v>
      </c>
      <c r="I2265" s="4">
        <v>11</v>
      </c>
      <c r="J2265" s="5">
        <v>45614</v>
      </c>
      <c r="K2265" s="6">
        <v>0.33150462962962962</v>
      </c>
    </row>
    <row r="2266" spans="1:11" x14ac:dyDescent="0.25">
      <c r="A2266" s="4">
        <v>16</v>
      </c>
      <c r="B2266" s="4" t="s">
        <v>11</v>
      </c>
      <c r="C2266" s="7">
        <v>35.76</v>
      </c>
      <c r="D2266" s="4" t="s">
        <v>12</v>
      </c>
      <c r="E2266" s="4" t="s">
        <v>17</v>
      </c>
      <c r="F2266" s="4" t="s">
        <v>25</v>
      </c>
      <c r="G2266" s="4" t="s">
        <v>38</v>
      </c>
      <c r="H2266" s="4">
        <v>1</v>
      </c>
      <c r="I2266" s="4">
        <v>11</v>
      </c>
      <c r="J2266" s="5">
        <v>45614</v>
      </c>
      <c r="K2266" s="6">
        <v>0.69778935185185187</v>
      </c>
    </row>
    <row r="2267" spans="1:11" x14ac:dyDescent="0.25">
      <c r="A2267" s="4">
        <v>16</v>
      </c>
      <c r="B2267" s="4" t="s">
        <v>11</v>
      </c>
      <c r="C2267" s="7">
        <v>35.76</v>
      </c>
      <c r="D2267" s="4" t="s">
        <v>12</v>
      </c>
      <c r="E2267" s="4" t="s">
        <v>17</v>
      </c>
      <c r="F2267" s="4" t="s">
        <v>25</v>
      </c>
      <c r="G2267" s="4" t="s">
        <v>38</v>
      </c>
      <c r="H2267" s="4">
        <v>1</v>
      </c>
      <c r="I2267" s="4">
        <v>11</v>
      </c>
      <c r="J2267" s="5">
        <v>45614</v>
      </c>
      <c r="K2267" s="6">
        <v>0.69921296296296298</v>
      </c>
    </row>
    <row r="2268" spans="1:11" x14ac:dyDescent="0.25">
      <c r="A2268" s="4">
        <v>18</v>
      </c>
      <c r="B2268" s="4" t="s">
        <v>11</v>
      </c>
      <c r="C2268" s="7">
        <v>35.76</v>
      </c>
      <c r="D2268" s="4" t="s">
        <v>12</v>
      </c>
      <c r="E2268" s="4" t="s">
        <v>20</v>
      </c>
      <c r="F2268" s="4" t="s">
        <v>25</v>
      </c>
      <c r="G2268" s="4" t="s">
        <v>38</v>
      </c>
      <c r="H2268" s="4">
        <v>1</v>
      </c>
      <c r="I2268" s="4">
        <v>11</v>
      </c>
      <c r="J2268" s="5">
        <v>45614</v>
      </c>
      <c r="K2268" s="6">
        <v>0.7853472222222222</v>
      </c>
    </row>
    <row r="2269" spans="1:11" x14ac:dyDescent="0.25">
      <c r="A2269" s="4">
        <v>7</v>
      </c>
      <c r="B2269" s="4" t="s">
        <v>11</v>
      </c>
      <c r="C2269" s="7">
        <v>35.76</v>
      </c>
      <c r="D2269" s="4" t="s">
        <v>21</v>
      </c>
      <c r="E2269" s="4" t="s">
        <v>13</v>
      </c>
      <c r="F2269" s="4" t="s">
        <v>27</v>
      </c>
      <c r="G2269" s="4" t="s">
        <v>38</v>
      </c>
      <c r="H2269" s="4">
        <v>2</v>
      </c>
      <c r="I2269" s="4">
        <v>11</v>
      </c>
      <c r="J2269" s="5">
        <v>45615</v>
      </c>
      <c r="K2269" s="6">
        <v>0.32569444444444445</v>
      </c>
    </row>
    <row r="2270" spans="1:11" x14ac:dyDescent="0.25">
      <c r="A2270" s="4">
        <v>7</v>
      </c>
      <c r="B2270" s="4" t="s">
        <v>11</v>
      </c>
      <c r="C2270" s="7">
        <v>30.86</v>
      </c>
      <c r="D2270" s="4" t="s">
        <v>19</v>
      </c>
      <c r="E2270" s="4" t="s">
        <v>13</v>
      </c>
      <c r="F2270" s="4" t="s">
        <v>27</v>
      </c>
      <c r="G2270" s="4" t="s">
        <v>38</v>
      </c>
      <c r="H2270" s="4">
        <v>2</v>
      </c>
      <c r="I2270" s="4">
        <v>11</v>
      </c>
      <c r="J2270" s="5">
        <v>45615</v>
      </c>
      <c r="K2270" s="6">
        <v>0.32723379629629629</v>
      </c>
    </row>
    <row r="2271" spans="1:11" x14ac:dyDescent="0.25">
      <c r="A2271" s="4">
        <v>7</v>
      </c>
      <c r="B2271" s="4" t="s">
        <v>11</v>
      </c>
      <c r="C2271" s="7">
        <v>35.76</v>
      </c>
      <c r="D2271" s="4" t="s">
        <v>12</v>
      </c>
      <c r="E2271" s="4" t="s">
        <v>13</v>
      </c>
      <c r="F2271" s="4" t="s">
        <v>27</v>
      </c>
      <c r="G2271" s="4" t="s">
        <v>38</v>
      </c>
      <c r="H2271" s="4">
        <v>2</v>
      </c>
      <c r="I2271" s="4">
        <v>11</v>
      </c>
      <c r="J2271" s="5">
        <v>45615</v>
      </c>
      <c r="K2271" s="6">
        <v>0.32792824074074073</v>
      </c>
    </row>
    <row r="2272" spans="1:11" x14ac:dyDescent="0.25">
      <c r="A2272" s="4">
        <v>7</v>
      </c>
      <c r="B2272" s="4" t="s">
        <v>11</v>
      </c>
      <c r="C2272" s="7">
        <v>21.06</v>
      </c>
      <c r="D2272" s="4" t="s">
        <v>26</v>
      </c>
      <c r="E2272" s="4" t="s">
        <v>13</v>
      </c>
      <c r="F2272" s="4" t="s">
        <v>27</v>
      </c>
      <c r="G2272" s="4" t="s">
        <v>38</v>
      </c>
      <c r="H2272" s="4">
        <v>2</v>
      </c>
      <c r="I2272" s="4">
        <v>11</v>
      </c>
      <c r="J2272" s="5">
        <v>45615</v>
      </c>
      <c r="K2272" s="6">
        <v>0.32891203703703703</v>
      </c>
    </row>
    <row r="2273" spans="1:11" x14ac:dyDescent="0.25">
      <c r="A2273" s="4">
        <v>7</v>
      </c>
      <c r="B2273" s="4" t="s">
        <v>11</v>
      </c>
      <c r="C2273" s="7">
        <v>35.76</v>
      </c>
      <c r="D2273" s="4" t="s">
        <v>12</v>
      </c>
      <c r="E2273" s="4" t="s">
        <v>13</v>
      </c>
      <c r="F2273" s="4" t="s">
        <v>27</v>
      </c>
      <c r="G2273" s="4" t="s">
        <v>38</v>
      </c>
      <c r="H2273" s="4">
        <v>2</v>
      </c>
      <c r="I2273" s="4">
        <v>11</v>
      </c>
      <c r="J2273" s="5">
        <v>45615</v>
      </c>
      <c r="K2273" s="6">
        <v>0.32969907407407406</v>
      </c>
    </row>
    <row r="2274" spans="1:11" x14ac:dyDescent="0.25">
      <c r="A2274" s="4">
        <v>10</v>
      </c>
      <c r="B2274" s="4" t="s">
        <v>11</v>
      </c>
      <c r="C2274" s="7">
        <v>30.86</v>
      </c>
      <c r="D2274" s="4" t="s">
        <v>19</v>
      </c>
      <c r="E2274" s="4" t="s">
        <v>13</v>
      </c>
      <c r="F2274" s="4" t="s">
        <v>27</v>
      </c>
      <c r="G2274" s="4" t="s">
        <v>38</v>
      </c>
      <c r="H2274" s="4">
        <v>2</v>
      </c>
      <c r="I2274" s="4">
        <v>11</v>
      </c>
      <c r="J2274" s="5">
        <v>45615</v>
      </c>
      <c r="K2274" s="6">
        <v>0.43707175925925928</v>
      </c>
    </row>
    <row r="2275" spans="1:11" x14ac:dyDescent="0.25">
      <c r="A2275" s="4">
        <v>11</v>
      </c>
      <c r="B2275" s="4" t="s">
        <v>11</v>
      </c>
      <c r="C2275" s="7">
        <v>35.76</v>
      </c>
      <c r="D2275" s="4" t="s">
        <v>12</v>
      </c>
      <c r="E2275" s="4" t="s">
        <v>13</v>
      </c>
      <c r="F2275" s="4" t="s">
        <v>27</v>
      </c>
      <c r="G2275" s="4" t="s">
        <v>38</v>
      </c>
      <c r="H2275" s="4">
        <v>2</v>
      </c>
      <c r="I2275" s="4">
        <v>11</v>
      </c>
      <c r="J2275" s="5">
        <v>45615</v>
      </c>
      <c r="K2275" s="6">
        <v>0.46329861111111109</v>
      </c>
    </row>
    <row r="2276" spans="1:11" x14ac:dyDescent="0.25">
      <c r="A2276" s="4">
        <v>16</v>
      </c>
      <c r="B2276" s="4" t="s">
        <v>11</v>
      </c>
      <c r="C2276" s="7">
        <v>35.76</v>
      </c>
      <c r="D2276" s="4" t="s">
        <v>21</v>
      </c>
      <c r="E2276" s="4" t="s">
        <v>17</v>
      </c>
      <c r="F2276" s="4" t="s">
        <v>27</v>
      </c>
      <c r="G2276" s="4" t="s">
        <v>38</v>
      </c>
      <c r="H2276" s="4">
        <v>2</v>
      </c>
      <c r="I2276" s="4">
        <v>11</v>
      </c>
      <c r="J2276" s="5">
        <v>45615</v>
      </c>
      <c r="K2276" s="6">
        <v>0.68240740740740746</v>
      </c>
    </row>
    <row r="2277" spans="1:11" x14ac:dyDescent="0.25">
      <c r="A2277" s="4">
        <v>16</v>
      </c>
      <c r="B2277" s="4" t="s">
        <v>11</v>
      </c>
      <c r="C2277" s="7">
        <v>35.76</v>
      </c>
      <c r="D2277" s="4" t="s">
        <v>21</v>
      </c>
      <c r="E2277" s="4" t="s">
        <v>17</v>
      </c>
      <c r="F2277" s="4" t="s">
        <v>27</v>
      </c>
      <c r="G2277" s="4" t="s">
        <v>38</v>
      </c>
      <c r="H2277" s="4">
        <v>2</v>
      </c>
      <c r="I2277" s="4">
        <v>11</v>
      </c>
      <c r="J2277" s="5">
        <v>45615</v>
      </c>
      <c r="K2277" s="6">
        <v>0.68332175925925931</v>
      </c>
    </row>
    <row r="2278" spans="1:11" x14ac:dyDescent="0.25">
      <c r="A2278" s="4">
        <v>16</v>
      </c>
      <c r="B2278" s="4" t="s">
        <v>11</v>
      </c>
      <c r="C2278" s="7">
        <v>35.76</v>
      </c>
      <c r="D2278" s="4" t="s">
        <v>29</v>
      </c>
      <c r="E2278" s="4" t="s">
        <v>17</v>
      </c>
      <c r="F2278" s="4" t="s">
        <v>27</v>
      </c>
      <c r="G2278" s="4" t="s">
        <v>38</v>
      </c>
      <c r="H2278" s="4">
        <v>2</v>
      </c>
      <c r="I2278" s="4">
        <v>11</v>
      </c>
      <c r="J2278" s="5">
        <v>45615</v>
      </c>
      <c r="K2278" s="6">
        <v>0.69517361111111109</v>
      </c>
    </row>
    <row r="2279" spans="1:11" x14ac:dyDescent="0.25">
      <c r="A2279" s="4">
        <v>16</v>
      </c>
      <c r="B2279" s="4" t="s">
        <v>11</v>
      </c>
      <c r="C2279" s="7">
        <v>35.76</v>
      </c>
      <c r="D2279" s="4" t="s">
        <v>29</v>
      </c>
      <c r="E2279" s="4" t="s">
        <v>17</v>
      </c>
      <c r="F2279" s="4" t="s">
        <v>27</v>
      </c>
      <c r="G2279" s="4" t="s">
        <v>38</v>
      </c>
      <c r="H2279" s="4">
        <v>2</v>
      </c>
      <c r="I2279" s="4">
        <v>11</v>
      </c>
      <c r="J2279" s="5">
        <v>45615</v>
      </c>
      <c r="K2279" s="6">
        <v>0.69978009259259255</v>
      </c>
    </row>
    <row r="2280" spans="1:11" x14ac:dyDescent="0.25">
      <c r="A2280" s="4">
        <v>13</v>
      </c>
      <c r="B2280" s="4" t="s">
        <v>11</v>
      </c>
      <c r="C2280" s="7">
        <v>30.86</v>
      </c>
      <c r="D2280" s="4" t="s">
        <v>19</v>
      </c>
      <c r="E2280" s="4" t="s">
        <v>17</v>
      </c>
      <c r="F2280" s="4" t="s">
        <v>28</v>
      </c>
      <c r="G2280" s="4" t="s">
        <v>38</v>
      </c>
      <c r="H2280" s="4">
        <v>3</v>
      </c>
      <c r="I2280" s="4">
        <v>11</v>
      </c>
      <c r="J2280" s="5">
        <v>45616</v>
      </c>
      <c r="K2280" s="6">
        <v>0.56224537037037037</v>
      </c>
    </row>
    <row r="2281" spans="1:11" x14ac:dyDescent="0.25">
      <c r="A2281" s="4">
        <v>16</v>
      </c>
      <c r="B2281" s="4" t="s">
        <v>11</v>
      </c>
      <c r="C2281" s="7">
        <v>35.76</v>
      </c>
      <c r="D2281" s="4" t="s">
        <v>12</v>
      </c>
      <c r="E2281" s="4" t="s">
        <v>17</v>
      </c>
      <c r="F2281" s="4" t="s">
        <v>28</v>
      </c>
      <c r="G2281" s="4" t="s">
        <v>38</v>
      </c>
      <c r="H2281" s="4">
        <v>3</v>
      </c>
      <c r="I2281" s="4">
        <v>11</v>
      </c>
      <c r="J2281" s="5">
        <v>45616</v>
      </c>
      <c r="K2281" s="6">
        <v>0.69085648148148149</v>
      </c>
    </row>
    <row r="2282" spans="1:11" x14ac:dyDescent="0.25">
      <c r="A2282" s="4">
        <v>17</v>
      </c>
      <c r="B2282" s="4" t="s">
        <v>11</v>
      </c>
      <c r="C2282" s="7">
        <v>35.76</v>
      </c>
      <c r="D2282" s="4" t="s">
        <v>29</v>
      </c>
      <c r="E2282" s="4" t="s">
        <v>20</v>
      </c>
      <c r="F2282" s="4" t="s">
        <v>28</v>
      </c>
      <c r="G2282" s="4" t="s">
        <v>38</v>
      </c>
      <c r="H2282" s="4">
        <v>3</v>
      </c>
      <c r="I2282" s="4">
        <v>11</v>
      </c>
      <c r="J2282" s="5">
        <v>45616</v>
      </c>
      <c r="K2282" s="6">
        <v>0.7429513888888889</v>
      </c>
    </row>
    <row r="2283" spans="1:11" x14ac:dyDescent="0.25">
      <c r="A2283" s="4">
        <v>17</v>
      </c>
      <c r="B2283" s="4" t="s">
        <v>11</v>
      </c>
      <c r="C2283" s="7">
        <v>35.76</v>
      </c>
      <c r="D2283" s="4" t="s">
        <v>16</v>
      </c>
      <c r="E2283" s="4" t="s">
        <v>20</v>
      </c>
      <c r="F2283" s="4" t="s">
        <v>28</v>
      </c>
      <c r="G2283" s="4" t="s">
        <v>38</v>
      </c>
      <c r="H2283" s="4">
        <v>3</v>
      </c>
      <c r="I2283" s="4">
        <v>11</v>
      </c>
      <c r="J2283" s="5">
        <v>45616</v>
      </c>
      <c r="K2283" s="6">
        <v>0.74362268518518515</v>
      </c>
    </row>
    <row r="2284" spans="1:11" x14ac:dyDescent="0.25">
      <c r="A2284" s="4">
        <v>11</v>
      </c>
      <c r="B2284" s="4" t="s">
        <v>11</v>
      </c>
      <c r="C2284" s="7">
        <v>25.96</v>
      </c>
      <c r="D2284" s="4" t="s">
        <v>24</v>
      </c>
      <c r="E2284" s="4" t="s">
        <v>13</v>
      </c>
      <c r="F2284" s="4" t="s">
        <v>30</v>
      </c>
      <c r="G2284" s="4" t="s">
        <v>38</v>
      </c>
      <c r="H2284" s="4">
        <v>4</v>
      </c>
      <c r="I2284" s="4">
        <v>11</v>
      </c>
      <c r="J2284" s="5">
        <v>45617</v>
      </c>
      <c r="K2284" s="6">
        <v>0.46262731481481484</v>
      </c>
    </row>
    <row r="2285" spans="1:11" x14ac:dyDescent="0.25">
      <c r="A2285" s="4">
        <v>12</v>
      </c>
      <c r="B2285" s="4" t="s">
        <v>11</v>
      </c>
      <c r="C2285" s="7">
        <v>35.76</v>
      </c>
      <c r="D2285" s="4" t="s">
        <v>12</v>
      </c>
      <c r="E2285" s="4" t="s">
        <v>17</v>
      </c>
      <c r="F2285" s="4" t="s">
        <v>30</v>
      </c>
      <c r="G2285" s="4" t="s">
        <v>38</v>
      </c>
      <c r="H2285" s="4">
        <v>4</v>
      </c>
      <c r="I2285" s="4">
        <v>11</v>
      </c>
      <c r="J2285" s="5">
        <v>45617</v>
      </c>
      <c r="K2285" s="6">
        <v>0.52333333333333332</v>
      </c>
    </row>
    <row r="2286" spans="1:11" x14ac:dyDescent="0.25">
      <c r="A2286" s="4">
        <v>12</v>
      </c>
      <c r="B2286" s="4" t="s">
        <v>11</v>
      </c>
      <c r="C2286" s="7">
        <v>35.76</v>
      </c>
      <c r="D2286" s="4" t="s">
        <v>21</v>
      </c>
      <c r="E2286" s="4" t="s">
        <v>17</v>
      </c>
      <c r="F2286" s="4" t="s">
        <v>30</v>
      </c>
      <c r="G2286" s="4" t="s">
        <v>38</v>
      </c>
      <c r="H2286" s="4">
        <v>4</v>
      </c>
      <c r="I2286" s="4">
        <v>11</v>
      </c>
      <c r="J2286" s="5">
        <v>45617</v>
      </c>
      <c r="K2286" s="6">
        <v>0.5414930555555556</v>
      </c>
    </row>
    <row r="2287" spans="1:11" x14ac:dyDescent="0.25">
      <c r="A2287" s="4">
        <v>13</v>
      </c>
      <c r="B2287" s="4" t="s">
        <v>11</v>
      </c>
      <c r="C2287" s="7">
        <v>35.76</v>
      </c>
      <c r="D2287" s="4" t="s">
        <v>21</v>
      </c>
      <c r="E2287" s="4" t="s">
        <v>17</v>
      </c>
      <c r="F2287" s="4" t="s">
        <v>30</v>
      </c>
      <c r="G2287" s="4" t="s">
        <v>38</v>
      </c>
      <c r="H2287" s="4">
        <v>4</v>
      </c>
      <c r="I2287" s="4">
        <v>11</v>
      </c>
      <c r="J2287" s="5">
        <v>45617</v>
      </c>
      <c r="K2287" s="6">
        <v>0.54221064814814812</v>
      </c>
    </row>
    <row r="2288" spans="1:11" x14ac:dyDescent="0.25">
      <c r="A2288" s="4">
        <v>16</v>
      </c>
      <c r="B2288" s="4" t="s">
        <v>11</v>
      </c>
      <c r="C2288" s="7">
        <v>35.76</v>
      </c>
      <c r="D2288" s="4" t="s">
        <v>12</v>
      </c>
      <c r="E2288" s="4" t="s">
        <v>17</v>
      </c>
      <c r="F2288" s="4" t="s">
        <v>30</v>
      </c>
      <c r="G2288" s="4" t="s">
        <v>38</v>
      </c>
      <c r="H2288" s="4">
        <v>4</v>
      </c>
      <c r="I2288" s="4">
        <v>11</v>
      </c>
      <c r="J2288" s="5">
        <v>45617</v>
      </c>
      <c r="K2288" s="6">
        <v>0.67653935185185188</v>
      </c>
    </row>
    <row r="2289" spans="1:11" x14ac:dyDescent="0.25">
      <c r="A2289" s="4">
        <v>17</v>
      </c>
      <c r="B2289" s="4" t="s">
        <v>11</v>
      </c>
      <c r="C2289" s="7">
        <v>30.86</v>
      </c>
      <c r="D2289" s="4" t="s">
        <v>19</v>
      </c>
      <c r="E2289" s="4" t="s">
        <v>20</v>
      </c>
      <c r="F2289" s="4" t="s">
        <v>30</v>
      </c>
      <c r="G2289" s="4" t="s">
        <v>38</v>
      </c>
      <c r="H2289" s="4">
        <v>4</v>
      </c>
      <c r="I2289" s="4">
        <v>11</v>
      </c>
      <c r="J2289" s="5">
        <v>45617</v>
      </c>
      <c r="K2289" s="6">
        <v>0.73295138888888889</v>
      </c>
    </row>
    <row r="2290" spans="1:11" x14ac:dyDescent="0.25">
      <c r="A2290" s="4">
        <v>17</v>
      </c>
      <c r="B2290" s="4" t="s">
        <v>11</v>
      </c>
      <c r="C2290" s="7">
        <v>25.96</v>
      </c>
      <c r="D2290" s="4" t="s">
        <v>24</v>
      </c>
      <c r="E2290" s="4" t="s">
        <v>20</v>
      </c>
      <c r="F2290" s="4" t="s">
        <v>30</v>
      </c>
      <c r="G2290" s="4" t="s">
        <v>38</v>
      </c>
      <c r="H2290" s="4">
        <v>4</v>
      </c>
      <c r="I2290" s="4">
        <v>11</v>
      </c>
      <c r="J2290" s="5">
        <v>45617</v>
      </c>
      <c r="K2290" s="6">
        <v>0.73567129629629635</v>
      </c>
    </row>
    <row r="2291" spans="1:11" x14ac:dyDescent="0.25">
      <c r="A2291" s="4">
        <v>19</v>
      </c>
      <c r="B2291" s="4" t="s">
        <v>11</v>
      </c>
      <c r="C2291" s="7">
        <v>35.76</v>
      </c>
      <c r="D2291" s="4" t="s">
        <v>16</v>
      </c>
      <c r="E2291" s="4" t="s">
        <v>20</v>
      </c>
      <c r="F2291" s="4" t="s">
        <v>30</v>
      </c>
      <c r="G2291" s="4" t="s">
        <v>38</v>
      </c>
      <c r="H2291" s="4">
        <v>4</v>
      </c>
      <c r="I2291" s="4">
        <v>11</v>
      </c>
      <c r="J2291" s="5">
        <v>45617</v>
      </c>
      <c r="K2291" s="6">
        <v>0.79238425925925926</v>
      </c>
    </row>
    <row r="2292" spans="1:11" x14ac:dyDescent="0.25">
      <c r="A2292" s="4">
        <v>7</v>
      </c>
      <c r="B2292" s="4" t="s">
        <v>11</v>
      </c>
      <c r="C2292" s="7">
        <v>35.76</v>
      </c>
      <c r="D2292" s="4" t="s">
        <v>12</v>
      </c>
      <c r="E2292" s="4" t="s">
        <v>13</v>
      </c>
      <c r="F2292" s="4" t="s">
        <v>14</v>
      </c>
      <c r="G2292" s="4" t="s">
        <v>38</v>
      </c>
      <c r="H2292" s="4">
        <v>5</v>
      </c>
      <c r="I2292" s="4">
        <v>11</v>
      </c>
      <c r="J2292" s="5">
        <v>45618</v>
      </c>
      <c r="K2292" s="6">
        <v>0.32680555555555557</v>
      </c>
    </row>
    <row r="2293" spans="1:11" x14ac:dyDescent="0.25">
      <c r="A2293" s="4">
        <v>10</v>
      </c>
      <c r="B2293" s="4" t="s">
        <v>11</v>
      </c>
      <c r="C2293" s="7">
        <v>35.76</v>
      </c>
      <c r="D2293" s="4" t="s">
        <v>29</v>
      </c>
      <c r="E2293" s="4" t="s">
        <v>13</v>
      </c>
      <c r="F2293" s="4" t="s">
        <v>14</v>
      </c>
      <c r="G2293" s="4" t="s">
        <v>38</v>
      </c>
      <c r="H2293" s="4">
        <v>5</v>
      </c>
      <c r="I2293" s="4">
        <v>11</v>
      </c>
      <c r="J2293" s="5">
        <v>45618</v>
      </c>
      <c r="K2293" s="6">
        <v>0.41923611111111109</v>
      </c>
    </row>
    <row r="2294" spans="1:11" x14ac:dyDescent="0.25">
      <c r="A2294" s="4">
        <v>11</v>
      </c>
      <c r="B2294" s="4" t="s">
        <v>11</v>
      </c>
      <c r="C2294" s="7">
        <v>35.76</v>
      </c>
      <c r="D2294" s="4" t="s">
        <v>12</v>
      </c>
      <c r="E2294" s="4" t="s">
        <v>13</v>
      </c>
      <c r="F2294" s="4" t="s">
        <v>14</v>
      </c>
      <c r="G2294" s="4" t="s">
        <v>38</v>
      </c>
      <c r="H2294" s="4">
        <v>5</v>
      </c>
      <c r="I2294" s="4">
        <v>11</v>
      </c>
      <c r="J2294" s="5">
        <v>45618</v>
      </c>
      <c r="K2294" s="6">
        <v>0.46009259259259261</v>
      </c>
    </row>
    <row r="2295" spans="1:11" x14ac:dyDescent="0.25">
      <c r="A2295" s="4">
        <v>11</v>
      </c>
      <c r="B2295" s="4" t="s">
        <v>11</v>
      </c>
      <c r="C2295" s="7">
        <v>35.76</v>
      </c>
      <c r="D2295" s="4" t="s">
        <v>21</v>
      </c>
      <c r="E2295" s="4" t="s">
        <v>13</v>
      </c>
      <c r="F2295" s="4" t="s">
        <v>14</v>
      </c>
      <c r="G2295" s="4" t="s">
        <v>38</v>
      </c>
      <c r="H2295" s="4">
        <v>5</v>
      </c>
      <c r="I2295" s="4">
        <v>11</v>
      </c>
      <c r="J2295" s="5">
        <v>45618</v>
      </c>
      <c r="K2295" s="6">
        <v>0.47530092592592593</v>
      </c>
    </row>
    <row r="2296" spans="1:11" x14ac:dyDescent="0.25">
      <c r="A2296" s="4">
        <v>16</v>
      </c>
      <c r="B2296" s="4" t="s">
        <v>11</v>
      </c>
      <c r="C2296" s="7">
        <v>35.76</v>
      </c>
      <c r="D2296" s="4" t="s">
        <v>16</v>
      </c>
      <c r="E2296" s="4" t="s">
        <v>17</v>
      </c>
      <c r="F2296" s="4" t="s">
        <v>14</v>
      </c>
      <c r="G2296" s="4" t="s">
        <v>38</v>
      </c>
      <c r="H2296" s="4">
        <v>5</v>
      </c>
      <c r="I2296" s="4">
        <v>11</v>
      </c>
      <c r="J2296" s="5">
        <v>45618</v>
      </c>
      <c r="K2296" s="6">
        <v>0.68964120370370374</v>
      </c>
    </row>
    <row r="2297" spans="1:11" x14ac:dyDescent="0.25">
      <c r="A2297" s="4">
        <v>16</v>
      </c>
      <c r="B2297" s="4" t="s">
        <v>11</v>
      </c>
      <c r="C2297" s="7">
        <v>35.76</v>
      </c>
      <c r="D2297" s="4" t="s">
        <v>12</v>
      </c>
      <c r="E2297" s="4" t="s">
        <v>17</v>
      </c>
      <c r="F2297" s="4" t="s">
        <v>14</v>
      </c>
      <c r="G2297" s="4" t="s">
        <v>38</v>
      </c>
      <c r="H2297" s="4">
        <v>5</v>
      </c>
      <c r="I2297" s="4">
        <v>11</v>
      </c>
      <c r="J2297" s="5">
        <v>45618</v>
      </c>
      <c r="K2297" s="6">
        <v>0.69015046296296301</v>
      </c>
    </row>
    <row r="2298" spans="1:11" x14ac:dyDescent="0.25">
      <c r="A2298" s="4">
        <v>9</v>
      </c>
      <c r="B2298" s="4" t="s">
        <v>11</v>
      </c>
      <c r="C2298" s="7">
        <v>25.96</v>
      </c>
      <c r="D2298" s="4" t="s">
        <v>24</v>
      </c>
      <c r="E2298" s="4" t="s">
        <v>13</v>
      </c>
      <c r="F2298" s="4" t="s">
        <v>22</v>
      </c>
      <c r="G2298" s="4" t="s">
        <v>38</v>
      </c>
      <c r="H2298" s="4">
        <v>6</v>
      </c>
      <c r="I2298" s="4">
        <v>11</v>
      </c>
      <c r="J2298" s="5">
        <v>45619</v>
      </c>
      <c r="K2298" s="6">
        <v>0.38247685185185187</v>
      </c>
    </row>
    <row r="2299" spans="1:11" x14ac:dyDescent="0.25">
      <c r="A2299" s="4">
        <v>9</v>
      </c>
      <c r="B2299" s="4" t="s">
        <v>11</v>
      </c>
      <c r="C2299" s="7">
        <v>25.96</v>
      </c>
      <c r="D2299" s="4" t="s">
        <v>24</v>
      </c>
      <c r="E2299" s="4" t="s">
        <v>13</v>
      </c>
      <c r="F2299" s="4" t="s">
        <v>22</v>
      </c>
      <c r="G2299" s="4" t="s">
        <v>38</v>
      </c>
      <c r="H2299" s="4">
        <v>6</v>
      </c>
      <c r="I2299" s="4">
        <v>11</v>
      </c>
      <c r="J2299" s="5">
        <v>45619</v>
      </c>
      <c r="K2299" s="6">
        <v>0.38319444444444445</v>
      </c>
    </row>
    <row r="2300" spans="1:11" x14ac:dyDescent="0.25">
      <c r="A2300" s="4">
        <v>10</v>
      </c>
      <c r="B2300" s="4" t="s">
        <v>11</v>
      </c>
      <c r="C2300" s="7">
        <v>35.76</v>
      </c>
      <c r="D2300" s="4" t="s">
        <v>12</v>
      </c>
      <c r="E2300" s="4" t="s">
        <v>13</v>
      </c>
      <c r="F2300" s="4" t="s">
        <v>22</v>
      </c>
      <c r="G2300" s="4" t="s">
        <v>38</v>
      </c>
      <c r="H2300" s="4">
        <v>6</v>
      </c>
      <c r="I2300" s="4">
        <v>11</v>
      </c>
      <c r="J2300" s="5">
        <v>45619</v>
      </c>
      <c r="K2300" s="6">
        <v>0.42031249999999998</v>
      </c>
    </row>
    <row r="2301" spans="1:11" x14ac:dyDescent="0.25">
      <c r="A2301" s="4">
        <v>11</v>
      </c>
      <c r="B2301" s="4" t="s">
        <v>11</v>
      </c>
      <c r="C2301" s="7">
        <v>35.76</v>
      </c>
      <c r="D2301" s="4" t="s">
        <v>29</v>
      </c>
      <c r="E2301" s="4" t="s">
        <v>13</v>
      </c>
      <c r="F2301" s="4" t="s">
        <v>22</v>
      </c>
      <c r="G2301" s="4" t="s">
        <v>38</v>
      </c>
      <c r="H2301" s="4">
        <v>6</v>
      </c>
      <c r="I2301" s="4">
        <v>11</v>
      </c>
      <c r="J2301" s="5">
        <v>45619</v>
      </c>
      <c r="K2301" s="6">
        <v>0.4604050925925926</v>
      </c>
    </row>
    <row r="2302" spans="1:11" x14ac:dyDescent="0.25">
      <c r="A2302" s="4">
        <v>11</v>
      </c>
      <c r="B2302" s="4" t="s">
        <v>11</v>
      </c>
      <c r="C2302" s="7">
        <v>25.96</v>
      </c>
      <c r="D2302" s="4" t="s">
        <v>18</v>
      </c>
      <c r="E2302" s="4" t="s">
        <v>13</v>
      </c>
      <c r="F2302" s="4" t="s">
        <v>22</v>
      </c>
      <c r="G2302" s="4" t="s">
        <v>38</v>
      </c>
      <c r="H2302" s="4">
        <v>6</v>
      </c>
      <c r="I2302" s="4">
        <v>11</v>
      </c>
      <c r="J2302" s="5">
        <v>45619</v>
      </c>
      <c r="K2302" s="6">
        <v>0.46490740740740738</v>
      </c>
    </row>
    <row r="2303" spans="1:11" x14ac:dyDescent="0.25">
      <c r="A2303" s="4">
        <v>11</v>
      </c>
      <c r="B2303" s="4" t="s">
        <v>11</v>
      </c>
      <c r="C2303" s="7">
        <v>25.96</v>
      </c>
      <c r="D2303" s="4" t="s">
        <v>18</v>
      </c>
      <c r="E2303" s="4" t="s">
        <v>13</v>
      </c>
      <c r="F2303" s="4" t="s">
        <v>22</v>
      </c>
      <c r="G2303" s="4" t="s">
        <v>38</v>
      </c>
      <c r="H2303" s="4">
        <v>6</v>
      </c>
      <c r="I2303" s="4">
        <v>11</v>
      </c>
      <c r="J2303" s="5">
        <v>45619</v>
      </c>
      <c r="K2303" s="6">
        <v>0.46556712962962965</v>
      </c>
    </row>
    <row r="2304" spans="1:11" x14ac:dyDescent="0.25">
      <c r="A2304" s="4">
        <v>11</v>
      </c>
      <c r="B2304" s="4" t="s">
        <v>11</v>
      </c>
      <c r="C2304" s="7">
        <v>35.76</v>
      </c>
      <c r="D2304" s="4" t="s">
        <v>16</v>
      </c>
      <c r="E2304" s="4" t="s">
        <v>13</v>
      </c>
      <c r="F2304" s="4" t="s">
        <v>22</v>
      </c>
      <c r="G2304" s="4" t="s">
        <v>38</v>
      </c>
      <c r="H2304" s="4">
        <v>6</v>
      </c>
      <c r="I2304" s="4">
        <v>11</v>
      </c>
      <c r="J2304" s="5">
        <v>45619</v>
      </c>
      <c r="K2304" s="6">
        <v>0.48711805555555554</v>
      </c>
    </row>
    <row r="2305" spans="1:11" x14ac:dyDescent="0.25">
      <c r="A2305" s="4">
        <v>22</v>
      </c>
      <c r="B2305" s="4" t="s">
        <v>11</v>
      </c>
      <c r="C2305" s="7">
        <v>35.76</v>
      </c>
      <c r="D2305" s="4" t="s">
        <v>12</v>
      </c>
      <c r="E2305" s="4" t="s">
        <v>20</v>
      </c>
      <c r="F2305" s="4" t="s">
        <v>22</v>
      </c>
      <c r="G2305" s="4" t="s">
        <v>38</v>
      </c>
      <c r="H2305" s="4">
        <v>6</v>
      </c>
      <c r="I2305" s="4">
        <v>11</v>
      </c>
      <c r="J2305" s="5">
        <v>45619</v>
      </c>
      <c r="K2305" s="6">
        <v>0.94240740740740736</v>
      </c>
    </row>
    <row r="2306" spans="1:11" x14ac:dyDescent="0.25">
      <c r="A2306" s="4">
        <v>8</v>
      </c>
      <c r="B2306" s="4" t="s">
        <v>11</v>
      </c>
      <c r="C2306" s="7">
        <v>35.76</v>
      </c>
      <c r="D2306" s="4" t="s">
        <v>12</v>
      </c>
      <c r="E2306" s="4" t="s">
        <v>13</v>
      </c>
      <c r="F2306" s="4" t="s">
        <v>23</v>
      </c>
      <c r="G2306" s="4" t="s">
        <v>38</v>
      </c>
      <c r="H2306" s="4">
        <v>7</v>
      </c>
      <c r="I2306" s="4">
        <v>11</v>
      </c>
      <c r="J2306" s="5">
        <v>45620</v>
      </c>
      <c r="K2306" s="6">
        <v>0.34521990740740743</v>
      </c>
    </row>
    <row r="2307" spans="1:11" x14ac:dyDescent="0.25">
      <c r="A2307" s="4">
        <v>7</v>
      </c>
      <c r="B2307" s="4" t="s">
        <v>11</v>
      </c>
      <c r="C2307" s="7">
        <v>35.76</v>
      </c>
      <c r="D2307" s="4" t="s">
        <v>29</v>
      </c>
      <c r="E2307" s="4" t="s">
        <v>13</v>
      </c>
      <c r="F2307" s="4" t="s">
        <v>25</v>
      </c>
      <c r="G2307" s="4" t="s">
        <v>38</v>
      </c>
      <c r="H2307" s="4">
        <v>1</v>
      </c>
      <c r="I2307" s="4">
        <v>11</v>
      </c>
      <c r="J2307" s="5">
        <v>45621</v>
      </c>
      <c r="K2307" s="6">
        <v>0.32589120370370372</v>
      </c>
    </row>
    <row r="2308" spans="1:11" x14ac:dyDescent="0.25">
      <c r="A2308" s="4">
        <v>7</v>
      </c>
      <c r="B2308" s="4" t="s">
        <v>11</v>
      </c>
      <c r="C2308" s="7">
        <v>35.76</v>
      </c>
      <c r="D2308" s="4" t="s">
        <v>12</v>
      </c>
      <c r="E2308" s="4" t="s">
        <v>13</v>
      </c>
      <c r="F2308" s="4" t="s">
        <v>25</v>
      </c>
      <c r="G2308" s="4" t="s">
        <v>38</v>
      </c>
      <c r="H2308" s="4">
        <v>1</v>
      </c>
      <c r="I2308" s="4">
        <v>11</v>
      </c>
      <c r="J2308" s="5">
        <v>45621</v>
      </c>
      <c r="K2308" s="6">
        <v>0.32943287037037039</v>
      </c>
    </row>
    <row r="2309" spans="1:11" x14ac:dyDescent="0.25">
      <c r="A2309" s="4">
        <v>9</v>
      </c>
      <c r="B2309" s="4" t="s">
        <v>11</v>
      </c>
      <c r="C2309" s="7">
        <v>30.86</v>
      </c>
      <c r="D2309" s="4" t="s">
        <v>19</v>
      </c>
      <c r="E2309" s="4" t="s">
        <v>13</v>
      </c>
      <c r="F2309" s="4" t="s">
        <v>25</v>
      </c>
      <c r="G2309" s="4" t="s">
        <v>38</v>
      </c>
      <c r="H2309" s="4">
        <v>1</v>
      </c>
      <c r="I2309" s="4">
        <v>11</v>
      </c>
      <c r="J2309" s="5">
        <v>45621</v>
      </c>
      <c r="K2309" s="6">
        <v>0.3835648148148148</v>
      </c>
    </row>
    <row r="2310" spans="1:11" x14ac:dyDescent="0.25">
      <c r="A2310" s="4">
        <v>10</v>
      </c>
      <c r="B2310" s="4" t="s">
        <v>11</v>
      </c>
      <c r="C2310" s="7">
        <v>25.96</v>
      </c>
      <c r="D2310" s="4" t="s">
        <v>24</v>
      </c>
      <c r="E2310" s="4" t="s">
        <v>13</v>
      </c>
      <c r="F2310" s="4" t="s">
        <v>25</v>
      </c>
      <c r="G2310" s="4" t="s">
        <v>38</v>
      </c>
      <c r="H2310" s="4">
        <v>1</v>
      </c>
      <c r="I2310" s="4">
        <v>11</v>
      </c>
      <c r="J2310" s="5">
        <v>45621</v>
      </c>
      <c r="K2310" s="6">
        <v>0.44314814814814812</v>
      </c>
    </row>
    <row r="2311" spans="1:11" x14ac:dyDescent="0.25">
      <c r="A2311" s="4">
        <v>12</v>
      </c>
      <c r="B2311" s="4" t="s">
        <v>11</v>
      </c>
      <c r="C2311" s="7">
        <v>35.76</v>
      </c>
      <c r="D2311" s="4" t="s">
        <v>12</v>
      </c>
      <c r="E2311" s="4" t="s">
        <v>17</v>
      </c>
      <c r="F2311" s="4" t="s">
        <v>25</v>
      </c>
      <c r="G2311" s="4" t="s">
        <v>38</v>
      </c>
      <c r="H2311" s="4">
        <v>1</v>
      </c>
      <c r="I2311" s="4">
        <v>11</v>
      </c>
      <c r="J2311" s="5">
        <v>45621</v>
      </c>
      <c r="K2311" s="6">
        <v>0.53539351851851846</v>
      </c>
    </row>
    <row r="2312" spans="1:11" x14ac:dyDescent="0.25">
      <c r="A2312" s="4">
        <v>12</v>
      </c>
      <c r="B2312" s="4" t="s">
        <v>11</v>
      </c>
      <c r="C2312" s="7">
        <v>35.76</v>
      </c>
      <c r="D2312" s="4" t="s">
        <v>12</v>
      </c>
      <c r="E2312" s="4" t="s">
        <v>17</v>
      </c>
      <c r="F2312" s="4" t="s">
        <v>25</v>
      </c>
      <c r="G2312" s="4" t="s">
        <v>38</v>
      </c>
      <c r="H2312" s="4">
        <v>1</v>
      </c>
      <c r="I2312" s="4">
        <v>11</v>
      </c>
      <c r="J2312" s="5">
        <v>45621</v>
      </c>
      <c r="K2312" s="6">
        <v>0.53658564814814813</v>
      </c>
    </row>
    <row r="2313" spans="1:11" x14ac:dyDescent="0.25">
      <c r="A2313" s="4">
        <v>16</v>
      </c>
      <c r="B2313" s="4" t="s">
        <v>11</v>
      </c>
      <c r="C2313" s="7">
        <v>35.76</v>
      </c>
      <c r="D2313" s="4" t="s">
        <v>16</v>
      </c>
      <c r="E2313" s="4" t="s">
        <v>17</v>
      </c>
      <c r="F2313" s="4" t="s">
        <v>25</v>
      </c>
      <c r="G2313" s="4" t="s">
        <v>38</v>
      </c>
      <c r="H2313" s="4">
        <v>1</v>
      </c>
      <c r="I2313" s="4">
        <v>11</v>
      </c>
      <c r="J2313" s="5">
        <v>45621</v>
      </c>
      <c r="K2313" s="6">
        <v>0.68814814814814818</v>
      </c>
    </row>
    <row r="2314" spans="1:11" x14ac:dyDescent="0.25">
      <c r="A2314" s="4">
        <v>19</v>
      </c>
      <c r="B2314" s="4" t="s">
        <v>11</v>
      </c>
      <c r="C2314" s="7">
        <v>30.86</v>
      </c>
      <c r="D2314" s="4" t="s">
        <v>19</v>
      </c>
      <c r="E2314" s="4" t="s">
        <v>20</v>
      </c>
      <c r="F2314" s="4" t="s">
        <v>25</v>
      </c>
      <c r="G2314" s="4" t="s">
        <v>38</v>
      </c>
      <c r="H2314" s="4">
        <v>1</v>
      </c>
      <c r="I2314" s="4">
        <v>11</v>
      </c>
      <c r="J2314" s="5">
        <v>45621</v>
      </c>
      <c r="K2314" s="6">
        <v>0.79304398148148147</v>
      </c>
    </row>
    <row r="2315" spans="1:11" x14ac:dyDescent="0.25">
      <c r="A2315" s="4">
        <v>19</v>
      </c>
      <c r="B2315" s="4" t="s">
        <v>11</v>
      </c>
      <c r="C2315" s="7">
        <v>35.76</v>
      </c>
      <c r="D2315" s="4" t="s">
        <v>16</v>
      </c>
      <c r="E2315" s="4" t="s">
        <v>20</v>
      </c>
      <c r="F2315" s="4" t="s">
        <v>25</v>
      </c>
      <c r="G2315" s="4" t="s">
        <v>38</v>
      </c>
      <c r="H2315" s="4">
        <v>1</v>
      </c>
      <c r="I2315" s="4">
        <v>11</v>
      </c>
      <c r="J2315" s="5">
        <v>45621</v>
      </c>
      <c r="K2315" s="6">
        <v>0.81803240740740746</v>
      </c>
    </row>
    <row r="2316" spans="1:11" x14ac:dyDescent="0.25">
      <c r="A2316" s="4">
        <v>21</v>
      </c>
      <c r="B2316" s="4" t="s">
        <v>11</v>
      </c>
      <c r="C2316" s="7">
        <v>35.76</v>
      </c>
      <c r="D2316" s="4" t="s">
        <v>16</v>
      </c>
      <c r="E2316" s="4" t="s">
        <v>20</v>
      </c>
      <c r="F2316" s="4" t="s">
        <v>25</v>
      </c>
      <c r="G2316" s="4" t="s">
        <v>38</v>
      </c>
      <c r="H2316" s="4">
        <v>1</v>
      </c>
      <c r="I2316" s="4">
        <v>11</v>
      </c>
      <c r="J2316" s="5">
        <v>45621</v>
      </c>
      <c r="K2316" s="6">
        <v>0.90434027777777781</v>
      </c>
    </row>
    <row r="2317" spans="1:11" x14ac:dyDescent="0.25">
      <c r="A2317" s="4">
        <v>21</v>
      </c>
      <c r="B2317" s="4" t="s">
        <v>11</v>
      </c>
      <c r="C2317" s="7">
        <v>35.76</v>
      </c>
      <c r="D2317" s="4" t="s">
        <v>29</v>
      </c>
      <c r="E2317" s="4" t="s">
        <v>20</v>
      </c>
      <c r="F2317" s="4" t="s">
        <v>25</v>
      </c>
      <c r="G2317" s="4" t="s">
        <v>38</v>
      </c>
      <c r="H2317" s="4">
        <v>1</v>
      </c>
      <c r="I2317" s="4">
        <v>11</v>
      </c>
      <c r="J2317" s="5">
        <v>45621</v>
      </c>
      <c r="K2317" s="6">
        <v>0.90486111111111112</v>
      </c>
    </row>
    <row r="2318" spans="1:11" x14ac:dyDescent="0.25">
      <c r="A2318" s="4">
        <v>7</v>
      </c>
      <c r="B2318" s="4" t="s">
        <v>11</v>
      </c>
      <c r="C2318" s="7">
        <v>35.76</v>
      </c>
      <c r="D2318" s="4" t="s">
        <v>12</v>
      </c>
      <c r="E2318" s="4" t="s">
        <v>13</v>
      </c>
      <c r="F2318" s="4" t="s">
        <v>27</v>
      </c>
      <c r="G2318" s="4" t="s">
        <v>38</v>
      </c>
      <c r="H2318" s="4">
        <v>2</v>
      </c>
      <c r="I2318" s="4">
        <v>11</v>
      </c>
      <c r="J2318" s="5">
        <v>45622</v>
      </c>
      <c r="K2318" s="6">
        <v>0.32959490740740743</v>
      </c>
    </row>
    <row r="2319" spans="1:11" x14ac:dyDescent="0.25">
      <c r="A2319" s="4">
        <v>11</v>
      </c>
      <c r="B2319" s="4" t="s">
        <v>11</v>
      </c>
      <c r="C2319" s="7">
        <v>35.76</v>
      </c>
      <c r="D2319" s="4" t="s">
        <v>21</v>
      </c>
      <c r="E2319" s="4" t="s">
        <v>13</v>
      </c>
      <c r="F2319" s="4" t="s">
        <v>27</v>
      </c>
      <c r="G2319" s="4" t="s">
        <v>38</v>
      </c>
      <c r="H2319" s="4">
        <v>2</v>
      </c>
      <c r="I2319" s="4">
        <v>11</v>
      </c>
      <c r="J2319" s="5">
        <v>45622</v>
      </c>
      <c r="K2319" s="6">
        <v>0.46037037037037037</v>
      </c>
    </row>
    <row r="2320" spans="1:11" x14ac:dyDescent="0.25">
      <c r="A2320" s="4">
        <v>11</v>
      </c>
      <c r="B2320" s="4" t="s">
        <v>11</v>
      </c>
      <c r="C2320" s="7">
        <v>25.96</v>
      </c>
      <c r="D2320" s="4" t="s">
        <v>18</v>
      </c>
      <c r="E2320" s="4" t="s">
        <v>13</v>
      </c>
      <c r="F2320" s="4" t="s">
        <v>27</v>
      </c>
      <c r="G2320" s="4" t="s">
        <v>38</v>
      </c>
      <c r="H2320" s="4">
        <v>2</v>
      </c>
      <c r="I2320" s="4">
        <v>11</v>
      </c>
      <c r="J2320" s="5">
        <v>45622</v>
      </c>
      <c r="K2320" s="6">
        <v>0.46096064814814813</v>
      </c>
    </row>
    <row r="2321" spans="1:11" x14ac:dyDescent="0.25">
      <c r="A2321" s="4">
        <v>11</v>
      </c>
      <c r="B2321" s="4" t="s">
        <v>11</v>
      </c>
      <c r="C2321" s="7">
        <v>35.76</v>
      </c>
      <c r="D2321" s="4" t="s">
        <v>21</v>
      </c>
      <c r="E2321" s="4" t="s">
        <v>13</v>
      </c>
      <c r="F2321" s="4" t="s">
        <v>27</v>
      </c>
      <c r="G2321" s="4" t="s">
        <v>38</v>
      </c>
      <c r="H2321" s="4">
        <v>2</v>
      </c>
      <c r="I2321" s="4">
        <v>11</v>
      </c>
      <c r="J2321" s="5">
        <v>45622</v>
      </c>
      <c r="K2321" s="6">
        <v>0.46260416666666665</v>
      </c>
    </row>
    <row r="2322" spans="1:11" x14ac:dyDescent="0.25">
      <c r="A2322" s="4">
        <v>11</v>
      </c>
      <c r="B2322" s="4" t="s">
        <v>11</v>
      </c>
      <c r="C2322" s="7">
        <v>35.76</v>
      </c>
      <c r="D2322" s="4" t="s">
        <v>21</v>
      </c>
      <c r="E2322" s="4" t="s">
        <v>13</v>
      </c>
      <c r="F2322" s="4" t="s">
        <v>27</v>
      </c>
      <c r="G2322" s="4" t="s">
        <v>38</v>
      </c>
      <c r="H2322" s="4">
        <v>2</v>
      </c>
      <c r="I2322" s="4">
        <v>11</v>
      </c>
      <c r="J2322" s="5">
        <v>45622</v>
      </c>
      <c r="K2322" s="6">
        <v>0.46329861111111109</v>
      </c>
    </row>
    <row r="2323" spans="1:11" x14ac:dyDescent="0.25">
      <c r="A2323" s="4">
        <v>16</v>
      </c>
      <c r="B2323" s="4" t="s">
        <v>11</v>
      </c>
      <c r="C2323" s="7">
        <v>35.76</v>
      </c>
      <c r="D2323" s="4" t="s">
        <v>12</v>
      </c>
      <c r="E2323" s="4" t="s">
        <v>17</v>
      </c>
      <c r="F2323" s="4" t="s">
        <v>27</v>
      </c>
      <c r="G2323" s="4" t="s">
        <v>38</v>
      </c>
      <c r="H2323" s="4">
        <v>2</v>
      </c>
      <c r="I2323" s="4">
        <v>11</v>
      </c>
      <c r="J2323" s="5">
        <v>45622</v>
      </c>
      <c r="K2323" s="6">
        <v>0.66937500000000005</v>
      </c>
    </row>
    <row r="2324" spans="1:11" x14ac:dyDescent="0.25">
      <c r="A2324" s="4">
        <v>16</v>
      </c>
      <c r="B2324" s="4" t="s">
        <v>11</v>
      </c>
      <c r="C2324" s="7">
        <v>35.76</v>
      </c>
      <c r="D2324" s="4" t="s">
        <v>12</v>
      </c>
      <c r="E2324" s="4" t="s">
        <v>17</v>
      </c>
      <c r="F2324" s="4" t="s">
        <v>27</v>
      </c>
      <c r="G2324" s="4" t="s">
        <v>38</v>
      </c>
      <c r="H2324" s="4">
        <v>2</v>
      </c>
      <c r="I2324" s="4">
        <v>11</v>
      </c>
      <c r="J2324" s="5">
        <v>45622</v>
      </c>
      <c r="K2324" s="6">
        <v>0.67013888888888884</v>
      </c>
    </row>
    <row r="2325" spans="1:11" x14ac:dyDescent="0.25">
      <c r="A2325" s="4">
        <v>17</v>
      </c>
      <c r="B2325" s="4" t="s">
        <v>11</v>
      </c>
      <c r="C2325" s="7">
        <v>25.96</v>
      </c>
      <c r="D2325" s="4" t="s">
        <v>18</v>
      </c>
      <c r="E2325" s="4" t="s">
        <v>20</v>
      </c>
      <c r="F2325" s="4" t="s">
        <v>27</v>
      </c>
      <c r="G2325" s="4" t="s">
        <v>38</v>
      </c>
      <c r="H2325" s="4">
        <v>2</v>
      </c>
      <c r="I2325" s="4">
        <v>11</v>
      </c>
      <c r="J2325" s="5">
        <v>45622</v>
      </c>
      <c r="K2325" s="6">
        <v>0.716400462962963</v>
      </c>
    </row>
    <row r="2326" spans="1:11" x14ac:dyDescent="0.25">
      <c r="A2326" s="4">
        <v>17</v>
      </c>
      <c r="B2326" s="4" t="s">
        <v>11</v>
      </c>
      <c r="C2326" s="7">
        <v>30.86</v>
      </c>
      <c r="D2326" s="4" t="s">
        <v>19</v>
      </c>
      <c r="E2326" s="4" t="s">
        <v>20</v>
      </c>
      <c r="F2326" s="4" t="s">
        <v>27</v>
      </c>
      <c r="G2326" s="4" t="s">
        <v>38</v>
      </c>
      <c r="H2326" s="4">
        <v>2</v>
      </c>
      <c r="I2326" s="4">
        <v>11</v>
      </c>
      <c r="J2326" s="5">
        <v>45622</v>
      </c>
      <c r="K2326" s="6">
        <v>0.71706018518518522</v>
      </c>
    </row>
    <row r="2327" spans="1:11" x14ac:dyDescent="0.25">
      <c r="A2327" s="4">
        <v>19</v>
      </c>
      <c r="B2327" s="4" t="s">
        <v>11</v>
      </c>
      <c r="C2327" s="7">
        <v>35.76</v>
      </c>
      <c r="D2327" s="4" t="s">
        <v>21</v>
      </c>
      <c r="E2327" s="4" t="s">
        <v>20</v>
      </c>
      <c r="F2327" s="4" t="s">
        <v>27</v>
      </c>
      <c r="G2327" s="4" t="s">
        <v>38</v>
      </c>
      <c r="H2327" s="4">
        <v>2</v>
      </c>
      <c r="I2327" s="4">
        <v>11</v>
      </c>
      <c r="J2327" s="5">
        <v>45622</v>
      </c>
      <c r="K2327" s="6">
        <v>0.82458333333333333</v>
      </c>
    </row>
    <row r="2328" spans="1:11" x14ac:dyDescent="0.25">
      <c r="A2328" s="4">
        <v>8</v>
      </c>
      <c r="B2328" s="4" t="s">
        <v>11</v>
      </c>
      <c r="C2328" s="7">
        <v>35.76</v>
      </c>
      <c r="D2328" s="4" t="s">
        <v>29</v>
      </c>
      <c r="E2328" s="4" t="s">
        <v>13</v>
      </c>
      <c r="F2328" s="4" t="s">
        <v>30</v>
      </c>
      <c r="G2328" s="4" t="s">
        <v>38</v>
      </c>
      <c r="H2328" s="4">
        <v>4</v>
      </c>
      <c r="I2328" s="4">
        <v>11</v>
      </c>
      <c r="J2328" s="5">
        <v>45624</v>
      </c>
      <c r="K2328" s="6">
        <v>0.36199074074074072</v>
      </c>
    </row>
    <row r="2329" spans="1:11" x14ac:dyDescent="0.25">
      <c r="A2329" s="4">
        <v>9</v>
      </c>
      <c r="B2329" s="4" t="s">
        <v>11</v>
      </c>
      <c r="C2329" s="7">
        <v>30.86</v>
      </c>
      <c r="D2329" s="4" t="s">
        <v>19</v>
      </c>
      <c r="E2329" s="4" t="s">
        <v>13</v>
      </c>
      <c r="F2329" s="4" t="s">
        <v>30</v>
      </c>
      <c r="G2329" s="4" t="s">
        <v>38</v>
      </c>
      <c r="H2329" s="4">
        <v>4</v>
      </c>
      <c r="I2329" s="4">
        <v>11</v>
      </c>
      <c r="J2329" s="5">
        <v>45624</v>
      </c>
      <c r="K2329" s="6">
        <v>0.38472222222222224</v>
      </c>
    </row>
    <row r="2330" spans="1:11" x14ac:dyDescent="0.25">
      <c r="A2330" s="4">
        <v>20</v>
      </c>
      <c r="B2330" s="4" t="s">
        <v>11</v>
      </c>
      <c r="C2330" s="7">
        <v>30.86</v>
      </c>
      <c r="D2330" s="4" t="s">
        <v>19</v>
      </c>
      <c r="E2330" s="4" t="s">
        <v>20</v>
      </c>
      <c r="F2330" s="4" t="s">
        <v>30</v>
      </c>
      <c r="G2330" s="4" t="s">
        <v>38</v>
      </c>
      <c r="H2330" s="4">
        <v>4</v>
      </c>
      <c r="I2330" s="4">
        <v>11</v>
      </c>
      <c r="J2330" s="5">
        <v>45624</v>
      </c>
      <c r="K2330" s="6">
        <v>0.85048611111111116</v>
      </c>
    </row>
    <row r="2331" spans="1:11" x14ac:dyDescent="0.25">
      <c r="A2331" s="4">
        <v>20</v>
      </c>
      <c r="B2331" s="4" t="s">
        <v>11</v>
      </c>
      <c r="C2331" s="7">
        <v>35.76</v>
      </c>
      <c r="D2331" s="4" t="s">
        <v>12</v>
      </c>
      <c r="E2331" s="4" t="s">
        <v>20</v>
      </c>
      <c r="F2331" s="4" t="s">
        <v>30</v>
      </c>
      <c r="G2331" s="4" t="s">
        <v>38</v>
      </c>
      <c r="H2331" s="4">
        <v>4</v>
      </c>
      <c r="I2331" s="4">
        <v>11</v>
      </c>
      <c r="J2331" s="5">
        <v>45624</v>
      </c>
      <c r="K2331" s="6">
        <v>0.85121527777777772</v>
      </c>
    </row>
    <row r="2332" spans="1:11" x14ac:dyDescent="0.25">
      <c r="A2332" s="4">
        <v>20</v>
      </c>
      <c r="B2332" s="4" t="s">
        <v>11</v>
      </c>
      <c r="C2332" s="7">
        <v>35.76</v>
      </c>
      <c r="D2332" s="4" t="s">
        <v>12</v>
      </c>
      <c r="E2332" s="4" t="s">
        <v>20</v>
      </c>
      <c r="F2332" s="4" t="s">
        <v>30</v>
      </c>
      <c r="G2332" s="4" t="s">
        <v>38</v>
      </c>
      <c r="H2332" s="4">
        <v>4</v>
      </c>
      <c r="I2332" s="4">
        <v>11</v>
      </c>
      <c r="J2332" s="5">
        <v>45624</v>
      </c>
      <c r="K2332" s="6">
        <v>0.87151620370370375</v>
      </c>
    </row>
    <row r="2333" spans="1:11" x14ac:dyDescent="0.25">
      <c r="A2333" s="4">
        <v>22</v>
      </c>
      <c r="B2333" s="4" t="s">
        <v>11</v>
      </c>
      <c r="C2333" s="7">
        <v>35.76</v>
      </c>
      <c r="D2333" s="4" t="s">
        <v>29</v>
      </c>
      <c r="E2333" s="4" t="s">
        <v>20</v>
      </c>
      <c r="F2333" s="4" t="s">
        <v>30</v>
      </c>
      <c r="G2333" s="4" t="s">
        <v>38</v>
      </c>
      <c r="H2333" s="4">
        <v>4</v>
      </c>
      <c r="I2333" s="4">
        <v>11</v>
      </c>
      <c r="J2333" s="5">
        <v>45624</v>
      </c>
      <c r="K2333" s="6">
        <v>0.91684027777777777</v>
      </c>
    </row>
    <row r="2334" spans="1:11" x14ac:dyDescent="0.25">
      <c r="A2334" s="4">
        <v>7</v>
      </c>
      <c r="B2334" s="4" t="s">
        <v>11</v>
      </c>
      <c r="C2334" s="7">
        <v>35.76</v>
      </c>
      <c r="D2334" s="4" t="s">
        <v>21</v>
      </c>
      <c r="E2334" s="4" t="s">
        <v>13</v>
      </c>
      <c r="F2334" s="4" t="s">
        <v>14</v>
      </c>
      <c r="G2334" s="4" t="s">
        <v>38</v>
      </c>
      <c r="H2334" s="4">
        <v>5</v>
      </c>
      <c r="I2334" s="4">
        <v>11</v>
      </c>
      <c r="J2334" s="5">
        <v>45625</v>
      </c>
      <c r="K2334" s="6">
        <v>0.32864583333333336</v>
      </c>
    </row>
    <row r="2335" spans="1:11" x14ac:dyDescent="0.25">
      <c r="A2335" s="4">
        <v>7</v>
      </c>
      <c r="B2335" s="4" t="s">
        <v>11</v>
      </c>
      <c r="C2335" s="7">
        <v>35.76</v>
      </c>
      <c r="D2335" s="4" t="s">
        <v>12</v>
      </c>
      <c r="E2335" s="4" t="s">
        <v>13</v>
      </c>
      <c r="F2335" s="4" t="s">
        <v>14</v>
      </c>
      <c r="G2335" s="4" t="s">
        <v>38</v>
      </c>
      <c r="H2335" s="4">
        <v>5</v>
      </c>
      <c r="I2335" s="4">
        <v>11</v>
      </c>
      <c r="J2335" s="5">
        <v>45625</v>
      </c>
      <c r="K2335" s="6">
        <v>0.33173611111111112</v>
      </c>
    </row>
    <row r="2336" spans="1:11" x14ac:dyDescent="0.25">
      <c r="A2336" s="4">
        <v>9</v>
      </c>
      <c r="B2336" s="4" t="s">
        <v>11</v>
      </c>
      <c r="C2336" s="7">
        <v>30.86</v>
      </c>
      <c r="D2336" s="4" t="s">
        <v>19</v>
      </c>
      <c r="E2336" s="4" t="s">
        <v>13</v>
      </c>
      <c r="F2336" s="4" t="s">
        <v>14</v>
      </c>
      <c r="G2336" s="4" t="s">
        <v>38</v>
      </c>
      <c r="H2336" s="4">
        <v>5</v>
      </c>
      <c r="I2336" s="4">
        <v>11</v>
      </c>
      <c r="J2336" s="5">
        <v>45625</v>
      </c>
      <c r="K2336" s="6">
        <v>0.38021990740740741</v>
      </c>
    </row>
    <row r="2337" spans="1:11" x14ac:dyDescent="0.25">
      <c r="A2337" s="4">
        <v>9</v>
      </c>
      <c r="B2337" s="4" t="s">
        <v>11</v>
      </c>
      <c r="C2337" s="7">
        <v>30.86</v>
      </c>
      <c r="D2337" s="4" t="s">
        <v>19</v>
      </c>
      <c r="E2337" s="4" t="s">
        <v>13</v>
      </c>
      <c r="F2337" s="4" t="s">
        <v>14</v>
      </c>
      <c r="G2337" s="4" t="s">
        <v>38</v>
      </c>
      <c r="H2337" s="4">
        <v>5</v>
      </c>
      <c r="I2337" s="4">
        <v>11</v>
      </c>
      <c r="J2337" s="5">
        <v>45625</v>
      </c>
      <c r="K2337" s="6">
        <v>0.38090277777777776</v>
      </c>
    </row>
    <row r="2338" spans="1:11" x14ac:dyDescent="0.25">
      <c r="A2338" s="4">
        <v>15</v>
      </c>
      <c r="B2338" s="4" t="s">
        <v>11</v>
      </c>
      <c r="C2338" s="7">
        <v>30.86</v>
      </c>
      <c r="D2338" s="4" t="s">
        <v>19</v>
      </c>
      <c r="E2338" s="4" t="s">
        <v>17</v>
      </c>
      <c r="F2338" s="4" t="s">
        <v>14</v>
      </c>
      <c r="G2338" s="4" t="s">
        <v>38</v>
      </c>
      <c r="H2338" s="4">
        <v>5</v>
      </c>
      <c r="I2338" s="4">
        <v>11</v>
      </c>
      <c r="J2338" s="5">
        <v>45625</v>
      </c>
      <c r="K2338" s="6">
        <v>0.63756944444444441</v>
      </c>
    </row>
    <row r="2339" spans="1:11" x14ac:dyDescent="0.25">
      <c r="A2339" s="4">
        <v>15</v>
      </c>
      <c r="B2339" s="4" t="s">
        <v>11</v>
      </c>
      <c r="C2339" s="7">
        <v>35.76</v>
      </c>
      <c r="D2339" s="4" t="s">
        <v>12</v>
      </c>
      <c r="E2339" s="4" t="s">
        <v>17</v>
      </c>
      <c r="F2339" s="4" t="s">
        <v>14</v>
      </c>
      <c r="G2339" s="4" t="s">
        <v>38</v>
      </c>
      <c r="H2339" s="4">
        <v>5</v>
      </c>
      <c r="I2339" s="4">
        <v>11</v>
      </c>
      <c r="J2339" s="5">
        <v>45625</v>
      </c>
      <c r="K2339" s="6">
        <v>0.63842592592592595</v>
      </c>
    </row>
    <row r="2340" spans="1:11" x14ac:dyDescent="0.25">
      <c r="A2340" s="4">
        <v>20</v>
      </c>
      <c r="B2340" s="4" t="s">
        <v>11</v>
      </c>
      <c r="C2340" s="7">
        <v>35.76</v>
      </c>
      <c r="D2340" s="4" t="s">
        <v>21</v>
      </c>
      <c r="E2340" s="4" t="s">
        <v>20</v>
      </c>
      <c r="F2340" s="4" t="s">
        <v>14</v>
      </c>
      <c r="G2340" s="4" t="s">
        <v>38</v>
      </c>
      <c r="H2340" s="4">
        <v>5</v>
      </c>
      <c r="I2340" s="4">
        <v>11</v>
      </c>
      <c r="J2340" s="5">
        <v>45625</v>
      </c>
      <c r="K2340" s="6">
        <v>0.87354166666666666</v>
      </c>
    </row>
    <row r="2341" spans="1:11" x14ac:dyDescent="0.25">
      <c r="A2341" s="4">
        <v>12</v>
      </c>
      <c r="B2341" s="4" t="s">
        <v>11</v>
      </c>
      <c r="C2341" s="7">
        <v>35.76</v>
      </c>
      <c r="D2341" s="4" t="s">
        <v>21</v>
      </c>
      <c r="E2341" s="4" t="s">
        <v>17</v>
      </c>
      <c r="F2341" s="4" t="s">
        <v>22</v>
      </c>
      <c r="G2341" s="4" t="s">
        <v>38</v>
      </c>
      <c r="H2341" s="4">
        <v>6</v>
      </c>
      <c r="I2341" s="4">
        <v>11</v>
      </c>
      <c r="J2341" s="5">
        <v>45626</v>
      </c>
      <c r="K2341" s="6">
        <v>0.54041666666666666</v>
      </c>
    </row>
    <row r="2342" spans="1:11" x14ac:dyDescent="0.25">
      <c r="A2342" s="4">
        <v>14</v>
      </c>
      <c r="B2342" s="4" t="s">
        <v>11</v>
      </c>
      <c r="C2342" s="7">
        <v>25.96</v>
      </c>
      <c r="D2342" s="4" t="s">
        <v>18</v>
      </c>
      <c r="E2342" s="4" t="s">
        <v>17</v>
      </c>
      <c r="F2342" s="4" t="s">
        <v>22</v>
      </c>
      <c r="G2342" s="4" t="s">
        <v>38</v>
      </c>
      <c r="H2342" s="4">
        <v>6</v>
      </c>
      <c r="I2342" s="4">
        <v>11</v>
      </c>
      <c r="J2342" s="5">
        <v>45626</v>
      </c>
      <c r="K2342" s="6">
        <v>0.58674768518518516</v>
      </c>
    </row>
    <row r="2343" spans="1:11" x14ac:dyDescent="0.25">
      <c r="A2343" s="4">
        <v>14</v>
      </c>
      <c r="B2343" s="4" t="s">
        <v>11</v>
      </c>
      <c r="C2343" s="7">
        <v>35.76</v>
      </c>
      <c r="D2343" s="4" t="s">
        <v>16</v>
      </c>
      <c r="E2343" s="4" t="s">
        <v>17</v>
      </c>
      <c r="F2343" s="4" t="s">
        <v>22</v>
      </c>
      <c r="G2343" s="4" t="s">
        <v>38</v>
      </c>
      <c r="H2343" s="4">
        <v>6</v>
      </c>
      <c r="I2343" s="4">
        <v>11</v>
      </c>
      <c r="J2343" s="5">
        <v>45626</v>
      </c>
      <c r="K2343" s="6">
        <v>0.58747685185185183</v>
      </c>
    </row>
    <row r="2344" spans="1:11" x14ac:dyDescent="0.25">
      <c r="A2344" s="4">
        <v>14</v>
      </c>
      <c r="B2344" s="4" t="s">
        <v>11</v>
      </c>
      <c r="C2344" s="7">
        <v>35.76</v>
      </c>
      <c r="D2344" s="4" t="s">
        <v>21</v>
      </c>
      <c r="E2344" s="4" t="s">
        <v>17</v>
      </c>
      <c r="F2344" s="4" t="s">
        <v>22</v>
      </c>
      <c r="G2344" s="4" t="s">
        <v>38</v>
      </c>
      <c r="H2344" s="4">
        <v>6</v>
      </c>
      <c r="I2344" s="4">
        <v>11</v>
      </c>
      <c r="J2344" s="5">
        <v>45626</v>
      </c>
      <c r="K2344" s="6">
        <v>0.59504629629629635</v>
      </c>
    </row>
    <row r="2345" spans="1:11" x14ac:dyDescent="0.25">
      <c r="A2345" s="4">
        <v>15</v>
      </c>
      <c r="B2345" s="4" t="s">
        <v>11</v>
      </c>
      <c r="C2345" s="7">
        <v>30.86</v>
      </c>
      <c r="D2345" s="4" t="s">
        <v>19</v>
      </c>
      <c r="E2345" s="4" t="s">
        <v>17</v>
      </c>
      <c r="F2345" s="4" t="s">
        <v>22</v>
      </c>
      <c r="G2345" s="4" t="s">
        <v>38</v>
      </c>
      <c r="H2345" s="4">
        <v>6</v>
      </c>
      <c r="I2345" s="4">
        <v>11</v>
      </c>
      <c r="J2345" s="5">
        <v>45626</v>
      </c>
      <c r="K2345" s="6">
        <v>0.64842592592592596</v>
      </c>
    </row>
    <row r="2346" spans="1:11" x14ac:dyDescent="0.25">
      <c r="A2346" s="4">
        <v>22</v>
      </c>
      <c r="B2346" s="4" t="s">
        <v>11</v>
      </c>
      <c r="C2346" s="7">
        <v>30.86</v>
      </c>
      <c r="D2346" s="4" t="s">
        <v>19</v>
      </c>
      <c r="E2346" s="4" t="s">
        <v>20</v>
      </c>
      <c r="F2346" s="4" t="s">
        <v>22</v>
      </c>
      <c r="G2346" s="4" t="s">
        <v>38</v>
      </c>
      <c r="H2346" s="4">
        <v>6</v>
      </c>
      <c r="I2346" s="4">
        <v>11</v>
      </c>
      <c r="J2346" s="5">
        <v>45626</v>
      </c>
      <c r="K2346" s="6">
        <v>0.9193055555555556</v>
      </c>
    </row>
    <row r="2347" spans="1:11" x14ac:dyDescent="0.25">
      <c r="A2347" s="4">
        <v>10</v>
      </c>
      <c r="B2347" s="4" t="s">
        <v>11</v>
      </c>
      <c r="C2347" s="7">
        <v>30.86</v>
      </c>
      <c r="D2347" s="4" t="s">
        <v>19</v>
      </c>
      <c r="E2347" s="4" t="s">
        <v>13</v>
      </c>
      <c r="F2347" s="4" t="s">
        <v>23</v>
      </c>
      <c r="G2347" s="4" t="s">
        <v>39</v>
      </c>
      <c r="H2347" s="4">
        <v>7</v>
      </c>
      <c r="I2347" s="4">
        <v>12</v>
      </c>
      <c r="J2347" s="5">
        <v>45627</v>
      </c>
      <c r="K2347" s="6">
        <v>0.42744212962962963</v>
      </c>
    </row>
    <row r="2348" spans="1:11" x14ac:dyDescent="0.25">
      <c r="A2348" s="4">
        <v>10</v>
      </c>
      <c r="B2348" s="4" t="s">
        <v>11</v>
      </c>
      <c r="C2348" s="7">
        <v>30.86</v>
      </c>
      <c r="D2348" s="4" t="s">
        <v>19</v>
      </c>
      <c r="E2348" s="4" t="s">
        <v>13</v>
      </c>
      <c r="F2348" s="4" t="s">
        <v>23</v>
      </c>
      <c r="G2348" s="4" t="s">
        <v>39</v>
      </c>
      <c r="H2348" s="4">
        <v>7</v>
      </c>
      <c r="I2348" s="4">
        <v>12</v>
      </c>
      <c r="J2348" s="5">
        <v>45627</v>
      </c>
      <c r="K2348" s="6">
        <v>0.42813657407407407</v>
      </c>
    </row>
    <row r="2349" spans="1:11" x14ac:dyDescent="0.25">
      <c r="A2349" s="4">
        <v>10</v>
      </c>
      <c r="B2349" s="4" t="s">
        <v>11</v>
      </c>
      <c r="C2349" s="7">
        <v>30.86</v>
      </c>
      <c r="D2349" s="4" t="s">
        <v>19</v>
      </c>
      <c r="E2349" s="4" t="s">
        <v>13</v>
      </c>
      <c r="F2349" s="4" t="s">
        <v>23</v>
      </c>
      <c r="G2349" s="4" t="s">
        <v>39</v>
      </c>
      <c r="H2349" s="4">
        <v>7</v>
      </c>
      <c r="I2349" s="4">
        <v>12</v>
      </c>
      <c r="J2349" s="5">
        <v>45627</v>
      </c>
      <c r="K2349" s="6">
        <v>0.43247685185185186</v>
      </c>
    </row>
    <row r="2350" spans="1:11" x14ac:dyDescent="0.25">
      <c r="A2350" s="4">
        <v>14</v>
      </c>
      <c r="B2350" s="4" t="s">
        <v>11</v>
      </c>
      <c r="C2350" s="7">
        <v>30.86</v>
      </c>
      <c r="D2350" s="4" t="s">
        <v>19</v>
      </c>
      <c r="E2350" s="4" t="s">
        <v>17</v>
      </c>
      <c r="F2350" s="4" t="s">
        <v>23</v>
      </c>
      <c r="G2350" s="4" t="s">
        <v>39</v>
      </c>
      <c r="H2350" s="4">
        <v>7</v>
      </c>
      <c r="I2350" s="4">
        <v>12</v>
      </c>
      <c r="J2350" s="5">
        <v>45627</v>
      </c>
      <c r="K2350" s="6">
        <v>0.60719907407407403</v>
      </c>
    </row>
    <row r="2351" spans="1:11" x14ac:dyDescent="0.25">
      <c r="A2351" s="4">
        <v>15</v>
      </c>
      <c r="B2351" s="4" t="s">
        <v>11</v>
      </c>
      <c r="C2351" s="7">
        <v>35.76</v>
      </c>
      <c r="D2351" s="4" t="s">
        <v>21</v>
      </c>
      <c r="E2351" s="4" t="s">
        <v>17</v>
      </c>
      <c r="F2351" s="4" t="s">
        <v>23</v>
      </c>
      <c r="G2351" s="4" t="s">
        <v>39</v>
      </c>
      <c r="H2351" s="4">
        <v>7</v>
      </c>
      <c r="I2351" s="4">
        <v>12</v>
      </c>
      <c r="J2351" s="5">
        <v>45627</v>
      </c>
      <c r="K2351" s="6">
        <v>0.63138888888888889</v>
      </c>
    </row>
    <row r="2352" spans="1:11" x14ac:dyDescent="0.25">
      <c r="A2352" s="4">
        <v>15</v>
      </c>
      <c r="B2352" s="4" t="s">
        <v>11</v>
      </c>
      <c r="C2352" s="7">
        <v>35.76</v>
      </c>
      <c r="D2352" s="4" t="s">
        <v>21</v>
      </c>
      <c r="E2352" s="4" t="s">
        <v>17</v>
      </c>
      <c r="F2352" s="4" t="s">
        <v>23</v>
      </c>
      <c r="G2352" s="4" t="s">
        <v>39</v>
      </c>
      <c r="H2352" s="4">
        <v>7</v>
      </c>
      <c r="I2352" s="4">
        <v>12</v>
      </c>
      <c r="J2352" s="5">
        <v>45627</v>
      </c>
      <c r="K2352" s="6">
        <v>0.63189814814814815</v>
      </c>
    </row>
    <row r="2353" spans="1:11" x14ac:dyDescent="0.25">
      <c r="A2353" s="4">
        <v>15</v>
      </c>
      <c r="B2353" s="4" t="s">
        <v>11</v>
      </c>
      <c r="C2353" s="7">
        <v>35.76</v>
      </c>
      <c r="D2353" s="4" t="s">
        <v>29</v>
      </c>
      <c r="E2353" s="4" t="s">
        <v>17</v>
      </c>
      <c r="F2353" s="4" t="s">
        <v>23</v>
      </c>
      <c r="G2353" s="4" t="s">
        <v>39</v>
      </c>
      <c r="H2353" s="4">
        <v>7</v>
      </c>
      <c r="I2353" s="4">
        <v>12</v>
      </c>
      <c r="J2353" s="5">
        <v>45627</v>
      </c>
      <c r="K2353" s="6">
        <v>0.6548842592592593</v>
      </c>
    </row>
    <row r="2354" spans="1:11" x14ac:dyDescent="0.25">
      <c r="A2354" s="4">
        <v>15</v>
      </c>
      <c r="B2354" s="4" t="s">
        <v>11</v>
      </c>
      <c r="C2354" s="7">
        <v>35.76</v>
      </c>
      <c r="D2354" s="4" t="s">
        <v>12</v>
      </c>
      <c r="E2354" s="4" t="s">
        <v>17</v>
      </c>
      <c r="F2354" s="4" t="s">
        <v>23</v>
      </c>
      <c r="G2354" s="4" t="s">
        <v>39</v>
      </c>
      <c r="H2354" s="4">
        <v>7</v>
      </c>
      <c r="I2354" s="4">
        <v>12</v>
      </c>
      <c r="J2354" s="5">
        <v>45627</v>
      </c>
      <c r="K2354" s="6">
        <v>0.66424768518518518</v>
      </c>
    </row>
    <row r="2355" spans="1:11" x14ac:dyDescent="0.25">
      <c r="A2355" s="4">
        <v>15</v>
      </c>
      <c r="B2355" s="4" t="s">
        <v>11</v>
      </c>
      <c r="C2355" s="7">
        <v>35.76</v>
      </c>
      <c r="D2355" s="4" t="s">
        <v>12</v>
      </c>
      <c r="E2355" s="4" t="s">
        <v>17</v>
      </c>
      <c r="F2355" s="4" t="s">
        <v>23</v>
      </c>
      <c r="G2355" s="4" t="s">
        <v>39</v>
      </c>
      <c r="H2355" s="4">
        <v>7</v>
      </c>
      <c r="I2355" s="4">
        <v>12</v>
      </c>
      <c r="J2355" s="5">
        <v>45627</v>
      </c>
      <c r="K2355" s="6">
        <v>0.66515046296296299</v>
      </c>
    </row>
    <row r="2356" spans="1:11" x14ac:dyDescent="0.25">
      <c r="A2356" s="4">
        <v>16</v>
      </c>
      <c r="B2356" s="4" t="s">
        <v>11</v>
      </c>
      <c r="C2356" s="7">
        <v>35.76</v>
      </c>
      <c r="D2356" s="4" t="s">
        <v>12</v>
      </c>
      <c r="E2356" s="4" t="s">
        <v>17</v>
      </c>
      <c r="F2356" s="4" t="s">
        <v>23</v>
      </c>
      <c r="G2356" s="4" t="s">
        <v>39</v>
      </c>
      <c r="H2356" s="4">
        <v>7</v>
      </c>
      <c r="I2356" s="4">
        <v>12</v>
      </c>
      <c r="J2356" s="5">
        <v>45627</v>
      </c>
      <c r="K2356" s="6">
        <v>0.68957175925925929</v>
      </c>
    </row>
    <row r="2357" spans="1:11" x14ac:dyDescent="0.25">
      <c r="A2357" s="4">
        <v>16</v>
      </c>
      <c r="B2357" s="4" t="s">
        <v>11</v>
      </c>
      <c r="C2357" s="7">
        <v>35.76</v>
      </c>
      <c r="D2357" s="4" t="s">
        <v>12</v>
      </c>
      <c r="E2357" s="4" t="s">
        <v>17</v>
      </c>
      <c r="F2357" s="4" t="s">
        <v>23</v>
      </c>
      <c r="G2357" s="4" t="s">
        <v>39</v>
      </c>
      <c r="H2357" s="4">
        <v>7</v>
      </c>
      <c r="I2357" s="4">
        <v>12</v>
      </c>
      <c r="J2357" s="5">
        <v>45627</v>
      </c>
      <c r="K2357" s="6">
        <v>0.69062500000000004</v>
      </c>
    </row>
    <row r="2358" spans="1:11" x14ac:dyDescent="0.25">
      <c r="A2358" s="4">
        <v>17</v>
      </c>
      <c r="B2358" s="4" t="s">
        <v>11</v>
      </c>
      <c r="C2358" s="7">
        <v>30.86</v>
      </c>
      <c r="D2358" s="4" t="s">
        <v>19</v>
      </c>
      <c r="E2358" s="4" t="s">
        <v>20</v>
      </c>
      <c r="F2358" s="4" t="s">
        <v>23</v>
      </c>
      <c r="G2358" s="4" t="s">
        <v>39</v>
      </c>
      <c r="H2358" s="4">
        <v>7</v>
      </c>
      <c r="I2358" s="4">
        <v>12</v>
      </c>
      <c r="J2358" s="5">
        <v>45627</v>
      </c>
      <c r="K2358" s="6">
        <v>0.71554398148148146</v>
      </c>
    </row>
    <row r="2359" spans="1:11" x14ac:dyDescent="0.25">
      <c r="A2359" s="4">
        <v>17</v>
      </c>
      <c r="B2359" s="4" t="s">
        <v>11</v>
      </c>
      <c r="C2359" s="7">
        <v>30.86</v>
      </c>
      <c r="D2359" s="4" t="s">
        <v>19</v>
      </c>
      <c r="E2359" s="4" t="s">
        <v>20</v>
      </c>
      <c r="F2359" s="4" t="s">
        <v>23</v>
      </c>
      <c r="G2359" s="4" t="s">
        <v>39</v>
      </c>
      <c r="H2359" s="4">
        <v>7</v>
      </c>
      <c r="I2359" s="4">
        <v>12</v>
      </c>
      <c r="J2359" s="5">
        <v>45627</v>
      </c>
      <c r="K2359" s="6">
        <v>0.71634259259259259</v>
      </c>
    </row>
    <row r="2360" spans="1:11" x14ac:dyDescent="0.25">
      <c r="A2360" s="4">
        <v>18</v>
      </c>
      <c r="B2360" s="4" t="s">
        <v>11</v>
      </c>
      <c r="C2360" s="7">
        <v>30.86</v>
      </c>
      <c r="D2360" s="4" t="s">
        <v>19</v>
      </c>
      <c r="E2360" s="4" t="s">
        <v>20</v>
      </c>
      <c r="F2360" s="4" t="s">
        <v>23</v>
      </c>
      <c r="G2360" s="4" t="s">
        <v>39</v>
      </c>
      <c r="H2360" s="4">
        <v>7</v>
      </c>
      <c r="I2360" s="4">
        <v>12</v>
      </c>
      <c r="J2360" s="5">
        <v>45627</v>
      </c>
      <c r="K2360" s="6">
        <v>0.77671296296296299</v>
      </c>
    </row>
    <row r="2361" spans="1:11" x14ac:dyDescent="0.25">
      <c r="A2361" s="4">
        <v>7</v>
      </c>
      <c r="B2361" s="4" t="s">
        <v>11</v>
      </c>
      <c r="C2361" s="7">
        <v>35.76</v>
      </c>
      <c r="D2361" s="4" t="s">
        <v>12</v>
      </c>
      <c r="E2361" s="4" t="s">
        <v>13</v>
      </c>
      <c r="F2361" s="4" t="s">
        <v>25</v>
      </c>
      <c r="G2361" s="4" t="s">
        <v>39</v>
      </c>
      <c r="H2361" s="4">
        <v>1</v>
      </c>
      <c r="I2361" s="4">
        <v>12</v>
      </c>
      <c r="J2361" s="5">
        <v>45628</v>
      </c>
      <c r="K2361" s="6">
        <v>0.32680555555555557</v>
      </c>
    </row>
    <row r="2362" spans="1:11" x14ac:dyDescent="0.25">
      <c r="A2362" s="4">
        <v>7</v>
      </c>
      <c r="B2362" s="4" t="s">
        <v>11</v>
      </c>
      <c r="C2362" s="7">
        <v>25.96</v>
      </c>
      <c r="D2362" s="4" t="s">
        <v>18</v>
      </c>
      <c r="E2362" s="4" t="s">
        <v>13</v>
      </c>
      <c r="F2362" s="4" t="s">
        <v>25</v>
      </c>
      <c r="G2362" s="4" t="s">
        <v>39</v>
      </c>
      <c r="H2362" s="4">
        <v>1</v>
      </c>
      <c r="I2362" s="4">
        <v>12</v>
      </c>
      <c r="J2362" s="5">
        <v>45628</v>
      </c>
      <c r="K2362" s="6">
        <v>0.32776620370370368</v>
      </c>
    </row>
    <row r="2363" spans="1:11" x14ac:dyDescent="0.25">
      <c r="A2363" s="4">
        <v>8</v>
      </c>
      <c r="B2363" s="4" t="s">
        <v>11</v>
      </c>
      <c r="C2363" s="7">
        <v>30.86</v>
      </c>
      <c r="D2363" s="4" t="s">
        <v>19</v>
      </c>
      <c r="E2363" s="4" t="s">
        <v>13</v>
      </c>
      <c r="F2363" s="4" t="s">
        <v>25</v>
      </c>
      <c r="G2363" s="4" t="s">
        <v>39</v>
      </c>
      <c r="H2363" s="4">
        <v>1</v>
      </c>
      <c r="I2363" s="4">
        <v>12</v>
      </c>
      <c r="J2363" s="5">
        <v>45628</v>
      </c>
      <c r="K2363" s="6">
        <v>0.34825231481481483</v>
      </c>
    </row>
    <row r="2364" spans="1:11" x14ac:dyDescent="0.25">
      <c r="A2364" s="4">
        <v>8</v>
      </c>
      <c r="B2364" s="4" t="s">
        <v>11</v>
      </c>
      <c r="C2364" s="7">
        <v>35.76</v>
      </c>
      <c r="D2364" s="4" t="s">
        <v>21</v>
      </c>
      <c r="E2364" s="4" t="s">
        <v>13</v>
      </c>
      <c r="F2364" s="4" t="s">
        <v>25</v>
      </c>
      <c r="G2364" s="4" t="s">
        <v>39</v>
      </c>
      <c r="H2364" s="4">
        <v>1</v>
      </c>
      <c r="I2364" s="4">
        <v>12</v>
      </c>
      <c r="J2364" s="5">
        <v>45628</v>
      </c>
      <c r="K2364" s="6">
        <v>0.37030092592592595</v>
      </c>
    </row>
    <row r="2365" spans="1:11" x14ac:dyDescent="0.25">
      <c r="A2365" s="4">
        <v>11</v>
      </c>
      <c r="B2365" s="4" t="s">
        <v>11</v>
      </c>
      <c r="C2365" s="7">
        <v>25.96</v>
      </c>
      <c r="D2365" s="4" t="s">
        <v>24</v>
      </c>
      <c r="E2365" s="4" t="s">
        <v>13</v>
      </c>
      <c r="F2365" s="4" t="s">
        <v>25</v>
      </c>
      <c r="G2365" s="4" t="s">
        <v>39</v>
      </c>
      <c r="H2365" s="4">
        <v>1</v>
      </c>
      <c r="I2365" s="4">
        <v>12</v>
      </c>
      <c r="J2365" s="5">
        <v>45628</v>
      </c>
      <c r="K2365" s="6">
        <v>0.46140046296296294</v>
      </c>
    </row>
    <row r="2366" spans="1:11" x14ac:dyDescent="0.25">
      <c r="A2366" s="4">
        <v>15</v>
      </c>
      <c r="B2366" s="4" t="s">
        <v>11</v>
      </c>
      <c r="C2366" s="7">
        <v>21.06</v>
      </c>
      <c r="D2366" s="4" t="s">
        <v>26</v>
      </c>
      <c r="E2366" s="4" t="s">
        <v>17</v>
      </c>
      <c r="F2366" s="4" t="s">
        <v>25</v>
      </c>
      <c r="G2366" s="4" t="s">
        <v>39</v>
      </c>
      <c r="H2366" s="4">
        <v>1</v>
      </c>
      <c r="I2366" s="4">
        <v>12</v>
      </c>
      <c r="J2366" s="5">
        <v>45628</v>
      </c>
      <c r="K2366" s="6">
        <v>0.64471064814814816</v>
      </c>
    </row>
    <row r="2367" spans="1:11" x14ac:dyDescent="0.25">
      <c r="A2367" s="4">
        <v>16</v>
      </c>
      <c r="B2367" s="4" t="s">
        <v>11</v>
      </c>
      <c r="C2367" s="7">
        <v>35.76</v>
      </c>
      <c r="D2367" s="4" t="s">
        <v>29</v>
      </c>
      <c r="E2367" s="4" t="s">
        <v>17</v>
      </c>
      <c r="F2367" s="4" t="s">
        <v>25</v>
      </c>
      <c r="G2367" s="4" t="s">
        <v>39</v>
      </c>
      <c r="H2367" s="4">
        <v>1</v>
      </c>
      <c r="I2367" s="4">
        <v>12</v>
      </c>
      <c r="J2367" s="5">
        <v>45628</v>
      </c>
      <c r="K2367" s="6">
        <v>0.67526620370370372</v>
      </c>
    </row>
    <row r="2368" spans="1:11" x14ac:dyDescent="0.25">
      <c r="A2368" s="4">
        <v>17</v>
      </c>
      <c r="B2368" s="4" t="s">
        <v>11</v>
      </c>
      <c r="C2368" s="7">
        <v>25.96</v>
      </c>
      <c r="D2368" s="4" t="s">
        <v>18</v>
      </c>
      <c r="E2368" s="4" t="s">
        <v>20</v>
      </c>
      <c r="F2368" s="4" t="s">
        <v>25</v>
      </c>
      <c r="G2368" s="4" t="s">
        <v>39</v>
      </c>
      <c r="H2368" s="4">
        <v>1</v>
      </c>
      <c r="I2368" s="4">
        <v>12</v>
      </c>
      <c r="J2368" s="5">
        <v>45628</v>
      </c>
      <c r="K2368" s="6">
        <v>0.73218749999999999</v>
      </c>
    </row>
    <row r="2369" spans="1:11" x14ac:dyDescent="0.25">
      <c r="A2369" s="4">
        <v>18</v>
      </c>
      <c r="B2369" s="4" t="s">
        <v>11</v>
      </c>
      <c r="C2369" s="7">
        <v>35.76</v>
      </c>
      <c r="D2369" s="4" t="s">
        <v>29</v>
      </c>
      <c r="E2369" s="4" t="s">
        <v>20</v>
      </c>
      <c r="F2369" s="4" t="s">
        <v>25</v>
      </c>
      <c r="G2369" s="4" t="s">
        <v>39</v>
      </c>
      <c r="H2369" s="4">
        <v>1</v>
      </c>
      <c r="I2369" s="4">
        <v>12</v>
      </c>
      <c r="J2369" s="5">
        <v>45628</v>
      </c>
      <c r="K2369" s="6">
        <v>0.75037037037037035</v>
      </c>
    </row>
    <row r="2370" spans="1:11" x14ac:dyDescent="0.25">
      <c r="A2370" s="4">
        <v>8</v>
      </c>
      <c r="B2370" s="4" t="s">
        <v>11</v>
      </c>
      <c r="C2370" s="7">
        <v>35.76</v>
      </c>
      <c r="D2370" s="4" t="s">
        <v>12</v>
      </c>
      <c r="E2370" s="4" t="s">
        <v>13</v>
      </c>
      <c r="F2370" s="4" t="s">
        <v>27</v>
      </c>
      <c r="G2370" s="4" t="s">
        <v>39</v>
      </c>
      <c r="H2370" s="4">
        <v>2</v>
      </c>
      <c r="I2370" s="4">
        <v>12</v>
      </c>
      <c r="J2370" s="5">
        <v>45629</v>
      </c>
      <c r="K2370" s="6">
        <v>0.34119212962962964</v>
      </c>
    </row>
    <row r="2371" spans="1:11" x14ac:dyDescent="0.25">
      <c r="A2371" s="4">
        <v>9</v>
      </c>
      <c r="B2371" s="4" t="s">
        <v>11</v>
      </c>
      <c r="C2371" s="7">
        <v>30.86</v>
      </c>
      <c r="D2371" s="4" t="s">
        <v>19</v>
      </c>
      <c r="E2371" s="4" t="s">
        <v>13</v>
      </c>
      <c r="F2371" s="4" t="s">
        <v>27</v>
      </c>
      <c r="G2371" s="4" t="s">
        <v>39</v>
      </c>
      <c r="H2371" s="4">
        <v>2</v>
      </c>
      <c r="I2371" s="4">
        <v>12</v>
      </c>
      <c r="J2371" s="5">
        <v>45629</v>
      </c>
      <c r="K2371" s="6">
        <v>0.39131944444444444</v>
      </c>
    </row>
    <row r="2372" spans="1:11" x14ac:dyDescent="0.25">
      <c r="A2372" s="4">
        <v>9</v>
      </c>
      <c r="B2372" s="4" t="s">
        <v>11</v>
      </c>
      <c r="C2372" s="7">
        <v>30.86</v>
      </c>
      <c r="D2372" s="4" t="s">
        <v>19</v>
      </c>
      <c r="E2372" s="4" t="s">
        <v>13</v>
      </c>
      <c r="F2372" s="4" t="s">
        <v>27</v>
      </c>
      <c r="G2372" s="4" t="s">
        <v>39</v>
      </c>
      <c r="H2372" s="4">
        <v>2</v>
      </c>
      <c r="I2372" s="4">
        <v>12</v>
      </c>
      <c r="J2372" s="5">
        <v>45629</v>
      </c>
      <c r="K2372" s="6">
        <v>0.39197916666666666</v>
      </c>
    </row>
    <row r="2373" spans="1:11" x14ac:dyDescent="0.25">
      <c r="A2373" s="4">
        <v>11</v>
      </c>
      <c r="B2373" s="4" t="s">
        <v>11</v>
      </c>
      <c r="C2373" s="7">
        <v>25.96</v>
      </c>
      <c r="D2373" s="4" t="s">
        <v>18</v>
      </c>
      <c r="E2373" s="4" t="s">
        <v>13</v>
      </c>
      <c r="F2373" s="4" t="s">
        <v>27</v>
      </c>
      <c r="G2373" s="4" t="s">
        <v>39</v>
      </c>
      <c r="H2373" s="4">
        <v>2</v>
      </c>
      <c r="I2373" s="4">
        <v>12</v>
      </c>
      <c r="J2373" s="5">
        <v>45629</v>
      </c>
      <c r="K2373" s="6">
        <v>0.47081018518518519</v>
      </c>
    </row>
    <row r="2374" spans="1:11" x14ac:dyDescent="0.25">
      <c r="A2374" s="4">
        <v>11</v>
      </c>
      <c r="B2374" s="4" t="s">
        <v>11</v>
      </c>
      <c r="C2374" s="7">
        <v>30.86</v>
      </c>
      <c r="D2374" s="4" t="s">
        <v>19</v>
      </c>
      <c r="E2374" s="4" t="s">
        <v>13</v>
      </c>
      <c r="F2374" s="4" t="s">
        <v>27</v>
      </c>
      <c r="G2374" s="4" t="s">
        <v>39</v>
      </c>
      <c r="H2374" s="4">
        <v>2</v>
      </c>
      <c r="I2374" s="4">
        <v>12</v>
      </c>
      <c r="J2374" s="5">
        <v>45629</v>
      </c>
      <c r="K2374" s="6">
        <v>0.48758101851851854</v>
      </c>
    </row>
    <row r="2375" spans="1:11" x14ac:dyDescent="0.25">
      <c r="A2375" s="4">
        <v>11</v>
      </c>
      <c r="B2375" s="4" t="s">
        <v>11</v>
      </c>
      <c r="C2375" s="7">
        <v>30.86</v>
      </c>
      <c r="D2375" s="4" t="s">
        <v>19</v>
      </c>
      <c r="E2375" s="4" t="s">
        <v>13</v>
      </c>
      <c r="F2375" s="4" t="s">
        <v>27</v>
      </c>
      <c r="G2375" s="4" t="s">
        <v>39</v>
      </c>
      <c r="H2375" s="4">
        <v>2</v>
      </c>
      <c r="I2375" s="4">
        <v>12</v>
      </c>
      <c r="J2375" s="5">
        <v>45629</v>
      </c>
      <c r="K2375" s="6">
        <v>0.48836805555555557</v>
      </c>
    </row>
    <row r="2376" spans="1:11" x14ac:dyDescent="0.25">
      <c r="A2376" s="4">
        <v>11</v>
      </c>
      <c r="B2376" s="4" t="s">
        <v>11</v>
      </c>
      <c r="C2376" s="7">
        <v>30.86</v>
      </c>
      <c r="D2376" s="4" t="s">
        <v>19</v>
      </c>
      <c r="E2376" s="4" t="s">
        <v>13</v>
      </c>
      <c r="F2376" s="4" t="s">
        <v>27</v>
      </c>
      <c r="G2376" s="4" t="s">
        <v>39</v>
      </c>
      <c r="H2376" s="4">
        <v>2</v>
      </c>
      <c r="I2376" s="4">
        <v>12</v>
      </c>
      <c r="J2376" s="5">
        <v>45629</v>
      </c>
      <c r="K2376" s="6">
        <v>0.49020833333333336</v>
      </c>
    </row>
    <row r="2377" spans="1:11" x14ac:dyDescent="0.25">
      <c r="A2377" s="4">
        <v>20</v>
      </c>
      <c r="B2377" s="4" t="s">
        <v>11</v>
      </c>
      <c r="C2377" s="7">
        <v>35.76</v>
      </c>
      <c r="D2377" s="4" t="s">
        <v>21</v>
      </c>
      <c r="E2377" s="4" t="s">
        <v>20</v>
      </c>
      <c r="F2377" s="4" t="s">
        <v>27</v>
      </c>
      <c r="G2377" s="4" t="s">
        <v>39</v>
      </c>
      <c r="H2377" s="4">
        <v>2</v>
      </c>
      <c r="I2377" s="4">
        <v>12</v>
      </c>
      <c r="J2377" s="5">
        <v>45629</v>
      </c>
      <c r="K2377" s="6">
        <v>0.86869212962962961</v>
      </c>
    </row>
    <row r="2378" spans="1:11" x14ac:dyDescent="0.25">
      <c r="A2378" s="4">
        <v>21</v>
      </c>
      <c r="B2378" s="4" t="s">
        <v>11</v>
      </c>
      <c r="C2378" s="7">
        <v>35.76</v>
      </c>
      <c r="D2378" s="4" t="s">
        <v>12</v>
      </c>
      <c r="E2378" s="4" t="s">
        <v>20</v>
      </c>
      <c r="F2378" s="4" t="s">
        <v>27</v>
      </c>
      <c r="G2378" s="4" t="s">
        <v>39</v>
      </c>
      <c r="H2378" s="4">
        <v>2</v>
      </c>
      <c r="I2378" s="4">
        <v>12</v>
      </c>
      <c r="J2378" s="5">
        <v>45629</v>
      </c>
      <c r="K2378" s="6">
        <v>0.89810185185185187</v>
      </c>
    </row>
    <row r="2379" spans="1:11" x14ac:dyDescent="0.25">
      <c r="A2379" s="4">
        <v>21</v>
      </c>
      <c r="B2379" s="4" t="s">
        <v>11</v>
      </c>
      <c r="C2379" s="7">
        <v>35.76</v>
      </c>
      <c r="D2379" s="4" t="s">
        <v>29</v>
      </c>
      <c r="E2379" s="4" t="s">
        <v>20</v>
      </c>
      <c r="F2379" s="4" t="s">
        <v>27</v>
      </c>
      <c r="G2379" s="4" t="s">
        <v>39</v>
      </c>
      <c r="H2379" s="4">
        <v>2</v>
      </c>
      <c r="I2379" s="4">
        <v>12</v>
      </c>
      <c r="J2379" s="5">
        <v>45629</v>
      </c>
      <c r="K2379" s="6">
        <v>0.89876157407407409</v>
      </c>
    </row>
    <row r="2380" spans="1:11" x14ac:dyDescent="0.25">
      <c r="A2380" s="4">
        <v>21</v>
      </c>
      <c r="B2380" s="4" t="s">
        <v>11</v>
      </c>
      <c r="C2380" s="7">
        <v>35.76</v>
      </c>
      <c r="D2380" s="4" t="s">
        <v>16</v>
      </c>
      <c r="E2380" s="4" t="s">
        <v>20</v>
      </c>
      <c r="F2380" s="4" t="s">
        <v>27</v>
      </c>
      <c r="G2380" s="4" t="s">
        <v>39</v>
      </c>
      <c r="H2380" s="4">
        <v>2</v>
      </c>
      <c r="I2380" s="4">
        <v>12</v>
      </c>
      <c r="J2380" s="5">
        <v>45629</v>
      </c>
      <c r="K2380" s="6">
        <v>0.89951388888888884</v>
      </c>
    </row>
    <row r="2381" spans="1:11" x14ac:dyDescent="0.25">
      <c r="A2381" s="4">
        <v>22</v>
      </c>
      <c r="B2381" s="4" t="s">
        <v>11</v>
      </c>
      <c r="C2381" s="7">
        <v>30.86</v>
      </c>
      <c r="D2381" s="4" t="s">
        <v>19</v>
      </c>
      <c r="E2381" s="4" t="s">
        <v>20</v>
      </c>
      <c r="F2381" s="4" t="s">
        <v>27</v>
      </c>
      <c r="G2381" s="4" t="s">
        <v>39</v>
      </c>
      <c r="H2381" s="4">
        <v>2</v>
      </c>
      <c r="I2381" s="4">
        <v>12</v>
      </c>
      <c r="J2381" s="5">
        <v>45629</v>
      </c>
      <c r="K2381" s="6">
        <v>0.93001157407407409</v>
      </c>
    </row>
    <row r="2382" spans="1:11" x14ac:dyDescent="0.25">
      <c r="A2382" s="4">
        <v>22</v>
      </c>
      <c r="B2382" s="4" t="s">
        <v>11</v>
      </c>
      <c r="C2382" s="7">
        <v>35.76</v>
      </c>
      <c r="D2382" s="4" t="s">
        <v>29</v>
      </c>
      <c r="E2382" s="4" t="s">
        <v>20</v>
      </c>
      <c r="F2382" s="4" t="s">
        <v>27</v>
      </c>
      <c r="G2382" s="4" t="s">
        <v>39</v>
      </c>
      <c r="H2382" s="4">
        <v>2</v>
      </c>
      <c r="I2382" s="4">
        <v>12</v>
      </c>
      <c r="J2382" s="5">
        <v>45629</v>
      </c>
      <c r="K2382" s="6">
        <v>0.9317361111111111</v>
      </c>
    </row>
    <row r="2383" spans="1:11" x14ac:dyDescent="0.25">
      <c r="A2383" s="4">
        <v>8</v>
      </c>
      <c r="B2383" s="4" t="s">
        <v>11</v>
      </c>
      <c r="C2383" s="7">
        <v>25.96</v>
      </c>
      <c r="D2383" s="4" t="s">
        <v>24</v>
      </c>
      <c r="E2383" s="4" t="s">
        <v>13</v>
      </c>
      <c r="F2383" s="4" t="s">
        <v>28</v>
      </c>
      <c r="G2383" s="4" t="s">
        <v>39</v>
      </c>
      <c r="H2383" s="4">
        <v>3</v>
      </c>
      <c r="I2383" s="4">
        <v>12</v>
      </c>
      <c r="J2383" s="5">
        <v>45630</v>
      </c>
      <c r="K2383" s="6">
        <v>0.35609953703703706</v>
      </c>
    </row>
    <row r="2384" spans="1:11" x14ac:dyDescent="0.25">
      <c r="A2384" s="4">
        <v>8</v>
      </c>
      <c r="B2384" s="4" t="s">
        <v>11</v>
      </c>
      <c r="C2384" s="7">
        <v>35.76</v>
      </c>
      <c r="D2384" s="4" t="s">
        <v>12</v>
      </c>
      <c r="E2384" s="4" t="s">
        <v>13</v>
      </c>
      <c r="F2384" s="4" t="s">
        <v>28</v>
      </c>
      <c r="G2384" s="4" t="s">
        <v>39</v>
      </c>
      <c r="H2384" s="4">
        <v>3</v>
      </c>
      <c r="I2384" s="4">
        <v>12</v>
      </c>
      <c r="J2384" s="5">
        <v>45630</v>
      </c>
      <c r="K2384" s="6">
        <v>0.3684027777777778</v>
      </c>
    </row>
    <row r="2385" spans="1:11" x14ac:dyDescent="0.25">
      <c r="A2385" s="4">
        <v>8</v>
      </c>
      <c r="B2385" s="4" t="s">
        <v>11</v>
      </c>
      <c r="C2385" s="7">
        <v>35.76</v>
      </c>
      <c r="D2385" s="4" t="s">
        <v>12</v>
      </c>
      <c r="E2385" s="4" t="s">
        <v>13</v>
      </c>
      <c r="F2385" s="4" t="s">
        <v>28</v>
      </c>
      <c r="G2385" s="4" t="s">
        <v>39</v>
      </c>
      <c r="H2385" s="4">
        <v>3</v>
      </c>
      <c r="I2385" s="4">
        <v>12</v>
      </c>
      <c r="J2385" s="5">
        <v>45630</v>
      </c>
      <c r="K2385" s="6">
        <v>0.36961805555555555</v>
      </c>
    </row>
    <row r="2386" spans="1:11" x14ac:dyDescent="0.25">
      <c r="A2386" s="4">
        <v>9</v>
      </c>
      <c r="B2386" s="4" t="s">
        <v>11</v>
      </c>
      <c r="C2386" s="7">
        <v>25.96</v>
      </c>
      <c r="D2386" s="4" t="s">
        <v>18</v>
      </c>
      <c r="E2386" s="4" t="s">
        <v>13</v>
      </c>
      <c r="F2386" s="4" t="s">
        <v>28</v>
      </c>
      <c r="G2386" s="4" t="s">
        <v>39</v>
      </c>
      <c r="H2386" s="4">
        <v>3</v>
      </c>
      <c r="I2386" s="4">
        <v>12</v>
      </c>
      <c r="J2386" s="5">
        <v>45630</v>
      </c>
      <c r="K2386" s="6">
        <v>0.37793981481481481</v>
      </c>
    </row>
    <row r="2387" spans="1:11" x14ac:dyDescent="0.25">
      <c r="A2387" s="4">
        <v>10</v>
      </c>
      <c r="B2387" s="4" t="s">
        <v>11</v>
      </c>
      <c r="C2387" s="7">
        <v>30.86</v>
      </c>
      <c r="D2387" s="4" t="s">
        <v>19</v>
      </c>
      <c r="E2387" s="4" t="s">
        <v>13</v>
      </c>
      <c r="F2387" s="4" t="s">
        <v>28</v>
      </c>
      <c r="G2387" s="4" t="s">
        <v>39</v>
      </c>
      <c r="H2387" s="4">
        <v>3</v>
      </c>
      <c r="I2387" s="4">
        <v>12</v>
      </c>
      <c r="J2387" s="5">
        <v>45630</v>
      </c>
      <c r="K2387" s="6">
        <v>0.43265046296296295</v>
      </c>
    </row>
    <row r="2388" spans="1:11" x14ac:dyDescent="0.25">
      <c r="A2388" s="4">
        <v>10</v>
      </c>
      <c r="B2388" s="4" t="s">
        <v>11</v>
      </c>
      <c r="C2388" s="7">
        <v>30.86</v>
      </c>
      <c r="D2388" s="4" t="s">
        <v>19</v>
      </c>
      <c r="E2388" s="4" t="s">
        <v>13</v>
      </c>
      <c r="F2388" s="4" t="s">
        <v>28</v>
      </c>
      <c r="G2388" s="4" t="s">
        <v>39</v>
      </c>
      <c r="H2388" s="4">
        <v>3</v>
      </c>
      <c r="I2388" s="4">
        <v>12</v>
      </c>
      <c r="J2388" s="5">
        <v>45630</v>
      </c>
      <c r="K2388" s="6">
        <v>0.43341435185185184</v>
      </c>
    </row>
    <row r="2389" spans="1:11" x14ac:dyDescent="0.25">
      <c r="A2389" s="4">
        <v>10</v>
      </c>
      <c r="B2389" s="4" t="s">
        <v>11</v>
      </c>
      <c r="C2389" s="7">
        <v>30.86</v>
      </c>
      <c r="D2389" s="4" t="s">
        <v>19</v>
      </c>
      <c r="E2389" s="4" t="s">
        <v>13</v>
      </c>
      <c r="F2389" s="4" t="s">
        <v>28</v>
      </c>
      <c r="G2389" s="4" t="s">
        <v>39</v>
      </c>
      <c r="H2389" s="4">
        <v>3</v>
      </c>
      <c r="I2389" s="4">
        <v>12</v>
      </c>
      <c r="J2389" s="5">
        <v>45630</v>
      </c>
      <c r="K2389" s="6">
        <v>0.43538194444444445</v>
      </c>
    </row>
    <row r="2390" spans="1:11" x14ac:dyDescent="0.25">
      <c r="A2390" s="4">
        <v>10</v>
      </c>
      <c r="B2390" s="4" t="s">
        <v>11</v>
      </c>
      <c r="C2390" s="7">
        <v>35.76</v>
      </c>
      <c r="D2390" s="4" t="s">
        <v>16</v>
      </c>
      <c r="E2390" s="4" t="s">
        <v>13</v>
      </c>
      <c r="F2390" s="4" t="s">
        <v>28</v>
      </c>
      <c r="G2390" s="4" t="s">
        <v>39</v>
      </c>
      <c r="H2390" s="4">
        <v>3</v>
      </c>
      <c r="I2390" s="4">
        <v>12</v>
      </c>
      <c r="J2390" s="5">
        <v>45630</v>
      </c>
      <c r="K2390" s="6">
        <v>0.43734953703703705</v>
      </c>
    </row>
    <row r="2391" spans="1:11" x14ac:dyDescent="0.25">
      <c r="A2391" s="4">
        <v>11</v>
      </c>
      <c r="B2391" s="4" t="s">
        <v>11</v>
      </c>
      <c r="C2391" s="7">
        <v>30.86</v>
      </c>
      <c r="D2391" s="4" t="s">
        <v>19</v>
      </c>
      <c r="E2391" s="4" t="s">
        <v>13</v>
      </c>
      <c r="F2391" s="4" t="s">
        <v>28</v>
      </c>
      <c r="G2391" s="4" t="s">
        <v>39</v>
      </c>
      <c r="H2391" s="4">
        <v>3</v>
      </c>
      <c r="I2391" s="4">
        <v>12</v>
      </c>
      <c r="J2391" s="5">
        <v>45630</v>
      </c>
      <c r="K2391" s="6">
        <v>0.49024305555555553</v>
      </c>
    </row>
    <row r="2392" spans="1:11" x14ac:dyDescent="0.25">
      <c r="A2392" s="4">
        <v>14</v>
      </c>
      <c r="B2392" s="4" t="s">
        <v>11</v>
      </c>
      <c r="C2392" s="7">
        <v>35.76</v>
      </c>
      <c r="D2392" s="4" t="s">
        <v>16</v>
      </c>
      <c r="E2392" s="4" t="s">
        <v>17</v>
      </c>
      <c r="F2392" s="4" t="s">
        <v>28</v>
      </c>
      <c r="G2392" s="4" t="s">
        <v>39</v>
      </c>
      <c r="H2392" s="4">
        <v>3</v>
      </c>
      <c r="I2392" s="4">
        <v>12</v>
      </c>
      <c r="J2392" s="5">
        <v>45630</v>
      </c>
      <c r="K2392" s="6">
        <v>0.60687500000000005</v>
      </c>
    </row>
    <row r="2393" spans="1:11" x14ac:dyDescent="0.25">
      <c r="A2393" s="4">
        <v>8</v>
      </c>
      <c r="B2393" s="4" t="s">
        <v>11</v>
      </c>
      <c r="C2393" s="7">
        <v>25.96</v>
      </c>
      <c r="D2393" s="4" t="s">
        <v>18</v>
      </c>
      <c r="E2393" s="4" t="s">
        <v>13</v>
      </c>
      <c r="F2393" s="4" t="s">
        <v>30</v>
      </c>
      <c r="G2393" s="4" t="s">
        <v>39</v>
      </c>
      <c r="H2393" s="4">
        <v>4</v>
      </c>
      <c r="I2393" s="4">
        <v>12</v>
      </c>
      <c r="J2393" s="5">
        <v>45631</v>
      </c>
      <c r="K2393" s="6">
        <v>0.37069444444444444</v>
      </c>
    </row>
    <row r="2394" spans="1:11" x14ac:dyDescent="0.25">
      <c r="A2394" s="4">
        <v>9</v>
      </c>
      <c r="B2394" s="4" t="s">
        <v>11</v>
      </c>
      <c r="C2394" s="7">
        <v>25.96</v>
      </c>
      <c r="D2394" s="4" t="s">
        <v>24</v>
      </c>
      <c r="E2394" s="4" t="s">
        <v>13</v>
      </c>
      <c r="F2394" s="4" t="s">
        <v>30</v>
      </c>
      <c r="G2394" s="4" t="s">
        <v>39</v>
      </c>
      <c r="H2394" s="4">
        <v>4</v>
      </c>
      <c r="I2394" s="4">
        <v>12</v>
      </c>
      <c r="J2394" s="5">
        <v>45631</v>
      </c>
      <c r="K2394" s="6">
        <v>0.38921296296296298</v>
      </c>
    </row>
    <row r="2395" spans="1:11" x14ac:dyDescent="0.25">
      <c r="A2395" s="4">
        <v>10</v>
      </c>
      <c r="B2395" s="4" t="s">
        <v>11</v>
      </c>
      <c r="C2395" s="7">
        <v>30.86</v>
      </c>
      <c r="D2395" s="4" t="s">
        <v>19</v>
      </c>
      <c r="E2395" s="4" t="s">
        <v>13</v>
      </c>
      <c r="F2395" s="4" t="s">
        <v>30</v>
      </c>
      <c r="G2395" s="4" t="s">
        <v>39</v>
      </c>
      <c r="H2395" s="4">
        <v>4</v>
      </c>
      <c r="I2395" s="4">
        <v>12</v>
      </c>
      <c r="J2395" s="5">
        <v>45631</v>
      </c>
      <c r="K2395" s="6">
        <v>0.41864583333333333</v>
      </c>
    </row>
    <row r="2396" spans="1:11" x14ac:dyDescent="0.25">
      <c r="A2396" s="4">
        <v>10</v>
      </c>
      <c r="B2396" s="4" t="s">
        <v>11</v>
      </c>
      <c r="C2396" s="7">
        <v>30.86</v>
      </c>
      <c r="D2396" s="4" t="s">
        <v>19</v>
      </c>
      <c r="E2396" s="4" t="s">
        <v>13</v>
      </c>
      <c r="F2396" s="4" t="s">
        <v>30</v>
      </c>
      <c r="G2396" s="4" t="s">
        <v>39</v>
      </c>
      <c r="H2396" s="4">
        <v>4</v>
      </c>
      <c r="I2396" s="4">
        <v>12</v>
      </c>
      <c r="J2396" s="5">
        <v>45631</v>
      </c>
      <c r="K2396" s="6">
        <v>0.42019675925925926</v>
      </c>
    </row>
    <row r="2397" spans="1:11" x14ac:dyDescent="0.25">
      <c r="A2397" s="4">
        <v>11</v>
      </c>
      <c r="B2397" s="4" t="s">
        <v>11</v>
      </c>
      <c r="C2397" s="7">
        <v>35.76</v>
      </c>
      <c r="D2397" s="4" t="s">
        <v>12</v>
      </c>
      <c r="E2397" s="4" t="s">
        <v>13</v>
      </c>
      <c r="F2397" s="4" t="s">
        <v>30</v>
      </c>
      <c r="G2397" s="4" t="s">
        <v>39</v>
      </c>
      <c r="H2397" s="4">
        <v>4</v>
      </c>
      <c r="I2397" s="4">
        <v>12</v>
      </c>
      <c r="J2397" s="5">
        <v>45631</v>
      </c>
      <c r="K2397" s="6">
        <v>0.48053240740740738</v>
      </c>
    </row>
    <row r="2398" spans="1:11" x14ac:dyDescent="0.25">
      <c r="A2398" s="4">
        <v>11</v>
      </c>
      <c r="B2398" s="4" t="s">
        <v>11</v>
      </c>
      <c r="C2398" s="7">
        <v>25.96</v>
      </c>
      <c r="D2398" s="4" t="s">
        <v>18</v>
      </c>
      <c r="E2398" s="4" t="s">
        <v>13</v>
      </c>
      <c r="F2398" s="4" t="s">
        <v>30</v>
      </c>
      <c r="G2398" s="4" t="s">
        <v>39</v>
      </c>
      <c r="H2398" s="4">
        <v>4</v>
      </c>
      <c r="I2398" s="4">
        <v>12</v>
      </c>
      <c r="J2398" s="5">
        <v>45631</v>
      </c>
      <c r="K2398" s="6">
        <v>0.49356481481481479</v>
      </c>
    </row>
    <row r="2399" spans="1:11" x14ac:dyDescent="0.25">
      <c r="A2399" s="4">
        <v>14</v>
      </c>
      <c r="B2399" s="4" t="s">
        <v>11</v>
      </c>
      <c r="C2399" s="7">
        <v>35.76</v>
      </c>
      <c r="D2399" s="4" t="s">
        <v>29</v>
      </c>
      <c r="E2399" s="4" t="s">
        <v>17</v>
      </c>
      <c r="F2399" s="4" t="s">
        <v>30</v>
      </c>
      <c r="G2399" s="4" t="s">
        <v>39</v>
      </c>
      <c r="H2399" s="4">
        <v>4</v>
      </c>
      <c r="I2399" s="4">
        <v>12</v>
      </c>
      <c r="J2399" s="5">
        <v>45631</v>
      </c>
      <c r="K2399" s="6">
        <v>0.60483796296296299</v>
      </c>
    </row>
    <row r="2400" spans="1:11" x14ac:dyDescent="0.25">
      <c r="A2400" s="4">
        <v>15</v>
      </c>
      <c r="B2400" s="4" t="s">
        <v>11</v>
      </c>
      <c r="C2400" s="7">
        <v>35.76</v>
      </c>
      <c r="D2400" s="4" t="s">
        <v>12</v>
      </c>
      <c r="E2400" s="4" t="s">
        <v>17</v>
      </c>
      <c r="F2400" s="4" t="s">
        <v>30</v>
      </c>
      <c r="G2400" s="4" t="s">
        <v>39</v>
      </c>
      <c r="H2400" s="4">
        <v>4</v>
      </c>
      <c r="I2400" s="4">
        <v>12</v>
      </c>
      <c r="J2400" s="5">
        <v>45631</v>
      </c>
      <c r="K2400" s="6">
        <v>0.63980324074074069</v>
      </c>
    </row>
    <row r="2401" spans="1:11" x14ac:dyDescent="0.25">
      <c r="A2401" s="4">
        <v>16</v>
      </c>
      <c r="B2401" s="4" t="s">
        <v>11</v>
      </c>
      <c r="C2401" s="7">
        <v>35.76</v>
      </c>
      <c r="D2401" s="4" t="s">
        <v>12</v>
      </c>
      <c r="E2401" s="4" t="s">
        <v>17</v>
      </c>
      <c r="F2401" s="4" t="s">
        <v>30</v>
      </c>
      <c r="G2401" s="4" t="s">
        <v>39</v>
      </c>
      <c r="H2401" s="4">
        <v>4</v>
      </c>
      <c r="I2401" s="4">
        <v>12</v>
      </c>
      <c r="J2401" s="5">
        <v>45631</v>
      </c>
      <c r="K2401" s="6">
        <v>0.66817129629629635</v>
      </c>
    </row>
    <row r="2402" spans="1:11" x14ac:dyDescent="0.25">
      <c r="A2402" s="4">
        <v>11</v>
      </c>
      <c r="B2402" s="4" t="s">
        <v>11</v>
      </c>
      <c r="C2402" s="7">
        <v>35.76</v>
      </c>
      <c r="D2402" s="4" t="s">
        <v>12</v>
      </c>
      <c r="E2402" s="4" t="s">
        <v>13</v>
      </c>
      <c r="F2402" s="4" t="s">
        <v>14</v>
      </c>
      <c r="G2402" s="4" t="s">
        <v>39</v>
      </c>
      <c r="H2402" s="4">
        <v>5</v>
      </c>
      <c r="I2402" s="4">
        <v>12</v>
      </c>
      <c r="J2402" s="5">
        <v>45632</v>
      </c>
      <c r="K2402" s="6">
        <v>0.48770833333333335</v>
      </c>
    </row>
    <row r="2403" spans="1:11" x14ac:dyDescent="0.25">
      <c r="A2403" s="4">
        <v>16</v>
      </c>
      <c r="B2403" s="4" t="s">
        <v>11</v>
      </c>
      <c r="C2403" s="7">
        <v>35.76</v>
      </c>
      <c r="D2403" s="4" t="s">
        <v>16</v>
      </c>
      <c r="E2403" s="4" t="s">
        <v>17</v>
      </c>
      <c r="F2403" s="4" t="s">
        <v>14</v>
      </c>
      <c r="G2403" s="4" t="s">
        <v>39</v>
      </c>
      <c r="H2403" s="4">
        <v>5</v>
      </c>
      <c r="I2403" s="4">
        <v>12</v>
      </c>
      <c r="J2403" s="5">
        <v>45632</v>
      </c>
      <c r="K2403" s="6">
        <v>0.6888657407407407</v>
      </c>
    </row>
    <row r="2404" spans="1:11" x14ac:dyDescent="0.25">
      <c r="A2404" s="4">
        <v>22</v>
      </c>
      <c r="B2404" s="4" t="s">
        <v>11</v>
      </c>
      <c r="C2404" s="7">
        <v>35.76</v>
      </c>
      <c r="D2404" s="4" t="s">
        <v>12</v>
      </c>
      <c r="E2404" s="4" t="s">
        <v>20</v>
      </c>
      <c r="F2404" s="4" t="s">
        <v>14</v>
      </c>
      <c r="G2404" s="4" t="s">
        <v>39</v>
      </c>
      <c r="H2404" s="4">
        <v>5</v>
      </c>
      <c r="I2404" s="4">
        <v>12</v>
      </c>
      <c r="J2404" s="5">
        <v>45632</v>
      </c>
      <c r="K2404" s="6">
        <v>0.93788194444444439</v>
      </c>
    </row>
    <row r="2405" spans="1:11" x14ac:dyDescent="0.25">
      <c r="A2405" s="4">
        <v>22</v>
      </c>
      <c r="B2405" s="4" t="s">
        <v>11</v>
      </c>
      <c r="C2405" s="7">
        <v>35.76</v>
      </c>
      <c r="D2405" s="4" t="s">
        <v>16</v>
      </c>
      <c r="E2405" s="4" t="s">
        <v>20</v>
      </c>
      <c r="F2405" s="4" t="s">
        <v>14</v>
      </c>
      <c r="G2405" s="4" t="s">
        <v>39</v>
      </c>
      <c r="H2405" s="4">
        <v>5</v>
      </c>
      <c r="I2405" s="4">
        <v>12</v>
      </c>
      <c r="J2405" s="5">
        <v>45632</v>
      </c>
      <c r="K2405" s="6">
        <v>0.93854166666666672</v>
      </c>
    </row>
    <row r="2406" spans="1:11" x14ac:dyDescent="0.25">
      <c r="A2406" s="4">
        <v>11</v>
      </c>
      <c r="B2406" s="4" t="s">
        <v>11</v>
      </c>
      <c r="C2406" s="7">
        <v>30.86</v>
      </c>
      <c r="D2406" s="4" t="s">
        <v>19</v>
      </c>
      <c r="E2406" s="4" t="s">
        <v>13</v>
      </c>
      <c r="F2406" s="4" t="s">
        <v>22</v>
      </c>
      <c r="G2406" s="4" t="s">
        <v>39</v>
      </c>
      <c r="H2406" s="4">
        <v>6</v>
      </c>
      <c r="I2406" s="4">
        <v>12</v>
      </c>
      <c r="J2406" s="5">
        <v>45633</v>
      </c>
      <c r="K2406" s="6">
        <v>0.47025462962962961</v>
      </c>
    </row>
    <row r="2407" spans="1:11" x14ac:dyDescent="0.25">
      <c r="A2407" s="4">
        <v>14</v>
      </c>
      <c r="B2407" s="4" t="s">
        <v>11</v>
      </c>
      <c r="C2407" s="7">
        <v>25.96</v>
      </c>
      <c r="D2407" s="4" t="s">
        <v>18</v>
      </c>
      <c r="E2407" s="4" t="s">
        <v>17</v>
      </c>
      <c r="F2407" s="4" t="s">
        <v>22</v>
      </c>
      <c r="G2407" s="4" t="s">
        <v>39</v>
      </c>
      <c r="H2407" s="4">
        <v>6</v>
      </c>
      <c r="I2407" s="4">
        <v>12</v>
      </c>
      <c r="J2407" s="5">
        <v>45633</v>
      </c>
      <c r="K2407" s="6">
        <v>0.59493055555555552</v>
      </c>
    </row>
    <row r="2408" spans="1:11" x14ac:dyDescent="0.25">
      <c r="A2408" s="4">
        <v>15</v>
      </c>
      <c r="B2408" s="4" t="s">
        <v>11</v>
      </c>
      <c r="C2408" s="7">
        <v>35.76</v>
      </c>
      <c r="D2408" s="4" t="s">
        <v>12</v>
      </c>
      <c r="E2408" s="4" t="s">
        <v>17</v>
      </c>
      <c r="F2408" s="4" t="s">
        <v>22</v>
      </c>
      <c r="G2408" s="4" t="s">
        <v>39</v>
      </c>
      <c r="H2408" s="4">
        <v>6</v>
      </c>
      <c r="I2408" s="4">
        <v>12</v>
      </c>
      <c r="J2408" s="5">
        <v>45633</v>
      </c>
      <c r="K2408" s="6">
        <v>0.65560185185185182</v>
      </c>
    </row>
    <row r="2409" spans="1:11" x14ac:dyDescent="0.25">
      <c r="A2409" s="4">
        <v>19</v>
      </c>
      <c r="B2409" s="4" t="s">
        <v>11</v>
      </c>
      <c r="C2409" s="7">
        <v>35.76</v>
      </c>
      <c r="D2409" s="4" t="s">
        <v>29</v>
      </c>
      <c r="E2409" s="4" t="s">
        <v>20</v>
      </c>
      <c r="F2409" s="4" t="s">
        <v>22</v>
      </c>
      <c r="G2409" s="4" t="s">
        <v>39</v>
      </c>
      <c r="H2409" s="4">
        <v>6</v>
      </c>
      <c r="I2409" s="4">
        <v>12</v>
      </c>
      <c r="J2409" s="5">
        <v>45633</v>
      </c>
      <c r="K2409" s="6">
        <v>0.79945601851851855</v>
      </c>
    </row>
    <row r="2410" spans="1:11" x14ac:dyDescent="0.25">
      <c r="A2410" s="4">
        <v>22</v>
      </c>
      <c r="B2410" s="4" t="s">
        <v>11</v>
      </c>
      <c r="C2410" s="7">
        <v>30.86</v>
      </c>
      <c r="D2410" s="4" t="s">
        <v>19</v>
      </c>
      <c r="E2410" s="4" t="s">
        <v>20</v>
      </c>
      <c r="F2410" s="4" t="s">
        <v>22</v>
      </c>
      <c r="G2410" s="4" t="s">
        <v>39</v>
      </c>
      <c r="H2410" s="4">
        <v>6</v>
      </c>
      <c r="I2410" s="4">
        <v>12</v>
      </c>
      <c r="J2410" s="5">
        <v>45633</v>
      </c>
      <c r="K2410" s="6">
        <v>0.91677083333333331</v>
      </c>
    </row>
    <row r="2411" spans="1:11" x14ac:dyDescent="0.25">
      <c r="A2411" s="4">
        <v>22</v>
      </c>
      <c r="B2411" s="4" t="s">
        <v>11</v>
      </c>
      <c r="C2411" s="7">
        <v>25.96</v>
      </c>
      <c r="D2411" s="4" t="s">
        <v>18</v>
      </c>
      <c r="E2411" s="4" t="s">
        <v>20</v>
      </c>
      <c r="F2411" s="4" t="s">
        <v>22</v>
      </c>
      <c r="G2411" s="4" t="s">
        <v>39</v>
      </c>
      <c r="H2411" s="4">
        <v>6</v>
      </c>
      <c r="I2411" s="4">
        <v>12</v>
      </c>
      <c r="J2411" s="5">
        <v>45633</v>
      </c>
      <c r="K2411" s="6">
        <v>0.93630787037037033</v>
      </c>
    </row>
    <row r="2412" spans="1:11" x14ac:dyDescent="0.25">
      <c r="A2412" s="4">
        <v>8</v>
      </c>
      <c r="B2412" s="4" t="s">
        <v>11</v>
      </c>
      <c r="C2412" s="7">
        <v>25.96</v>
      </c>
      <c r="D2412" s="4" t="s">
        <v>24</v>
      </c>
      <c r="E2412" s="4" t="s">
        <v>13</v>
      </c>
      <c r="F2412" s="4" t="s">
        <v>23</v>
      </c>
      <c r="G2412" s="4" t="s">
        <v>39</v>
      </c>
      <c r="H2412" s="4">
        <v>7</v>
      </c>
      <c r="I2412" s="4">
        <v>12</v>
      </c>
      <c r="J2412" s="5">
        <v>45634</v>
      </c>
      <c r="K2412" s="6">
        <v>0.35376157407407405</v>
      </c>
    </row>
    <row r="2413" spans="1:11" x14ac:dyDescent="0.25">
      <c r="A2413" s="4">
        <v>10</v>
      </c>
      <c r="B2413" s="4" t="s">
        <v>11</v>
      </c>
      <c r="C2413" s="7">
        <v>35.76</v>
      </c>
      <c r="D2413" s="4" t="s">
        <v>12</v>
      </c>
      <c r="E2413" s="4" t="s">
        <v>13</v>
      </c>
      <c r="F2413" s="4" t="s">
        <v>23</v>
      </c>
      <c r="G2413" s="4" t="s">
        <v>39</v>
      </c>
      <c r="H2413" s="4">
        <v>7</v>
      </c>
      <c r="I2413" s="4">
        <v>12</v>
      </c>
      <c r="J2413" s="5">
        <v>45634</v>
      </c>
      <c r="K2413" s="6">
        <v>0.44627314814814817</v>
      </c>
    </row>
    <row r="2414" spans="1:11" x14ac:dyDescent="0.25">
      <c r="A2414" s="4">
        <v>10</v>
      </c>
      <c r="B2414" s="4" t="s">
        <v>11</v>
      </c>
      <c r="C2414" s="7">
        <v>35.76</v>
      </c>
      <c r="D2414" s="4" t="s">
        <v>29</v>
      </c>
      <c r="E2414" s="4" t="s">
        <v>13</v>
      </c>
      <c r="F2414" s="4" t="s">
        <v>23</v>
      </c>
      <c r="G2414" s="4" t="s">
        <v>39</v>
      </c>
      <c r="H2414" s="4">
        <v>7</v>
      </c>
      <c r="I2414" s="4">
        <v>12</v>
      </c>
      <c r="J2414" s="5">
        <v>45634</v>
      </c>
      <c r="K2414" s="6">
        <v>0.44701388888888888</v>
      </c>
    </row>
    <row r="2415" spans="1:11" x14ac:dyDescent="0.25">
      <c r="A2415" s="4">
        <v>12</v>
      </c>
      <c r="B2415" s="4" t="s">
        <v>11</v>
      </c>
      <c r="C2415" s="7">
        <v>25.96</v>
      </c>
      <c r="D2415" s="4" t="s">
        <v>24</v>
      </c>
      <c r="E2415" s="4" t="s">
        <v>17</v>
      </c>
      <c r="F2415" s="4" t="s">
        <v>23</v>
      </c>
      <c r="G2415" s="4" t="s">
        <v>39</v>
      </c>
      <c r="H2415" s="4">
        <v>7</v>
      </c>
      <c r="I2415" s="4">
        <v>12</v>
      </c>
      <c r="J2415" s="5">
        <v>45634</v>
      </c>
      <c r="K2415" s="6">
        <v>0.53587962962962965</v>
      </c>
    </row>
    <row r="2416" spans="1:11" x14ac:dyDescent="0.25">
      <c r="A2416" s="4">
        <v>13</v>
      </c>
      <c r="B2416" s="4" t="s">
        <v>11</v>
      </c>
      <c r="C2416" s="7">
        <v>30.86</v>
      </c>
      <c r="D2416" s="4" t="s">
        <v>19</v>
      </c>
      <c r="E2416" s="4" t="s">
        <v>17</v>
      </c>
      <c r="F2416" s="4" t="s">
        <v>23</v>
      </c>
      <c r="G2416" s="4" t="s">
        <v>39</v>
      </c>
      <c r="H2416" s="4">
        <v>7</v>
      </c>
      <c r="I2416" s="4">
        <v>12</v>
      </c>
      <c r="J2416" s="5">
        <v>45634</v>
      </c>
      <c r="K2416" s="6">
        <v>0.54347222222222225</v>
      </c>
    </row>
    <row r="2417" spans="1:11" x14ac:dyDescent="0.25">
      <c r="A2417" s="4">
        <v>13</v>
      </c>
      <c r="B2417" s="4" t="s">
        <v>11</v>
      </c>
      <c r="C2417" s="7">
        <v>30.86</v>
      </c>
      <c r="D2417" s="4" t="s">
        <v>19</v>
      </c>
      <c r="E2417" s="4" t="s">
        <v>17</v>
      </c>
      <c r="F2417" s="4" t="s">
        <v>23</v>
      </c>
      <c r="G2417" s="4" t="s">
        <v>39</v>
      </c>
      <c r="H2417" s="4">
        <v>7</v>
      </c>
      <c r="I2417" s="4">
        <v>12</v>
      </c>
      <c r="J2417" s="5">
        <v>45634</v>
      </c>
      <c r="K2417" s="6">
        <v>0.54418981481481477</v>
      </c>
    </row>
    <row r="2418" spans="1:11" x14ac:dyDescent="0.25">
      <c r="A2418" s="4">
        <v>17</v>
      </c>
      <c r="B2418" s="4" t="s">
        <v>11</v>
      </c>
      <c r="C2418" s="7">
        <v>35.76</v>
      </c>
      <c r="D2418" s="4" t="s">
        <v>29</v>
      </c>
      <c r="E2418" s="4" t="s">
        <v>20</v>
      </c>
      <c r="F2418" s="4" t="s">
        <v>23</v>
      </c>
      <c r="G2418" s="4" t="s">
        <v>39</v>
      </c>
      <c r="H2418" s="4">
        <v>7</v>
      </c>
      <c r="I2418" s="4">
        <v>12</v>
      </c>
      <c r="J2418" s="5">
        <v>45634</v>
      </c>
      <c r="K2418" s="6">
        <v>0.72672453703703699</v>
      </c>
    </row>
    <row r="2419" spans="1:11" x14ac:dyDescent="0.25">
      <c r="A2419" s="4">
        <v>18</v>
      </c>
      <c r="B2419" s="4" t="s">
        <v>11</v>
      </c>
      <c r="C2419" s="7">
        <v>21.06</v>
      </c>
      <c r="D2419" s="4" t="s">
        <v>26</v>
      </c>
      <c r="E2419" s="4" t="s">
        <v>20</v>
      </c>
      <c r="F2419" s="4" t="s">
        <v>23</v>
      </c>
      <c r="G2419" s="4" t="s">
        <v>39</v>
      </c>
      <c r="H2419" s="4">
        <v>7</v>
      </c>
      <c r="I2419" s="4">
        <v>12</v>
      </c>
      <c r="J2419" s="5">
        <v>45634</v>
      </c>
      <c r="K2419" s="6">
        <v>0.77902777777777776</v>
      </c>
    </row>
    <row r="2420" spans="1:11" x14ac:dyDescent="0.25">
      <c r="A2420" s="4">
        <v>20</v>
      </c>
      <c r="B2420" s="4" t="s">
        <v>11</v>
      </c>
      <c r="C2420" s="7">
        <v>35.76</v>
      </c>
      <c r="D2420" s="4" t="s">
        <v>29</v>
      </c>
      <c r="E2420" s="4" t="s">
        <v>20</v>
      </c>
      <c r="F2420" s="4" t="s">
        <v>23</v>
      </c>
      <c r="G2420" s="4" t="s">
        <v>39</v>
      </c>
      <c r="H2420" s="4">
        <v>7</v>
      </c>
      <c r="I2420" s="4">
        <v>12</v>
      </c>
      <c r="J2420" s="5">
        <v>45634</v>
      </c>
      <c r="K2420" s="6">
        <v>0.86618055555555551</v>
      </c>
    </row>
    <row r="2421" spans="1:11" x14ac:dyDescent="0.25">
      <c r="A2421" s="4">
        <v>21</v>
      </c>
      <c r="B2421" s="4" t="s">
        <v>11</v>
      </c>
      <c r="C2421" s="7">
        <v>30.86</v>
      </c>
      <c r="D2421" s="4" t="s">
        <v>19</v>
      </c>
      <c r="E2421" s="4" t="s">
        <v>20</v>
      </c>
      <c r="F2421" s="4" t="s">
        <v>23</v>
      </c>
      <c r="G2421" s="4" t="s">
        <v>39</v>
      </c>
      <c r="H2421" s="4">
        <v>7</v>
      </c>
      <c r="I2421" s="4">
        <v>12</v>
      </c>
      <c r="J2421" s="5">
        <v>45634</v>
      </c>
      <c r="K2421" s="6">
        <v>0.89479166666666665</v>
      </c>
    </row>
    <row r="2422" spans="1:11" x14ac:dyDescent="0.25">
      <c r="A2422" s="4">
        <v>21</v>
      </c>
      <c r="B2422" s="4" t="s">
        <v>11</v>
      </c>
      <c r="C2422" s="7">
        <v>30.86</v>
      </c>
      <c r="D2422" s="4" t="s">
        <v>19</v>
      </c>
      <c r="E2422" s="4" t="s">
        <v>20</v>
      </c>
      <c r="F2422" s="4" t="s">
        <v>23</v>
      </c>
      <c r="G2422" s="4" t="s">
        <v>39</v>
      </c>
      <c r="H2422" s="4">
        <v>7</v>
      </c>
      <c r="I2422" s="4">
        <v>12</v>
      </c>
      <c r="J2422" s="5">
        <v>45634</v>
      </c>
      <c r="K2422" s="6">
        <v>0.9037384259259259</v>
      </c>
    </row>
    <row r="2423" spans="1:11" x14ac:dyDescent="0.25">
      <c r="A2423" s="4">
        <v>8</v>
      </c>
      <c r="B2423" s="4" t="s">
        <v>11</v>
      </c>
      <c r="C2423" s="7">
        <v>35.76</v>
      </c>
      <c r="D2423" s="4" t="s">
        <v>29</v>
      </c>
      <c r="E2423" s="4" t="s">
        <v>13</v>
      </c>
      <c r="F2423" s="4" t="s">
        <v>25</v>
      </c>
      <c r="G2423" s="4" t="s">
        <v>39</v>
      </c>
      <c r="H2423" s="4">
        <v>1</v>
      </c>
      <c r="I2423" s="4">
        <v>12</v>
      </c>
      <c r="J2423" s="5">
        <v>45635</v>
      </c>
      <c r="K2423" s="6">
        <v>0.35601851851851851</v>
      </c>
    </row>
    <row r="2424" spans="1:11" x14ac:dyDescent="0.25">
      <c r="A2424" s="4">
        <v>9</v>
      </c>
      <c r="B2424" s="4" t="s">
        <v>11</v>
      </c>
      <c r="C2424" s="7">
        <v>25.96</v>
      </c>
      <c r="D2424" s="4" t="s">
        <v>18</v>
      </c>
      <c r="E2424" s="4" t="s">
        <v>13</v>
      </c>
      <c r="F2424" s="4" t="s">
        <v>25</v>
      </c>
      <c r="G2424" s="4" t="s">
        <v>39</v>
      </c>
      <c r="H2424" s="4">
        <v>1</v>
      </c>
      <c r="I2424" s="4">
        <v>12</v>
      </c>
      <c r="J2424" s="5">
        <v>45635</v>
      </c>
      <c r="K2424" s="6">
        <v>0.38362268518518516</v>
      </c>
    </row>
    <row r="2425" spans="1:11" x14ac:dyDescent="0.25">
      <c r="A2425" s="4">
        <v>9</v>
      </c>
      <c r="B2425" s="4" t="s">
        <v>11</v>
      </c>
      <c r="C2425" s="7">
        <v>30.86</v>
      </c>
      <c r="D2425" s="4" t="s">
        <v>19</v>
      </c>
      <c r="E2425" s="4" t="s">
        <v>13</v>
      </c>
      <c r="F2425" s="4" t="s">
        <v>25</v>
      </c>
      <c r="G2425" s="4" t="s">
        <v>39</v>
      </c>
      <c r="H2425" s="4">
        <v>1</v>
      </c>
      <c r="I2425" s="4">
        <v>12</v>
      </c>
      <c r="J2425" s="5">
        <v>45635</v>
      </c>
      <c r="K2425" s="6">
        <v>0.39857638888888891</v>
      </c>
    </row>
    <row r="2426" spans="1:11" x14ac:dyDescent="0.25">
      <c r="A2426" s="4">
        <v>13</v>
      </c>
      <c r="B2426" s="4" t="s">
        <v>11</v>
      </c>
      <c r="C2426" s="7">
        <v>25.96</v>
      </c>
      <c r="D2426" s="4" t="s">
        <v>24</v>
      </c>
      <c r="E2426" s="4" t="s">
        <v>17</v>
      </c>
      <c r="F2426" s="4" t="s">
        <v>25</v>
      </c>
      <c r="G2426" s="4" t="s">
        <v>39</v>
      </c>
      <c r="H2426" s="4">
        <v>1</v>
      </c>
      <c r="I2426" s="4">
        <v>12</v>
      </c>
      <c r="J2426" s="5">
        <v>45635</v>
      </c>
      <c r="K2426" s="6">
        <v>0.54229166666666662</v>
      </c>
    </row>
    <row r="2427" spans="1:11" x14ac:dyDescent="0.25">
      <c r="A2427" s="4">
        <v>21</v>
      </c>
      <c r="B2427" s="4" t="s">
        <v>11</v>
      </c>
      <c r="C2427" s="7">
        <v>35.76</v>
      </c>
      <c r="D2427" s="4" t="s">
        <v>21</v>
      </c>
      <c r="E2427" s="4" t="s">
        <v>20</v>
      </c>
      <c r="F2427" s="4" t="s">
        <v>25</v>
      </c>
      <c r="G2427" s="4" t="s">
        <v>39</v>
      </c>
      <c r="H2427" s="4">
        <v>1</v>
      </c>
      <c r="I2427" s="4">
        <v>12</v>
      </c>
      <c r="J2427" s="5">
        <v>45635</v>
      </c>
      <c r="K2427" s="6">
        <v>0.89017361111111115</v>
      </c>
    </row>
    <row r="2428" spans="1:11" x14ac:dyDescent="0.25">
      <c r="A2428" s="4">
        <v>12</v>
      </c>
      <c r="B2428" s="4" t="s">
        <v>11</v>
      </c>
      <c r="C2428" s="7">
        <v>25.96</v>
      </c>
      <c r="D2428" s="4" t="s">
        <v>24</v>
      </c>
      <c r="E2428" s="4" t="s">
        <v>17</v>
      </c>
      <c r="F2428" s="4" t="s">
        <v>27</v>
      </c>
      <c r="G2428" s="4" t="s">
        <v>39</v>
      </c>
      <c r="H2428" s="4">
        <v>2</v>
      </c>
      <c r="I2428" s="4">
        <v>12</v>
      </c>
      <c r="J2428" s="5">
        <v>45636</v>
      </c>
      <c r="K2428" s="6">
        <v>0.51792824074074073</v>
      </c>
    </row>
    <row r="2429" spans="1:11" x14ac:dyDescent="0.25">
      <c r="A2429" s="4">
        <v>18</v>
      </c>
      <c r="B2429" s="4" t="s">
        <v>11</v>
      </c>
      <c r="C2429" s="7">
        <v>35.76</v>
      </c>
      <c r="D2429" s="4" t="s">
        <v>16</v>
      </c>
      <c r="E2429" s="4" t="s">
        <v>20</v>
      </c>
      <c r="F2429" s="4" t="s">
        <v>27</v>
      </c>
      <c r="G2429" s="4" t="s">
        <v>39</v>
      </c>
      <c r="H2429" s="4">
        <v>2</v>
      </c>
      <c r="I2429" s="4">
        <v>12</v>
      </c>
      <c r="J2429" s="5">
        <v>45636</v>
      </c>
      <c r="K2429" s="6">
        <v>0.76524305555555561</v>
      </c>
    </row>
    <row r="2430" spans="1:11" x14ac:dyDescent="0.25">
      <c r="A2430" s="4">
        <v>7</v>
      </c>
      <c r="B2430" s="4" t="s">
        <v>11</v>
      </c>
      <c r="C2430" s="7">
        <v>35.76</v>
      </c>
      <c r="D2430" s="4" t="s">
        <v>12</v>
      </c>
      <c r="E2430" s="4" t="s">
        <v>13</v>
      </c>
      <c r="F2430" s="4" t="s">
        <v>28</v>
      </c>
      <c r="G2430" s="4" t="s">
        <v>39</v>
      </c>
      <c r="H2430" s="4">
        <v>3</v>
      </c>
      <c r="I2430" s="4">
        <v>12</v>
      </c>
      <c r="J2430" s="5">
        <v>45637</v>
      </c>
      <c r="K2430" s="6">
        <v>0.32621527777777776</v>
      </c>
    </row>
    <row r="2431" spans="1:11" x14ac:dyDescent="0.25">
      <c r="A2431" s="4">
        <v>10</v>
      </c>
      <c r="B2431" s="4" t="s">
        <v>11</v>
      </c>
      <c r="C2431" s="7">
        <v>25.96</v>
      </c>
      <c r="D2431" s="4" t="s">
        <v>24</v>
      </c>
      <c r="E2431" s="4" t="s">
        <v>13</v>
      </c>
      <c r="F2431" s="4" t="s">
        <v>28</v>
      </c>
      <c r="G2431" s="4" t="s">
        <v>39</v>
      </c>
      <c r="H2431" s="4">
        <v>3</v>
      </c>
      <c r="I2431" s="4">
        <v>12</v>
      </c>
      <c r="J2431" s="5">
        <v>45637</v>
      </c>
      <c r="K2431" s="6">
        <v>0.44846064814814812</v>
      </c>
    </row>
    <row r="2432" spans="1:11" x14ac:dyDescent="0.25">
      <c r="A2432" s="4">
        <v>12</v>
      </c>
      <c r="B2432" s="4" t="s">
        <v>11</v>
      </c>
      <c r="C2432" s="7">
        <v>35.76</v>
      </c>
      <c r="D2432" s="4" t="s">
        <v>16</v>
      </c>
      <c r="E2432" s="4" t="s">
        <v>17</v>
      </c>
      <c r="F2432" s="4" t="s">
        <v>28</v>
      </c>
      <c r="G2432" s="4" t="s">
        <v>39</v>
      </c>
      <c r="H2432" s="4">
        <v>3</v>
      </c>
      <c r="I2432" s="4">
        <v>12</v>
      </c>
      <c r="J2432" s="5">
        <v>45637</v>
      </c>
      <c r="K2432" s="6">
        <v>0.5090972222222222</v>
      </c>
    </row>
    <row r="2433" spans="1:11" x14ac:dyDescent="0.25">
      <c r="A2433" s="4">
        <v>12</v>
      </c>
      <c r="B2433" s="4" t="s">
        <v>11</v>
      </c>
      <c r="C2433" s="7">
        <v>21.06</v>
      </c>
      <c r="D2433" s="4" t="s">
        <v>26</v>
      </c>
      <c r="E2433" s="4" t="s">
        <v>17</v>
      </c>
      <c r="F2433" s="4" t="s">
        <v>28</v>
      </c>
      <c r="G2433" s="4" t="s">
        <v>39</v>
      </c>
      <c r="H2433" s="4">
        <v>3</v>
      </c>
      <c r="I2433" s="4">
        <v>12</v>
      </c>
      <c r="J2433" s="5">
        <v>45637</v>
      </c>
      <c r="K2433" s="6">
        <v>0.53943287037037035</v>
      </c>
    </row>
    <row r="2434" spans="1:11" x14ac:dyDescent="0.25">
      <c r="A2434" s="4">
        <v>17</v>
      </c>
      <c r="B2434" s="4" t="s">
        <v>11</v>
      </c>
      <c r="C2434" s="7">
        <v>35.76</v>
      </c>
      <c r="D2434" s="4" t="s">
        <v>21</v>
      </c>
      <c r="E2434" s="4" t="s">
        <v>20</v>
      </c>
      <c r="F2434" s="4" t="s">
        <v>28</v>
      </c>
      <c r="G2434" s="4" t="s">
        <v>39</v>
      </c>
      <c r="H2434" s="4">
        <v>3</v>
      </c>
      <c r="I2434" s="4">
        <v>12</v>
      </c>
      <c r="J2434" s="5">
        <v>45637</v>
      </c>
      <c r="K2434" s="6">
        <v>0.74959490740740742</v>
      </c>
    </row>
    <row r="2435" spans="1:11" x14ac:dyDescent="0.25">
      <c r="A2435" s="4">
        <v>21</v>
      </c>
      <c r="B2435" s="4" t="s">
        <v>11</v>
      </c>
      <c r="C2435" s="7">
        <v>35.76</v>
      </c>
      <c r="D2435" s="4" t="s">
        <v>12</v>
      </c>
      <c r="E2435" s="4" t="s">
        <v>20</v>
      </c>
      <c r="F2435" s="4" t="s">
        <v>28</v>
      </c>
      <c r="G2435" s="4" t="s">
        <v>39</v>
      </c>
      <c r="H2435" s="4">
        <v>3</v>
      </c>
      <c r="I2435" s="4">
        <v>12</v>
      </c>
      <c r="J2435" s="5">
        <v>45637</v>
      </c>
      <c r="K2435" s="6">
        <v>0.87577546296296294</v>
      </c>
    </row>
    <row r="2436" spans="1:11" x14ac:dyDescent="0.25">
      <c r="A2436" s="4">
        <v>21</v>
      </c>
      <c r="B2436" s="4" t="s">
        <v>11</v>
      </c>
      <c r="C2436" s="7">
        <v>35.76</v>
      </c>
      <c r="D2436" s="4" t="s">
        <v>12</v>
      </c>
      <c r="E2436" s="4" t="s">
        <v>20</v>
      </c>
      <c r="F2436" s="4" t="s">
        <v>28</v>
      </c>
      <c r="G2436" s="4" t="s">
        <v>39</v>
      </c>
      <c r="H2436" s="4">
        <v>3</v>
      </c>
      <c r="I2436" s="4">
        <v>12</v>
      </c>
      <c r="J2436" s="5">
        <v>45637</v>
      </c>
      <c r="K2436" s="6">
        <v>0.88769675925925928</v>
      </c>
    </row>
    <row r="2437" spans="1:11" x14ac:dyDescent="0.25">
      <c r="A2437" s="4">
        <v>7</v>
      </c>
      <c r="B2437" s="4" t="s">
        <v>11</v>
      </c>
      <c r="C2437" s="7">
        <v>30.86</v>
      </c>
      <c r="D2437" s="4" t="s">
        <v>19</v>
      </c>
      <c r="E2437" s="4" t="s">
        <v>13</v>
      </c>
      <c r="F2437" s="4" t="s">
        <v>30</v>
      </c>
      <c r="G2437" s="4" t="s">
        <v>39</v>
      </c>
      <c r="H2437" s="4">
        <v>4</v>
      </c>
      <c r="I2437" s="4">
        <v>12</v>
      </c>
      <c r="J2437" s="5">
        <v>45638</v>
      </c>
      <c r="K2437" s="6">
        <v>0.33230324074074075</v>
      </c>
    </row>
    <row r="2438" spans="1:11" x14ac:dyDescent="0.25">
      <c r="A2438" s="4">
        <v>12</v>
      </c>
      <c r="B2438" s="4" t="s">
        <v>11</v>
      </c>
      <c r="C2438" s="7">
        <v>25.96</v>
      </c>
      <c r="D2438" s="4" t="s">
        <v>18</v>
      </c>
      <c r="E2438" s="4" t="s">
        <v>17</v>
      </c>
      <c r="F2438" s="4" t="s">
        <v>30</v>
      </c>
      <c r="G2438" s="4" t="s">
        <v>39</v>
      </c>
      <c r="H2438" s="4">
        <v>4</v>
      </c>
      <c r="I2438" s="4">
        <v>12</v>
      </c>
      <c r="J2438" s="5">
        <v>45638</v>
      </c>
      <c r="K2438" s="6">
        <v>0.53429398148148144</v>
      </c>
    </row>
    <row r="2439" spans="1:11" x14ac:dyDescent="0.25">
      <c r="A2439" s="4">
        <v>16</v>
      </c>
      <c r="B2439" s="4" t="s">
        <v>11</v>
      </c>
      <c r="C2439" s="7">
        <v>21.06</v>
      </c>
      <c r="D2439" s="4" t="s">
        <v>26</v>
      </c>
      <c r="E2439" s="4" t="s">
        <v>17</v>
      </c>
      <c r="F2439" s="4" t="s">
        <v>30</v>
      </c>
      <c r="G2439" s="4" t="s">
        <v>39</v>
      </c>
      <c r="H2439" s="4">
        <v>4</v>
      </c>
      <c r="I2439" s="4">
        <v>12</v>
      </c>
      <c r="J2439" s="5">
        <v>45638</v>
      </c>
      <c r="K2439" s="6">
        <v>0.70488425925925924</v>
      </c>
    </row>
    <row r="2440" spans="1:11" x14ac:dyDescent="0.25">
      <c r="A2440" s="4">
        <v>16</v>
      </c>
      <c r="B2440" s="4" t="s">
        <v>11</v>
      </c>
      <c r="C2440" s="7">
        <v>21.06</v>
      </c>
      <c r="D2440" s="4" t="s">
        <v>26</v>
      </c>
      <c r="E2440" s="4" t="s">
        <v>17</v>
      </c>
      <c r="F2440" s="4" t="s">
        <v>30</v>
      </c>
      <c r="G2440" s="4" t="s">
        <v>39</v>
      </c>
      <c r="H2440" s="4">
        <v>4</v>
      </c>
      <c r="I2440" s="4">
        <v>12</v>
      </c>
      <c r="J2440" s="5">
        <v>45638</v>
      </c>
      <c r="K2440" s="6">
        <v>0.70542824074074073</v>
      </c>
    </row>
    <row r="2441" spans="1:11" x14ac:dyDescent="0.25">
      <c r="A2441" s="4">
        <v>16</v>
      </c>
      <c r="B2441" s="4" t="s">
        <v>11</v>
      </c>
      <c r="C2441" s="7">
        <v>25.96</v>
      </c>
      <c r="D2441" s="4" t="s">
        <v>18</v>
      </c>
      <c r="E2441" s="4" t="s">
        <v>17</v>
      </c>
      <c r="F2441" s="4" t="s">
        <v>30</v>
      </c>
      <c r="G2441" s="4" t="s">
        <v>39</v>
      </c>
      <c r="H2441" s="4">
        <v>4</v>
      </c>
      <c r="I2441" s="4">
        <v>12</v>
      </c>
      <c r="J2441" s="5">
        <v>45638</v>
      </c>
      <c r="K2441" s="6">
        <v>0.70626157407407408</v>
      </c>
    </row>
    <row r="2442" spans="1:11" x14ac:dyDescent="0.25">
      <c r="A2442" s="4">
        <v>19</v>
      </c>
      <c r="B2442" s="4" t="s">
        <v>11</v>
      </c>
      <c r="C2442" s="7">
        <v>35.76</v>
      </c>
      <c r="D2442" s="4" t="s">
        <v>21</v>
      </c>
      <c r="E2442" s="4" t="s">
        <v>20</v>
      </c>
      <c r="F2442" s="4" t="s">
        <v>30</v>
      </c>
      <c r="G2442" s="4" t="s">
        <v>39</v>
      </c>
      <c r="H2442" s="4">
        <v>4</v>
      </c>
      <c r="I2442" s="4">
        <v>12</v>
      </c>
      <c r="J2442" s="5">
        <v>45638</v>
      </c>
      <c r="K2442" s="6">
        <v>0.82638888888888884</v>
      </c>
    </row>
    <row r="2443" spans="1:11" x14ac:dyDescent="0.25">
      <c r="A2443" s="4">
        <v>19</v>
      </c>
      <c r="B2443" s="4" t="s">
        <v>11</v>
      </c>
      <c r="C2443" s="7">
        <v>35.76</v>
      </c>
      <c r="D2443" s="4" t="s">
        <v>21</v>
      </c>
      <c r="E2443" s="4" t="s">
        <v>20</v>
      </c>
      <c r="F2443" s="4" t="s">
        <v>30</v>
      </c>
      <c r="G2443" s="4" t="s">
        <v>39</v>
      </c>
      <c r="H2443" s="4">
        <v>4</v>
      </c>
      <c r="I2443" s="4">
        <v>12</v>
      </c>
      <c r="J2443" s="5">
        <v>45638</v>
      </c>
      <c r="K2443" s="6">
        <v>0.82704861111111116</v>
      </c>
    </row>
    <row r="2444" spans="1:11" x14ac:dyDescent="0.25">
      <c r="A2444" s="4">
        <v>12</v>
      </c>
      <c r="B2444" s="4" t="s">
        <v>11</v>
      </c>
      <c r="C2444" s="7">
        <v>25.96</v>
      </c>
      <c r="D2444" s="4" t="s">
        <v>18</v>
      </c>
      <c r="E2444" s="4" t="s">
        <v>17</v>
      </c>
      <c r="F2444" s="4" t="s">
        <v>14</v>
      </c>
      <c r="G2444" s="4" t="s">
        <v>39</v>
      </c>
      <c r="H2444" s="4">
        <v>5</v>
      </c>
      <c r="I2444" s="4">
        <v>12</v>
      </c>
      <c r="J2444" s="5">
        <v>45639</v>
      </c>
      <c r="K2444" s="6">
        <v>0.5190393518518519</v>
      </c>
    </row>
    <row r="2445" spans="1:11" x14ac:dyDescent="0.25">
      <c r="A2445" s="4">
        <v>12</v>
      </c>
      <c r="B2445" s="4" t="s">
        <v>11</v>
      </c>
      <c r="C2445" s="7">
        <v>25.96</v>
      </c>
      <c r="D2445" s="4" t="s">
        <v>18</v>
      </c>
      <c r="E2445" s="4" t="s">
        <v>17</v>
      </c>
      <c r="F2445" s="4" t="s">
        <v>14</v>
      </c>
      <c r="G2445" s="4" t="s">
        <v>39</v>
      </c>
      <c r="H2445" s="4">
        <v>5</v>
      </c>
      <c r="I2445" s="4">
        <v>12</v>
      </c>
      <c r="J2445" s="5">
        <v>45639</v>
      </c>
      <c r="K2445" s="6">
        <v>0.53686342592592595</v>
      </c>
    </row>
    <row r="2446" spans="1:11" x14ac:dyDescent="0.25">
      <c r="A2446" s="4">
        <v>12</v>
      </c>
      <c r="B2446" s="4" t="s">
        <v>11</v>
      </c>
      <c r="C2446" s="7">
        <v>35.76</v>
      </c>
      <c r="D2446" s="4" t="s">
        <v>16</v>
      </c>
      <c r="E2446" s="4" t="s">
        <v>17</v>
      </c>
      <c r="F2446" s="4" t="s">
        <v>14</v>
      </c>
      <c r="G2446" s="4" t="s">
        <v>39</v>
      </c>
      <c r="H2446" s="4">
        <v>5</v>
      </c>
      <c r="I2446" s="4">
        <v>12</v>
      </c>
      <c r="J2446" s="5">
        <v>45639</v>
      </c>
      <c r="K2446" s="6">
        <v>0.53796296296296298</v>
      </c>
    </row>
    <row r="2447" spans="1:11" x14ac:dyDescent="0.25">
      <c r="A2447" s="4">
        <v>14</v>
      </c>
      <c r="B2447" s="4" t="s">
        <v>11</v>
      </c>
      <c r="C2447" s="7">
        <v>35.76</v>
      </c>
      <c r="D2447" s="4" t="s">
        <v>16</v>
      </c>
      <c r="E2447" s="4" t="s">
        <v>17</v>
      </c>
      <c r="F2447" s="4" t="s">
        <v>14</v>
      </c>
      <c r="G2447" s="4" t="s">
        <v>39</v>
      </c>
      <c r="H2447" s="4">
        <v>5</v>
      </c>
      <c r="I2447" s="4">
        <v>12</v>
      </c>
      <c r="J2447" s="5">
        <v>45639</v>
      </c>
      <c r="K2447" s="6">
        <v>0.58469907407407407</v>
      </c>
    </row>
    <row r="2448" spans="1:11" x14ac:dyDescent="0.25">
      <c r="A2448" s="4">
        <v>16</v>
      </c>
      <c r="B2448" s="4" t="s">
        <v>11</v>
      </c>
      <c r="C2448" s="7">
        <v>35.76</v>
      </c>
      <c r="D2448" s="4" t="s">
        <v>21</v>
      </c>
      <c r="E2448" s="4" t="s">
        <v>17</v>
      </c>
      <c r="F2448" s="4" t="s">
        <v>14</v>
      </c>
      <c r="G2448" s="4" t="s">
        <v>39</v>
      </c>
      <c r="H2448" s="4">
        <v>5</v>
      </c>
      <c r="I2448" s="4">
        <v>12</v>
      </c>
      <c r="J2448" s="5">
        <v>45639</v>
      </c>
      <c r="K2448" s="6">
        <v>0.68290509259259258</v>
      </c>
    </row>
    <row r="2449" spans="1:11" x14ac:dyDescent="0.25">
      <c r="A2449" s="4">
        <v>19</v>
      </c>
      <c r="B2449" s="4" t="s">
        <v>11</v>
      </c>
      <c r="C2449" s="7">
        <v>35.76</v>
      </c>
      <c r="D2449" s="4" t="s">
        <v>29</v>
      </c>
      <c r="E2449" s="4" t="s">
        <v>20</v>
      </c>
      <c r="F2449" s="4" t="s">
        <v>14</v>
      </c>
      <c r="G2449" s="4" t="s">
        <v>39</v>
      </c>
      <c r="H2449" s="4">
        <v>5</v>
      </c>
      <c r="I2449" s="4">
        <v>12</v>
      </c>
      <c r="J2449" s="5">
        <v>45639</v>
      </c>
      <c r="K2449" s="6">
        <v>0.80489583333333337</v>
      </c>
    </row>
    <row r="2450" spans="1:11" x14ac:dyDescent="0.25">
      <c r="A2450" s="4">
        <v>19</v>
      </c>
      <c r="B2450" s="4" t="s">
        <v>11</v>
      </c>
      <c r="C2450" s="7">
        <v>35.76</v>
      </c>
      <c r="D2450" s="4" t="s">
        <v>29</v>
      </c>
      <c r="E2450" s="4" t="s">
        <v>20</v>
      </c>
      <c r="F2450" s="4" t="s">
        <v>14</v>
      </c>
      <c r="G2450" s="4" t="s">
        <v>39</v>
      </c>
      <c r="H2450" s="4">
        <v>5</v>
      </c>
      <c r="I2450" s="4">
        <v>12</v>
      </c>
      <c r="J2450" s="5">
        <v>45639</v>
      </c>
      <c r="K2450" s="6">
        <v>0.8056712962962963</v>
      </c>
    </row>
    <row r="2451" spans="1:11" x14ac:dyDescent="0.25">
      <c r="A2451" s="4">
        <v>21</v>
      </c>
      <c r="B2451" s="4" t="s">
        <v>11</v>
      </c>
      <c r="C2451" s="7">
        <v>35.76</v>
      </c>
      <c r="D2451" s="4" t="s">
        <v>12</v>
      </c>
      <c r="E2451" s="4" t="s">
        <v>20</v>
      </c>
      <c r="F2451" s="4" t="s">
        <v>14</v>
      </c>
      <c r="G2451" s="4" t="s">
        <v>39</v>
      </c>
      <c r="H2451" s="4">
        <v>5</v>
      </c>
      <c r="I2451" s="4">
        <v>12</v>
      </c>
      <c r="J2451" s="5">
        <v>45639</v>
      </c>
      <c r="K2451" s="6">
        <v>0.89978009259259262</v>
      </c>
    </row>
    <row r="2452" spans="1:11" x14ac:dyDescent="0.25">
      <c r="A2452" s="4">
        <v>8</v>
      </c>
      <c r="B2452" s="4" t="s">
        <v>11</v>
      </c>
      <c r="C2452" s="7">
        <v>30.86</v>
      </c>
      <c r="D2452" s="4" t="s">
        <v>19</v>
      </c>
      <c r="E2452" s="4" t="s">
        <v>13</v>
      </c>
      <c r="F2452" s="4" t="s">
        <v>22</v>
      </c>
      <c r="G2452" s="4" t="s">
        <v>39</v>
      </c>
      <c r="H2452" s="4">
        <v>6</v>
      </c>
      <c r="I2452" s="4">
        <v>12</v>
      </c>
      <c r="J2452" s="5">
        <v>45640</v>
      </c>
      <c r="K2452" s="6">
        <v>0.35245370370370371</v>
      </c>
    </row>
    <row r="2453" spans="1:11" x14ac:dyDescent="0.25">
      <c r="A2453" s="4">
        <v>9</v>
      </c>
      <c r="B2453" s="4" t="s">
        <v>11</v>
      </c>
      <c r="C2453" s="7">
        <v>35.76</v>
      </c>
      <c r="D2453" s="4" t="s">
        <v>21</v>
      </c>
      <c r="E2453" s="4" t="s">
        <v>13</v>
      </c>
      <c r="F2453" s="4" t="s">
        <v>22</v>
      </c>
      <c r="G2453" s="4" t="s">
        <v>39</v>
      </c>
      <c r="H2453" s="4">
        <v>6</v>
      </c>
      <c r="I2453" s="4">
        <v>12</v>
      </c>
      <c r="J2453" s="5">
        <v>45640</v>
      </c>
      <c r="K2453" s="6">
        <v>0.37714120370370369</v>
      </c>
    </row>
    <row r="2454" spans="1:11" x14ac:dyDescent="0.25">
      <c r="A2454" s="4">
        <v>11</v>
      </c>
      <c r="B2454" s="4" t="s">
        <v>11</v>
      </c>
      <c r="C2454" s="7">
        <v>35.76</v>
      </c>
      <c r="D2454" s="4" t="s">
        <v>29</v>
      </c>
      <c r="E2454" s="4" t="s">
        <v>13</v>
      </c>
      <c r="F2454" s="4" t="s">
        <v>22</v>
      </c>
      <c r="G2454" s="4" t="s">
        <v>39</v>
      </c>
      <c r="H2454" s="4">
        <v>6</v>
      </c>
      <c r="I2454" s="4">
        <v>12</v>
      </c>
      <c r="J2454" s="5">
        <v>45640</v>
      </c>
      <c r="K2454" s="6">
        <v>0.48746527777777776</v>
      </c>
    </row>
    <row r="2455" spans="1:11" x14ac:dyDescent="0.25">
      <c r="A2455" s="4">
        <v>13</v>
      </c>
      <c r="B2455" s="4" t="s">
        <v>11</v>
      </c>
      <c r="C2455" s="7">
        <v>25.96</v>
      </c>
      <c r="D2455" s="4" t="s">
        <v>18</v>
      </c>
      <c r="E2455" s="4" t="s">
        <v>17</v>
      </c>
      <c r="F2455" s="4" t="s">
        <v>22</v>
      </c>
      <c r="G2455" s="4" t="s">
        <v>39</v>
      </c>
      <c r="H2455" s="4">
        <v>6</v>
      </c>
      <c r="I2455" s="4">
        <v>12</v>
      </c>
      <c r="J2455" s="5">
        <v>45640</v>
      </c>
      <c r="K2455" s="6">
        <v>0.55494212962962963</v>
      </c>
    </row>
    <row r="2456" spans="1:11" x14ac:dyDescent="0.25">
      <c r="A2456" s="4">
        <v>13</v>
      </c>
      <c r="B2456" s="4" t="s">
        <v>11</v>
      </c>
      <c r="C2456" s="7">
        <v>35.76</v>
      </c>
      <c r="D2456" s="4" t="s">
        <v>12</v>
      </c>
      <c r="E2456" s="4" t="s">
        <v>17</v>
      </c>
      <c r="F2456" s="4" t="s">
        <v>22</v>
      </c>
      <c r="G2456" s="4" t="s">
        <v>39</v>
      </c>
      <c r="H2456" s="4">
        <v>6</v>
      </c>
      <c r="I2456" s="4">
        <v>12</v>
      </c>
      <c r="J2456" s="5">
        <v>45640</v>
      </c>
      <c r="K2456" s="6">
        <v>0.55564814814814811</v>
      </c>
    </row>
    <row r="2457" spans="1:11" x14ac:dyDescent="0.25">
      <c r="A2457" s="4">
        <v>16</v>
      </c>
      <c r="B2457" s="4" t="s">
        <v>11</v>
      </c>
      <c r="C2457" s="7">
        <v>35.76</v>
      </c>
      <c r="D2457" s="4" t="s">
        <v>21</v>
      </c>
      <c r="E2457" s="4" t="s">
        <v>17</v>
      </c>
      <c r="F2457" s="4" t="s">
        <v>22</v>
      </c>
      <c r="G2457" s="4" t="s">
        <v>39</v>
      </c>
      <c r="H2457" s="4">
        <v>6</v>
      </c>
      <c r="I2457" s="4">
        <v>12</v>
      </c>
      <c r="J2457" s="5">
        <v>45640</v>
      </c>
      <c r="K2457" s="6">
        <v>0.67394675925925929</v>
      </c>
    </row>
    <row r="2458" spans="1:11" x14ac:dyDescent="0.25">
      <c r="A2458" s="4">
        <v>16</v>
      </c>
      <c r="B2458" s="4" t="s">
        <v>11</v>
      </c>
      <c r="C2458" s="7">
        <v>25.96</v>
      </c>
      <c r="D2458" s="4" t="s">
        <v>18</v>
      </c>
      <c r="E2458" s="4" t="s">
        <v>17</v>
      </c>
      <c r="F2458" s="4" t="s">
        <v>22</v>
      </c>
      <c r="G2458" s="4" t="s">
        <v>39</v>
      </c>
      <c r="H2458" s="4">
        <v>6</v>
      </c>
      <c r="I2458" s="4">
        <v>12</v>
      </c>
      <c r="J2458" s="5">
        <v>45640</v>
      </c>
      <c r="K2458" s="6">
        <v>0.68747685185185181</v>
      </c>
    </row>
    <row r="2459" spans="1:11" x14ac:dyDescent="0.25">
      <c r="A2459" s="4">
        <v>16</v>
      </c>
      <c r="B2459" s="4" t="s">
        <v>11</v>
      </c>
      <c r="C2459" s="7">
        <v>25.96</v>
      </c>
      <c r="D2459" s="4" t="s">
        <v>18</v>
      </c>
      <c r="E2459" s="4" t="s">
        <v>17</v>
      </c>
      <c r="F2459" s="4" t="s">
        <v>22</v>
      </c>
      <c r="G2459" s="4" t="s">
        <v>39</v>
      </c>
      <c r="H2459" s="4">
        <v>6</v>
      </c>
      <c r="I2459" s="4">
        <v>12</v>
      </c>
      <c r="J2459" s="5">
        <v>45640</v>
      </c>
      <c r="K2459" s="6">
        <v>0.68806712962962968</v>
      </c>
    </row>
    <row r="2460" spans="1:11" x14ac:dyDescent="0.25">
      <c r="A2460" s="4">
        <v>17</v>
      </c>
      <c r="B2460" s="4" t="s">
        <v>11</v>
      </c>
      <c r="C2460" s="7">
        <v>25.96</v>
      </c>
      <c r="D2460" s="4" t="s">
        <v>18</v>
      </c>
      <c r="E2460" s="4" t="s">
        <v>20</v>
      </c>
      <c r="F2460" s="4" t="s">
        <v>22</v>
      </c>
      <c r="G2460" s="4" t="s">
        <v>39</v>
      </c>
      <c r="H2460" s="4">
        <v>6</v>
      </c>
      <c r="I2460" s="4">
        <v>12</v>
      </c>
      <c r="J2460" s="5">
        <v>45640</v>
      </c>
      <c r="K2460" s="6">
        <v>0.7085069444444444</v>
      </c>
    </row>
    <row r="2461" spans="1:11" x14ac:dyDescent="0.25">
      <c r="A2461" s="4">
        <v>17</v>
      </c>
      <c r="B2461" s="4" t="s">
        <v>11</v>
      </c>
      <c r="C2461" s="7">
        <v>25.96</v>
      </c>
      <c r="D2461" s="4" t="s">
        <v>18</v>
      </c>
      <c r="E2461" s="4" t="s">
        <v>20</v>
      </c>
      <c r="F2461" s="4" t="s">
        <v>22</v>
      </c>
      <c r="G2461" s="4" t="s">
        <v>39</v>
      </c>
      <c r="H2461" s="4">
        <v>6</v>
      </c>
      <c r="I2461" s="4">
        <v>12</v>
      </c>
      <c r="J2461" s="5">
        <v>45640</v>
      </c>
      <c r="K2461" s="6">
        <v>0.70936342592592594</v>
      </c>
    </row>
    <row r="2462" spans="1:11" x14ac:dyDescent="0.25">
      <c r="A2462" s="4">
        <v>18</v>
      </c>
      <c r="B2462" s="4" t="s">
        <v>11</v>
      </c>
      <c r="C2462" s="7">
        <v>30.86</v>
      </c>
      <c r="D2462" s="4" t="s">
        <v>19</v>
      </c>
      <c r="E2462" s="4" t="s">
        <v>20</v>
      </c>
      <c r="F2462" s="4" t="s">
        <v>22</v>
      </c>
      <c r="G2462" s="4" t="s">
        <v>39</v>
      </c>
      <c r="H2462" s="4">
        <v>6</v>
      </c>
      <c r="I2462" s="4">
        <v>12</v>
      </c>
      <c r="J2462" s="5">
        <v>45640</v>
      </c>
      <c r="K2462" s="6">
        <v>0.76648148148148143</v>
      </c>
    </row>
    <row r="2463" spans="1:11" x14ac:dyDescent="0.25">
      <c r="A2463" s="4">
        <v>11</v>
      </c>
      <c r="B2463" s="4" t="s">
        <v>11</v>
      </c>
      <c r="C2463" s="7">
        <v>35.76</v>
      </c>
      <c r="D2463" s="4" t="s">
        <v>12</v>
      </c>
      <c r="E2463" s="4" t="s">
        <v>13</v>
      </c>
      <c r="F2463" s="4" t="s">
        <v>23</v>
      </c>
      <c r="G2463" s="4" t="s">
        <v>39</v>
      </c>
      <c r="H2463" s="4">
        <v>7</v>
      </c>
      <c r="I2463" s="4">
        <v>12</v>
      </c>
      <c r="J2463" s="5">
        <v>45641</v>
      </c>
      <c r="K2463" s="6">
        <v>0.46486111111111111</v>
      </c>
    </row>
    <row r="2464" spans="1:11" x14ac:dyDescent="0.25">
      <c r="A2464" s="4">
        <v>11</v>
      </c>
      <c r="B2464" s="4" t="s">
        <v>11</v>
      </c>
      <c r="C2464" s="7">
        <v>35.76</v>
      </c>
      <c r="D2464" s="4" t="s">
        <v>21</v>
      </c>
      <c r="E2464" s="4" t="s">
        <v>13</v>
      </c>
      <c r="F2464" s="4" t="s">
        <v>23</v>
      </c>
      <c r="G2464" s="4" t="s">
        <v>39</v>
      </c>
      <c r="H2464" s="4">
        <v>7</v>
      </c>
      <c r="I2464" s="4">
        <v>12</v>
      </c>
      <c r="J2464" s="5">
        <v>45641</v>
      </c>
      <c r="K2464" s="6">
        <v>0.46556712962962965</v>
      </c>
    </row>
    <row r="2465" spans="1:11" x14ac:dyDescent="0.25">
      <c r="A2465" s="4">
        <v>17</v>
      </c>
      <c r="B2465" s="4" t="s">
        <v>11</v>
      </c>
      <c r="C2465" s="7">
        <v>35.76</v>
      </c>
      <c r="D2465" s="4" t="s">
        <v>16</v>
      </c>
      <c r="E2465" s="4" t="s">
        <v>20</v>
      </c>
      <c r="F2465" s="4" t="s">
        <v>23</v>
      </c>
      <c r="G2465" s="4" t="s">
        <v>39</v>
      </c>
      <c r="H2465" s="4">
        <v>7</v>
      </c>
      <c r="I2465" s="4">
        <v>12</v>
      </c>
      <c r="J2465" s="5">
        <v>45641</v>
      </c>
      <c r="K2465" s="6">
        <v>0.74866898148148153</v>
      </c>
    </row>
    <row r="2466" spans="1:11" x14ac:dyDescent="0.25">
      <c r="A2466" s="4">
        <v>7</v>
      </c>
      <c r="B2466" s="4" t="s">
        <v>11</v>
      </c>
      <c r="C2466" s="7">
        <v>35.76</v>
      </c>
      <c r="D2466" s="4" t="s">
        <v>12</v>
      </c>
      <c r="E2466" s="4" t="s">
        <v>13</v>
      </c>
      <c r="F2466" s="4" t="s">
        <v>25</v>
      </c>
      <c r="G2466" s="4" t="s">
        <v>39</v>
      </c>
      <c r="H2466" s="4">
        <v>1</v>
      </c>
      <c r="I2466" s="4">
        <v>12</v>
      </c>
      <c r="J2466" s="5">
        <v>45642</v>
      </c>
      <c r="K2466" s="6">
        <v>0.32798611111111109</v>
      </c>
    </row>
    <row r="2467" spans="1:11" x14ac:dyDescent="0.25">
      <c r="A2467" s="4">
        <v>8</v>
      </c>
      <c r="B2467" s="4" t="s">
        <v>11</v>
      </c>
      <c r="C2467" s="7">
        <v>35.76</v>
      </c>
      <c r="D2467" s="4" t="s">
        <v>16</v>
      </c>
      <c r="E2467" s="4" t="s">
        <v>13</v>
      </c>
      <c r="F2467" s="4" t="s">
        <v>25</v>
      </c>
      <c r="G2467" s="4" t="s">
        <v>39</v>
      </c>
      <c r="H2467" s="4">
        <v>1</v>
      </c>
      <c r="I2467" s="4">
        <v>12</v>
      </c>
      <c r="J2467" s="5">
        <v>45642</v>
      </c>
      <c r="K2467" s="6">
        <v>0.33577546296296296</v>
      </c>
    </row>
    <row r="2468" spans="1:11" x14ac:dyDescent="0.25">
      <c r="A2468" s="4">
        <v>8</v>
      </c>
      <c r="B2468" s="4" t="s">
        <v>11</v>
      </c>
      <c r="C2468" s="7">
        <v>35.76</v>
      </c>
      <c r="D2468" s="4" t="s">
        <v>21</v>
      </c>
      <c r="E2468" s="4" t="s">
        <v>13</v>
      </c>
      <c r="F2468" s="4" t="s">
        <v>25</v>
      </c>
      <c r="G2468" s="4" t="s">
        <v>39</v>
      </c>
      <c r="H2468" s="4">
        <v>1</v>
      </c>
      <c r="I2468" s="4">
        <v>12</v>
      </c>
      <c r="J2468" s="5">
        <v>45642</v>
      </c>
      <c r="K2468" s="6">
        <v>0.3658912037037037</v>
      </c>
    </row>
    <row r="2469" spans="1:11" x14ac:dyDescent="0.25">
      <c r="A2469" s="4">
        <v>12</v>
      </c>
      <c r="B2469" s="4" t="s">
        <v>11</v>
      </c>
      <c r="C2469" s="7">
        <v>30.86</v>
      </c>
      <c r="D2469" s="4" t="s">
        <v>19</v>
      </c>
      <c r="E2469" s="4" t="s">
        <v>17</v>
      </c>
      <c r="F2469" s="4" t="s">
        <v>25</v>
      </c>
      <c r="G2469" s="4" t="s">
        <v>39</v>
      </c>
      <c r="H2469" s="4">
        <v>1</v>
      </c>
      <c r="I2469" s="4">
        <v>12</v>
      </c>
      <c r="J2469" s="5">
        <v>45642</v>
      </c>
      <c r="K2469" s="6">
        <v>0.51328703703703704</v>
      </c>
    </row>
    <row r="2470" spans="1:11" x14ac:dyDescent="0.25">
      <c r="A2470" s="4">
        <v>13</v>
      </c>
      <c r="B2470" s="4" t="s">
        <v>11</v>
      </c>
      <c r="C2470" s="7">
        <v>35.76</v>
      </c>
      <c r="D2470" s="4" t="s">
        <v>12</v>
      </c>
      <c r="E2470" s="4" t="s">
        <v>17</v>
      </c>
      <c r="F2470" s="4" t="s">
        <v>25</v>
      </c>
      <c r="G2470" s="4" t="s">
        <v>39</v>
      </c>
      <c r="H2470" s="4">
        <v>1</v>
      </c>
      <c r="I2470" s="4">
        <v>12</v>
      </c>
      <c r="J2470" s="5">
        <v>45642</v>
      </c>
      <c r="K2470" s="6">
        <v>0.54782407407407407</v>
      </c>
    </row>
    <row r="2471" spans="1:11" x14ac:dyDescent="0.25">
      <c r="A2471" s="4">
        <v>14</v>
      </c>
      <c r="B2471" s="4" t="s">
        <v>11</v>
      </c>
      <c r="C2471" s="7">
        <v>35.76</v>
      </c>
      <c r="D2471" s="4" t="s">
        <v>16</v>
      </c>
      <c r="E2471" s="4" t="s">
        <v>17</v>
      </c>
      <c r="F2471" s="4" t="s">
        <v>25</v>
      </c>
      <c r="G2471" s="4" t="s">
        <v>39</v>
      </c>
      <c r="H2471" s="4">
        <v>1</v>
      </c>
      <c r="I2471" s="4">
        <v>12</v>
      </c>
      <c r="J2471" s="5">
        <v>45642</v>
      </c>
      <c r="K2471" s="6">
        <v>0.59256944444444448</v>
      </c>
    </row>
    <row r="2472" spans="1:11" x14ac:dyDescent="0.25">
      <c r="A2472" s="4">
        <v>18</v>
      </c>
      <c r="B2472" s="4" t="s">
        <v>11</v>
      </c>
      <c r="C2472" s="7">
        <v>35.76</v>
      </c>
      <c r="D2472" s="4" t="s">
        <v>12</v>
      </c>
      <c r="E2472" s="4" t="s">
        <v>20</v>
      </c>
      <c r="F2472" s="4" t="s">
        <v>25</v>
      </c>
      <c r="G2472" s="4" t="s">
        <v>39</v>
      </c>
      <c r="H2472" s="4">
        <v>1</v>
      </c>
      <c r="I2472" s="4">
        <v>12</v>
      </c>
      <c r="J2472" s="5">
        <v>45642</v>
      </c>
      <c r="K2472" s="6">
        <v>0.76605324074074077</v>
      </c>
    </row>
    <row r="2473" spans="1:11" x14ac:dyDescent="0.25">
      <c r="A2473" s="4">
        <v>18</v>
      </c>
      <c r="B2473" s="4" t="s">
        <v>11</v>
      </c>
      <c r="C2473" s="7">
        <v>30.86</v>
      </c>
      <c r="D2473" s="4" t="s">
        <v>19</v>
      </c>
      <c r="E2473" s="4" t="s">
        <v>20</v>
      </c>
      <c r="F2473" s="4" t="s">
        <v>25</v>
      </c>
      <c r="G2473" s="4" t="s">
        <v>39</v>
      </c>
      <c r="H2473" s="4">
        <v>1</v>
      </c>
      <c r="I2473" s="4">
        <v>12</v>
      </c>
      <c r="J2473" s="5">
        <v>45642</v>
      </c>
      <c r="K2473" s="6">
        <v>0.76667824074074076</v>
      </c>
    </row>
    <row r="2474" spans="1:11" x14ac:dyDescent="0.25">
      <c r="A2474" s="4">
        <v>8</v>
      </c>
      <c r="B2474" s="4" t="s">
        <v>11</v>
      </c>
      <c r="C2474" s="7">
        <v>25.96</v>
      </c>
      <c r="D2474" s="4" t="s">
        <v>24</v>
      </c>
      <c r="E2474" s="4" t="s">
        <v>13</v>
      </c>
      <c r="F2474" s="4" t="s">
        <v>27</v>
      </c>
      <c r="G2474" s="4" t="s">
        <v>39</v>
      </c>
      <c r="H2474" s="4">
        <v>2</v>
      </c>
      <c r="I2474" s="4">
        <v>12</v>
      </c>
      <c r="J2474" s="5">
        <v>45643</v>
      </c>
      <c r="K2474" s="6">
        <v>0.36687500000000001</v>
      </c>
    </row>
    <row r="2475" spans="1:11" x14ac:dyDescent="0.25">
      <c r="A2475" s="4">
        <v>8</v>
      </c>
      <c r="B2475" s="4" t="s">
        <v>11</v>
      </c>
      <c r="C2475" s="7">
        <v>35.76</v>
      </c>
      <c r="D2475" s="4" t="s">
        <v>29</v>
      </c>
      <c r="E2475" s="4" t="s">
        <v>13</v>
      </c>
      <c r="F2475" s="4" t="s">
        <v>27</v>
      </c>
      <c r="G2475" s="4" t="s">
        <v>39</v>
      </c>
      <c r="H2475" s="4">
        <v>2</v>
      </c>
      <c r="I2475" s="4">
        <v>12</v>
      </c>
      <c r="J2475" s="5">
        <v>45643</v>
      </c>
      <c r="K2475" s="6">
        <v>0.36981481481481482</v>
      </c>
    </row>
    <row r="2476" spans="1:11" x14ac:dyDescent="0.25">
      <c r="A2476" s="4">
        <v>10</v>
      </c>
      <c r="B2476" s="4" t="s">
        <v>11</v>
      </c>
      <c r="C2476" s="7">
        <v>30.86</v>
      </c>
      <c r="D2476" s="4" t="s">
        <v>19</v>
      </c>
      <c r="E2476" s="4" t="s">
        <v>13</v>
      </c>
      <c r="F2476" s="4" t="s">
        <v>27</v>
      </c>
      <c r="G2476" s="4" t="s">
        <v>39</v>
      </c>
      <c r="H2476" s="4">
        <v>2</v>
      </c>
      <c r="I2476" s="4">
        <v>12</v>
      </c>
      <c r="J2476" s="5">
        <v>45643</v>
      </c>
      <c r="K2476" s="6">
        <v>0.45075231481481481</v>
      </c>
    </row>
    <row r="2477" spans="1:11" x14ac:dyDescent="0.25">
      <c r="A2477" s="4">
        <v>16</v>
      </c>
      <c r="B2477" s="4" t="s">
        <v>11</v>
      </c>
      <c r="C2477" s="7">
        <v>25.96</v>
      </c>
      <c r="D2477" s="4" t="s">
        <v>18</v>
      </c>
      <c r="E2477" s="4" t="s">
        <v>17</v>
      </c>
      <c r="F2477" s="4" t="s">
        <v>27</v>
      </c>
      <c r="G2477" s="4" t="s">
        <v>39</v>
      </c>
      <c r="H2477" s="4">
        <v>2</v>
      </c>
      <c r="I2477" s="4">
        <v>12</v>
      </c>
      <c r="J2477" s="5">
        <v>45643</v>
      </c>
      <c r="K2477" s="6">
        <v>0.68234953703703705</v>
      </c>
    </row>
    <row r="2478" spans="1:11" x14ac:dyDescent="0.25">
      <c r="A2478" s="4">
        <v>16</v>
      </c>
      <c r="B2478" s="4" t="s">
        <v>11</v>
      </c>
      <c r="C2478" s="7">
        <v>35.76</v>
      </c>
      <c r="D2478" s="4" t="s">
        <v>21</v>
      </c>
      <c r="E2478" s="4" t="s">
        <v>17</v>
      </c>
      <c r="F2478" s="4" t="s">
        <v>27</v>
      </c>
      <c r="G2478" s="4" t="s">
        <v>39</v>
      </c>
      <c r="H2478" s="4">
        <v>2</v>
      </c>
      <c r="I2478" s="4">
        <v>12</v>
      </c>
      <c r="J2478" s="5">
        <v>45643</v>
      </c>
      <c r="K2478" s="6">
        <v>0.68305555555555553</v>
      </c>
    </row>
    <row r="2479" spans="1:11" x14ac:dyDescent="0.25">
      <c r="A2479" s="4">
        <v>17</v>
      </c>
      <c r="B2479" s="4" t="s">
        <v>11</v>
      </c>
      <c r="C2479" s="7">
        <v>35.76</v>
      </c>
      <c r="D2479" s="4" t="s">
        <v>29</v>
      </c>
      <c r="E2479" s="4" t="s">
        <v>20</v>
      </c>
      <c r="F2479" s="4" t="s">
        <v>27</v>
      </c>
      <c r="G2479" s="4" t="s">
        <v>39</v>
      </c>
      <c r="H2479" s="4">
        <v>2</v>
      </c>
      <c r="I2479" s="4">
        <v>12</v>
      </c>
      <c r="J2479" s="5">
        <v>45643</v>
      </c>
      <c r="K2479" s="6">
        <v>0.71831018518518519</v>
      </c>
    </row>
    <row r="2480" spans="1:11" x14ac:dyDescent="0.25">
      <c r="A2480" s="4">
        <v>18</v>
      </c>
      <c r="B2480" s="4" t="s">
        <v>11</v>
      </c>
      <c r="C2480" s="7">
        <v>35.76</v>
      </c>
      <c r="D2480" s="4" t="s">
        <v>21</v>
      </c>
      <c r="E2480" s="4" t="s">
        <v>20</v>
      </c>
      <c r="F2480" s="4" t="s">
        <v>27</v>
      </c>
      <c r="G2480" s="4" t="s">
        <v>39</v>
      </c>
      <c r="H2480" s="4">
        <v>2</v>
      </c>
      <c r="I2480" s="4">
        <v>12</v>
      </c>
      <c r="J2480" s="5">
        <v>45643</v>
      </c>
      <c r="K2480" s="6">
        <v>0.78815972222222219</v>
      </c>
    </row>
    <row r="2481" spans="1:11" x14ac:dyDescent="0.25">
      <c r="A2481" s="4">
        <v>9</v>
      </c>
      <c r="B2481" s="4" t="s">
        <v>11</v>
      </c>
      <c r="C2481" s="7">
        <v>35.76</v>
      </c>
      <c r="D2481" s="4" t="s">
        <v>12</v>
      </c>
      <c r="E2481" s="4" t="s">
        <v>13</v>
      </c>
      <c r="F2481" s="4" t="s">
        <v>28</v>
      </c>
      <c r="G2481" s="4" t="s">
        <v>39</v>
      </c>
      <c r="H2481" s="4">
        <v>3</v>
      </c>
      <c r="I2481" s="4">
        <v>12</v>
      </c>
      <c r="J2481" s="5">
        <v>45644</v>
      </c>
      <c r="K2481" s="6">
        <v>0.3961574074074074</v>
      </c>
    </row>
    <row r="2482" spans="1:11" x14ac:dyDescent="0.25">
      <c r="A2482" s="4">
        <v>10</v>
      </c>
      <c r="B2482" s="4" t="s">
        <v>11</v>
      </c>
      <c r="C2482" s="7">
        <v>30.86</v>
      </c>
      <c r="D2482" s="4" t="s">
        <v>19</v>
      </c>
      <c r="E2482" s="4" t="s">
        <v>13</v>
      </c>
      <c r="F2482" s="4" t="s">
        <v>28</v>
      </c>
      <c r="G2482" s="4" t="s">
        <v>39</v>
      </c>
      <c r="H2482" s="4">
        <v>3</v>
      </c>
      <c r="I2482" s="4">
        <v>12</v>
      </c>
      <c r="J2482" s="5">
        <v>45644</v>
      </c>
      <c r="K2482" s="6">
        <v>0.41760416666666667</v>
      </c>
    </row>
    <row r="2483" spans="1:11" x14ac:dyDescent="0.25">
      <c r="A2483" s="4">
        <v>10</v>
      </c>
      <c r="B2483" s="4" t="s">
        <v>11</v>
      </c>
      <c r="C2483" s="7">
        <v>35.76</v>
      </c>
      <c r="D2483" s="4" t="s">
        <v>12</v>
      </c>
      <c r="E2483" s="4" t="s">
        <v>13</v>
      </c>
      <c r="F2483" s="4" t="s">
        <v>28</v>
      </c>
      <c r="G2483" s="4" t="s">
        <v>39</v>
      </c>
      <c r="H2483" s="4">
        <v>3</v>
      </c>
      <c r="I2483" s="4">
        <v>12</v>
      </c>
      <c r="J2483" s="5">
        <v>45644</v>
      </c>
      <c r="K2483" s="6">
        <v>0.41877314814814814</v>
      </c>
    </row>
    <row r="2484" spans="1:11" x14ac:dyDescent="0.25">
      <c r="A2484" s="4">
        <v>10</v>
      </c>
      <c r="B2484" s="4" t="s">
        <v>11</v>
      </c>
      <c r="C2484" s="7">
        <v>35.76</v>
      </c>
      <c r="D2484" s="4" t="s">
        <v>29</v>
      </c>
      <c r="E2484" s="4" t="s">
        <v>13</v>
      </c>
      <c r="F2484" s="4" t="s">
        <v>28</v>
      </c>
      <c r="G2484" s="4" t="s">
        <v>39</v>
      </c>
      <c r="H2484" s="4">
        <v>3</v>
      </c>
      <c r="I2484" s="4">
        <v>12</v>
      </c>
      <c r="J2484" s="5">
        <v>45644</v>
      </c>
      <c r="K2484" s="6">
        <v>0.41947916666666668</v>
      </c>
    </row>
    <row r="2485" spans="1:11" x14ac:dyDescent="0.25">
      <c r="A2485" s="4">
        <v>10</v>
      </c>
      <c r="B2485" s="4" t="s">
        <v>11</v>
      </c>
      <c r="C2485" s="7">
        <v>35.76</v>
      </c>
      <c r="D2485" s="4" t="s">
        <v>16</v>
      </c>
      <c r="E2485" s="4" t="s">
        <v>13</v>
      </c>
      <c r="F2485" s="4" t="s">
        <v>30</v>
      </c>
      <c r="G2485" s="4" t="s">
        <v>39</v>
      </c>
      <c r="H2485" s="4">
        <v>4</v>
      </c>
      <c r="I2485" s="4">
        <v>12</v>
      </c>
      <c r="J2485" s="5">
        <v>45645</v>
      </c>
      <c r="K2485" s="6">
        <v>0.42512731481481481</v>
      </c>
    </row>
    <row r="2486" spans="1:11" x14ac:dyDescent="0.25">
      <c r="A2486" s="4">
        <v>11</v>
      </c>
      <c r="B2486" s="4" t="s">
        <v>11</v>
      </c>
      <c r="C2486" s="7">
        <v>30.86</v>
      </c>
      <c r="D2486" s="4" t="s">
        <v>19</v>
      </c>
      <c r="E2486" s="4" t="s">
        <v>13</v>
      </c>
      <c r="F2486" s="4" t="s">
        <v>30</v>
      </c>
      <c r="G2486" s="4" t="s">
        <v>39</v>
      </c>
      <c r="H2486" s="4">
        <v>4</v>
      </c>
      <c r="I2486" s="4">
        <v>12</v>
      </c>
      <c r="J2486" s="5">
        <v>45645</v>
      </c>
      <c r="K2486" s="6">
        <v>0.47619212962962965</v>
      </c>
    </row>
    <row r="2487" spans="1:11" x14ac:dyDescent="0.25">
      <c r="A2487" s="4">
        <v>12</v>
      </c>
      <c r="B2487" s="4" t="s">
        <v>11</v>
      </c>
      <c r="C2487" s="7">
        <v>21.06</v>
      </c>
      <c r="D2487" s="4" t="s">
        <v>26</v>
      </c>
      <c r="E2487" s="4" t="s">
        <v>17</v>
      </c>
      <c r="F2487" s="4" t="s">
        <v>30</v>
      </c>
      <c r="G2487" s="4" t="s">
        <v>39</v>
      </c>
      <c r="H2487" s="4">
        <v>4</v>
      </c>
      <c r="I2487" s="4">
        <v>12</v>
      </c>
      <c r="J2487" s="5">
        <v>45645</v>
      </c>
      <c r="K2487" s="6">
        <v>0.50754629629629633</v>
      </c>
    </row>
    <row r="2488" spans="1:11" x14ac:dyDescent="0.25">
      <c r="A2488" s="4">
        <v>13</v>
      </c>
      <c r="B2488" s="4" t="s">
        <v>11</v>
      </c>
      <c r="C2488" s="7">
        <v>35.76</v>
      </c>
      <c r="D2488" s="4" t="s">
        <v>16</v>
      </c>
      <c r="E2488" s="4" t="s">
        <v>17</v>
      </c>
      <c r="F2488" s="4" t="s">
        <v>30</v>
      </c>
      <c r="G2488" s="4" t="s">
        <v>39</v>
      </c>
      <c r="H2488" s="4">
        <v>4</v>
      </c>
      <c r="I2488" s="4">
        <v>12</v>
      </c>
      <c r="J2488" s="5">
        <v>45645</v>
      </c>
      <c r="K2488" s="6">
        <v>0.56870370370370371</v>
      </c>
    </row>
    <row r="2489" spans="1:11" x14ac:dyDescent="0.25">
      <c r="A2489" s="4">
        <v>19</v>
      </c>
      <c r="B2489" s="4" t="s">
        <v>11</v>
      </c>
      <c r="C2489" s="7">
        <v>35.76</v>
      </c>
      <c r="D2489" s="4" t="s">
        <v>29</v>
      </c>
      <c r="E2489" s="4" t="s">
        <v>20</v>
      </c>
      <c r="F2489" s="4" t="s">
        <v>30</v>
      </c>
      <c r="G2489" s="4" t="s">
        <v>39</v>
      </c>
      <c r="H2489" s="4">
        <v>4</v>
      </c>
      <c r="I2489" s="4">
        <v>12</v>
      </c>
      <c r="J2489" s="5">
        <v>45645</v>
      </c>
      <c r="K2489" s="6">
        <v>0.79231481481481481</v>
      </c>
    </row>
    <row r="2490" spans="1:11" x14ac:dyDescent="0.25">
      <c r="A2490" s="4">
        <v>19</v>
      </c>
      <c r="B2490" s="4" t="s">
        <v>11</v>
      </c>
      <c r="C2490" s="7">
        <v>35.76</v>
      </c>
      <c r="D2490" s="4" t="s">
        <v>29</v>
      </c>
      <c r="E2490" s="4" t="s">
        <v>20</v>
      </c>
      <c r="F2490" s="4" t="s">
        <v>30</v>
      </c>
      <c r="G2490" s="4" t="s">
        <v>39</v>
      </c>
      <c r="H2490" s="4">
        <v>4</v>
      </c>
      <c r="I2490" s="4">
        <v>12</v>
      </c>
      <c r="J2490" s="5">
        <v>45645</v>
      </c>
      <c r="K2490" s="6">
        <v>0.79907407407407405</v>
      </c>
    </row>
    <row r="2491" spans="1:11" x14ac:dyDescent="0.25">
      <c r="A2491" s="4">
        <v>19</v>
      </c>
      <c r="B2491" s="4" t="s">
        <v>11</v>
      </c>
      <c r="C2491" s="7">
        <v>30.86</v>
      </c>
      <c r="D2491" s="4" t="s">
        <v>19</v>
      </c>
      <c r="E2491" s="4" t="s">
        <v>20</v>
      </c>
      <c r="F2491" s="4" t="s">
        <v>30</v>
      </c>
      <c r="G2491" s="4" t="s">
        <v>39</v>
      </c>
      <c r="H2491" s="4">
        <v>4</v>
      </c>
      <c r="I2491" s="4">
        <v>12</v>
      </c>
      <c r="J2491" s="5">
        <v>45645</v>
      </c>
      <c r="K2491" s="6">
        <v>0.82520833333333332</v>
      </c>
    </row>
    <row r="2492" spans="1:11" x14ac:dyDescent="0.25">
      <c r="A2492" s="4">
        <v>19</v>
      </c>
      <c r="B2492" s="4" t="s">
        <v>11</v>
      </c>
      <c r="C2492" s="7">
        <v>35.76</v>
      </c>
      <c r="D2492" s="4" t="s">
        <v>16</v>
      </c>
      <c r="E2492" s="4" t="s">
        <v>20</v>
      </c>
      <c r="F2492" s="4" t="s">
        <v>30</v>
      </c>
      <c r="G2492" s="4" t="s">
        <v>39</v>
      </c>
      <c r="H2492" s="4">
        <v>4</v>
      </c>
      <c r="I2492" s="4">
        <v>12</v>
      </c>
      <c r="J2492" s="5">
        <v>45645</v>
      </c>
      <c r="K2492" s="6">
        <v>0.82618055555555558</v>
      </c>
    </row>
    <row r="2493" spans="1:11" x14ac:dyDescent="0.25">
      <c r="A2493" s="4">
        <v>21</v>
      </c>
      <c r="B2493" s="4" t="s">
        <v>11</v>
      </c>
      <c r="C2493" s="7">
        <v>35.76</v>
      </c>
      <c r="D2493" s="4" t="s">
        <v>12</v>
      </c>
      <c r="E2493" s="4" t="s">
        <v>20</v>
      </c>
      <c r="F2493" s="4" t="s">
        <v>30</v>
      </c>
      <c r="G2493" s="4" t="s">
        <v>39</v>
      </c>
      <c r="H2493" s="4">
        <v>4</v>
      </c>
      <c r="I2493" s="4">
        <v>12</v>
      </c>
      <c r="J2493" s="5">
        <v>45645</v>
      </c>
      <c r="K2493" s="6">
        <v>0.88068287037037041</v>
      </c>
    </row>
    <row r="2494" spans="1:11" x14ac:dyDescent="0.25">
      <c r="A2494" s="4">
        <v>21</v>
      </c>
      <c r="B2494" s="4" t="s">
        <v>11</v>
      </c>
      <c r="C2494" s="7">
        <v>35.76</v>
      </c>
      <c r="D2494" s="4" t="s">
        <v>29</v>
      </c>
      <c r="E2494" s="4" t="s">
        <v>20</v>
      </c>
      <c r="F2494" s="4" t="s">
        <v>30</v>
      </c>
      <c r="G2494" s="4" t="s">
        <v>39</v>
      </c>
      <c r="H2494" s="4">
        <v>4</v>
      </c>
      <c r="I2494" s="4">
        <v>12</v>
      </c>
      <c r="J2494" s="5">
        <v>45645</v>
      </c>
      <c r="K2494" s="6">
        <v>0.88142361111111112</v>
      </c>
    </row>
    <row r="2495" spans="1:11" x14ac:dyDescent="0.25">
      <c r="A2495" s="4">
        <v>8</v>
      </c>
      <c r="B2495" s="4" t="s">
        <v>11</v>
      </c>
      <c r="C2495" s="7">
        <v>25.96</v>
      </c>
      <c r="D2495" s="4" t="s">
        <v>24</v>
      </c>
      <c r="E2495" s="4" t="s">
        <v>13</v>
      </c>
      <c r="F2495" s="4" t="s">
        <v>14</v>
      </c>
      <c r="G2495" s="4" t="s">
        <v>39</v>
      </c>
      <c r="H2495" s="4">
        <v>5</v>
      </c>
      <c r="I2495" s="4">
        <v>12</v>
      </c>
      <c r="J2495" s="5">
        <v>45646</v>
      </c>
      <c r="K2495" s="6">
        <v>0.34364583333333332</v>
      </c>
    </row>
    <row r="2496" spans="1:11" x14ac:dyDescent="0.25">
      <c r="A2496" s="4">
        <v>9</v>
      </c>
      <c r="B2496" s="4" t="s">
        <v>11</v>
      </c>
      <c r="C2496" s="7">
        <v>30.86</v>
      </c>
      <c r="D2496" s="4" t="s">
        <v>19</v>
      </c>
      <c r="E2496" s="4" t="s">
        <v>13</v>
      </c>
      <c r="F2496" s="4" t="s">
        <v>14</v>
      </c>
      <c r="G2496" s="4" t="s">
        <v>39</v>
      </c>
      <c r="H2496" s="4">
        <v>5</v>
      </c>
      <c r="I2496" s="4">
        <v>12</v>
      </c>
      <c r="J2496" s="5">
        <v>45646</v>
      </c>
      <c r="K2496" s="6">
        <v>0.40241898148148147</v>
      </c>
    </row>
    <row r="2497" spans="1:11" x14ac:dyDescent="0.25">
      <c r="A2497" s="4">
        <v>10</v>
      </c>
      <c r="B2497" s="4" t="s">
        <v>11</v>
      </c>
      <c r="C2497" s="7">
        <v>35.76</v>
      </c>
      <c r="D2497" s="4" t="s">
        <v>29</v>
      </c>
      <c r="E2497" s="4" t="s">
        <v>13</v>
      </c>
      <c r="F2497" s="4" t="s">
        <v>14</v>
      </c>
      <c r="G2497" s="4" t="s">
        <v>39</v>
      </c>
      <c r="H2497" s="4">
        <v>5</v>
      </c>
      <c r="I2497" s="4">
        <v>12</v>
      </c>
      <c r="J2497" s="5">
        <v>45646</v>
      </c>
      <c r="K2497" s="6">
        <v>0.42548611111111112</v>
      </c>
    </row>
    <row r="2498" spans="1:11" x14ac:dyDescent="0.25">
      <c r="A2498" s="4">
        <v>10</v>
      </c>
      <c r="B2498" s="4" t="s">
        <v>11</v>
      </c>
      <c r="C2498" s="7">
        <v>25.96</v>
      </c>
      <c r="D2498" s="4" t="s">
        <v>24</v>
      </c>
      <c r="E2498" s="4" t="s">
        <v>13</v>
      </c>
      <c r="F2498" s="4" t="s">
        <v>14</v>
      </c>
      <c r="G2498" s="4" t="s">
        <v>39</v>
      </c>
      <c r="H2498" s="4">
        <v>5</v>
      </c>
      <c r="I2498" s="4">
        <v>12</v>
      </c>
      <c r="J2498" s="5">
        <v>45646</v>
      </c>
      <c r="K2498" s="6">
        <v>0.45519675925925923</v>
      </c>
    </row>
    <row r="2499" spans="1:11" x14ac:dyDescent="0.25">
      <c r="A2499" s="4">
        <v>12</v>
      </c>
      <c r="B2499" s="4" t="s">
        <v>11</v>
      </c>
      <c r="C2499" s="7">
        <v>21.06</v>
      </c>
      <c r="D2499" s="4" t="s">
        <v>26</v>
      </c>
      <c r="E2499" s="4" t="s">
        <v>17</v>
      </c>
      <c r="F2499" s="4" t="s">
        <v>14</v>
      </c>
      <c r="G2499" s="4" t="s">
        <v>39</v>
      </c>
      <c r="H2499" s="4">
        <v>5</v>
      </c>
      <c r="I2499" s="4">
        <v>12</v>
      </c>
      <c r="J2499" s="5">
        <v>45646</v>
      </c>
      <c r="K2499" s="6">
        <v>0.51478009259259261</v>
      </c>
    </row>
    <row r="2500" spans="1:11" x14ac:dyDescent="0.25">
      <c r="A2500" s="4">
        <v>12</v>
      </c>
      <c r="B2500" s="4" t="s">
        <v>11</v>
      </c>
      <c r="C2500" s="7">
        <v>30.86</v>
      </c>
      <c r="D2500" s="4" t="s">
        <v>19</v>
      </c>
      <c r="E2500" s="4" t="s">
        <v>17</v>
      </c>
      <c r="F2500" s="4" t="s">
        <v>14</v>
      </c>
      <c r="G2500" s="4" t="s">
        <v>39</v>
      </c>
      <c r="H2500" s="4">
        <v>5</v>
      </c>
      <c r="I2500" s="4">
        <v>12</v>
      </c>
      <c r="J2500" s="5">
        <v>45646</v>
      </c>
      <c r="K2500" s="6">
        <v>0.5158449074074074</v>
      </c>
    </row>
    <row r="2501" spans="1:11" x14ac:dyDescent="0.25">
      <c r="A2501" s="4">
        <v>14</v>
      </c>
      <c r="B2501" s="4" t="s">
        <v>11</v>
      </c>
      <c r="C2501" s="7">
        <v>25.96</v>
      </c>
      <c r="D2501" s="4" t="s">
        <v>24</v>
      </c>
      <c r="E2501" s="4" t="s">
        <v>17</v>
      </c>
      <c r="F2501" s="4" t="s">
        <v>14</v>
      </c>
      <c r="G2501" s="4" t="s">
        <v>39</v>
      </c>
      <c r="H2501" s="4">
        <v>5</v>
      </c>
      <c r="I2501" s="4">
        <v>12</v>
      </c>
      <c r="J2501" s="5">
        <v>45646</v>
      </c>
      <c r="K2501" s="6">
        <v>0.62384259259259256</v>
      </c>
    </row>
    <row r="2502" spans="1:11" x14ac:dyDescent="0.25">
      <c r="A2502" s="4">
        <v>18</v>
      </c>
      <c r="B2502" s="4" t="s">
        <v>11</v>
      </c>
      <c r="C2502" s="7">
        <v>35.76</v>
      </c>
      <c r="D2502" s="4" t="s">
        <v>29</v>
      </c>
      <c r="E2502" s="4" t="s">
        <v>20</v>
      </c>
      <c r="F2502" s="4" t="s">
        <v>14</v>
      </c>
      <c r="G2502" s="4" t="s">
        <v>39</v>
      </c>
      <c r="H2502" s="4">
        <v>5</v>
      </c>
      <c r="I2502" s="4">
        <v>12</v>
      </c>
      <c r="J2502" s="5">
        <v>45646</v>
      </c>
      <c r="K2502" s="6">
        <v>0.76969907407407412</v>
      </c>
    </row>
    <row r="2503" spans="1:11" x14ac:dyDescent="0.25">
      <c r="A2503" s="4">
        <v>18</v>
      </c>
      <c r="B2503" s="4" t="s">
        <v>11</v>
      </c>
      <c r="C2503" s="7">
        <v>35.76</v>
      </c>
      <c r="D2503" s="4" t="s">
        <v>29</v>
      </c>
      <c r="E2503" s="4" t="s">
        <v>20</v>
      </c>
      <c r="F2503" s="4" t="s">
        <v>14</v>
      </c>
      <c r="G2503" s="4" t="s">
        <v>39</v>
      </c>
      <c r="H2503" s="4">
        <v>5</v>
      </c>
      <c r="I2503" s="4">
        <v>12</v>
      </c>
      <c r="J2503" s="5">
        <v>45646</v>
      </c>
      <c r="K2503" s="6">
        <v>0.78973379629629625</v>
      </c>
    </row>
    <row r="2504" spans="1:11" x14ac:dyDescent="0.25">
      <c r="A2504" s="4">
        <v>10</v>
      </c>
      <c r="B2504" s="4" t="s">
        <v>11</v>
      </c>
      <c r="C2504" s="7">
        <v>35.76</v>
      </c>
      <c r="D2504" s="4" t="s">
        <v>29</v>
      </c>
      <c r="E2504" s="4" t="s">
        <v>13</v>
      </c>
      <c r="F2504" s="4" t="s">
        <v>22</v>
      </c>
      <c r="G2504" s="4" t="s">
        <v>39</v>
      </c>
      <c r="H2504" s="4">
        <v>6</v>
      </c>
      <c r="I2504" s="4">
        <v>12</v>
      </c>
      <c r="J2504" s="5">
        <v>45647</v>
      </c>
      <c r="K2504" s="6">
        <v>0.43012731481481481</v>
      </c>
    </row>
    <row r="2505" spans="1:11" x14ac:dyDescent="0.25">
      <c r="A2505" s="4">
        <v>10</v>
      </c>
      <c r="B2505" s="4" t="s">
        <v>11</v>
      </c>
      <c r="C2505" s="7">
        <v>35.76</v>
      </c>
      <c r="D2505" s="4" t="s">
        <v>12</v>
      </c>
      <c r="E2505" s="4" t="s">
        <v>13</v>
      </c>
      <c r="F2505" s="4" t="s">
        <v>22</v>
      </c>
      <c r="G2505" s="4" t="s">
        <v>39</v>
      </c>
      <c r="H2505" s="4">
        <v>6</v>
      </c>
      <c r="I2505" s="4">
        <v>12</v>
      </c>
      <c r="J2505" s="5">
        <v>45647</v>
      </c>
      <c r="K2505" s="6">
        <v>0.43103009259259262</v>
      </c>
    </row>
    <row r="2506" spans="1:11" x14ac:dyDescent="0.25">
      <c r="A2506" s="4">
        <v>10</v>
      </c>
      <c r="B2506" s="4" t="s">
        <v>11</v>
      </c>
      <c r="C2506" s="7">
        <v>25.96</v>
      </c>
      <c r="D2506" s="4" t="s">
        <v>18</v>
      </c>
      <c r="E2506" s="4" t="s">
        <v>13</v>
      </c>
      <c r="F2506" s="4" t="s">
        <v>22</v>
      </c>
      <c r="G2506" s="4" t="s">
        <v>39</v>
      </c>
      <c r="H2506" s="4">
        <v>6</v>
      </c>
      <c r="I2506" s="4">
        <v>12</v>
      </c>
      <c r="J2506" s="5">
        <v>45647</v>
      </c>
      <c r="K2506" s="6">
        <v>0.43891203703703702</v>
      </c>
    </row>
    <row r="2507" spans="1:11" x14ac:dyDescent="0.25">
      <c r="A2507" s="4">
        <v>15</v>
      </c>
      <c r="B2507" s="4" t="s">
        <v>11</v>
      </c>
      <c r="C2507" s="7">
        <v>35.76</v>
      </c>
      <c r="D2507" s="4" t="s">
        <v>16</v>
      </c>
      <c r="E2507" s="4" t="s">
        <v>17</v>
      </c>
      <c r="F2507" s="4" t="s">
        <v>22</v>
      </c>
      <c r="G2507" s="4" t="s">
        <v>39</v>
      </c>
      <c r="H2507" s="4">
        <v>6</v>
      </c>
      <c r="I2507" s="4">
        <v>12</v>
      </c>
      <c r="J2507" s="5">
        <v>45647</v>
      </c>
      <c r="K2507" s="6">
        <v>0.64795138888888892</v>
      </c>
    </row>
    <row r="2508" spans="1:11" x14ac:dyDescent="0.25">
      <c r="A2508" s="4">
        <v>15</v>
      </c>
      <c r="B2508" s="4" t="s">
        <v>11</v>
      </c>
      <c r="C2508" s="7">
        <v>35.76</v>
      </c>
      <c r="D2508" s="4" t="s">
        <v>12</v>
      </c>
      <c r="E2508" s="4" t="s">
        <v>17</v>
      </c>
      <c r="F2508" s="4" t="s">
        <v>22</v>
      </c>
      <c r="G2508" s="4" t="s">
        <v>39</v>
      </c>
      <c r="H2508" s="4">
        <v>6</v>
      </c>
      <c r="I2508" s="4">
        <v>12</v>
      </c>
      <c r="J2508" s="5">
        <v>45647</v>
      </c>
      <c r="K2508" s="6">
        <v>0.64848379629629627</v>
      </c>
    </row>
    <row r="2509" spans="1:11" x14ac:dyDescent="0.25">
      <c r="A2509" s="4">
        <v>15</v>
      </c>
      <c r="B2509" s="4" t="s">
        <v>11</v>
      </c>
      <c r="C2509" s="7">
        <v>30.86</v>
      </c>
      <c r="D2509" s="4" t="s">
        <v>19</v>
      </c>
      <c r="E2509" s="4" t="s">
        <v>17</v>
      </c>
      <c r="F2509" s="4" t="s">
        <v>22</v>
      </c>
      <c r="G2509" s="4" t="s">
        <v>39</v>
      </c>
      <c r="H2509" s="4">
        <v>6</v>
      </c>
      <c r="I2509" s="4">
        <v>12</v>
      </c>
      <c r="J2509" s="5">
        <v>45647</v>
      </c>
      <c r="K2509" s="6">
        <v>0.64964120370370371</v>
      </c>
    </row>
    <row r="2510" spans="1:11" x14ac:dyDescent="0.25">
      <c r="A2510" s="4">
        <v>15</v>
      </c>
      <c r="B2510" s="4" t="s">
        <v>11</v>
      </c>
      <c r="C2510" s="7">
        <v>35.76</v>
      </c>
      <c r="D2510" s="4" t="s">
        <v>12</v>
      </c>
      <c r="E2510" s="4" t="s">
        <v>17</v>
      </c>
      <c r="F2510" s="4" t="s">
        <v>22</v>
      </c>
      <c r="G2510" s="4" t="s">
        <v>39</v>
      </c>
      <c r="H2510" s="4">
        <v>6</v>
      </c>
      <c r="I2510" s="4">
        <v>12</v>
      </c>
      <c r="J2510" s="5">
        <v>45647</v>
      </c>
      <c r="K2510" s="6">
        <v>0.66535879629629635</v>
      </c>
    </row>
    <row r="2511" spans="1:11" x14ac:dyDescent="0.25">
      <c r="A2511" s="4">
        <v>17</v>
      </c>
      <c r="B2511" s="4" t="s">
        <v>11</v>
      </c>
      <c r="C2511" s="7">
        <v>35.76</v>
      </c>
      <c r="D2511" s="4" t="s">
        <v>21</v>
      </c>
      <c r="E2511" s="4" t="s">
        <v>20</v>
      </c>
      <c r="F2511" s="4" t="s">
        <v>22</v>
      </c>
      <c r="G2511" s="4" t="s">
        <v>39</v>
      </c>
      <c r="H2511" s="4">
        <v>6</v>
      </c>
      <c r="I2511" s="4">
        <v>12</v>
      </c>
      <c r="J2511" s="5">
        <v>45647</v>
      </c>
      <c r="K2511" s="6">
        <v>0.74128472222222219</v>
      </c>
    </row>
    <row r="2512" spans="1:11" x14ac:dyDescent="0.25">
      <c r="A2512" s="4">
        <v>18</v>
      </c>
      <c r="B2512" s="4" t="s">
        <v>11</v>
      </c>
      <c r="C2512" s="7">
        <v>35.76</v>
      </c>
      <c r="D2512" s="4" t="s">
        <v>16</v>
      </c>
      <c r="E2512" s="4" t="s">
        <v>20</v>
      </c>
      <c r="F2512" s="4" t="s">
        <v>22</v>
      </c>
      <c r="G2512" s="4" t="s">
        <v>39</v>
      </c>
      <c r="H2512" s="4">
        <v>6</v>
      </c>
      <c r="I2512" s="4">
        <v>12</v>
      </c>
      <c r="J2512" s="5">
        <v>45647</v>
      </c>
      <c r="K2512" s="6">
        <v>0.7518055555555555</v>
      </c>
    </row>
    <row r="2513" spans="1:11" x14ac:dyDescent="0.25">
      <c r="A2513" s="4">
        <v>18</v>
      </c>
      <c r="B2513" s="4" t="s">
        <v>11</v>
      </c>
      <c r="C2513" s="7">
        <v>25.96</v>
      </c>
      <c r="D2513" s="4" t="s">
        <v>24</v>
      </c>
      <c r="E2513" s="4" t="s">
        <v>20</v>
      </c>
      <c r="F2513" s="4" t="s">
        <v>22</v>
      </c>
      <c r="G2513" s="4" t="s">
        <v>39</v>
      </c>
      <c r="H2513" s="4">
        <v>6</v>
      </c>
      <c r="I2513" s="4">
        <v>12</v>
      </c>
      <c r="J2513" s="5">
        <v>45647</v>
      </c>
      <c r="K2513" s="6">
        <v>0.75575231481481486</v>
      </c>
    </row>
    <row r="2514" spans="1:11" x14ac:dyDescent="0.25">
      <c r="A2514" s="4">
        <v>19</v>
      </c>
      <c r="B2514" s="4" t="s">
        <v>11</v>
      </c>
      <c r="C2514" s="7">
        <v>30.86</v>
      </c>
      <c r="D2514" s="4" t="s">
        <v>19</v>
      </c>
      <c r="E2514" s="4" t="s">
        <v>20</v>
      </c>
      <c r="F2514" s="4" t="s">
        <v>22</v>
      </c>
      <c r="G2514" s="4" t="s">
        <v>39</v>
      </c>
      <c r="H2514" s="4">
        <v>6</v>
      </c>
      <c r="I2514" s="4">
        <v>12</v>
      </c>
      <c r="J2514" s="5">
        <v>45647</v>
      </c>
      <c r="K2514" s="6">
        <v>0.82515046296296302</v>
      </c>
    </row>
    <row r="2515" spans="1:11" x14ac:dyDescent="0.25">
      <c r="A2515" s="4">
        <v>19</v>
      </c>
      <c r="B2515" s="4" t="s">
        <v>11</v>
      </c>
      <c r="C2515" s="7">
        <v>25.96</v>
      </c>
      <c r="D2515" s="4" t="s">
        <v>24</v>
      </c>
      <c r="E2515" s="4" t="s">
        <v>20</v>
      </c>
      <c r="F2515" s="4" t="s">
        <v>22</v>
      </c>
      <c r="G2515" s="4" t="s">
        <v>39</v>
      </c>
      <c r="H2515" s="4">
        <v>6</v>
      </c>
      <c r="I2515" s="4">
        <v>12</v>
      </c>
      <c r="J2515" s="5">
        <v>45647</v>
      </c>
      <c r="K2515" s="6">
        <v>0.82621527777777781</v>
      </c>
    </row>
    <row r="2516" spans="1:11" x14ac:dyDescent="0.25">
      <c r="A2516" s="4">
        <v>21</v>
      </c>
      <c r="B2516" s="4" t="s">
        <v>11</v>
      </c>
      <c r="C2516" s="7">
        <v>25.96</v>
      </c>
      <c r="D2516" s="4" t="s">
        <v>24</v>
      </c>
      <c r="E2516" s="4" t="s">
        <v>20</v>
      </c>
      <c r="F2516" s="4" t="s">
        <v>22</v>
      </c>
      <c r="G2516" s="4" t="s">
        <v>39</v>
      </c>
      <c r="H2516" s="4">
        <v>6</v>
      </c>
      <c r="I2516" s="4">
        <v>12</v>
      </c>
      <c r="J2516" s="5">
        <v>45647</v>
      </c>
      <c r="K2516" s="6">
        <v>0.90957175925925926</v>
      </c>
    </row>
    <row r="2517" spans="1:11" x14ac:dyDescent="0.25">
      <c r="A2517" s="4">
        <v>21</v>
      </c>
      <c r="B2517" s="4" t="s">
        <v>11</v>
      </c>
      <c r="C2517" s="7">
        <v>35.76</v>
      </c>
      <c r="D2517" s="4" t="s">
        <v>12</v>
      </c>
      <c r="E2517" s="4" t="s">
        <v>20</v>
      </c>
      <c r="F2517" s="4" t="s">
        <v>22</v>
      </c>
      <c r="G2517" s="4" t="s">
        <v>39</v>
      </c>
      <c r="H2517" s="4">
        <v>6</v>
      </c>
      <c r="I2517" s="4">
        <v>12</v>
      </c>
      <c r="J2517" s="5">
        <v>45647</v>
      </c>
      <c r="K2517" s="6">
        <v>0.91583333333333339</v>
      </c>
    </row>
    <row r="2518" spans="1:11" x14ac:dyDescent="0.25">
      <c r="A2518" s="4">
        <v>22</v>
      </c>
      <c r="B2518" s="4" t="s">
        <v>11</v>
      </c>
      <c r="C2518" s="7">
        <v>25.96</v>
      </c>
      <c r="D2518" s="4" t="s">
        <v>24</v>
      </c>
      <c r="E2518" s="4" t="s">
        <v>20</v>
      </c>
      <c r="F2518" s="4" t="s">
        <v>22</v>
      </c>
      <c r="G2518" s="4" t="s">
        <v>39</v>
      </c>
      <c r="H2518" s="4">
        <v>6</v>
      </c>
      <c r="I2518" s="4">
        <v>12</v>
      </c>
      <c r="J2518" s="5">
        <v>45647</v>
      </c>
      <c r="K2518" s="6">
        <v>0.9279398148148148</v>
      </c>
    </row>
    <row r="2519" spans="1:11" x14ac:dyDescent="0.25">
      <c r="A2519" s="4">
        <v>10</v>
      </c>
      <c r="B2519" s="4" t="s">
        <v>11</v>
      </c>
      <c r="C2519" s="7">
        <v>35.76</v>
      </c>
      <c r="D2519" s="4" t="s">
        <v>29</v>
      </c>
      <c r="E2519" s="4" t="s">
        <v>13</v>
      </c>
      <c r="F2519" s="4" t="s">
        <v>23</v>
      </c>
      <c r="G2519" s="4" t="s">
        <v>39</v>
      </c>
      <c r="H2519" s="4">
        <v>7</v>
      </c>
      <c r="I2519" s="4">
        <v>12</v>
      </c>
      <c r="J2519" s="5">
        <v>45648</v>
      </c>
      <c r="K2519" s="6">
        <v>0.44648148148148148</v>
      </c>
    </row>
    <row r="2520" spans="1:11" x14ac:dyDescent="0.25">
      <c r="A2520" s="4">
        <v>18</v>
      </c>
      <c r="B2520" s="4" t="s">
        <v>11</v>
      </c>
      <c r="C2520" s="7">
        <v>35.76</v>
      </c>
      <c r="D2520" s="4" t="s">
        <v>29</v>
      </c>
      <c r="E2520" s="4" t="s">
        <v>20</v>
      </c>
      <c r="F2520" s="4" t="s">
        <v>23</v>
      </c>
      <c r="G2520" s="4" t="s">
        <v>39</v>
      </c>
      <c r="H2520" s="4">
        <v>7</v>
      </c>
      <c r="I2520" s="4">
        <v>12</v>
      </c>
      <c r="J2520" s="5">
        <v>45648</v>
      </c>
      <c r="K2520" s="6">
        <v>0.78870370370370368</v>
      </c>
    </row>
    <row r="2521" spans="1:11" x14ac:dyDescent="0.25">
      <c r="A2521" s="4">
        <v>19</v>
      </c>
      <c r="B2521" s="4" t="s">
        <v>11</v>
      </c>
      <c r="C2521" s="7">
        <v>35.76</v>
      </c>
      <c r="D2521" s="4" t="s">
        <v>16</v>
      </c>
      <c r="E2521" s="4" t="s">
        <v>20</v>
      </c>
      <c r="F2521" s="4" t="s">
        <v>23</v>
      </c>
      <c r="G2521" s="4" t="s">
        <v>39</v>
      </c>
      <c r="H2521" s="4">
        <v>7</v>
      </c>
      <c r="I2521" s="4">
        <v>12</v>
      </c>
      <c r="J2521" s="5">
        <v>45648</v>
      </c>
      <c r="K2521" s="6">
        <v>0.81649305555555551</v>
      </c>
    </row>
    <row r="2522" spans="1:11" x14ac:dyDescent="0.25">
      <c r="A2522" s="4">
        <v>19</v>
      </c>
      <c r="B2522" s="4" t="s">
        <v>11</v>
      </c>
      <c r="C2522" s="7">
        <v>35.76</v>
      </c>
      <c r="D2522" s="4" t="s">
        <v>16</v>
      </c>
      <c r="E2522" s="4" t="s">
        <v>20</v>
      </c>
      <c r="F2522" s="4" t="s">
        <v>23</v>
      </c>
      <c r="G2522" s="4" t="s">
        <v>39</v>
      </c>
      <c r="H2522" s="4">
        <v>7</v>
      </c>
      <c r="I2522" s="4">
        <v>12</v>
      </c>
      <c r="J2522" s="5">
        <v>45648</v>
      </c>
      <c r="K2522" s="6">
        <v>0.81700231481481478</v>
      </c>
    </row>
    <row r="2523" spans="1:11" x14ac:dyDescent="0.25">
      <c r="A2523" s="4">
        <v>20</v>
      </c>
      <c r="B2523" s="4" t="s">
        <v>11</v>
      </c>
      <c r="C2523" s="7">
        <v>35.76</v>
      </c>
      <c r="D2523" s="4" t="s">
        <v>16</v>
      </c>
      <c r="E2523" s="4" t="s">
        <v>20</v>
      </c>
      <c r="F2523" s="4" t="s">
        <v>23</v>
      </c>
      <c r="G2523" s="4" t="s">
        <v>39</v>
      </c>
      <c r="H2523" s="4">
        <v>7</v>
      </c>
      <c r="I2523" s="4">
        <v>12</v>
      </c>
      <c r="J2523" s="5">
        <v>45648</v>
      </c>
      <c r="K2523" s="6">
        <v>0.85180555555555559</v>
      </c>
    </row>
    <row r="2524" spans="1:11" x14ac:dyDescent="0.25">
      <c r="A2524" s="4">
        <v>21</v>
      </c>
      <c r="B2524" s="4" t="s">
        <v>11</v>
      </c>
      <c r="C2524" s="7">
        <v>35.76</v>
      </c>
      <c r="D2524" s="4" t="s">
        <v>21</v>
      </c>
      <c r="E2524" s="4" t="s">
        <v>20</v>
      </c>
      <c r="F2524" s="4" t="s">
        <v>23</v>
      </c>
      <c r="G2524" s="4" t="s">
        <v>39</v>
      </c>
      <c r="H2524" s="4">
        <v>7</v>
      </c>
      <c r="I2524" s="4">
        <v>12</v>
      </c>
      <c r="J2524" s="5">
        <v>45648</v>
      </c>
      <c r="K2524" s="6">
        <v>0.91340277777777779</v>
      </c>
    </row>
    <row r="2525" spans="1:11" x14ac:dyDescent="0.25">
      <c r="A2525" s="4">
        <v>21</v>
      </c>
      <c r="B2525" s="4" t="s">
        <v>11</v>
      </c>
      <c r="C2525" s="7">
        <v>25.96</v>
      </c>
      <c r="D2525" s="4" t="s">
        <v>24</v>
      </c>
      <c r="E2525" s="4" t="s">
        <v>20</v>
      </c>
      <c r="F2525" s="4" t="s">
        <v>23</v>
      </c>
      <c r="G2525" s="4" t="s">
        <v>39</v>
      </c>
      <c r="H2525" s="4">
        <v>7</v>
      </c>
      <c r="I2525" s="4">
        <v>12</v>
      </c>
      <c r="J2525" s="5">
        <v>45648</v>
      </c>
      <c r="K2525" s="6">
        <v>0.91453703703703704</v>
      </c>
    </row>
    <row r="2526" spans="1:11" x14ac:dyDescent="0.25">
      <c r="A2526" s="4">
        <v>9</v>
      </c>
      <c r="B2526" s="4" t="s">
        <v>11</v>
      </c>
      <c r="C2526" s="7">
        <v>25.96</v>
      </c>
      <c r="D2526" s="4" t="s">
        <v>24</v>
      </c>
      <c r="E2526" s="4" t="s">
        <v>13</v>
      </c>
      <c r="F2526" s="4" t="s">
        <v>25</v>
      </c>
      <c r="G2526" s="4" t="s">
        <v>39</v>
      </c>
      <c r="H2526" s="4">
        <v>1</v>
      </c>
      <c r="I2526" s="4">
        <v>12</v>
      </c>
      <c r="J2526" s="5">
        <v>45649</v>
      </c>
      <c r="K2526" s="6">
        <v>0.37732638888888886</v>
      </c>
    </row>
    <row r="2527" spans="1:11" x14ac:dyDescent="0.25">
      <c r="A2527" s="4">
        <v>9</v>
      </c>
      <c r="B2527" s="4" t="s">
        <v>11</v>
      </c>
      <c r="C2527" s="7">
        <v>30.86</v>
      </c>
      <c r="D2527" s="4" t="s">
        <v>19</v>
      </c>
      <c r="E2527" s="4" t="s">
        <v>13</v>
      </c>
      <c r="F2527" s="4" t="s">
        <v>25</v>
      </c>
      <c r="G2527" s="4" t="s">
        <v>39</v>
      </c>
      <c r="H2527" s="4">
        <v>1</v>
      </c>
      <c r="I2527" s="4">
        <v>12</v>
      </c>
      <c r="J2527" s="5">
        <v>45649</v>
      </c>
      <c r="K2527" s="6">
        <v>0.39047453703703705</v>
      </c>
    </row>
    <row r="2528" spans="1:11" x14ac:dyDescent="0.25">
      <c r="A2528" s="4">
        <v>10</v>
      </c>
      <c r="B2528" s="4" t="s">
        <v>11</v>
      </c>
      <c r="C2528" s="7">
        <v>30.86</v>
      </c>
      <c r="D2528" s="4" t="s">
        <v>19</v>
      </c>
      <c r="E2528" s="4" t="s">
        <v>13</v>
      </c>
      <c r="F2528" s="4" t="s">
        <v>25</v>
      </c>
      <c r="G2528" s="4" t="s">
        <v>39</v>
      </c>
      <c r="H2528" s="4">
        <v>1</v>
      </c>
      <c r="I2528" s="4">
        <v>12</v>
      </c>
      <c r="J2528" s="5">
        <v>45649</v>
      </c>
      <c r="K2528" s="6">
        <v>0.44586805555555553</v>
      </c>
    </row>
    <row r="2529" spans="1:11" x14ac:dyDescent="0.25">
      <c r="A2529" s="4">
        <v>11</v>
      </c>
      <c r="B2529" s="4" t="s">
        <v>11</v>
      </c>
      <c r="C2529" s="7">
        <v>35.76</v>
      </c>
      <c r="D2529" s="4" t="s">
        <v>29</v>
      </c>
      <c r="E2529" s="4" t="s">
        <v>13</v>
      </c>
      <c r="F2529" s="4" t="s">
        <v>25</v>
      </c>
      <c r="G2529" s="4" t="s">
        <v>39</v>
      </c>
      <c r="H2529" s="4">
        <v>1</v>
      </c>
      <c r="I2529" s="4">
        <v>12</v>
      </c>
      <c r="J2529" s="5">
        <v>45649</v>
      </c>
      <c r="K2529" s="6">
        <v>0.48326388888888888</v>
      </c>
    </row>
    <row r="2530" spans="1:11" x14ac:dyDescent="0.25">
      <c r="A2530" s="4">
        <v>14</v>
      </c>
      <c r="B2530" s="4" t="s">
        <v>11</v>
      </c>
      <c r="C2530" s="7">
        <v>35.76</v>
      </c>
      <c r="D2530" s="4" t="s">
        <v>12</v>
      </c>
      <c r="E2530" s="4" t="s">
        <v>17</v>
      </c>
      <c r="F2530" s="4" t="s">
        <v>25</v>
      </c>
      <c r="G2530" s="4" t="s">
        <v>39</v>
      </c>
      <c r="H2530" s="4">
        <v>1</v>
      </c>
      <c r="I2530" s="4">
        <v>12</v>
      </c>
      <c r="J2530" s="5">
        <v>45649</v>
      </c>
      <c r="K2530" s="6">
        <v>0.5871643518518519</v>
      </c>
    </row>
    <row r="2531" spans="1:11" x14ac:dyDescent="0.25">
      <c r="A2531" s="4">
        <v>15</v>
      </c>
      <c r="B2531" s="4" t="s">
        <v>11</v>
      </c>
      <c r="C2531" s="7">
        <v>30.86</v>
      </c>
      <c r="D2531" s="4" t="s">
        <v>19</v>
      </c>
      <c r="E2531" s="4" t="s">
        <v>17</v>
      </c>
      <c r="F2531" s="4" t="s">
        <v>25</v>
      </c>
      <c r="G2531" s="4" t="s">
        <v>39</v>
      </c>
      <c r="H2531" s="4">
        <v>1</v>
      </c>
      <c r="I2531" s="4">
        <v>12</v>
      </c>
      <c r="J2531" s="5">
        <v>45649</v>
      </c>
      <c r="K2531" s="6">
        <v>0.62526620370370367</v>
      </c>
    </row>
    <row r="2532" spans="1:11" x14ac:dyDescent="0.25">
      <c r="A2532" s="4">
        <v>16</v>
      </c>
      <c r="B2532" s="4" t="s">
        <v>11</v>
      </c>
      <c r="C2532" s="7">
        <v>35.76</v>
      </c>
      <c r="D2532" s="4" t="s">
        <v>12</v>
      </c>
      <c r="E2532" s="4" t="s">
        <v>17</v>
      </c>
      <c r="F2532" s="4" t="s">
        <v>25</v>
      </c>
      <c r="G2532" s="4" t="s">
        <v>39</v>
      </c>
      <c r="H2532" s="4">
        <v>1</v>
      </c>
      <c r="I2532" s="4">
        <v>12</v>
      </c>
      <c r="J2532" s="5">
        <v>45649</v>
      </c>
      <c r="K2532" s="6">
        <v>0.67696759259259254</v>
      </c>
    </row>
    <row r="2533" spans="1:11" x14ac:dyDescent="0.25">
      <c r="A2533" s="4">
        <v>17</v>
      </c>
      <c r="B2533" s="4" t="s">
        <v>11</v>
      </c>
      <c r="C2533" s="7">
        <v>25.96</v>
      </c>
      <c r="D2533" s="4" t="s">
        <v>24</v>
      </c>
      <c r="E2533" s="4" t="s">
        <v>20</v>
      </c>
      <c r="F2533" s="4" t="s">
        <v>25</v>
      </c>
      <c r="G2533" s="4" t="s">
        <v>39</v>
      </c>
      <c r="H2533" s="4">
        <v>1</v>
      </c>
      <c r="I2533" s="4">
        <v>12</v>
      </c>
      <c r="J2533" s="5">
        <v>45649</v>
      </c>
      <c r="K2533" s="6">
        <v>0.7231481481481481</v>
      </c>
    </row>
    <row r="2534" spans="1:11" x14ac:dyDescent="0.25">
      <c r="A2534" s="4">
        <v>17</v>
      </c>
      <c r="B2534" s="4" t="s">
        <v>11</v>
      </c>
      <c r="C2534" s="7">
        <v>35.76</v>
      </c>
      <c r="D2534" s="4" t="s">
        <v>12</v>
      </c>
      <c r="E2534" s="4" t="s">
        <v>20</v>
      </c>
      <c r="F2534" s="4" t="s">
        <v>25</v>
      </c>
      <c r="G2534" s="4" t="s">
        <v>39</v>
      </c>
      <c r="H2534" s="4">
        <v>1</v>
      </c>
      <c r="I2534" s="4">
        <v>12</v>
      </c>
      <c r="J2534" s="5">
        <v>45649</v>
      </c>
      <c r="K2534" s="6">
        <v>0.72407407407407409</v>
      </c>
    </row>
    <row r="2535" spans="1:11" x14ac:dyDescent="0.25">
      <c r="A2535" s="4">
        <v>20</v>
      </c>
      <c r="B2535" s="4" t="s">
        <v>11</v>
      </c>
      <c r="C2535" s="7">
        <v>25.96</v>
      </c>
      <c r="D2535" s="4" t="s">
        <v>24</v>
      </c>
      <c r="E2535" s="4" t="s">
        <v>20</v>
      </c>
      <c r="F2535" s="4" t="s">
        <v>25</v>
      </c>
      <c r="G2535" s="4" t="s">
        <v>39</v>
      </c>
      <c r="H2535" s="4">
        <v>1</v>
      </c>
      <c r="I2535" s="4">
        <v>12</v>
      </c>
      <c r="J2535" s="5">
        <v>45649</v>
      </c>
      <c r="K2535" s="6">
        <v>0.86535879629629631</v>
      </c>
    </row>
    <row r="2536" spans="1:11" x14ac:dyDescent="0.25">
      <c r="A2536" s="4">
        <v>15</v>
      </c>
      <c r="B2536" s="4" t="s">
        <v>11</v>
      </c>
      <c r="C2536" s="7">
        <v>30.86</v>
      </c>
      <c r="D2536" s="4" t="s">
        <v>19</v>
      </c>
      <c r="E2536" s="4" t="s">
        <v>17</v>
      </c>
      <c r="F2536" s="4" t="s">
        <v>27</v>
      </c>
      <c r="G2536" s="4" t="s">
        <v>39</v>
      </c>
      <c r="H2536" s="4">
        <v>2</v>
      </c>
      <c r="I2536" s="4">
        <v>12</v>
      </c>
      <c r="J2536" s="5">
        <v>45650</v>
      </c>
      <c r="K2536" s="6">
        <v>0.63244212962962965</v>
      </c>
    </row>
    <row r="2537" spans="1:11" x14ac:dyDescent="0.25">
      <c r="A2537" s="4">
        <v>16</v>
      </c>
      <c r="B2537" s="4" t="s">
        <v>11</v>
      </c>
      <c r="C2537" s="7">
        <v>35.76</v>
      </c>
      <c r="D2537" s="4" t="s">
        <v>16</v>
      </c>
      <c r="E2537" s="4" t="s">
        <v>17</v>
      </c>
      <c r="F2537" s="4" t="s">
        <v>27</v>
      </c>
      <c r="G2537" s="4" t="s">
        <v>39</v>
      </c>
      <c r="H2537" s="4">
        <v>2</v>
      </c>
      <c r="I2537" s="4">
        <v>12</v>
      </c>
      <c r="J2537" s="5">
        <v>45650</v>
      </c>
      <c r="K2537" s="6">
        <v>0.67266203703703709</v>
      </c>
    </row>
    <row r="2538" spans="1:11" x14ac:dyDescent="0.25">
      <c r="A2538" s="4">
        <v>17</v>
      </c>
      <c r="B2538" s="4" t="s">
        <v>11</v>
      </c>
      <c r="C2538" s="7">
        <v>25.96</v>
      </c>
      <c r="D2538" s="4" t="s">
        <v>24</v>
      </c>
      <c r="E2538" s="4" t="s">
        <v>20</v>
      </c>
      <c r="F2538" s="4" t="s">
        <v>27</v>
      </c>
      <c r="G2538" s="4" t="s">
        <v>39</v>
      </c>
      <c r="H2538" s="4">
        <v>2</v>
      </c>
      <c r="I2538" s="4">
        <v>12</v>
      </c>
      <c r="J2538" s="5">
        <v>45650</v>
      </c>
      <c r="K2538" s="6">
        <v>0.74685185185185188</v>
      </c>
    </row>
    <row r="2539" spans="1:11" x14ac:dyDescent="0.25">
      <c r="A2539" s="4">
        <v>19</v>
      </c>
      <c r="B2539" s="4" t="s">
        <v>11</v>
      </c>
      <c r="C2539" s="7">
        <v>35.76</v>
      </c>
      <c r="D2539" s="4" t="s">
        <v>16</v>
      </c>
      <c r="E2539" s="4" t="s">
        <v>20</v>
      </c>
      <c r="F2539" s="4" t="s">
        <v>27</v>
      </c>
      <c r="G2539" s="4" t="s">
        <v>39</v>
      </c>
      <c r="H2539" s="4">
        <v>2</v>
      </c>
      <c r="I2539" s="4">
        <v>12</v>
      </c>
      <c r="J2539" s="5">
        <v>45650</v>
      </c>
      <c r="K2539" s="6">
        <v>0.79902777777777778</v>
      </c>
    </row>
    <row r="2540" spans="1:11" x14ac:dyDescent="0.25">
      <c r="A2540" s="4">
        <v>19</v>
      </c>
      <c r="B2540" s="4" t="s">
        <v>11</v>
      </c>
      <c r="C2540" s="7">
        <v>35.76</v>
      </c>
      <c r="D2540" s="4" t="s">
        <v>12</v>
      </c>
      <c r="E2540" s="4" t="s">
        <v>20</v>
      </c>
      <c r="F2540" s="4" t="s">
        <v>27</v>
      </c>
      <c r="G2540" s="4" t="s">
        <v>39</v>
      </c>
      <c r="H2540" s="4">
        <v>2</v>
      </c>
      <c r="I2540" s="4">
        <v>12</v>
      </c>
      <c r="J2540" s="5">
        <v>45650</v>
      </c>
      <c r="K2540" s="6">
        <v>0.79972222222222222</v>
      </c>
    </row>
    <row r="2541" spans="1:11" x14ac:dyDescent="0.25">
      <c r="A2541" s="4">
        <v>19</v>
      </c>
      <c r="B2541" s="4" t="s">
        <v>11</v>
      </c>
      <c r="C2541" s="7">
        <v>21.06</v>
      </c>
      <c r="D2541" s="4" t="s">
        <v>26</v>
      </c>
      <c r="E2541" s="4" t="s">
        <v>20</v>
      </c>
      <c r="F2541" s="4" t="s">
        <v>27</v>
      </c>
      <c r="G2541" s="4" t="s">
        <v>39</v>
      </c>
      <c r="H2541" s="4">
        <v>2</v>
      </c>
      <c r="I2541" s="4">
        <v>12</v>
      </c>
      <c r="J2541" s="5">
        <v>45650</v>
      </c>
      <c r="K2541" s="6">
        <v>0.80039351851851848</v>
      </c>
    </row>
    <row r="2542" spans="1:11" x14ac:dyDescent="0.25">
      <c r="A2542" s="4">
        <v>19</v>
      </c>
      <c r="B2542" s="4" t="s">
        <v>11</v>
      </c>
      <c r="C2542" s="7">
        <v>35.76</v>
      </c>
      <c r="D2542" s="4" t="s">
        <v>29</v>
      </c>
      <c r="E2542" s="4" t="s">
        <v>20</v>
      </c>
      <c r="F2542" s="4" t="s">
        <v>27</v>
      </c>
      <c r="G2542" s="4" t="s">
        <v>39</v>
      </c>
      <c r="H2542" s="4">
        <v>2</v>
      </c>
      <c r="I2542" s="4">
        <v>12</v>
      </c>
      <c r="J2542" s="5">
        <v>45650</v>
      </c>
      <c r="K2542" s="6">
        <v>0.81668981481481484</v>
      </c>
    </row>
    <row r="2543" spans="1:11" x14ac:dyDescent="0.25">
      <c r="A2543" s="4">
        <v>10</v>
      </c>
      <c r="B2543" s="4" t="s">
        <v>11</v>
      </c>
      <c r="C2543" s="7">
        <v>35.76</v>
      </c>
      <c r="D2543" s="4" t="s">
        <v>12</v>
      </c>
      <c r="E2543" s="4" t="s">
        <v>13</v>
      </c>
      <c r="F2543" s="4" t="s">
        <v>28</v>
      </c>
      <c r="G2543" s="4" t="s">
        <v>39</v>
      </c>
      <c r="H2543" s="4">
        <v>3</v>
      </c>
      <c r="I2543" s="4">
        <v>12</v>
      </c>
      <c r="J2543" s="5">
        <v>45651</v>
      </c>
      <c r="K2543" s="6">
        <v>0.44717592592592592</v>
      </c>
    </row>
    <row r="2544" spans="1:11" x14ac:dyDescent="0.25">
      <c r="A2544" s="4">
        <v>10</v>
      </c>
      <c r="B2544" s="4" t="s">
        <v>11</v>
      </c>
      <c r="C2544" s="7">
        <v>35.76</v>
      </c>
      <c r="D2544" s="4" t="s">
        <v>12</v>
      </c>
      <c r="E2544" s="4" t="s">
        <v>13</v>
      </c>
      <c r="F2544" s="4" t="s">
        <v>28</v>
      </c>
      <c r="G2544" s="4" t="s">
        <v>39</v>
      </c>
      <c r="H2544" s="4">
        <v>3</v>
      </c>
      <c r="I2544" s="4">
        <v>12</v>
      </c>
      <c r="J2544" s="5">
        <v>45651</v>
      </c>
      <c r="K2544" s="6">
        <v>0.44793981481481482</v>
      </c>
    </row>
    <row r="2545" spans="1:11" x14ac:dyDescent="0.25">
      <c r="A2545" s="4">
        <v>12</v>
      </c>
      <c r="B2545" s="4" t="s">
        <v>11</v>
      </c>
      <c r="C2545" s="7">
        <v>30.86</v>
      </c>
      <c r="D2545" s="4" t="s">
        <v>19</v>
      </c>
      <c r="E2545" s="4" t="s">
        <v>17</v>
      </c>
      <c r="F2545" s="4" t="s">
        <v>28</v>
      </c>
      <c r="G2545" s="4" t="s">
        <v>39</v>
      </c>
      <c r="H2545" s="4">
        <v>3</v>
      </c>
      <c r="I2545" s="4">
        <v>12</v>
      </c>
      <c r="J2545" s="5">
        <v>45651</v>
      </c>
      <c r="K2545" s="6">
        <v>0.52434027777777781</v>
      </c>
    </row>
    <row r="2546" spans="1:11" x14ac:dyDescent="0.25">
      <c r="A2546" s="4">
        <v>12</v>
      </c>
      <c r="B2546" s="4" t="s">
        <v>11</v>
      </c>
      <c r="C2546" s="7">
        <v>25.96</v>
      </c>
      <c r="D2546" s="4" t="s">
        <v>18</v>
      </c>
      <c r="E2546" s="4" t="s">
        <v>17</v>
      </c>
      <c r="F2546" s="4" t="s">
        <v>28</v>
      </c>
      <c r="G2546" s="4" t="s">
        <v>39</v>
      </c>
      <c r="H2546" s="4">
        <v>3</v>
      </c>
      <c r="I2546" s="4">
        <v>12</v>
      </c>
      <c r="J2546" s="5">
        <v>45651</v>
      </c>
      <c r="K2546" s="6">
        <v>0.52500000000000002</v>
      </c>
    </row>
    <row r="2547" spans="1:11" x14ac:dyDescent="0.25">
      <c r="A2547" s="4">
        <v>13</v>
      </c>
      <c r="B2547" s="4" t="s">
        <v>11</v>
      </c>
      <c r="C2547" s="7">
        <v>30.86</v>
      </c>
      <c r="D2547" s="4" t="s">
        <v>19</v>
      </c>
      <c r="E2547" s="4" t="s">
        <v>17</v>
      </c>
      <c r="F2547" s="4" t="s">
        <v>28</v>
      </c>
      <c r="G2547" s="4" t="s">
        <v>39</v>
      </c>
      <c r="H2547" s="4">
        <v>3</v>
      </c>
      <c r="I2547" s="4">
        <v>12</v>
      </c>
      <c r="J2547" s="5">
        <v>45651</v>
      </c>
      <c r="K2547" s="6">
        <v>0.55359953703703701</v>
      </c>
    </row>
    <row r="2548" spans="1:11" x14ac:dyDescent="0.25">
      <c r="A2548" s="4">
        <v>13</v>
      </c>
      <c r="B2548" s="4" t="s">
        <v>11</v>
      </c>
      <c r="C2548" s="7">
        <v>25.96</v>
      </c>
      <c r="D2548" s="4" t="s">
        <v>18</v>
      </c>
      <c r="E2548" s="4" t="s">
        <v>17</v>
      </c>
      <c r="F2548" s="4" t="s">
        <v>28</v>
      </c>
      <c r="G2548" s="4" t="s">
        <v>39</v>
      </c>
      <c r="H2548" s="4">
        <v>3</v>
      </c>
      <c r="I2548" s="4">
        <v>12</v>
      </c>
      <c r="J2548" s="5">
        <v>45651</v>
      </c>
      <c r="K2548" s="6">
        <v>0.56443287037037038</v>
      </c>
    </row>
    <row r="2549" spans="1:11" x14ac:dyDescent="0.25">
      <c r="A2549" s="4">
        <v>20</v>
      </c>
      <c r="B2549" s="4" t="s">
        <v>11</v>
      </c>
      <c r="C2549" s="7">
        <v>35.76</v>
      </c>
      <c r="D2549" s="4" t="s">
        <v>29</v>
      </c>
      <c r="E2549" s="4" t="s">
        <v>20</v>
      </c>
      <c r="F2549" s="4" t="s">
        <v>28</v>
      </c>
      <c r="G2549" s="4" t="s">
        <v>39</v>
      </c>
      <c r="H2549" s="4">
        <v>3</v>
      </c>
      <c r="I2549" s="4">
        <v>12</v>
      </c>
      <c r="J2549" s="5">
        <v>45651</v>
      </c>
      <c r="K2549" s="6">
        <v>0.83518518518518514</v>
      </c>
    </row>
    <row r="2550" spans="1:11" x14ac:dyDescent="0.25">
      <c r="A2550" s="4">
        <v>21</v>
      </c>
      <c r="B2550" s="4" t="s">
        <v>11</v>
      </c>
      <c r="C2550" s="7">
        <v>35.76</v>
      </c>
      <c r="D2550" s="4" t="s">
        <v>21</v>
      </c>
      <c r="E2550" s="4" t="s">
        <v>20</v>
      </c>
      <c r="F2550" s="4" t="s">
        <v>28</v>
      </c>
      <c r="G2550" s="4" t="s">
        <v>39</v>
      </c>
      <c r="H2550" s="4">
        <v>3</v>
      </c>
      <c r="I2550" s="4">
        <v>12</v>
      </c>
      <c r="J2550" s="5">
        <v>45651</v>
      </c>
      <c r="K2550" s="6">
        <v>0.88806712962962964</v>
      </c>
    </row>
    <row r="2551" spans="1:11" x14ac:dyDescent="0.25">
      <c r="A2551" s="4">
        <v>21</v>
      </c>
      <c r="B2551" s="4" t="s">
        <v>11</v>
      </c>
      <c r="C2551" s="7">
        <v>35.76</v>
      </c>
      <c r="D2551" s="4" t="s">
        <v>21</v>
      </c>
      <c r="E2551" s="4" t="s">
        <v>20</v>
      </c>
      <c r="F2551" s="4" t="s">
        <v>28</v>
      </c>
      <c r="G2551" s="4" t="s">
        <v>39</v>
      </c>
      <c r="H2551" s="4">
        <v>3</v>
      </c>
      <c r="I2551" s="4">
        <v>12</v>
      </c>
      <c r="J2551" s="5">
        <v>45651</v>
      </c>
      <c r="K2551" s="6">
        <v>0.88868055555555558</v>
      </c>
    </row>
    <row r="2552" spans="1:11" x14ac:dyDescent="0.25">
      <c r="A2552" s="4">
        <v>21</v>
      </c>
      <c r="B2552" s="4" t="s">
        <v>11</v>
      </c>
      <c r="C2552" s="7">
        <v>35.76</v>
      </c>
      <c r="D2552" s="4" t="s">
        <v>12</v>
      </c>
      <c r="E2552" s="4" t="s">
        <v>20</v>
      </c>
      <c r="F2552" s="4" t="s">
        <v>28</v>
      </c>
      <c r="G2552" s="4" t="s">
        <v>39</v>
      </c>
      <c r="H2552" s="4">
        <v>3</v>
      </c>
      <c r="I2552" s="4">
        <v>12</v>
      </c>
      <c r="J2552" s="5">
        <v>45651</v>
      </c>
      <c r="K2552" s="6">
        <v>0.91493055555555558</v>
      </c>
    </row>
    <row r="2553" spans="1:11" x14ac:dyDescent="0.25">
      <c r="A2553" s="4">
        <v>22</v>
      </c>
      <c r="B2553" s="4" t="s">
        <v>11</v>
      </c>
      <c r="C2553" s="7">
        <v>35.76</v>
      </c>
      <c r="D2553" s="4" t="s">
        <v>29</v>
      </c>
      <c r="E2553" s="4" t="s">
        <v>20</v>
      </c>
      <c r="F2553" s="4" t="s">
        <v>28</v>
      </c>
      <c r="G2553" s="4" t="s">
        <v>39</v>
      </c>
      <c r="H2553" s="4">
        <v>3</v>
      </c>
      <c r="I2553" s="4">
        <v>12</v>
      </c>
      <c r="J2553" s="5">
        <v>45651</v>
      </c>
      <c r="K2553" s="6">
        <v>0.95210648148148147</v>
      </c>
    </row>
    <row r="2554" spans="1:11" x14ac:dyDescent="0.25">
      <c r="A2554" s="4">
        <v>22</v>
      </c>
      <c r="B2554" s="4" t="s">
        <v>11</v>
      </c>
      <c r="C2554" s="7">
        <v>30.86</v>
      </c>
      <c r="D2554" s="4" t="s">
        <v>19</v>
      </c>
      <c r="E2554" s="4" t="s">
        <v>20</v>
      </c>
      <c r="F2554" s="4" t="s">
        <v>28</v>
      </c>
      <c r="G2554" s="4" t="s">
        <v>39</v>
      </c>
      <c r="H2554" s="4">
        <v>3</v>
      </c>
      <c r="I2554" s="4">
        <v>12</v>
      </c>
      <c r="J2554" s="5">
        <v>45651</v>
      </c>
      <c r="K2554" s="6">
        <v>0.95354166666666662</v>
      </c>
    </row>
    <row r="2555" spans="1:11" x14ac:dyDescent="0.25">
      <c r="A2555" s="4">
        <v>13</v>
      </c>
      <c r="B2555" s="4" t="s">
        <v>11</v>
      </c>
      <c r="C2555" s="7">
        <v>35.76</v>
      </c>
      <c r="D2555" s="4" t="s">
        <v>29</v>
      </c>
      <c r="E2555" s="4" t="s">
        <v>17</v>
      </c>
      <c r="F2555" s="4" t="s">
        <v>30</v>
      </c>
      <c r="G2555" s="4" t="s">
        <v>39</v>
      </c>
      <c r="H2555" s="4">
        <v>4</v>
      </c>
      <c r="I2555" s="4">
        <v>12</v>
      </c>
      <c r="J2555" s="5">
        <v>45652</v>
      </c>
      <c r="K2555" s="6">
        <v>0.5504282407407407</v>
      </c>
    </row>
    <row r="2556" spans="1:11" x14ac:dyDescent="0.25">
      <c r="A2556" s="4">
        <v>15</v>
      </c>
      <c r="B2556" s="4" t="s">
        <v>11</v>
      </c>
      <c r="C2556" s="7">
        <v>21.06</v>
      </c>
      <c r="D2556" s="4" t="s">
        <v>26</v>
      </c>
      <c r="E2556" s="4" t="s">
        <v>17</v>
      </c>
      <c r="F2556" s="4" t="s">
        <v>30</v>
      </c>
      <c r="G2556" s="4" t="s">
        <v>39</v>
      </c>
      <c r="H2556" s="4">
        <v>4</v>
      </c>
      <c r="I2556" s="4">
        <v>12</v>
      </c>
      <c r="J2556" s="5">
        <v>45652</v>
      </c>
      <c r="K2556" s="6">
        <v>0.62817129629629631</v>
      </c>
    </row>
    <row r="2557" spans="1:11" x14ac:dyDescent="0.25">
      <c r="A2557" s="4">
        <v>7</v>
      </c>
      <c r="B2557" s="4" t="s">
        <v>11</v>
      </c>
      <c r="C2557" s="7">
        <v>25.96</v>
      </c>
      <c r="D2557" s="4" t="s">
        <v>18</v>
      </c>
      <c r="E2557" s="4" t="s">
        <v>13</v>
      </c>
      <c r="F2557" s="4" t="s">
        <v>14</v>
      </c>
      <c r="G2557" s="4" t="s">
        <v>39</v>
      </c>
      <c r="H2557" s="4">
        <v>5</v>
      </c>
      <c r="I2557" s="4">
        <v>12</v>
      </c>
      <c r="J2557" s="5">
        <v>45653</v>
      </c>
      <c r="K2557" s="6">
        <v>0.32662037037037039</v>
      </c>
    </row>
    <row r="2558" spans="1:11" x14ac:dyDescent="0.25">
      <c r="A2558" s="4">
        <v>8</v>
      </c>
      <c r="B2558" s="4" t="s">
        <v>11</v>
      </c>
      <c r="C2558" s="7">
        <v>25.96</v>
      </c>
      <c r="D2558" s="4" t="s">
        <v>24</v>
      </c>
      <c r="E2558" s="4" t="s">
        <v>13</v>
      </c>
      <c r="F2558" s="4" t="s">
        <v>14</v>
      </c>
      <c r="G2558" s="4" t="s">
        <v>39</v>
      </c>
      <c r="H2558" s="4">
        <v>5</v>
      </c>
      <c r="I2558" s="4">
        <v>12</v>
      </c>
      <c r="J2558" s="5">
        <v>45653</v>
      </c>
      <c r="K2558" s="6">
        <v>0.37335648148148148</v>
      </c>
    </row>
    <row r="2559" spans="1:11" x14ac:dyDescent="0.25">
      <c r="A2559" s="4">
        <v>9</v>
      </c>
      <c r="B2559" s="4" t="s">
        <v>11</v>
      </c>
      <c r="C2559" s="7">
        <v>25.96</v>
      </c>
      <c r="D2559" s="4" t="s">
        <v>24</v>
      </c>
      <c r="E2559" s="4" t="s">
        <v>13</v>
      </c>
      <c r="F2559" s="4" t="s">
        <v>14</v>
      </c>
      <c r="G2559" s="4" t="s">
        <v>39</v>
      </c>
      <c r="H2559" s="4">
        <v>5</v>
      </c>
      <c r="I2559" s="4">
        <v>12</v>
      </c>
      <c r="J2559" s="5">
        <v>45653</v>
      </c>
      <c r="K2559" s="6">
        <v>0.38188657407407406</v>
      </c>
    </row>
    <row r="2560" spans="1:11" x14ac:dyDescent="0.25">
      <c r="A2560" s="4">
        <v>10</v>
      </c>
      <c r="B2560" s="4" t="s">
        <v>11</v>
      </c>
      <c r="C2560" s="7">
        <v>30.86</v>
      </c>
      <c r="D2560" s="4" t="s">
        <v>19</v>
      </c>
      <c r="E2560" s="4" t="s">
        <v>13</v>
      </c>
      <c r="F2560" s="4" t="s">
        <v>14</v>
      </c>
      <c r="G2560" s="4" t="s">
        <v>39</v>
      </c>
      <c r="H2560" s="4">
        <v>5</v>
      </c>
      <c r="I2560" s="4">
        <v>12</v>
      </c>
      <c r="J2560" s="5">
        <v>45653</v>
      </c>
      <c r="K2560" s="6">
        <v>0.42561342592592594</v>
      </c>
    </row>
    <row r="2561" spans="1:11" x14ac:dyDescent="0.25">
      <c r="A2561" s="4">
        <v>17</v>
      </c>
      <c r="B2561" s="4" t="s">
        <v>11</v>
      </c>
      <c r="C2561" s="7">
        <v>35.76</v>
      </c>
      <c r="D2561" s="4" t="s">
        <v>12</v>
      </c>
      <c r="E2561" s="4" t="s">
        <v>20</v>
      </c>
      <c r="F2561" s="4" t="s">
        <v>14</v>
      </c>
      <c r="G2561" s="4" t="s">
        <v>39</v>
      </c>
      <c r="H2561" s="4">
        <v>5</v>
      </c>
      <c r="I2561" s="4">
        <v>12</v>
      </c>
      <c r="J2561" s="5">
        <v>45653</v>
      </c>
      <c r="K2561" s="6">
        <v>0.71671296296296294</v>
      </c>
    </row>
    <row r="2562" spans="1:11" x14ac:dyDescent="0.25">
      <c r="A2562" s="4">
        <v>19</v>
      </c>
      <c r="B2562" s="4" t="s">
        <v>11</v>
      </c>
      <c r="C2562" s="7">
        <v>25.96</v>
      </c>
      <c r="D2562" s="4" t="s">
        <v>18</v>
      </c>
      <c r="E2562" s="4" t="s">
        <v>20</v>
      </c>
      <c r="F2562" s="4" t="s">
        <v>14</v>
      </c>
      <c r="G2562" s="4" t="s">
        <v>39</v>
      </c>
      <c r="H2562" s="4">
        <v>5</v>
      </c>
      <c r="I2562" s="4">
        <v>12</v>
      </c>
      <c r="J2562" s="5">
        <v>45653</v>
      </c>
      <c r="K2562" s="6">
        <v>0.82461805555555556</v>
      </c>
    </row>
    <row r="2563" spans="1:11" x14ac:dyDescent="0.25">
      <c r="A2563" s="4">
        <v>19</v>
      </c>
      <c r="B2563" s="4" t="s">
        <v>11</v>
      </c>
      <c r="C2563" s="7">
        <v>30.86</v>
      </c>
      <c r="D2563" s="4" t="s">
        <v>19</v>
      </c>
      <c r="E2563" s="4" t="s">
        <v>20</v>
      </c>
      <c r="F2563" s="4" t="s">
        <v>14</v>
      </c>
      <c r="G2563" s="4" t="s">
        <v>39</v>
      </c>
      <c r="H2563" s="4">
        <v>5</v>
      </c>
      <c r="I2563" s="4">
        <v>12</v>
      </c>
      <c r="J2563" s="5">
        <v>45653</v>
      </c>
      <c r="K2563" s="6">
        <v>0.82524305555555555</v>
      </c>
    </row>
    <row r="2564" spans="1:11" x14ac:dyDescent="0.25">
      <c r="A2564" s="4">
        <v>22</v>
      </c>
      <c r="B2564" s="4" t="s">
        <v>11</v>
      </c>
      <c r="C2564" s="7">
        <v>35.76</v>
      </c>
      <c r="D2564" s="4" t="s">
        <v>21</v>
      </c>
      <c r="E2564" s="4" t="s">
        <v>20</v>
      </c>
      <c r="F2564" s="4" t="s">
        <v>14</v>
      </c>
      <c r="G2564" s="4" t="s">
        <v>39</v>
      </c>
      <c r="H2564" s="4">
        <v>5</v>
      </c>
      <c r="I2564" s="4">
        <v>12</v>
      </c>
      <c r="J2564" s="5">
        <v>45653</v>
      </c>
      <c r="K2564" s="6">
        <v>0.95453703703703707</v>
      </c>
    </row>
    <row r="2565" spans="1:11" x14ac:dyDescent="0.25">
      <c r="A2565" s="4">
        <v>9</v>
      </c>
      <c r="B2565" s="4" t="s">
        <v>11</v>
      </c>
      <c r="C2565" s="7">
        <v>25.96</v>
      </c>
      <c r="D2565" s="4" t="s">
        <v>24</v>
      </c>
      <c r="E2565" s="4" t="s">
        <v>13</v>
      </c>
      <c r="F2565" s="4" t="s">
        <v>22</v>
      </c>
      <c r="G2565" s="4" t="s">
        <v>39</v>
      </c>
      <c r="H2565" s="4">
        <v>6</v>
      </c>
      <c r="I2565" s="4">
        <v>12</v>
      </c>
      <c r="J2565" s="5">
        <v>45654</v>
      </c>
      <c r="K2565" s="6">
        <v>0.37526620370370373</v>
      </c>
    </row>
    <row r="2566" spans="1:11" x14ac:dyDescent="0.25">
      <c r="A2566" s="4">
        <v>9</v>
      </c>
      <c r="B2566" s="4" t="s">
        <v>11</v>
      </c>
      <c r="C2566" s="7">
        <v>25.96</v>
      </c>
      <c r="D2566" s="4" t="s">
        <v>24</v>
      </c>
      <c r="E2566" s="4" t="s">
        <v>13</v>
      </c>
      <c r="F2566" s="4" t="s">
        <v>22</v>
      </c>
      <c r="G2566" s="4" t="s">
        <v>39</v>
      </c>
      <c r="H2566" s="4">
        <v>6</v>
      </c>
      <c r="I2566" s="4">
        <v>12</v>
      </c>
      <c r="J2566" s="5">
        <v>45654</v>
      </c>
      <c r="K2566" s="6">
        <v>0.41015046296296298</v>
      </c>
    </row>
    <row r="2567" spans="1:11" x14ac:dyDescent="0.25">
      <c r="A2567" s="4">
        <v>10</v>
      </c>
      <c r="B2567" s="4" t="s">
        <v>11</v>
      </c>
      <c r="C2567" s="7">
        <v>30.86</v>
      </c>
      <c r="D2567" s="4" t="s">
        <v>19</v>
      </c>
      <c r="E2567" s="4" t="s">
        <v>13</v>
      </c>
      <c r="F2567" s="4" t="s">
        <v>22</v>
      </c>
      <c r="G2567" s="4" t="s">
        <v>39</v>
      </c>
      <c r="H2567" s="4">
        <v>6</v>
      </c>
      <c r="I2567" s="4">
        <v>12</v>
      </c>
      <c r="J2567" s="5">
        <v>45654</v>
      </c>
      <c r="K2567" s="6">
        <v>0.42967592592592591</v>
      </c>
    </row>
    <row r="2568" spans="1:11" x14ac:dyDescent="0.25">
      <c r="A2568" s="4">
        <v>10</v>
      </c>
      <c r="B2568" s="4" t="s">
        <v>11</v>
      </c>
      <c r="C2568" s="7">
        <v>35.76</v>
      </c>
      <c r="D2568" s="4" t="s">
        <v>12</v>
      </c>
      <c r="E2568" s="4" t="s">
        <v>13</v>
      </c>
      <c r="F2568" s="4" t="s">
        <v>22</v>
      </c>
      <c r="G2568" s="4" t="s">
        <v>39</v>
      </c>
      <c r="H2568" s="4">
        <v>6</v>
      </c>
      <c r="I2568" s="4">
        <v>12</v>
      </c>
      <c r="J2568" s="5">
        <v>45654</v>
      </c>
      <c r="K2568" s="6">
        <v>0.45281250000000001</v>
      </c>
    </row>
    <row r="2569" spans="1:11" x14ac:dyDescent="0.25">
      <c r="A2569" s="4">
        <v>14</v>
      </c>
      <c r="B2569" s="4" t="s">
        <v>11</v>
      </c>
      <c r="C2569" s="7">
        <v>35.76</v>
      </c>
      <c r="D2569" s="4" t="s">
        <v>29</v>
      </c>
      <c r="E2569" s="4" t="s">
        <v>17</v>
      </c>
      <c r="F2569" s="4" t="s">
        <v>22</v>
      </c>
      <c r="G2569" s="4" t="s">
        <v>39</v>
      </c>
      <c r="H2569" s="4">
        <v>6</v>
      </c>
      <c r="I2569" s="4">
        <v>12</v>
      </c>
      <c r="J2569" s="5">
        <v>45654</v>
      </c>
      <c r="K2569" s="6">
        <v>0.59028935185185183</v>
      </c>
    </row>
    <row r="2570" spans="1:11" x14ac:dyDescent="0.25">
      <c r="A2570" s="4">
        <v>14</v>
      </c>
      <c r="B2570" s="4" t="s">
        <v>11</v>
      </c>
      <c r="C2570" s="7">
        <v>35.76</v>
      </c>
      <c r="D2570" s="4" t="s">
        <v>16</v>
      </c>
      <c r="E2570" s="4" t="s">
        <v>17</v>
      </c>
      <c r="F2570" s="4" t="s">
        <v>22</v>
      </c>
      <c r="G2570" s="4" t="s">
        <v>39</v>
      </c>
      <c r="H2570" s="4">
        <v>6</v>
      </c>
      <c r="I2570" s="4">
        <v>12</v>
      </c>
      <c r="J2570" s="5">
        <v>45654</v>
      </c>
      <c r="K2570" s="6">
        <v>0.59255787037037033</v>
      </c>
    </row>
    <row r="2571" spans="1:11" x14ac:dyDescent="0.25">
      <c r="A2571" s="4">
        <v>17</v>
      </c>
      <c r="B2571" s="4" t="s">
        <v>11</v>
      </c>
      <c r="C2571" s="7">
        <v>35.76</v>
      </c>
      <c r="D2571" s="4" t="s">
        <v>12</v>
      </c>
      <c r="E2571" s="4" t="s">
        <v>20</v>
      </c>
      <c r="F2571" s="4" t="s">
        <v>22</v>
      </c>
      <c r="G2571" s="4" t="s">
        <v>39</v>
      </c>
      <c r="H2571" s="4">
        <v>6</v>
      </c>
      <c r="I2571" s="4">
        <v>12</v>
      </c>
      <c r="J2571" s="5">
        <v>45654</v>
      </c>
      <c r="K2571" s="6">
        <v>0.72476851851851853</v>
      </c>
    </row>
    <row r="2572" spans="1:11" x14ac:dyDescent="0.25">
      <c r="A2572" s="4">
        <v>22</v>
      </c>
      <c r="B2572" s="4" t="s">
        <v>11</v>
      </c>
      <c r="C2572" s="7">
        <v>35.76</v>
      </c>
      <c r="D2572" s="4" t="s">
        <v>29</v>
      </c>
      <c r="E2572" s="4" t="s">
        <v>20</v>
      </c>
      <c r="F2572" s="4" t="s">
        <v>22</v>
      </c>
      <c r="G2572" s="4" t="s">
        <v>39</v>
      </c>
      <c r="H2572" s="4">
        <v>6</v>
      </c>
      <c r="I2572" s="4">
        <v>12</v>
      </c>
      <c r="J2572" s="5">
        <v>45654</v>
      </c>
      <c r="K2572" s="6">
        <v>0.92431712962962964</v>
      </c>
    </row>
    <row r="2573" spans="1:11" x14ac:dyDescent="0.25">
      <c r="A2573" s="4">
        <v>13</v>
      </c>
      <c r="B2573" s="4" t="s">
        <v>11</v>
      </c>
      <c r="C2573" s="7">
        <v>25.96</v>
      </c>
      <c r="D2573" s="4" t="s">
        <v>24</v>
      </c>
      <c r="E2573" s="4" t="s">
        <v>17</v>
      </c>
      <c r="F2573" s="4" t="s">
        <v>23</v>
      </c>
      <c r="G2573" s="4" t="s">
        <v>39</v>
      </c>
      <c r="H2573" s="4">
        <v>7</v>
      </c>
      <c r="I2573" s="4">
        <v>12</v>
      </c>
      <c r="J2573" s="5">
        <v>45655</v>
      </c>
      <c r="K2573" s="6">
        <v>0.57379629629629625</v>
      </c>
    </row>
    <row r="2574" spans="1:11" x14ac:dyDescent="0.25">
      <c r="A2574" s="4">
        <v>15</v>
      </c>
      <c r="B2574" s="4" t="s">
        <v>11</v>
      </c>
      <c r="C2574" s="7">
        <v>21.06</v>
      </c>
      <c r="D2574" s="4" t="s">
        <v>26</v>
      </c>
      <c r="E2574" s="4" t="s">
        <v>17</v>
      </c>
      <c r="F2574" s="4" t="s">
        <v>23</v>
      </c>
      <c r="G2574" s="4" t="s">
        <v>39</v>
      </c>
      <c r="H2574" s="4">
        <v>7</v>
      </c>
      <c r="I2574" s="4">
        <v>12</v>
      </c>
      <c r="J2574" s="5">
        <v>45655</v>
      </c>
      <c r="K2574" s="6">
        <v>0.62807870370370367</v>
      </c>
    </row>
    <row r="2575" spans="1:11" x14ac:dyDescent="0.25">
      <c r="A2575" s="4">
        <v>15</v>
      </c>
      <c r="B2575" s="4" t="s">
        <v>11</v>
      </c>
      <c r="C2575" s="7">
        <v>25.96</v>
      </c>
      <c r="D2575" s="4" t="s">
        <v>18</v>
      </c>
      <c r="E2575" s="4" t="s">
        <v>17</v>
      </c>
      <c r="F2575" s="4" t="s">
        <v>23</v>
      </c>
      <c r="G2575" s="4" t="s">
        <v>39</v>
      </c>
      <c r="H2575" s="4">
        <v>7</v>
      </c>
      <c r="I2575" s="4">
        <v>12</v>
      </c>
      <c r="J2575" s="5">
        <v>45655</v>
      </c>
      <c r="K2575" s="6">
        <v>0.62865740740740739</v>
      </c>
    </row>
    <row r="2576" spans="1:11" x14ac:dyDescent="0.25">
      <c r="A2576" s="4">
        <v>17</v>
      </c>
      <c r="B2576" s="4" t="s">
        <v>11</v>
      </c>
      <c r="C2576" s="7">
        <v>25.96</v>
      </c>
      <c r="D2576" s="4" t="s">
        <v>24</v>
      </c>
      <c r="E2576" s="4" t="s">
        <v>20</v>
      </c>
      <c r="F2576" s="4" t="s">
        <v>23</v>
      </c>
      <c r="G2576" s="4" t="s">
        <v>39</v>
      </c>
      <c r="H2576" s="4">
        <v>7</v>
      </c>
      <c r="I2576" s="4">
        <v>12</v>
      </c>
      <c r="J2576" s="5">
        <v>45655</v>
      </c>
      <c r="K2576" s="6">
        <v>0.72921296296296301</v>
      </c>
    </row>
    <row r="2577" spans="1:11" x14ac:dyDescent="0.25">
      <c r="A2577" s="4">
        <v>17</v>
      </c>
      <c r="B2577" s="4" t="s">
        <v>11</v>
      </c>
      <c r="C2577" s="7">
        <v>21.06</v>
      </c>
      <c r="D2577" s="4" t="s">
        <v>26</v>
      </c>
      <c r="E2577" s="4" t="s">
        <v>20</v>
      </c>
      <c r="F2577" s="4" t="s">
        <v>23</v>
      </c>
      <c r="G2577" s="4" t="s">
        <v>39</v>
      </c>
      <c r="H2577" s="4">
        <v>7</v>
      </c>
      <c r="I2577" s="4">
        <v>12</v>
      </c>
      <c r="J2577" s="5">
        <v>45655</v>
      </c>
      <c r="K2577" s="6">
        <v>0.73039351851851853</v>
      </c>
    </row>
    <row r="2578" spans="1:11" x14ac:dyDescent="0.25">
      <c r="A2578" s="4">
        <v>19</v>
      </c>
      <c r="B2578" s="4" t="s">
        <v>11</v>
      </c>
      <c r="C2578" s="7">
        <v>25.96</v>
      </c>
      <c r="D2578" s="4" t="s">
        <v>24</v>
      </c>
      <c r="E2578" s="4" t="s">
        <v>20</v>
      </c>
      <c r="F2578" s="4" t="s">
        <v>23</v>
      </c>
      <c r="G2578" s="4" t="s">
        <v>39</v>
      </c>
      <c r="H2578" s="4">
        <v>7</v>
      </c>
      <c r="I2578" s="4">
        <v>12</v>
      </c>
      <c r="J2578" s="5">
        <v>45655</v>
      </c>
      <c r="K2578" s="6">
        <v>0.82480324074074074</v>
      </c>
    </row>
    <row r="2579" spans="1:11" x14ac:dyDescent="0.25">
      <c r="A2579" s="4">
        <v>20</v>
      </c>
      <c r="B2579" s="4" t="s">
        <v>11</v>
      </c>
      <c r="C2579" s="7">
        <v>35.76</v>
      </c>
      <c r="D2579" s="4" t="s">
        <v>16</v>
      </c>
      <c r="E2579" s="4" t="s">
        <v>20</v>
      </c>
      <c r="F2579" s="4" t="s">
        <v>23</v>
      </c>
      <c r="G2579" s="4" t="s">
        <v>39</v>
      </c>
      <c r="H2579" s="4">
        <v>7</v>
      </c>
      <c r="I2579" s="4">
        <v>12</v>
      </c>
      <c r="J2579" s="5">
        <v>45655</v>
      </c>
      <c r="K2579" s="6">
        <v>0.85131944444444441</v>
      </c>
    </row>
    <row r="2580" spans="1:11" x14ac:dyDescent="0.25">
      <c r="A2580" s="4">
        <v>21</v>
      </c>
      <c r="B2580" s="4" t="s">
        <v>11</v>
      </c>
      <c r="C2580" s="7">
        <v>35.76</v>
      </c>
      <c r="D2580" s="4" t="s">
        <v>12</v>
      </c>
      <c r="E2580" s="4" t="s">
        <v>20</v>
      </c>
      <c r="F2580" s="4" t="s">
        <v>23</v>
      </c>
      <c r="G2580" s="4" t="s">
        <v>39</v>
      </c>
      <c r="H2580" s="4">
        <v>7</v>
      </c>
      <c r="I2580" s="4">
        <v>12</v>
      </c>
      <c r="J2580" s="5">
        <v>45655</v>
      </c>
      <c r="K2580" s="6">
        <v>0.88702546296296292</v>
      </c>
    </row>
    <row r="2581" spans="1:11" x14ac:dyDescent="0.25">
      <c r="A2581" s="4">
        <v>9</v>
      </c>
      <c r="B2581" s="4" t="s">
        <v>11</v>
      </c>
      <c r="C2581" s="7">
        <v>25.96</v>
      </c>
      <c r="D2581" s="4" t="s">
        <v>24</v>
      </c>
      <c r="E2581" s="4" t="s">
        <v>13</v>
      </c>
      <c r="F2581" s="4" t="s">
        <v>25</v>
      </c>
      <c r="G2581" s="4" t="s">
        <v>39</v>
      </c>
      <c r="H2581" s="4">
        <v>1</v>
      </c>
      <c r="I2581" s="4">
        <v>12</v>
      </c>
      <c r="J2581" s="5">
        <v>45656</v>
      </c>
      <c r="K2581" s="6">
        <v>0.37689814814814815</v>
      </c>
    </row>
    <row r="2582" spans="1:11" x14ac:dyDescent="0.25">
      <c r="A2582" s="4">
        <v>9</v>
      </c>
      <c r="B2582" s="4" t="s">
        <v>11</v>
      </c>
      <c r="C2582" s="7">
        <v>30.86</v>
      </c>
      <c r="D2582" s="4" t="s">
        <v>19</v>
      </c>
      <c r="E2582" s="4" t="s">
        <v>13</v>
      </c>
      <c r="F2582" s="4" t="s">
        <v>25</v>
      </c>
      <c r="G2582" s="4" t="s">
        <v>39</v>
      </c>
      <c r="H2582" s="4">
        <v>1</v>
      </c>
      <c r="I2582" s="4">
        <v>12</v>
      </c>
      <c r="J2582" s="5">
        <v>45656</v>
      </c>
      <c r="K2582" s="6">
        <v>0.40568287037037037</v>
      </c>
    </row>
    <row r="2583" spans="1:11" x14ac:dyDescent="0.25">
      <c r="A2583" s="4">
        <v>13</v>
      </c>
      <c r="B2583" s="4" t="s">
        <v>11</v>
      </c>
      <c r="C2583" s="7">
        <v>35.76</v>
      </c>
      <c r="D2583" s="4" t="s">
        <v>12</v>
      </c>
      <c r="E2583" s="4" t="s">
        <v>17</v>
      </c>
      <c r="F2583" s="4" t="s">
        <v>25</v>
      </c>
      <c r="G2583" s="4" t="s">
        <v>39</v>
      </c>
      <c r="H2583" s="4">
        <v>1</v>
      </c>
      <c r="I2583" s="4">
        <v>12</v>
      </c>
      <c r="J2583" s="5">
        <v>45656</v>
      </c>
      <c r="K2583" s="6">
        <v>0.57813657407407404</v>
      </c>
    </row>
    <row r="2584" spans="1:11" x14ac:dyDescent="0.25">
      <c r="A2584" s="4">
        <v>13</v>
      </c>
      <c r="B2584" s="4" t="s">
        <v>11</v>
      </c>
      <c r="C2584" s="7">
        <v>35.76</v>
      </c>
      <c r="D2584" s="4" t="s">
        <v>16</v>
      </c>
      <c r="E2584" s="4" t="s">
        <v>17</v>
      </c>
      <c r="F2584" s="4" t="s">
        <v>25</v>
      </c>
      <c r="G2584" s="4" t="s">
        <v>39</v>
      </c>
      <c r="H2584" s="4">
        <v>1</v>
      </c>
      <c r="I2584" s="4">
        <v>12</v>
      </c>
      <c r="J2584" s="5">
        <v>45656</v>
      </c>
      <c r="K2584" s="6">
        <v>0.57892361111111112</v>
      </c>
    </row>
    <row r="2585" spans="1:11" x14ac:dyDescent="0.25">
      <c r="A2585" s="4">
        <v>15</v>
      </c>
      <c r="B2585" s="4" t="s">
        <v>11</v>
      </c>
      <c r="C2585" s="7">
        <v>35.76</v>
      </c>
      <c r="D2585" s="4" t="s">
        <v>12</v>
      </c>
      <c r="E2585" s="4" t="s">
        <v>17</v>
      </c>
      <c r="F2585" s="4" t="s">
        <v>25</v>
      </c>
      <c r="G2585" s="4" t="s">
        <v>39</v>
      </c>
      <c r="H2585" s="4">
        <v>1</v>
      </c>
      <c r="I2585" s="4">
        <v>12</v>
      </c>
      <c r="J2585" s="5">
        <v>45656</v>
      </c>
      <c r="K2585" s="6">
        <v>0.63385416666666672</v>
      </c>
    </row>
    <row r="2586" spans="1:11" x14ac:dyDescent="0.25">
      <c r="A2586" s="4">
        <v>15</v>
      </c>
      <c r="B2586" s="4" t="s">
        <v>11</v>
      </c>
      <c r="C2586" s="7">
        <v>30.86</v>
      </c>
      <c r="D2586" s="4" t="s">
        <v>19</v>
      </c>
      <c r="E2586" s="4" t="s">
        <v>17</v>
      </c>
      <c r="F2586" s="4" t="s">
        <v>25</v>
      </c>
      <c r="G2586" s="4" t="s">
        <v>39</v>
      </c>
      <c r="H2586" s="4">
        <v>1</v>
      </c>
      <c r="I2586" s="4">
        <v>12</v>
      </c>
      <c r="J2586" s="5">
        <v>45656</v>
      </c>
      <c r="K2586" s="6">
        <v>0.63446759259259256</v>
      </c>
    </row>
    <row r="2587" spans="1:11" x14ac:dyDescent="0.25">
      <c r="A2587" s="4">
        <v>16</v>
      </c>
      <c r="B2587" s="4" t="s">
        <v>11</v>
      </c>
      <c r="C2587" s="7">
        <v>30.86</v>
      </c>
      <c r="D2587" s="4" t="s">
        <v>19</v>
      </c>
      <c r="E2587" s="4" t="s">
        <v>17</v>
      </c>
      <c r="F2587" s="4" t="s">
        <v>25</v>
      </c>
      <c r="G2587" s="4" t="s">
        <v>39</v>
      </c>
      <c r="H2587" s="4">
        <v>1</v>
      </c>
      <c r="I2587" s="4">
        <v>12</v>
      </c>
      <c r="J2587" s="5">
        <v>45656</v>
      </c>
      <c r="K2587" s="6">
        <v>0.68741898148148151</v>
      </c>
    </row>
    <row r="2588" spans="1:11" x14ac:dyDescent="0.25">
      <c r="A2588" s="4">
        <v>16</v>
      </c>
      <c r="B2588" s="4" t="s">
        <v>11</v>
      </c>
      <c r="C2588" s="7">
        <v>25.96</v>
      </c>
      <c r="D2588" s="4" t="s">
        <v>18</v>
      </c>
      <c r="E2588" s="4" t="s">
        <v>17</v>
      </c>
      <c r="F2588" s="4" t="s">
        <v>25</v>
      </c>
      <c r="G2588" s="4" t="s">
        <v>39</v>
      </c>
      <c r="H2588" s="4">
        <v>1</v>
      </c>
      <c r="I2588" s="4">
        <v>12</v>
      </c>
      <c r="J2588" s="5">
        <v>45656</v>
      </c>
      <c r="K2588" s="6">
        <v>0.68851851851851853</v>
      </c>
    </row>
    <row r="2589" spans="1:11" x14ac:dyDescent="0.25">
      <c r="A2589" s="4">
        <v>16</v>
      </c>
      <c r="B2589" s="4" t="s">
        <v>11</v>
      </c>
      <c r="C2589" s="7">
        <v>35.76</v>
      </c>
      <c r="D2589" s="4" t="s">
        <v>29</v>
      </c>
      <c r="E2589" s="4" t="s">
        <v>17</v>
      </c>
      <c r="F2589" s="4" t="s">
        <v>25</v>
      </c>
      <c r="G2589" s="4" t="s">
        <v>39</v>
      </c>
      <c r="H2589" s="4">
        <v>1</v>
      </c>
      <c r="I2589" s="4">
        <v>12</v>
      </c>
      <c r="J2589" s="5">
        <v>45656</v>
      </c>
      <c r="K2589" s="6">
        <v>0.69218749999999996</v>
      </c>
    </row>
    <row r="2590" spans="1:11" x14ac:dyDescent="0.25">
      <c r="A2590" s="4">
        <v>8</v>
      </c>
      <c r="B2590" s="4" t="s">
        <v>11</v>
      </c>
      <c r="C2590" s="7">
        <v>25.96</v>
      </c>
      <c r="D2590" s="4" t="s">
        <v>24</v>
      </c>
      <c r="E2590" s="4" t="s">
        <v>13</v>
      </c>
      <c r="F2590" s="4" t="s">
        <v>27</v>
      </c>
      <c r="G2590" s="4" t="s">
        <v>39</v>
      </c>
      <c r="H2590" s="4">
        <v>2</v>
      </c>
      <c r="I2590" s="4">
        <v>12</v>
      </c>
      <c r="J2590" s="5">
        <v>45657</v>
      </c>
      <c r="K2590" s="6">
        <v>0.3697685185185185</v>
      </c>
    </row>
    <row r="2591" spans="1:11" x14ac:dyDescent="0.25">
      <c r="A2591" s="4">
        <v>9</v>
      </c>
      <c r="B2591" s="4" t="s">
        <v>11</v>
      </c>
      <c r="C2591" s="7">
        <v>35.76</v>
      </c>
      <c r="D2591" s="4" t="s">
        <v>29</v>
      </c>
      <c r="E2591" s="4" t="s">
        <v>13</v>
      </c>
      <c r="F2591" s="4" t="s">
        <v>27</v>
      </c>
      <c r="G2591" s="4" t="s">
        <v>39</v>
      </c>
      <c r="H2591" s="4">
        <v>2</v>
      </c>
      <c r="I2591" s="4">
        <v>12</v>
      </c>
      <c r="J2591" s="5">
        <v>45657</v>
      </c>
      <c r="K2591" s="6">
        <v>0.40057870370370369</v>
      </c>
    </row>
    <row r="2592" spans="1:11" x14ac:dyDescent="0.25">
      <c r="A2592" s="4">
        <v>9</v>
      </c>
      <c r="B2592" s="4" t="s">
        <v>11</v>
      </c>
      <c r="C2592" s="7">
        <v>25.96</v>
      </c>
      <c r="D2592" s="4" t="s">
        <v>24</v>
      </c>
      <c r="E2592" s="4" t="s">
        <v>13</v>
      </c>
      <c r="F2592" s="4" t="s">
        <v>27</v>
      </c>
      <c r="G2592" s="4" t="s">
        <v>39</v>
      </c>
      <c r="H2592" s="4">
        <v>2</v>
      </c>
      <c r="I2592" s="4">
        <v>12</v>
      </c>
      <c r="J2592" s="5">
        <v>45657</v>
      </c>
      <c r="K2592" s="6">
        <v>0.40255787037037039</v>
      </c>
    </row>
    <row r="2593" spans="1:11" x14ac:dyDescent="0.25">
      <c r="A2593" s="4">
        <v>9</v>
      </c>
      <c r="B2593" s="4" t="s">
        <v>11</v>
      </c>
      <c r="C2593" s="7">
        <v>35.76</v>
      </c>
      <c r="D2593" s="4" t="s">
        <v>21</v>
      </c>
      <c r="E2593" s="4" t="s">
        <v>13</v>
      </c>
      <c r="F2593" s="4" t="s">
        <v>27</v>
      </c>
      <c r="G2593" s="4" t="s">
        <v>39</v>
      </c>
      <c r="H2593" s="4">
        <v>2</v>
      </c>
      <c r="I2593" s="4">
        <v>12</v>
      </c>
      <c r="J2593" s="5">
        <v>45657</v>
      </c>
      <c r="K2593" s="6">
        <v>0.40657407407407409</v>
      </c>
    </row>
    <row r="2594" spans="1:11" x14ac:dyDescent="0.25">
      <c r="A2594" s="4">
        <v>10</v>
      </c>
      <c r="B2594" s="4" t="s">
        <v>11</v>
      </c>
      <c r="C2594" s="7">
        <v>30.86</v>
      </c>
      <c r="D2594" s="4" t="s">
        <v>19</v>
      </c>
      <c r="E2594" s="4" t="s">
        <v>13</v>
      </c>
      <c r="F2594" s="4" t="s">
        <v>27</v>
      </c>
      <c r="G2594" s="4" t="s">
        <v>39</v>
      </c>
      <c r="H2594" s="4">
        <v>2</v>
      </c>
      <c r="I2594" s="4">
        <v>12</v>
      </c>
      <c r="J2594" s="5">
        <v>45657</v>
      </c>
      <c r="K2594" s="6">
        <v>0.43532407407407409</v>
      </c>
    </row>
    <row r="2595" spans="1:11" x14ac:dyDescent="0.25">
      <c r="A2595" s="4">
        <v>10</v>
      </c>
      <c r="B2595" s="4" t="s">
        <v>11</v>
      </c>
      <c r="C2595" s="7">
        <v>30.86</v>
      </c>
      <c r="D2595" s="4" t="s">
        <v>19</v>
      </c>
      <c r="E2595" s="4" t="s">
        <v>13</v>
      </c>
      <c r="F2595" s="4" t="s">
        <v>27</v>
      </c>
      <c r="G2595" s="4" t="s">
        <v>39</v>
      </c>
      <c r="H2595" s="4">
        <v>2</v>
      </c>
      <c r="I2595" s="4">
        <v>12</v>
      </c>
      <c r="J2595" s="5">
        <v>45657</v>
      </c>
      <c r="K2595" s="6">
        <v>0.43712962962962965</v>
      </c>
    </row>
    <row r="2596" spans="1:11" x14ac:dyDescent="0.25">
      <c r="A2596" s="4">
        <v>11</v>
      </c>
      <c r="B2596" s="4" t="s">
        <v>11</v>
      </c>
      <c r="C2596" s="7">
        <v>35.76</v>
      </c>
      <c r="D2596" s="4" t="s">
        <v>29</v>
      </c>
      <c r="E2596" s="4" t="s">
        <v>13</v>
      </c>
      <c r="F2596" s="4" t="s">
        <v>27</v>
      </c>
      <c r="G2596" s="4" t="s">
        <v>39</v>
      </c>
      <c r="H2596" s="4">
        <v>2</v>
      </c>
      <c r="I2596" s="4">
        <v>12</v>
      </c>
      <c r="J2596" s="5">
        <v>45657</v>
      </c>
      <c r="K2596" s="6">
        <v>0.46631944444444445</v>
      </c>
    </row>
    <row r="2597" spans="1:11" x14ac:dyDescent="0.25">
      <c r="A2597" s="4">
        <v>11</v>
      </c>
      <c r="B2597" s="4" t="s">
        <v>11</v>
      </c>
      <c r="C2597" s="7">
        <v>30.86</v>
      </c>
      <c r="D2597" s="4" t="s">
        <v>19</v>
      </c>
      <c r="E2597" s="4" t="s">
        <v>13</v>
      </c>
      <c r="F2597" s="4" t="s">
        <v>27</v>
      </c>
      <c r="G2597" s="4" t="s">
        <v>39</v>
      </c>
      <c r="H2597" s="4">
        <v>2</v>
      </c>
      <c r="I2597" s="4">
        <v>12</v>
      </c>
      <c r="J2597" s="5">
        <v>45657</v>
      </c>
      <c r="K2597" s="6">
        <v>0.46715277777777775</v>
      </c>
    </row>
    <row r="2598" spans="1:11" x14ac:dyDescent="0.25">
      <c r="A2598" s="4">
        <v>15</v>
      </c>
      <c r="B2598" s="4" t="s">
        <v>11</v>
      </c>
      <c r="C2598" s="7">
        <v>21.06</v>
      </c>
      <c r="D2598" s="4" t="s">
        <v>26</v>
      </c>
      <c r="E2598" s="4" t="s">
        <v>17</v>
      </c>
      <c r="F2598" s="4" t="s">
        <v>27</v>
      </c>
      <c r="G2598" s="4" t="s">
        <v>39</v>
      </c>
      <c r="H2598" s="4">
        <v>2</v>
      </c>
      <c r="I2598" s="4">
        <v>12</v>
      </c>
      <c r="J2598" s="5">
        <v>45657</v>
      </c>
      <c r="K2598" s="6">
        <v>0.65432870370370366</v>
      </c>
    </row>
    <row r="2599" spans="1:11" x14ac:dyDescent="0.25">
      <c r="A2599" s="4">
        <v>15</v>
      </c>
      <c r="B2599" s="4" t="s">
        <v>11</v>
      </c>
      <c r="C2599" s="7">
        <v>25.96</v>
      </c>
      <c r="D2599" s="4" t="s">
        <v>18</v>
      </c>
      <c r="E2599" s="4" t="s">
        <v>17</v>
      </c>
      <c r="F2599" s="4" t="s">
        <v>27</v>
      </c>
      <c r="G2599" s="4" t="s">
        <v>39</v>
      </c>
      <c r="H2599" s="4">
        <v>2</v>
      </c>
      <c r="I2599" s="4">
        <v>12</v>
      </c>
      <c r="J2599" s="5">
        <v>45657</v>
      </c>
      <c r="K2599" s="6">
        <v>0.65501157407407407</v>
      </c>
    </row>
    <row r="2600" spans="1:11" x14ac:dyDescent="0.25">
      <c r="A2600" s="4">
        <v>16</v>
      </c>
      <c r="B2600" s="4" t="s">
        <v>11</v>
      </c>
      <c r="C2600" s="7">
        <v>35.76</v>
      </c>
      <c r="D2600" s="4" t="s">
        <v>29</v>
      </c>
      <c r="E2600" s="4" t="s">
        <v>17</v>
      </c>
      <c r="F2600" s="4" t="s">
        <v>27</v>
      </c>
      <c r="G2600" s="4" t="s">
        <v>39</v>
      </c>
      <c r="H2600" s="4">
        <v>2</v>
      </c>
      <c r="I2600" s="4">
        <v>12</v>
      </c>
      <c r="J2600" s="5">
        <v>45657</v>
      </c>
      <c r="K2600" s="6">
        <v>0.67173611111111109</v>
      </c>
    </row>
    <row r="2601" spans="1:11" x14ac:dyDescent="0.25">
      <c r="A2601" s="4">
        <v>17</v>
      </c>
      <c r="B2601" s="4" t="s">
        <v>11</v>
      </c>
      <c r="C2601" s="7">
        <v>35.76</v>
      </c>
      <c r="D2601" s="4" t="s">
        <v>12</v>
      </c>
      <c r="E2601" s="4" t="s">
        <v>20</v>
      </c>
      <c r="F2601" s="4" t="s">
        <v>27</v>
      </c>
      <c r="G2601" s="4" t="s">
        <v>39</v>
      </c>
      <c r="H2601" s="4">
        <v>2</v>
      </c>
      <c r="I2601" s="4">
        <v>12</v>
      </c>
      <c r="J2601" s="5">
        <v>45657</v>
      </c>
      <c r="K2601" s="6">
        <v>0.71547453703703701</v>
      </c>
    </row>
    <row r="2602" spans="1:11" x14ac:dyDescent="0.25">
      <c r="A2602" s="4">
        <v>17</v>
      </c>
      <c r="B2602" s="4" t="s">
        <v>11</v>
      </c>
      <c r="C2602" s="7">
        <v>30.86</v>
      </c>
      <c r="D2602" s="4" t="s">
        <v>19</v>
      </c>
      <c r="E2602" s="4" t="s">
        <v>20</v>
      </c>
      <c r="F2602" s="4" t="s">
        <v>27</v>
      </c>
      <c r="G2602" s="4" t="s">
        <v>39</v>
      </c>
      <c r="H2602" s="4">
        <v>2</v>
      </c>
      <c r="I2602" s="4">
        <v>12</v>
      </c>
      <c r="J2602" s="5">
        <v>45657</v>
      </c>
      <c r="K2602" s="6">
        <v>0.72976851851851854</v>
      </c>
    </row>
    <row r="2603" spans="1:11" x14ac:dyDescent="0.25">
      <c r="A2603" s="4">
        <v>17</v>
      </c>
      <c r="B2603" s="4" t="s">
        <v>11</v>
      </c>
      <c r="C2603" s="7">
        <v>35.76</v>
      </c>
      <c r="D2603" s="4" t="s">
        <v>29</v>
      </c>
      <c r="E2603" s="4" t="s">
        <v>20</v>
      </c>
      <c r="F2603" s="4" t="s">
        <v>27</v>
      </c>
      <c r="G2603" s="4" t="s">
        <v>39</v>
      </c>
      <c r="H2603" s="4">
        <v>2</v>
      </c>
      <c r="I2603" s="4">
        <v>12</v>
      </c>
      <c r="J2603" s="5">
        <v>45657</v>
      </c>
      <c r="K2603" s="6">
        <v>0.73041666666666671</v>
      </c>
    </row>
    <row r="2604" spans="1:11" x14ac:dyDescent="0.25">
      <c r="A2604" s="4">
        <v>19</v>
      </c>
      <c r="B2604" s="4" t="s">
        <v>11</v>
      </c>
      <c r="C2604" s="7">
        <v>35.76</v>
      </c>
      <c r="D2604" s="4" t="s">
        <v>12</v>
      </c>
      <c r="E2604" s="4" t="s">
        <v>20</v>
      </c>
      <c r="F2604" s="4" t="s">
        <v>27</v>
      </c>
      <c r="G2604" s="4" t="s">
        <v>39</v>
      </c>
      <c r="H2604" s="4">
        <v>2</v>
      </c>
      <c r="I2604" s="4">
        <v>12</v>
      </c>
      <c r="J2604" s="5">
        <v>45657</v>
      </c>
      <c r="K2604" s="6">
        <v>0.79681712962962958</v>
      </c>
    </row>
    <row r="2605" spans="1:11" x14ac:dyDescent="0.25">
      <c r="A2605" s="4">
        <v>19</v>
      </c>
      <c r="B2605" s="4" t="s">
        <v>11</v>
      </c>
      <c r="C2605" s="7">
        <v>35.76</v>
      </c>
      <c r="D2605" s="4" t="s">
        <v>16</v>
      </c>
      <c r="E2605" s="4" t="s">
        <v>20</v>
      </c>
      <c r="F2605" s="4" t="s">
        <v>27</v>
      </c>
      <c r="G2605" s="4" t="s">
        <v>39</v>
      </c>
      <c r="H2605" s="4">
        <v>2</v>
      </c>
      <c r="I2605" s="4">
        <v>12</v>
      </c>
      <c r="J2605" s="5">
        <v>45657</v>
      </c>
      <c r="K2605" s="6">
        <v>0.79766203703703709</v>
      </c>
    </row>
    <row r="2606" spans="1:11" x14ac:dyDescent="0.25">
      <c r="A2606" s="4">
        <v>9</v>
      </c>
      <c r="B2606" s="4" t="s">
        <v>11</v>
      </c>
      <c r="C2606" s="7">
        <v>30.86</v>
      </c>
      <c r="D2606" s="4" t="s">
        <v>19</v>
      </c>
      <c r="E2606" s="4" t="s">
        <v>13</v>
      </c>
      <c r="F2606" s="4" t="s">
        <v>30</v>
      </c>
      <c r="G2606" s="4" t="s">
        <v>40</v>
      </c>
      <c r="H2606" s="4">
        <v>4</v>
      </c>
      <c r="I2606" s="4">
        <v>1</v>
      </c>
      <c r="J2606" s="5">
        <v>45659</v>
      </c>
      <c r="K2606" s="6">
        <v>0.41533564814814816</v>
      </c>
    </row>
    <row r="2607" spans="1:11" x14ac:dyDescent="0.25">
      <c r="A2607" s="4">
        <v>13</v>
      </c>
      <c r="B2607" s="4" t="s">
        <v>11</v>
      </c>
      <c r="C2607" s="7">
        <v>35.76</v>
      </c>
      <c r="D2607" s="4" t="s">
        <v>21</v>
      </c>
      <c r="E2607" s="4" t="s">
        <v>17</v>
      </c>
      <c r="F2607" s="4" t="s">
        <v>30</v>
      </c>
      <c r="G2607" s="4" t="s">
        <v>40</v>
      </c>
      <c r="H2607" s="4">
        <v>4</v>
      </c>
      <c r="I2607" s="4">
        <v>1</v>
      </c>
      <c r="J2607" s="5">
        <v>45659</v>
      </c>
      <c r="K2607" s="6">
        <v>0.56226851851851856</v>
      </c>
    </row>
    <row r="2608" spans="1:11" x14ac:dyDescent="0.25">
      <c r="A2608" s="4">
        <v>13</v>
      </c>
      <c r="B2608" s="4" t="s">
        <v>11</v>
      </c>
      <c r="C2608" s="7">
        <v>35.76</v>
      </c>
      <c r="D2608" s="4" t="s">
        <v>21</v>
      </c>
      <c r="E2608" s="4" t="s">
        <v>17</v>
      </c>
      <c r="F2608" s="4" t="s">
        <v>30</v>
      </c>
      <c r="G2608" s="4" t="s">
        <v>40</v>
      </c>
      <c r="H2608" s="4">
        <v>4</v>
      </c>
      <c r="I2608" s="4">
        <v>1</v>
      </c>
      <c r="J2608" s="5">
        <v>45659</v>
      </c>
      <c r="K2608" s="6">
        <v>0.56293981481481481</v>
      </c>
    </row>
    <row r="2609" spans="1:11" x14ac:dyDescent="0.25">
      <c r="A2609" s="4">
        <v>14</v>
      </c>
      <c r="B2609" s="4" t="s">
        <v>11</v>
      </c>
      <c r="C2609" s="7">
        <v>25.96</v>
      </c>
      <c r="D2609" s="4" t="s">
        <v>24</v>
      </c>
      <c r="E2609" s="4" t="s">
        <v>17</v>
      </c>
      <c r="F2609" s="4" t="s">
        <v>30</v>
      </c>
      <c r="G2609" s="4" t="s">
        <v>40</v>
      </c>
      <c r="H2609" s="4">
        <v>4</v>
      </c>
      <c r="I2609" s="4">
        <v>1</v>
      </c>
      <c r="J2609" s="5">
        <v>45659</v>
      </c>
      <c r="K2609" s="6">
        <v>0.61192129629629632</v>
      </c>
    </row>
    <row r="2610" spans="1:11" x14ac:dyDescent="0.25">
      <c r="A2610" s="4">
        <v>14</v>
      </c>
      <c r="B2610" s="4" t="s">
        <v>11</v>
      </c>
      <c r="C2610" s="7">
        <v>25.96</v>
      </c>
      <c r="D2610" s="4" t="s">
        <v>24</v>
      </c>
      <c r="E2610" s="4" t="s">
        <v>17</v>
      </c>
      <c r="F2610" s="4" t="s">
        <v>30</v>
      </c>
      <c r="G2610" s="4" t="s">
        <v>40</v>
      </c>
      <c r="H2610" s="4">
        <v>4</v>
      </c>
      <c r="I2610" s="4">
        <v>1</v>
      </c>
      <c r="J2610" s="5">
        <v>45659</v>
      </c>
      <c r="K2610" s="6">
        <v>0.61302083333333335</v>
      </c>
    </row>
    <row r="2611" spans="1:11" x14ac:dyDescent="0.25">
      <c r="A2611" s="4">
        <v>16</v>
      </c>
      <c r="B2611" s="4" t="s">
        <v>11</v>
      </c>
      <c r="C2611" s="7">
        <v>25.96</v>
      </c>
      <c r="D2611" s="4" t="s">
        <v>18</v>
      </c>
      <c r="E2611" s="4" t="s">
        <v>17</v>
      </c>
      <c r="F2611" s="4" t="s">
        <v>30</v>
      </c>
      <c r="G2611" s="4" t="s">
        <v>40</v>
      </c>
      <c r="H2611" s="4">
        <v>4</v>
      </c>
      <c r="I2611" s="4">
        <v>1</v>
      </c>
      <c r="J2611" s="5">
        <v>45659</v>
      </c>
      <c r="K2611" s="6">
        <v>0.68231481481481482</v>
      </c>
    </row>
    <row r="2612" spans="1:11" x14ac:dyDescent="0.25">
      <c r="A2612" s="4">
        <v>16</v>
      </c>
      <c r="B2612" s="4" t="s">
        <v>11</v>
      </c>
      <c r="C2612" s="7">
        <v>35.76</v>
      </c>
      <c r="D2612" s="4" t="s">
        <v>16</v>
      </c>
      <c r="E2612" s="4" t="s">
        <v>17</v>
      </c>
      <c r="F2612" s="4" t="s">
        <v>30</v>
      </c>
      <c r="G2612" s="4" t="s">
        <v>40</v>
      </c>
      <c r="H2612" s="4">
        <v>4</v>
      </c>
      <c r="I2612" s="4">
        <v>1</v>
      </c>
      <c r="J2612" s="5">
        <v>45659</v>
      </c>
      <c r="K2612" s="6">
        <v>0.69096064814814817</v>
      </c>
    </row>
    <row r="2613" spans="1:11" x14ac:dyDescent="0.25">
      <c r="A2613" s="4">
        <v>16</v>
      </c>
      <c r="B2613" s="4" t="s">
        <v>11</v>
      </c>
      <c r="C2613" s="7">
        <v>30.86</v>
      </c>
      <c r="D2613" s="4" t="s">
        <v>19</v>
      </c>
      <c r="E2613" s="4" t="s">
        <v>17</v>
      </c>
      <c r="F2613" s="4" t="s">
        <v>30</v>
      </c>
      <c r="G2613" s="4" t="s">
        <v>40</v>
      </c>
      <c r="H2613" s="4">
        <v>4</v>
      </c>
      <c r="I2613" s="4">
        <v>1</v>
      </c>
      <c r="J2613" s="5">
        <v>45659</v>
      </c>
      <c r="K2613" s="6">
        <v>0.69148148148148147</v>
      </c>
    </row>
    <row r="2614" spans="1:11" x14ac:dyDescent="0.25">
      <c r="A2614" s="4">
        <v>17</v>
      </c>
      <c r="B2614" s="4" t="s">
        <v>11</v>
      </c>
      <c r="C2614" s="7">
        <v>35.76</v>
      </c>
      <c r="D2614" s="4" t="s">
        <v>29</v>
      </c>
      <c r="E2614" s="4" t="s">
        <v>20</v>
      </c>
      <c r="F2614" s="4" t="s">
        <v>30</v>
      </c>
      <c r="G2614" s="4" t="s">
        <v>40</v>
      </c>
      <c r="H2614" s="4">
        <v>4</v>
      </c>
      <c r="I2614" s="4">
        <v>1</v>
      </c>
      <c r="J2614" s="5">
        <v>45659</v>
      </c>
      <c r="K2614" s="6">
        <v>0.73831018518518521</v>
      </c>
    </row>
    <row r="2615" spans="1:11" x14ac:dyDescent="0.25">
      <c r="A2615" s="4">
        <v>9</v>
      </c>
      <c r="B2615" s="4" t="s">
        <v>11</v>
      </c>
      <c r="C2615" s="7">
        <v>25.96</v>
      </c>
      <c r="D2615" s="4" t="s">
        <v>24</v>
      </c>
      <c r="E2615" s="4" t="s">
        <v>13</v>
      </c>
      <c r="F2615" s="4" t="s">
        <v>14</v>
      </c>
      <c r="G2615" s="4" t="s">
        <v>40</v>
      </c>
      <c r="H2615" s="4">
        <v>5</v>
      </c>
      <c r="I2615" s="4">
        <v>1</v>
      </c>
      <c r="J2615" s="5">
        <v>45660</v>
      </c>
      <c r="K2615" s="6">
        <v>0.37733796296296296</v>
      </c>
    </row>
    <row r="2616" spans="1:11" x14ac:dyDescent="0.25">
      <c r="A2616" s="4">
        <v>10</v>
      </c>
      <c r="B2616" s="4" t="s">
        <v>11</v>
      </c>
      <c r="C2616" s="7">
        <v>30.86</v>
      </c>
      <c r="D2616" s="4" t="s">
        <v>19</v>
      </c>
      <c r="E2616" s="4" t="s">
        <v>13</v>
      </c>
      <c r="F2616" s="4" t="s">
        <v>14</v>
      </c>
      <c r="G2616" s="4" t="s">
        <v>40</v>
      </c>
      <c r="H2616" s="4">
        <v>5</v>
      </c>
      <c r="I2616" s="4">
        <v>1</v>
      </c>
      <c r="J2616" s="5">
        <v>45660</v>
      </c>
      <c r="K2616" s="6">
        <v>0.42395833333333333</v>
      </c>
    </row>
    <row r="2617" spans="1:11" x14ac:dyDescent="0.25">
      <c r="A2617" s="4">
        <v>16</v>
      </c>
      <c r="B2617" s="4" t="s">
        <v>11</v>
      </c>
      <c r="C2617" s="7">
        <v>30.86</v>
      </c>
      <c r="D2617" s="4" t="s">
        <v>19</v>
      </c>
      <c r="E2617" s="4" t="s">
        <v>17</v>
      </c>
      <c r="F2617" s="4" t="s">
        <v>14</v>
      </c>
      <c r="G2617" s="4" t="s">
        <v>40</v>
      </c>
      <c r="H2617" s="4">
        <v>5</v>
      </c>
      <c r="I2617" s="4">
        <v>1</v>
      </c>
      <c r="J2617" s="5">
        <v>45660</v>
      </c>
      <c r="K2617" s="6">
        <v>0.70704861111111106</v>
      </c>
    </row>
    <row r="2618" spans="1:11" x14ac:dyDescent="0.25">
      <c r="A2618" s="4">
        <v>22</v>
      </c>
      <c r="B2618" s="4" t="s">
        <v>11</v>
      </c>
      <c r="C2618" s="7">
        <v>35.76</v>
      </c>
      <c r="D2618" s="4" t="s">
        <v>29</v>
      </c>
      <c r="E2618" s="4" t="s">
        <v>20</v>
      </c>
      <c r="F2618" s="4" t="s">
        <v>14</v>
      </c>
      <c r="G2618" s="4" t="s">
        <v>40</v>
      </c>
      <c r="H2618" s="4">
        <v>5</v>
      </c>
      <c r="I2618" s="4">
        <v>1</v>
      </c>
      <c r="J2618" s="5">
        <v>45660</v>
      </c>
      <c r="K2618" s="6">
        <v>0.92601851851851846</v>
      </c>
    </row>
    <row r="2619" spans="1:11" x14ac:dyDescent="0.25">
      <c r="A2619" s="4">
        <v>22</v>
      </c>
      <c r="B2619" s="4" t="s">
        <v>11</v>
      </c>
      <c r="C2619" s="7">
        <v>25.96</v>
      </c>
      <c r="D2619" s="4" t="s">
        <v>18</v>
      </c>
      <c r="E2619" s="4" t="s">
        <v>20</v>
      </c>
      <c r="F2619" s="4" t="s">
        <v>14</v>
      </c>
      <c r="G2619" s="4" t="s">
        <v>40</v>
      </c>
      <c r="H2619" s="4">
        <v>5</v>
      </c>
      <c r="I2619" s="4">
        <v>1</v>
      </c>
      <c r="J2619" s="5">
        <v>45660</v>
      </c>
      <c r="K2619" s="6">
        <v>0.92939814814814814</v>
      </c>
    </row>
    <row r="2620" spans="1:11" x14ac:dyDescent="0.25">
      <c r="A2620" s="4">
        <v>22</v>
      </c>
      <c r="B2620" s="4" t="s">
        <v>11</v>
      </c>
      <c r="C2620" s="7">
        <v>25.96</v>
      </c>
      <c r="D2620" s="4" t="s">
        <v>18</v>
      </c>
      <c r="E2620" s="4" t="s">
        <v>20</v>
      </c>
      <c r="F2620" s="4" t="s">
        <v>14</v>
      </c>
      <c r="G2620" s="4" t="s">
        <v>40</v>
      </c>
      <c r="H2620" s="4">
        <v>5</v>
      </c>
      <c r="I2620" s="4">
        <v>1</v>
      </c>
      <c r="J2620" s="5">
        <v>45660</v>
      </c>
      <c r="K2620" s="6">
        <v>0.93002314814814813</v>
      </c>
    </row>
    <row r="2621" spans="1:11" x14ac:dyDescent="0.25">
      <c r="A2621" s="4">
        <v>22</v>
      </c>
      <c r="B2621" s="4" t="s">
        <v>11</v>
      </c>
      <c r="C2621" s="7">
        <v>35.76</v>
      </c>
      <c r="D2621" s="4" t="s">
        <v>12</v>
      </c>
      <c r="E2621" s="4" t="s">
        <v>20</v>
      </c>
      <c r="F2621" s="4" t="s">
        <v>14</v>
      </c>
      <c r="G2621" s="4" t="s">
        <v>40</v>
      </c>
      <c r="H2621" s="4">
        <v>5</v>
      </c>
      <c r="I2621" s="4">
        <v>1</v>
      </c>
      <c r="J2621" s="5">
        <v>45660</v>
      </c>
      <c r="K2621" s="6">
        <v>0.93153935185185188</v>
      </c>
    </row>
    <row r="2622" spans="1:11" x14ac:dyDescent="0.25">
      <c r="A2622" s="4">
        <v>8</v>
      </c>
      <c r="B2622" s="4" t="s">
        <v>11</v>
      </c>
      <c r="C2622" s="7">
        <v>25.96</v>
      </c>
      <c r="D2622" s="4" t="s">
        <v>24</v>
      </c>
      <c r="E2622" s="4" t="s">
        <v>13</v>
      </c>
      <c r="F2622" s="4" t="s">
        <v>22</v>
      </c>
      <c r="G2622" s="4" t="s">
        <v>40</v>
      </c>
      <c r="H2622" s="4">
        <v>6</v>
      </c>
      <c r="I2622" s="4">
        <v>1</v>
      </c>
      <c r="J2622" s="5">
        <v>45661</v>
      </c>
      <c r="K2622" s="6">
        <v>0.37391203703703701</v>
      </c>
    </row>
    <row r="2623" spans="1:11" x14ac:dyDescent="0.25">
      <c r="A2623" s="4">
        <v>9</v>
      </c>
      <c r="B2623" s="4" t="s">
        <v>11</v>
      </c>
      <c r="C2623" s="7">
        <v>25.96</v>
      </c>
      <c r="D2623" s="4" t="s">
        <v>18</v>
      </c>
      <c r="E2623" s="4" t="s">
        <v>13</v>
      </c>
      <c r="F2623" s="4" t="s">
        <v>22</v>
      </c>
      <c r="G2623" s="4" t="s">
        <v>40</v>
      </c>
      <c r="H2623" s="4">
        <v>6</v>
      </c>
      <c r="I2623" s="4">
        <v>1</v>
      </c>
      <c r="J2623" s="5">
        <v>45661</v>
      </c>
      <c r="K2623" s="6">
        <v>0.41628472222222224</v>
      </c>
    </row>
    <row r="2624" spans="1:11" x14ac:dyDescent="0.25">
      <c r="A2624" s="4">
        <v>13</v>
      </c>
      <c r="B2624" s="4" t="s">
        <v>11</v>
      </c>
      <c r="C2624" s="7">
        <v>35.76</v>
      </c>
      <c r="D2624" s="4" t="s">
        <v>29</v>
      </c>
      <c r="E2624" s="4" t="s">
        <v>17</v>
      </c>
      <c r="F2624" s="4" t="s">
        <v>22</v>
      </c>
      <c r="G2624" s="4" t="s">
        <v>40</v>
      </c>
      <c r="H2624" s="4">
        <v>6</v>
      </c>
      <c r="I2624" s="4">
        <v>1</v>
      </c>
      <c r="J2624" s="5">
        <v>45661</v>
      </c>
      <c r="K2624" s="6">
        <v>0.56944444444444442</v>
      </c>
    </row>
    <row r="2625" spans="1:11" x14ac:dyDescent="0.25">
      <c r="A2625" s="4">
        <v>15</v>
      </c>
      <c r="B2625" s="4" t="s">
        <v>11</v>
      </c>
      <c r="C2625" s="7">
        <v>35.76</v>
      </c>
      <c r="D2625" s="4" t="s">
        <v>21</v>
      </c>
      <c r="E2625" s="4" t="s">
        <v>17</v>
      </c>
      <c r="F2625" s="4" t="s">
        <v>22</v>
      </c>
      <c r="G2625" s="4" t="s">
        <v>40</v>
      </c>
      <c r="H2625" s="4">
        <v>6</v>
      </c>
      <c r="I2625" s="4">
        <v>1</v>
      </c>
      <c r="J2625" s="5">
        <v>45661</v>
      </c>
      <c r="K2625" s="6">
        <v>0.66635416666666669</v>
      </c>
    </row>
    <row r="2626" spans="1:11" x14ac:dyDescent="0.25">
      <c r="A2626" s="4">
        <v>16</v>
      </c>
      <c r="B2626" s="4" t="s">
        <v>11</v>
      </c>
      <c r="C2626" s="7">
        <v>30.86</v>
      </c>
      <c r="D2626" s="4" t="s">
        <v>19</v>
      </c>
      <c r="E2626" s="4" t="s">
        <v>17</v>
      </c>
      <c r="F2626" s="4" t="s">
        <v>22</v>
      </c>
      <c r="G2626" s="4" t="s">
        <v>40</v>
      </c>
      <c r="H2626" s="4">
        <v>6</v>
      </c>
      <c r="I2626" s="4">
        <v>1</v>
      </c>
      <c r="J2626" s="5">
        <v>45661</v>
      </c>
      <c r="K2626" s="6">
        <v>0.67563657407407407</v>
      </c>
    </row>
    <row r="2627" spans="1:11" x14ac:dyDescent="0.25">
      <c r="A2627" s="4">
        <v>16</v>
      </c>
      <c r="B2627" s="4" t="s">
        <v>11</v>
      </c>
      <c r="C2627" s="7">
        <v>35.76</v>
      </c>
      <c r="D2627" s="4" t="s">
        <v>29</v>
      </c>
      <c r="E2627" s="4" t="s">
        <v>17</v>
      </c>
      <c r="F2627" s="4" t="s">
        <v>22</v>
      </c>
      <c r="G2627" s="4" t="s">
        <v>40</v>
      </c>
      <c r="H2627" s="4">
        <v>6</v>
      </c>
      <c r="I2627" s="4">
        <v>1</v>
      </c>
      <c r="J2627" s="5">
        <v>45661</v>
      </c>
      <c r="K2627" s="6">
        <v>0.67650462962962965</v>
      </c>
    </row>
    <row r="2628" spans="1:11" x14ac:dyDescent="0.25">
      <c r="A2628" s="4">
        <v>16</v>
      </c>
      <c r="B2628" s="4" t="s">
        <v>11</v>
      </c>
      <c r="C2628" s="7">
        <v>35.76</v>
      </c>
      <c r="D2628" s="4" t="s">
        <v>29</v>
      </c>
      <c r="E2628" s="4" t="s">
        <v>17</v>
      </c>
      <c r="F2628" s="4" t="s">
        <v>22</v>
      </c>
      <c r="G2628" s="4" t="s">
        <v>40</v>
      </c>
      <c r="H2628" s="4">
        <v>6</v>
      </c>
      <c r="I2628" s="4">
        <v>1</v>
      </c>
      <c r="J2628" s="5">
        <v>45661</v>
      </c>
      <c r="K2628" s="6">
        <v>0.67790509259259257</v>
      </c>
    </row>
    <row r="2629" spans="1:11" x14ac:dyDescent="0.25">
      <c r="A2629" s="4">
        <v>16</v>
      </c>
      <c r="B2629" s="4" t="s">
        <v>11</v>
      </c>
      <c r="C2629" s="7">
        <v>25.96</v>
      </c>
      <c r="D2629" s="4" t="s">
        <v>24</v>
      </c>
      <c r="E2629" s="4" t="s">
        <v>17</v>
      </c>
      <c r="F2629" s="4" t="s">
        <v>22</v>
      </c>
      <c r="G2629" s="4" t="s">
        <v>40</v>
      </c>
      <c r="H2629" s="4">
        <v>6</v>
      </c>
      <c r="I2629" s="4">
        <v>1</v>
      </c>
      <c r="J2629" s="5">
        <v>45661</v>
      </c>
      <c r="K2629" s="6">
        <v>0.67921296296296296</v>
      </c>
    </row>
    <row r="2630" spans="1:11" x14ac:dyDescent="0.25">
      <c r="A2630" s="4">
        <v>18</v>
      </c>
      <c r="B2630" s="4" t="s">
        <v>11</v>
      </c>
      <c r="C2630" s="7">
        <v>25.96</v>
      </c>
      <c r="D2630" s="4" t="s">
        <v>18</v>
      </c>
      <c r="E2630" s="4" t="s">
        <v>20</v>
      </c>
      <c r="F2630" s="4" t="s">
        <v>22</v>
      </c>
      <c r="G2630" s="4" t="s">
        <v>40</v>
      </c>
      <c r="H2630" s="4">
        <v>6</v>
      </c>
      <c r="I2630" s="4">
        <v>1</v>
      </c>
      <c r="J2630" s="5">
        <v>45661</v>
      </c>
      <c r="K2630" s="6">
        <v>0.75809027777777782</v>
      </c>
    </row>
    <row r="2631" spans="1:11" x14ac:dyDescent="0.25">
      <c r="A2631" s="4">
        <v>22</v>
      </c>
      <c r="B2631" s="4" t="s">
        <v>11</v>
      </c>
      <c r="C2631" s="7">
        <v>35.76</v>
      </c>
      <c r="D2631" s="4" t="s">
        <v>12</v>
      </c>
      <c r="E2631" s="4" t="s">
        <v>20</v>
      </c>
      <c r="F2631" s="4" t="s">
        <v>22</v>
      </c>
      <c r="G2631" s="4" t="s">
        <v>40</v>
      </c>
      <c r="H2631" s="4">
        <v>6</v>
      </c>
      <c r="I2631" s="4">
        <v>1</v>
      </c>
      <c r="J2631" s="5">
        <v>45661</v>
      </c>
      <c r="K2631" s="6">
        <v>0.93298611111111107</v>
      </c>
    </row>
    <row r="2632" spans="1:11" x14ac:dyDescent="0.25">
      <c r="A2632" s="4">
        <v>9</v>
      </c>
      <c r="B2632" s="4" t="s">
        <v>11</v>
      </c>
      <c r="C2632" s="7">
        <v>30.86</v>
      </c>
      <c r="D2632" s="4" t="s">
        <v>19</v>
      </c>
      <c r="E2632" s="4" t="s">
        <v>13</v>
      </c>
      <c r="F2632" s="4" t="s">
        <v>23</v>
      </c>
      <c r="G2632" s="4" t="s">
        <v>40</v>
      </c>
      <c r="H2632" s="4">
        <v>7</v>
      </c>
      <c r="I2632" s="4">
        <v>1</v>
      </c>
      <c r="J2632" s="5">
        <v>45662</v>
      </c>
      <c r="K2632" s="6">
        <v>0.40690972222222221</v>
      </c>
    </row>
    <row r="2633" spans="1:11" x14ac:dyDescent="0.25">
      <c r="A2633" s="4">
        <v>10</v>
      </c>
      <c r="B2633" s="4" t="s">
        <v>11</v>
      </c>
      <c r="C2633" s="7">
        <v>35.76</v>
      </c>
      <c r="D2633" s="4" t="s">
        <v>12</v>
      </c>
      <c r="E2633" s="4" t="s">
        <v>13</v>
      </c>
      <c r="F2633" s="4" t="s">
        <v>23</v>
      </c>
      <c r="G2633" s="4" t="s">
        <v>40</v>
      </c>
      <c r="H2633" s="4">
        <v>7</v>
      </c>
      <c r="I2633" s="4">
        <v>1</v>
      </c>
      <c r="J2633" s="5">
        <v>45662</v>
      </c>
      <c r="K2633" s="6">
        <v>0.45347222222222222</v>
      </c>
    </row>
    <row r="2634" spans="1:11" x14ac:dyDescent="0.25">
      <c r="A2634" s="4">
        <v>22</v>
      </c>
      <c r="B2634" s="4" t="s">
        <v>11</v>
      </c>
      <c r="C2634" s="7">
        <v>30.86</v>
      </c>
      <c r="D2634" s="4" t="s">
        <v>19</v>
      </c>
      <c r="E2634" s="4" t="s">
        <v>20</v>
      </c>
      <c r="F2634" s="4" t="s">
        <v>23</v>
      </c>
      <c r="G2634" s="4" t="s">
        <v>40</v>
      </c>
      <c r="H2634" s="4">
        <v>7</v>
      </c>
      <c r="I2634" s="4">
        <v>1</v>
      </c>
      <c r="J2634" s="5">
        <v>45662</v>
      </c>
      <c r="K2634" s="6">
        <v>0.92171296296296301</v>
      </c>
    </row>
    <row r="2635" spans="1:11" x14ac:dyDescent="0.25">
      <c r="A2635" s="4">
        <v>19</v>
      </c>
      <c r="B2635" s="4" t="s">
        <v>11</v>
      </c>
      <c r="C2635" s="7">
        <v>25.96</v>
      </c>
      <c r="D2635" s="4" t="s">
        <v>18</v>
      </c>
      <c r="E2635" s="4" t="s">
        <v>20</v>
      </c>
      <c r="F2635" s="4" t="s">
        <v>25</v>
      </c>
      <c r="G2635" s="4" t="s">
        <v>40</v>
      </c>
      <c r="H2635" s="4">
        <v>1</v>
      </c>
      <c r="I2635" s="4">
        <v>1</v>
      </c>
      <c r="J2635" s="5">
        <v>45663</v>
      </c>
      <c r="K2635" s="6">
        <v>0.8325231481481481</v>
      </c>
    </row>
    <row r="2636" spans="1:11" x14ac:dyDescent="0.25">
      <c r="A2636" s="4">
        <v>13</v>
      </c>
      <c r="B2636" s="4" t="s">
        <v>11</v>
      </c>
      <c r="C2636" s="7">
        <v>35.76</v>
      </c>
      <c r="D2636" s="4" t="s">
        <v>29</v>
      </c>
      <c r="E2636" s="4" t="s">
        <v>17</v>
      </c>
      <c r="F2636" s="4" t="s">
        <v>27</v>
      </c>
      <c r="G2636" s="4" t="s">
        <v>40</v>
      </c>
      <c r="H2636" s="4">
        <v>2</v>
      </c>
      <c r="I2636" s="4">
        <v>1</v>
      </c>
      <c r="J2636" s="5">
        <v>45664</v>
      </c>
      <c r="K2636" s="6">
        <v>0.56182870370370375</v>
      </c>
    </row>
    <row r="2637" spans="1:11" x14ac:dyDescent="0.25">
      <c r="A2637" s="4">
        <v>22</v>
      </c>
      <c r="B2637" s="4" t="s">
        <v>11</v>
      </c>
      <c r="C2637" s="7">
        <v>35.76</v>
      </c>
      <c r="D2637" s="4" t="s">
        <v>21</v>
      </c>
      <c r="E2637" s="4" t="s">
        <v>20</v>
      </c>
      <c r="F2637" s="4" t="s">
        <v>27</v>
      </c>
      <c r="G2637" s="4" t="s">
        <v>40</v>
      </c>
      <c r="H2637" s="4">
        <v>2</v>
      </c>
      <c r="I2637" s="4">
        <v>1</v>
      </c>
      <c r="J2637" s="5">
        <v>45664</v>
      </c>
      <c r="K2637" s="6">
        <v>0.93940972222222219</v>
      </c>
    </row>
    <row r="2638" spans="1:11" x14ac:dyDescent="0.25">
      <c r="A2638" s="4">
        <v>22</v>
      </c>
      <c r="B2638" s="4" t="s">
        <v>11</v>
      </c>
      <c r="C2638" s="7">
        <v>35.76</v>
      </c>
      <c r="D2638" s="4" t="s">
        <v>21</v>
      </c>
      <c r="E2638" s="4" t="s">
        <v>20</v>
      </c>
      <c r="F2638" s="4" t="s">
        <v>27</v>
      </c>
      <c r="G2638" s="4" t="s">
        <v>40</v>
      </c>
      <c r="H2638" s="4">
        <v>2</v>
      </c>
      <c r="I2638" s="4">
        <v>1</v>
      </c>
      <c r="J2638" s="5">
        <v>45664</v>
      </c>
      <c r="K2638" s="6">
        <v>0.94025462962962958</v>
      </c>
    </row>
    <row r="2639" spans="1:11" x14ac:dyDescent="0.25">
      <c r="A2639" s="4">
        <v>7</v>
      </c>
      <c r="B2639" s="4" t="s">
        <v>11</v>
      </c>
      <c r="C2639" s="7">
        <v>30.86</v>
      </c>
      <c r="D2639" s="4" t="s">
        <v>19</v>
      </c>
      <c r="E2639" s="4" t="s">
        <v>13</v>
      </c>
      <c r="F2639" s="4" t="s">
        <v>28</v>
      </c>
      <c r="G2639" s="4" t="s">
        <v>40</v>
      </c>
      <c r="H2639" s="4">
        <v>3</v>
      </c>
      <c r="I2639" s="4">
        <v>1</v>
      </c>
      <c r="J2639" s="5">
        <v>45665</v>
      </c>
      <c r="K2639" s="6">
        <v>0.31252314814814813</v>
      </c>
    </row>
    <row r="2640" spans="1:11" x14ac:dyDescent="0.25">
      <c r="A2640" s="4">
        <v>9</v>
      </c>
      <c r="B2640" s="4" t="s">
        <v>11</v>
      </c>
      <c r="C2640" s="7">
        <v>35.76</v>
      </c>
      <c r="D2640" s="4" t="s">
        <v>12</v>
      </c>
      <c r="E2640" s="4" t="s">
        <v>13</v>
      </c>
      <c r="F2640" s="4" t="s">
        <v>28</v>
      </c>
      <c r="G2640" s="4" t="s">
        <v>40</v>
      </c>
      <c r="H2640" s="4">
        <v>3</v>
      </c>
      <c r="I2640" s="4">
        <v>1</v>
      </c>
      <c r="J2640" s="5">
        <v>45665</v>
      </c>
      <c r="K2640" s="6">
        <v>0.3828125</v>
      </c>
    </row>
    <row r="2641" spans="1:11" x14ac:dyDescent="0.25">
      <c r="A2641" s="4">
        <v>10</v>
      </c>
      <c r="B2641" s="4" t="s">
        <v>11</v>
      </c>
      <c r="C2641" s="7">
        <v>25.96</v>
      </c>
      <c r="D2641" s="4" t="s">
        <v>24</v>
      </c>
      <c r="E2641" s="4" t="s">
        <v>13</v>
      </c>
      <c r="F2641" s="4" t="s">
        <v>28</v>
      </c>
      <c r="G2641" s="4" t="s">
        <v>40</v>
      </c>
      <c r="H2641" s="4">
        <v>3</v>
      </c>
      <c r="I2641" s="4">
        <v>1</v>
      </c>
      <c r="J2641" s="5">
        <v>45665</v>
      </c>
      <c r="K2641" s="6">
        <v>0.43782407407407409</v>
      </c>
    </row>
    <row r="2642" spans="1:11" x14ac:dyDescent="0.25">
      <c r="A2642" s="4">
        <v>17</v>
      </c>
      <c r="B2642" s="4" t="s">
        <v>11</v>
      </c>
      <c r="C2642" s="7">
        <v>35.76</v>
      </c>
      <c r="D2642" s="4" t="s">
        <v>29</v>
      </c>
      <c r="E2642" s="4" t="s">
        <v>20</v>
      </c>
      <c r="F2642" s="4" t="s">
        <v>28</v>
      </c>
      <c r="G2642" s="4" t="s">
        <v>40</v>
      </c>
      <c r="H2642" s="4">
        <v>3</v>
      </c>
      <c r="I2642" s="4">
        <v>1</v>
      </c>
      <c r="J2642" s="5">
        <v>45665</v>
      </c>
      <c r="K2642" s="6">
        <v>0.72420138888888885</v>
      </c>
    </row>
    <row r="2643" spans="1:11" x14ac:dyDescent="0.25">
      <c r="A2643" s="4">
        <v>8</v>
      </c>
      <c r="B2643" s="4" t="s">
        <v>11</v>
      </c>
      <c r="C2643" s="7">
        <v>25.96</v>
      </c>
      <c r="D2643" s="4" t="s">
        <v>18</v>
      </c>
      <c r="E2643" s="4" t="s">
        <v>13</v>
      </c>
      <c r="F2643" s="4" t="s">
        <v>30</v>
      </c>
      <c r="G2643" s="4" t="s">
        <v>40</v>
      </c>
      <c r="H2643" s="4">
        <v>4</v>
      </c>
      <c r="I2643" s="4">
        <v>1</v>
      </c>
      <c r="J2643" s="5">
        <v>45666</v>
      </c>
      <c r="K2643" s="6">
        <v>0.33827546296296296</v>
      </c>
    </row>
    <row r="2644" spans="1:11" x14ac:dyDescent="0.25">
      <c r="A2644" s="4">
        <v>8</v>
      </c>
      <c r="B2644" s="4" t="s">
        <v>11</v>
      </c>
      <c r="C2644" s="7">
        <v>35.76</v>
      </c>
      <c r="D2644" s="4" t="s">
        <v>12</v>
      </c>
      <c r="E2644" s="4" t="s">
        <v>13</v>
      </c>
      <c r="F2644" s="4" t="s">
        <v>30</v>
      </c>
      <c r="G2644" s="4" t="s">
        <v>40</v>
      </c>
      <c r="H2644" s="4">
        <v>4</v>
      </c>
      <c r="I2644" s="4">
        <v>1</v>
      </c>
      <c r="J2644" s="5">
        <v>45666</v>
      </c>
      <c r="K2644" s="6">
        <v>0.37261574074074072</v>
      </c>
    </row>
    <row r="2645" spans="1:11" x14ac:dyDescent="0.25">
      <c r="A2645" s="4">
        <v>9</v>
      </c>
      <c r="B2645" s="4" t="s">
        <v>11</v>
      </c>
      <c r="C2645" s="7">
        <v>30.86</v>
      </c>
      <c r="D2645" s="4" t="s">
        <v>19</v>
      </c>
      <c r="E2645" s="4" t="s">
        <v>13</v>
      </c>
      <c r="F2645" s="4" t="s">
        <v>30</v>
      </c>
      <c r="G2645" s="4" t="s">
        <v>40</v>
      </c>
      <c r="H2645" s="4">
        <v>4</v>
      </c>
      <c r="I2645" s="4">
        <v>1</v>
      </c>
      <c r="J2645" s="5">
        <v>45666</v>
      </c>
      <c r="K2645" s="6">
        <v>0.3767476851851852</v>
      </c>
    </row>
    <row r="2646" spans="1:11" x14ac:dyDescent="0.25">
      <c r="A2646" s="4">
        <v>14</v>
      </c>
      <c r="B2646" s="4" t="s">
        <v>11</v>
      </c>
      <c r="C2646" s="7">
        <v>21.06</v>
      </c>
      <c r="D2646" s="4" t="s">
        <v>26</v>
      </c>
      <c r="E2646" s="4" t="s">
        <v>17</v>
      </c>
      <c r="F2646" s="4" t="s">
        <v>30</v>
      </c>
      <c r="G2646" s="4" t="s">
        <v>40</v>
      </c>
      <c r="H2646" s="4">
        <v>4</v>
      </c>
      <c r="I2646" s="4">
        <v>1</v>
      </c>
      <c r="J2646" s="5">
        <v>45666</v>
      </c>
      <c r="K2646" s="6">
        <v>0.60234953703703709</v>
      </c>
    </row>
    <row r="2647" spans="1:11" x14ac:dyDescent="0.25">
      <c r="A2647" s="4">
        <v>15</v>
      </c>
      <c r="B2647" s="4" t="s">
        <v>11</v>
      </c>
      <c r="C2647" s="7">
        <v>35.76</v>
      </c>
      <c r="D2647" s="4" t="s">
        <v>12</v>
      </c>
      <c r="E2647" s="4" t="s">
        <v>17</v>
      </c>
      <c r="F2647" s="4" t="s">
        <v>30</v>
      </c>
      <c r="G2647" s="4" t="s">
        <v>40</v>
      </c>
      <c r="H2647" s="4">
        <v>4</v>
      </c>
      <c r="I2647" s="4">
        <v>1</v>
      </c>
      <c r="J2647" s="5">
        <v>45666</v>
      </c>
      <c r="K2647" s="6">
        <v>0.65067129629629628</v>
      </c>
    </row>
    <row r="2648" spans="1:11" x14ac:dyDescent="0.25">
      <c r="A2648" s="4">
        <v>15</v>
      </c>
      <c r="B2648" s="4" t="s">
        <v>11</v>
      </c>
      <c r="C2648" s="7">
        <v>30.86</v>
      </c>
      <c r="D2648" s="4" t="s">
        <v>19</v>
      </c>
      <c r="E2648" s="4" t="s">
        <v>17</v>
      </c>
      <c r="F2648" s="4" t="s">
        <v>30</v>
      </c>
      <c r="G2648" s="4" t="s">
        <v>40</v>
      </c>
      <c r="H2648" s="4">
        <v>4</v>
      </c>
      <c r="I2648" s="4">
        <v>1</v>
      </c>
      <c r="J2648" s="5">
        <v>45666</v>
      </c>
      <c r="K2648" s="6">
        <v>0.65844907407407405</v>
      </c>
    </row>
    <row r="2649" spans="1:11" x14ac:dyDescent="0.25">
      <c r="A2649" s="4">
        <v>15</v>
      </c>
      <c r="B2649" s="4" t="s">
        <v>11</v>
      </c>
      <c r="C2649" s="7">
        <v>25.96</v>
      </c>
      <c r="D2649" s="4" t="s">
        <v>24</v>
      </c>
      <c r="E2649" s="4" t="s">
        <v>17</v>
      </c>
      <c r="F2649" s="4" t="s">
        <v>30</v>
      </c>
      <c r="G2649" s="4" t="s">
        <v>40</v>
      </c>
      <c r="H2649" s="4">
        <v>4</v>
      </c>
      <c r="I2649" s="4">
        <v>1</v>
      </c>
      <c r="J2649" s="5">
        <v>45666</v>
      </c>
      <c r="K2649" s="6">
        <v>0.65915509259259264</v>
      </c>
    </row>
    <row r="2650" spans="1:11" x14ac:dyDescent="0.25">
      <c r="A2650" s="4">
        <v>20</v>
      </c>
      <c r="B2650" s="4" t="s">
        <v>11</v>
      </c>
      <c r="C2650" s="7">
        <v>30.86</v>
      </c>
      <c r="D2650" s="4" t="s">
        <v>19</v>
      </c>
      <c r="E2650" s="4" t="s">
        <v>20</v>
      </c>
      <c r="F2650" s="4" t="s">
        <v>30</v>
      </c>
      <c r="G2650" s="4" t="s">
        <v>40</v>
      </c>
      <c r="H2650" s="4">
        <v>4</v>
      </c>
      <c r="I2650" s="4">
        <v>1</v>
      </c>
      <c r="J2650" s="5">
        <v>45666</v>
      </c>
      <c r="K2650" s="6">
        <v>0.85450231481481487</v>
      </c>
    </row>
    <row r="2651" spans="1:11" x14ac:dyDescent="0.25">
      <c r="A2651" s="4">
        <v>22</v>
      </c>
      <c r="B2651" s="4" t="s">
        <v>11</v>
      </c>
      <c r="C2651" s="7">
        <v>35.76</v>
      </c>
      <c r="D2651" s="4" t="s">
        <v>12</v>
      </c>
      <c r="E2651" s="4" t="s">
        <v>20</v>
      </c>
      <c r="F2651" s="4" t="s">
        <v>30</v>
      </c>
      <c r="G2651" s="4" t="s">
        <v>40</v>
      </c>
      <c r="H2651" s="4">
        <v>4</v>
      </c>
      <c r="I2651" s="4">
        <v>1</v>
      </c>
      <c r="J2651" s="5">
        <v>45666</v>
      </c>
      <c r="K2651" s="6">
        <v>0.9238425925925926</v>
      </c>
    </row>
    <row r="2652" spans="1:11" x14ac:dyDescent="0.25">
      <c r="A2652" s="4">
        <v>8</v>
      </c>
      <c r="B2652" s="4" t="s">
        <v>11</v>
      </c>
      <c r="C2652" s="7">
        <v>30.86</v>
      </c>
      <c r="D2652" s="4" t="s">
        <v>19</v>
      </c>
      <c r="E2652" s="4" t="s">
        <v>13</v>
      </c>
      <c r="F2652" s="4" t="s">
        <v>14</v>
      </c>
      <c r="G2652" s="4" t="s">
        <v>40</v>
      </c>
      <c r="H2652" s="4">
        <v>5</v>
      </c>
      <c r="I2652" s="4">
        <v>1</v>
      </c>
      <c r="J2652" s="5">
        <v>45667</v>
      </c>
      <c r="K2652" s="6">
        <v>0.36759259259259258</v>
      </c>
    </row>
    <row r="2653" spans="1:11" x14ac:dyDescent="0.25">
      <c r="A2653" s="4">
        <v>9</v>
      </c>
      <c r="B2653" s="4" t="s">
        <v>11</v>
      </c>
      <c r="C2653" s="7">
        <v>30.86</v>
      </c>
      <c r="D2653" s="4" t="s">
        <v>19</v>
      </c>
      <c r="E2653" s="4" t="s">
        <v>13</v>
      </c>
      <c r="F2653" s="4" t="s">
        <v>14</v>
      </c>
      <c r="G2653" s="4" t="s">
        <v>40</v>
      </c>
      <c r="H2653" s="4">
        <v>5</v>
      </c>
      <c r="I2653" s="4">
        <v>1</v>
      </c>
      <c r="J2653" s="5">
        <v>45667</v>
      </c>
      <c r="K2653" s="6">
        <v>0.3865277777777778</v>
      </c>
    </row>
    <row r="2654" spans="1:11" x14ac:dyDescent="0.25">
      <c r="A2654" s="4">
        <v>17</v>
      </c>
      <c r="B2654" s="4" t="s">
        <v>11</v>
      </c>
      <c r="C2654" s="7">
        <v>35.76</v>
      </c>
      <c r="D2654" s="4" t="s">
        <v>29</v>
      </c>
      <c r="E2654" s="4" t="s">
        <v>20</v>
      </c>
      <c r="F2654" s="4" t="s">
        <v>14</v>
      </c>
      <c r="G2654" s="4" t="s">
        <v>40</v>
      </c>
      <c r="H2654" s="4">
        <v>5</v>
      </c>
      <c r="I2654" s="4">
        <v>1</v>
      </c>
      <c r="J2654" s="5">
        <v>45667</v>
      </c>
      <c r="K2654" s="6">
        <v>0.74395833333333339</v>
      </c>
    </row>
    <row r="2655" spans="1:11" x14ac:dyDescent="0.25">
      <c r="A2655" s="4">
        <v>17</v>
      </c>
      <c r="B2655" s="4" t="s">
        <v>11</v>
      </c>
      <c r="C2655" s="7">
        <v>35.76</v>
      </c>
      <c r="D2655" s="4" t="s">
        <v>16</v>
      </c>
      <c r="E2655" s="4" t="s">
        <v>20</v>
      </c>
      <c r="F2655" s="4" t="s">
        <v>14</v>
      </c>
      <c r="G2655" s="4" t="s">
        <v>40</v>
      </c>
      <c r="H2655" s="4">
        <v>5</v>
      </c>
      <c r="I2655" s="4">
        <v>1</v>
      </c>
      <c r="J2655" s="5">
        <v>45667</v>
      </c>
      <c r="K2655" s="6">
        <v>0.74714120370370374</v>
      </c>
    </row>
    <row r="2656" spans="1:11" x14ac:dyDescent="0.25">
      <c r="A2656" s="4">
        <v>17</v>
      </c>
      <c r="B2656" s="4" t="s">
        <v>11</v>
      </c>
      <c r="C2656" s="7">
        <v>30.86</v>
      </c>
      <c r="D2656" s="4" t="s">
        <v>19</v>
      </c>
      <c r="E2656" s="4" t="s">
        <v>20</v>
      </c>
      <c r="F2656" s="4" t="s">
        <v>14</v>
      </c>
      <c r="G2656" s="4" t="s">
        <v>40</v>
      </c>
      <c r="H2656" s="4">
        <v>5</v>
      </c>
      <c r="I2656" s="4">
        <v>1</v>
      </c>
      <c r="J2656" s="5">
        <v>45667</v>
      </c>
      <c r="K2656" s="6">
        <v>0.74975694444444441</v>
      </c>
    </row>
    <row r="2657" spans="1:11" x14ac:dyDescent="0.25">
      <c r="A2657" s="4">
        <v>7</v>
      </c>
      <c r="B2657" s="4" t="s">
        <v>11</v>
      </c>
      <c r="C2657" s="7">
        <v>30.86</v>
      </c>
      <c r="D2657" s="4" t="s">
        <v>19</v>
      </c>
      <c r="E2657" s="4" t="s">
        <v>13</v>
      </c>
      <c r="F2657" s="4" t="s">
        <v>22</v>
      </c>
      <c r="G2657" s="4" t="s">
        <v>40</v>
      </c>
      <c r="H2657" s="4">
        <v>6</v>
      </c>
      <c r="I2657" s="4">
        <v>1</v>
      </c>
      <c r="J2657" s="5">
        <v>45668</v>
      </c>
      <c r="K2657" s="6">
        <v>0.32256944444444446</v>
      </c>
    </row>
    <row r="2658" spans="1:11" x14ac:dyDescent="0.25">
      <c r="A2658" s="4">
        <v>10</v>
      </c>
      <c r="B2658" s="4" t="s">
        <v>11</v>
      </c>
      <c r="C2658" s="7">
        <v>35.76</v>
      </c>
      <c r="D2658" s="4" t="s">
        <v>16</v>
      </c>
      <c r="E2658" s="4" t="s">
        <v>13</v>
      </c>
      <c r="F2658" s="4" t="s">
        <v>22</v>
      </c>
      <c r="G2658" s="4" t="s">
        <v>40</v>
      </c>
      <c r="H2658" s="4">
        <v>6</v>
      </c>
      <c r="I2658" s="4">
        <v>1</v>
      </c>
      <c r="J2658" s="5">
        <v>45668</v>
      </c>
      <c r="K2658" s="6">
        <v>0.45116898148148149</v>
      </c>
    </row>
    <row r="2659" spans="1:11" x14ac:dyDescent="0.25">
      <c r="A2659" s="4">
        <v>11</v>
      </c>
      <c r="B2659" s="4" t="s">
        <v>11</v>
      </c>
      <c r="C2659" s="7">
        <v>25.96</v>
      </c>
      <c r="D2659" s="4" t="s">
        <v>18</v>
      </c>
      <c r="E2659" s="4" t="s">
        <v>13</v>
      </c>
      <c r="F2659" s="4" t="s">
        <v>22</v>
      </c>
      <c r="G2659" s="4" t="s">
        <v>40</v>
      </c>
      <c r="H2659" s="4">
        <v>6</v>
      </c>
      <c r="I2659" s="4">
        <v>1</v>
      </c>
      <c r="J2659" s="5">
        <v>45668</v>
      </c>
      <c r="K2659" s="6">
        <v>0.46797453703703706</v>
      </c>
    </row>
    <row r="2660" spans="1:11" x14ac:dyDescent="0.25">
      <c r="A2660" s="4">
        <v>11</v>
      </c>
      <c r="B2660" s="4" t="s">
        <v>11</v>
      </c>
      <c r="C2660" s="7">
        <v>35.76</v>
      </c>
      <c r="D2660" s="4" t="s">
        <v>12</v>
      </c>
      <c r="E2660" s="4" t="s">
        <v>13</v>
      </c>
      <c r="F2660" s="4" t="s">
        <v>22</v>
      </c>
      <c r="G2660" s="4" t="s">
        <v>40</v>
      </c>
      <c r="H2660" s="4">
        <v>6</v>
      </c>
      <c r="I2660" s="4">
        <v>1</v>
      </c>
      <c r="J2660" s="5">
        <v>45668</v>
      </c>
      <c r="K2660" s="6">
        <v>0.47241898148148148</v>
      </c>
    </row>
    <row r="2661" spans="1:11" x14ac:dyDescent="0.25">
      <c r="A2661" s="4">
        <v>11</v>
      </c>
      <c r="B2661" s="4" t="s">
        <v>11</v>
      </c>
      <c r="C2661" s="7">
        <v>35.76</v>
      </c>
      <c r="D2661" s="4" t="s">
        <v>12</v>
      </c>
      <c r="E2661" s="4" t="s">
        <v>13</v>
      </c>
      <c r="F2661" s="4" t="s">
        <v>22</v>
      </c>
      <c r="G2661" s="4" t="s">
        <v>40</v>
      </c>
      <c r="H2661" s="4">
        <v>6</v>
      </c>
      <c r="I2661" s="4">
        <v>1</v>
      </c>
      <c r="J2661" s="5">
        <v>45668</v>
      </c>
      <c r="K2661" s="6">
        <v>0.47320601851851851</v>
      </c>
    </row>
    <row r="2662" spans="1:11" x14ac:dyDescent="0.25">
      <c r="A2662" s="4">
        <v>12</v>
      </c>
      <c r="B2662" s="4" t="s">
        <v>11</v>
      </c>
      <c r="C2662" s="7">
        <v>35.76</v>
      </c>
      <c r="D2662" s="4" t="s">
        <v>12</v>
      </c>
      <c r="E2662" s="4" t="s">
        <v>17</v>
      </c>
      <c r="F2662" s="4" t="s">
        <v>22</v>
      </c>
      <c r="G2662" s="4" t="s">
        <v>40</v>
      </c>
      <c r="H2662" s="4">
        <v>6</v>
      </c>
      <c r="I2662" s="4">
        <v>1</v>
      </c>
      <c r="J2662" s="5">
        <v>45668</v>
      </c>
      <c r="K2662" s="6">
        <v>0.50761574074074078</v>
      </c>
    </row>
    <row r="2663" spans="1:11" x14ac:dyDescent="0.25">
      <c r="A2663" s="4">
        <v>12</v>
      </c>
      <c r="B2663" s="4" t="s">
        <v>11</v>
      </c>
      <c r="C2663" s="7">
        <v>35.76</v>
      </c>
      <c r="D2663" s="4" t="s">
        <v>12</v>
      </c>
      <c r="E2663" s="4" t="s">
        <v>17</v>
      </c>
      <c r="F2663" s="4" t="s">
        <v>22</v>
      </c>
      <c r="G2663" s="4" t="s">
        <v>40</v>
      </c>
      <c r="H2663" s="4">
        <v>6</v>
      </c>
      <c r="I2663" s="4">
        <v>1</v>
      </c>
      <c r="J2663" s="5">
        <v>45668</v>
      </c>
      <c r="K2663" s="6">
        <v>0.50930555555555557</v>
      </c>
    </row>
    <row r="2664" spans="1:11" x14ac:dyDescent="0.25">
      <c r="A2664" s="4">
        <v>14</v>
      </c>
      <c r="B2664" s="4" t="s">
        <v>11</v>
      </c>
      <c r="C2664" s="7">
        <v>30.86</v>
      </c>
      <c r="D2664" s="4" t="s">
        <v>19</v>
      </c>
      <c r="E2664" s="4" t="s">
        <v>17</v>
      </c>
      <c r="F2664" s="4" t="s">
        <v>22</v>
      </c>
      <c r="G2664" s="4" t="s">
        <v>40</v>
      </c>
      <c r="H2664" s="4">
        <v>6</v>
      </c>
      <c r="I2664" s="4">
        <v>1</v>
      </c>
      <c r="J2664" s="5">
        <v>45668</v>
      </c>
      <c r="K2664" s="6">
        <v>0.59229166666666666</v>
      </c>
    </row>
    <row r="2665" spans="1:11" x14ac:dyDescent="0.25">
      <c r="A2665" s="4">
        <v>14</v>
      </c>
      <c r="B2665" s="4" t="s">
        <v>11</v>
      </c>
      <c r="C2665" s="7">
        <v>30.86</v>
      </c>
      <c r="D2665" s="4" t="s">
        <v>19</v>
      </c>
      <c r="E2665" s="4" t="s">
        <v>17</v>
      </c>
      <c r="F2665" s="4" t="s">
        <v>22</v>
      </c>
      <c r="G2665" s="4" t="s">
        <v>40</v>
      </c>
      <c r="H2665" s="4">
        <v>6</v>
      </c>
      <c r="I2665" s="4">
        <v>1</v>
      </c>
      <c r="J2665" s="5">
        <v>45668</v>
      </c>
      <c r="K2665" s="6">
        <v>0.59418981481481481</v>
      </c>
    </row>
    <row r="2666" spans="1:11" x14ac:dyDescent="0.25">
      <c r="A2666" s="4">
        <v>14</v>
      </c>
      <c r="B2666" s="4" t="s">
        <v>11</v>
      </c>
      <c r="C2666" s="7">
        <v>35.76</v>
      </c>
      <c r="D2666" s="4" t="s">
        <v>29</v>
      </c>
      <c r="E2666" s="4" t="s">
        <v>17</v>
      </c>
      <c r="F2666" s="4" t="s">
        <v>22</v>
      </c>
      <c r="G2666" s="4" t="s">
        <v>40</v>
      </c>
      <c r="H2666" s="4">
        <v>6</v>
      </c>
      <c r="I2666" s="4">
        <v>1</v>
      </c>
      <c r="J2666" s="5">
        <v>45668</v>
      </c>
      <c r="K2666" s="6">
        <v>0.59494212962962967</v>
      </c>
    </row>
    <row r="2667" spans="1:11" x14ac:dyDescent="0.25">
      <c r="A2667" s="4">
        <v>14</v>
      </c>
      <c r="B2667" s="4" t="s">
        <v>11</v>
      </c>
      <c r="C2667" s="7">
        <v>35.76</v>
      </c>
      <c r="D2667" s="4" t="s">
        <v>12</v>
      </c>
      <c r="E2667" s="4" t="s">
        <v>17</v>
      </c>
      <c r="F2667" s="4" t="s">
        <v>22</v>
      </c>
      <c r="G2667" s="4" t="s">
        <v>40</v>
      </c>
      <c r="H2667" s="4">
        <v>6</v>
      </c>
      <c r="I2667" s="4">
        <v>1</v>
      </c>
      <c r="J2667" s="5">
        <v>45668</v>
      </c>
      <c r="K2667" s="6">
        <v>0.61599537037037033</v>
      </c>
    </row>
    <row r="2668" spans="1:11" x14ac:dyDescent="0.25">
      <c r="A2668" s="4">
        <v>17</v>
      </c>
      <c r="B2668" s="4" t="s">
        <v>11</v>
      </c>
      <c r="C2668" s="7">
        <v>25.96</v>
      </c>
      <c r="D2668" s="4" t="s">
        <v>24</v>
      </c>
      <c r="E2668" s="4" t="s">
        <v>20</v>
      </c>
      <c r="F2668" s="4" t="s">
        <v>22</v>
      </c>
      <c r="G2668" s="4" t="s">
        <v>40</v>
      </c>
      <c r="H2668" s="4">
        <v>6</v>
      </c>
      <c r="I2668" s="4">
        <v>1</v>
      </c>
      <c r="J2668" s="5">
        <v>45668</v>
      </c>
      <c r="K2668" s="6">
        <v>0.72190972222222227</v>
      </c>
    </row>
    <row r="2669" spans="1:11" x14ac:dyDescent="0.25">
      <c r="A2669" s="4">
        <v>17</v>
      </c>
      <c r="B2669" s="4" t="s">
        <v>11</v>
      </c>
      <c r="C2669" s="7">
        <v>35.76</v>
      </c>
      <c r="D2669" s="4" t="s">
        <v>12</v>
      </c>
      <c r="E2669" s="4" t="s">
        <v>20</v>
      </c>
      <c r="F2669" s="4" t="s">
        <v>22</v>
      </c>
      <c r="G2669" s="4" t="s">
        <v>40</v>
      </c>
      <c r="H2669" s="4">
        <v>6</v>
      </c>
      <c r="I2669" s="4">
        <v>1</v>
      </c>
      <c r="J2669" s="5">
        <v>45668</v>
      </c>
      <c r="K2669" s="6">
        <v>0.72287037037037039</v>
      </c>
    </row>
    <row r="2670" spans="1:11" x14ac:dyDescent="0.25">
      <c r="A2670" s="4">
        <v>17</v>
      </c>
      <c r="B2670" s="4" t="s">
        <v>11</v>
      </c>
      <c r="C2670" s="7">
        <v>25.96</v>
      </c>
      <c r="D2670" s="4" t="s">
        <v>24</v>
      </c>
      <c r="E2670" s="4" t="s">
        <v>20</v>
      </c>
      <c r="F2670" s="4" t="s">
        <v>22</v>
      </c>
      <c r="G2670" s="4" t="s">
        <v>40</v>
      </c>
      <c r="H2670" s="4">
        <v>6</v>
      </c>
      <c r="I2670" s="4">
        <v>1</v>
      </c>
      <c r="J2670" s="5">
        <v>45668</v>
      </c>
      <c r="K2670" s="6">
        <v>0.72366898148148151</v>
      </c>
    </row>
    <row r="2671" spans="1:11" x14ac:dyDescent="0.25">
      <c r="A2671" s="4">
        <v>18</v>
      </c>
      <c r="B2671" s="4" t="s">
        <v>11</v>
      </c>
      <c r="C2671" s="7">
        <v>30.86</v>
      </c>
      <c r="D2671" s="4" t="s">
        <v>19</v>
      </c>
      <c r="E2671" s="4" t="s">
        <v>20</v>
      </c>
      <c r="F2671" s="4" t="s">
        <v>22</v>
      </c>
      <c r="G2671" s="4" t="s">
        <v>40</v>
      </c>
      <c r="H2671" s="4">
        <v>6</v>
      </c>
      <c r="I2671" s="4">
        <v>1</v>
      </c>
      <c r="J2671" s="5">
        <v>45668</v>
      </c>
      <c r="K2671" s="6">
        <v>0.75101851851851853</v>
      </c>
    </row>
    <row r="2672" spans="1:11" x14ac:dyDescent="0.25">
      <c r="A2672" s="4">
        <v>11</v>
      </c>
      <c r="B2672" s="4" t="s">
        <v>11</v>
      </c>
      <c r="C2672" s="7">
        <v>30.86</v>
      </c>
      <c r="D2672" s="4" t="s">
        <v>19</v>
      </c>
      <c r="E2672" s="4" t="s">
        <v>13</v>
      </c>
      <c r="F2672" s="4" t="s">
        <v>23</v>
      </c>
      <c r="G2672" s="4" t="s">
        <v>40</v>
      </c>
      <c r="H2672" s="4">
        <v>7</v>
      </c>
      <c r="I2672" s="4">
        <v>1</v>
      </c>
      <c r="J2672" s="5">
        <v>45669</v>
      </c>
      <c r="K2672" s="6">
        <v>0.48995370370370372</v>
      </c>
    </row>
    <row r="2673" spans="1:11" x14ac:dyDescent="0.25">
      <c r="A2673" s="4">
        <v>11</v>
      </c>
      <c r="B2673" s="4" t="s">
        <v>11</v>
      </c>
      <c r="C2673" s="7">
        <v>25.96</v>
      </c>
      <c r="D2673" s="4" t="s">
        <v>18</v>
      </c>
      <c r="E2673" s="4" t="s">
        <v>13</v>
      </c>
      <c r="F2673" s="4" t="s">
        <v>23</v>
      </c>
      <c r="G2673" s="4" t="s">
        <v>40</v>
      </c>
      <c r="H2673" s="4">
        <v>7</v>
      </c>
      <c r="I2673" s="4">
        <v>1</v>
      </c>
      <c r="J2673" s="5">
        <v>45669</v>
      </c>
      <c r="K2673" s="6">
        <v>0.49187500000000001</v>
      </c>
    </row>
    <row r="2674" spans="1:11" x14ac:dyDescent="0.25">
      <c r="A2674" s="4">
        <v>11</v>
      </c>
      <c r="B2674" s="4" t="s">
        <v>11</v>
      </c>
      <c r="C2674" s="7">
        <v>30.86</v>
      </c>
      <c r="D2674" s="4" t="s">
        <v>19</v>
      </c>
      <c r="E2674" s="4" t="s">
        <v>13</v>
      </c>
      <c r="F2674" s="4" t="s">
        <v>23</v>
      </c>
      <c r="G2674" s="4" t="s">
        <v>40</v>
      </c>
      <c r="H2674" s="4">
        <v>7</v>
      </c>
      <c r="I2674" s="4">
        <v>1</v>
      </c>
      <c r="J2674" s="5">
        <v>45669</v>
      </c>
      <c r="K2674" s="6">
        <v>0.4929398148148148</v>
      </c>
    </row>
    <row r="2675" spans="1:11" x14ac:dyDescent="0.25">
      <c r="A2675" s="4">
        <v>16</v>
      </c>
      <c r="B2675" s="4" t="s">
        <v>11</v>
      </c>
      <c r="C2675" s="7">
        <v>35.76</v>
      </c>
      <c r="D2675" s="4" t="s">
        <v>16</v>
      </c>
      <c r="E2675" s="4" t="s">
        <v>17</v>
      </c>
      <c r="F2675" s="4" t="s">
        <v>23</v>
      </c>
      <c r="G2675" s="4" t="s">
        <v>40</v>
      </c>
      <c r="H2675" s="4">
        <v>7</v>
      </c>
      <c r="I2675" s="4">
        <v>1</v>
      </c>
      <c r="J2675" s="5">
        <v>45669</v>
      </c>
      <c r="K2675" s="6">
        <v>0.67775462962962962</v>
      </c>
    </row>
    <row r="2676" spans="1:11" x14ac:dyDescent="0.25">
      <c r="A2676" s="4">
        <v>20</v>
      </c>
      <c r="B2676" s="4" t="s">
        <v>11</v>
      </c>
      <c r="C2676" s="7">
        <v>30.86</v>
      </c>
      <c r="D2676" s="4" t="s">
        <v>19</v>
      </c>
      <c r="E2676" s="4" t="s">
        <v>20</v>
      </c>
      <c r="F2676" s="4" t="s">
        <v>23</v>
      </c>
      <c r="G2676" s="4" t="s">
        <v>40</v>
      </c>
      <c r="H2676" s="4">
        <v>7</v>
      </c>
      <c r="I2676" s="4">
        <v>1</v>
      </c>
      <c r="J2676" s="5">
        <v>45669</v>
      </c>
      <c r="K2676" s="6">
        <v>0.8722685185185185</v>
      </c>
    </row>
    <row r="2677" spans="1:11" x14ac:dyDescent="0.25">
      <c r="A2677" s="4">
        <v>8</v>
      </c>
      <c r="B2677" s="4" t="s">
        <v>11</v>
      </c>
      <c r="C2677" s="7">
        <v>30.86</v>
      </c>
      <c r="D2677" s="4" t="s">
        <v>19</v>
      </c>
      <c r="E2677" s="4" t="s">
        <v>13</v>
      </c>
      <c r="F2677" s="4" t="s">
        <v>25</v>
      </c>
      <c r="G2677" s="4" t="s">
        <v>40</v>
      </c>
      <c r="H2677" s="4">
        <v>1</v>
      </c>
      <c r="I2677" s="4">
        <v>1</v>
      </c>
      <c r="J2677" s="5">
        <v>45670</v>
      </c>
      <c r="K2677" s="6">
        <v>0.33912037037037035</v>
      </c>
    </row>
    <row r="2678" spans="1:11" x14ac:dyDescent="0.25">
      <c r="A2678" s="4">
        <v>9</v>
      </c>
      <c r="B2678" s="4" t="s">
        <v>11</v>
      </c>
      <c r="C2678" s="7">
        <v>30.86</v>
      </c>
      <c r="D2678" s="4" t="s">
        <v>19</v>
      </c>
      <c r="E2678" s="4" t="s">
        <v>13</v>
      </c>
      <c r="F2678" s="4" t="s">
        <v>25</v>
      </c>
      <c r="G2678" s="4" t="s">
        <v>40</v>
      </c>
      <c r="H2678" s="4">
        <v>1</v>
      </c>
      <c r="I2678" s="4">
        <v>1</v>
      </c>
      <c r="J2678" s="5">
        <v>45670</v>
      </c>
      <c r="K2678" s="6">
        <v>0.38702546296296297</v>
      </c>
    </row>
    <row r="2679" spans="1:11" x14ac:dyDescent="0.25">
      <c r="A2679" s="4">
        <v>13</v>
      </c>
      <c r="B2679" s="4" t="s">
        <v>11</v>
      </c>
      <c r="C2679" s="7">
        <v>25.96</v>
      </c>
      <c r="D2679" s="4" t="s">
        <v>24</v>
      </c>
      <c r="E2679" s="4" t="s">
        <v>17</v>
      </c>
      <c r="F2679" s="4" t="s">
        <v>25</v>
      </c>
      <c r="G2679" s="4" t="s">
        <v>40</v>
      </c>
      <c r="H2679" s="4">
        <v>1</v>
      </c>
      <c r="I2679" s="4">
        <v>1</v>
      </c>
      <c r="J2679" s="5">
        <v>45670</v>
      </c>
      <c r="K2679" s="6">
        <v>0.54370370370370369</v>
      </c>
    </row>
    <row r="2680" spans="1:11" x14ac:dyDescent="0.25">
      <c r="A2680" s="4">
        <v>13</v>
      </c>
      <c r="B2680" s="4" t="s">
        <v>11</v>
      </c>
      <c r="C2680" s="7">
        <v>35.76</v>
      </c>
      <c r="D2680" s="4" t="s">
        <v>12</v>
      </c>
      <c r="E2680" s="4" t="s">
        <v>17</v>
      </c>
      <c r="F2680" s="4" t="s">
        <v>25</v>
      </c>
      <c r="G2680" s="4" t="s">
        <v>40</v>
      </c>
      <c r="H2680" s="4">
        <v>1</v>
      </c>
      <c r="I2680" s="4">
        <v>1</v>
      </c>
      <c r="J2680" s="5">
        <v>45670</v>
      </c>
      <c r="K2680" s="6">
        <v>0.57692129629629629</v>
      </c>
    </row>
    <row r="2681" spans="1:11" x14ac:dyDescent="0.25">
      <c r="A2681" s="4">
        <v>14</v>
      </c>
      <c r="B2681" s="4" t="s">
        <v>11</v>
      </c>
      <c r="C2681" s="7">
        <v>35.76</v>
      </c>
      <c r="D2681" s="4" t="s">
        <v>12</v>
      </c>
      <c r="E2681" s="4" t="s">
        <v>17</v>
      </c>
      <c r="F2681" s="4" t="s">
        <v>25</v>
      </c>
      <c r="G2681" s="4" t="s">
        <v>40</v>
      </c>
      <c r="H2681" s="4">
        <v>1</v>
      </c>
      <c r="I2681" s="4">
        <v>1</v>
      </c>
      <c r="J2681" s="5">
        <v>45670</v>
      </c>
      <c r="K2681" s="6">
        <v>0.59128472222222217</v>
      </c>
    </row>
    <row r="2682" spans="1:11" x14ac:dyDescent="0.25">
      <c r="A2682" s="4">
        <v>14</v>
      </c>
      <c r="B2682" s="4" t="s">
        <v>11</v>
      </c>
      <c r="C2682" s="7">
        <v>35.76</v>
      </c>
      <c r="D2682" s="4" t="s">
        <v>29</v>
      </c>
      <c r="E2682" s="4" t="s">
        <v>17</v>
      </c>
      <c r="F2682" s="4" t="s">
        <v>25</v>
      </c>
      <c r="G2682" s="4" t="s">
        <v>40</v>
      </c>
      <c r="H2682" s="4">
        <v>1</v>
      </c>
      <c r="I2682" s="4">
        <v>1</v>
      </c>
      <c r="J2682" s="5">
        <v>45670</v>
      </c>
      <c r="K2682" s="6">
        <v>0.59199074074074076</v>
      </c>
    </row>
    <row r="2683" spans="1:11" x14ac:dyDescent="0.25">
      <c r="A2683" s="4">
        <v>16</v>
      </c>
      <c r="B2683" s="4" t="s">
        <v>11</v>
      </c>
      <c r="C2683" s="7">
        <v>35.76</v>
      </c>
      <c r="D2683" s="4" t="s">
        <v>12</v>
      </c>
      <c r="E2683" s="4" t="s">
        <v>17</v>
      </c>
      <c r="F2683" s="4" t="s">
        <v>25</v>
      </c>
      <c r="G2683" s="4" t="s">
        <v>40</v>
      </c>
      <c r="H2683" s="4">
        <v>1</v>
      </c>
      <c r="I2683" s="4">
        <v>1</v>
      </c>
      <c r="J2683" s="5">
        <v>45670</v>
      </c>
      <c r="K2683" s="6">
        <v>0.68444444444444441</v>
      </c>
    </row>
    <row r="2684" spans="1:11" x14ac:dyDescent="0.25">
      <c r="A2684" s="4">
        <v>20</v>
      </c>
      <c r="B2684" s="4" t="s">
        <v>11</v>
      </c>
      <c r="C2684" s="7">
        <v>21.06</v>
      </c>
      <c r="D2684" s="4" t="s">
        <v>26</v>
      </c>
      <c r="E2684" s="4" t="s">
        <v>20</v>
      </c>
      <c r="F2684" s="4" t="s">
        <v>25</v>
      </c>
      <c r="G2684" s="4" t="s">
        <v>40</v>
      </c>
      <c r="H2684" s="4">
        <v>1</v>
      </c>
      <c r="I2684" s="4">
        <v>1</v>
      </c>
      <c r="J2684" s="5">
        <v>45670</v>
      </c>
      <c r="K2684" s="6">
        <v>0.86895833333333339</v>
      </c>
    </row>
    <row r="2685" spans="1:11" x14ac:dyDescent="0.25">
      <c r="A2685" s="4">
        <v>7</v>
      </c>
      <c r="B2685" s="4" t="s">
        <v>11</v>
      </c>
      <c r="C2685" s="7">
        <v>35.76</v>
      </c>
      <c r="D2685" s="4" t="s">
        <v>12</v>
      </c>
      <c r="E2685" s="4" t="s">
        <v>13</v>
      </c>
      <c r="F2685" s="4" t="s">
        <v>27</v>
      </c>
      <c r="G2685" s="4" t="s">
        <v>40</v>
      </c>
      <c r="H2685" s="4">
        <v>2</v>
      </c>
      <c r="I2685" s="4">
        <v>1</v>
      </c>
      <c r="J2685" s="5">
        <v>45671</v>
      </c>
      <c r="K2685" s="6">
        <v>0.31784722222222223</v>
      </c>
    </row>
    <row r="2686" spans="1:11" x14ac:dyDescent="0.25">
      <c r="A2686" s="4">
        <v>9</v>
      </c>
      <c r="B2686" s="4" t="s">
        <v>11</v>
      </c>
      <c r="C2686" s="7">
        <v>25.96</v>
      </c>
      <c r="D2686" s="4" t="s">
        <v>24</v>
      </c>
      <c r="E2686" s="4" t="s">
        <v>13</v>
      </c>
      <c r="F2686" s="4" t="s">
        <v>27</v>
      </c>
      <c r="G2686" s="4" t="s">
        <v>40</v>
      </c>
      <c r="H2686" s="4">
        <v>2</v>
      </c>
      <c r="I2686" s="4">
        <v>1</v>
      </c>
      <c r="J2686" s="5">
        <v>45671</v>
      </c>
      <c r="K2686" s="6">
        <v>0.41229166666666667</v>
      </c>
    </row>
    <row r="2687" spans="1:11" x14ac:dyDescent="0.25">
      <c r="A2687" s="4">
        <v>10</v>
      </c>
      <c r="B2687" s="4" t="s">
        <v>11</v>
      </c>
      <c r="C2687" s="7">
        <v>30.86</v>
      </c>
      <c r="D2687" s="4" t="s">
        <v>19</v>
      </c>
      <c r="E2687" s="4" t="s">
        <v>13</v>
      </c>
      <c r="F2687" s="4" t="s">
        <v>27</v>
      </c>
      <c r="G2687" s="4" t="s">
        <v>40</v>
      </c>
      <c r="H2687" s="4">
        <v>2</v>
      </c>
      <c r="I2687" s="4">
        <v>1</v>
      </c>
      <c r="J2687" s="5">
        <v>45671</v>
      </c>
      <c r="K2687" s="6">
        <v>0.43177083333333333</v>
      </c>
    </row>
    <row r="2688" spans="1:11" x14ac:dyDescent="0.25">
      <c r="A2688" s="4">
        <v>12</v>
      </c>
      <c r="B2688" s="4" t="s">
        <v>11</v>
      </c>
      <c r="C2688" s="7">
        <v>35.76</v>
      </c>
      <c r="D2688" s="4" t="s">
        <v>12</v>
      </c>
      <c r="E2688" s="4" t="s">
        <v>17</v>
      </c>
      <c r="F2688" s="4" t="s">
        <v>27</v>
      </c>
      <c r="G2688" s="4" t="s">
        <v>40</v>
      </c>
      <c r="H2688" s="4">
        <v>2</v>
      </c>
      <c r="I2688" s="4">
        <v>1</v>
      </c>
      <c r="J2688" s="5">
        <v>45671</v>
      </c>
      <c r="K2688" s="6">
        <v>0.53418981481481487</v>
      </c>
    </row>
    <row r="2689" spans="1:11" x14ac:dyDescent="0.25">
      <c r="A2689" s="4">
        <v>16</v>
      </c>
      <c r="B2689" s="4" t="s">
        <v>11</v>
      </c>
      <c r="C2689" s="7">
        <v>30.86</v>
      </c>
      <c r="D2689" s="4" t="s">
        <v>19</v>
      </c>
      <c r="E2689" s="4" t="s">
        <v>17</v>
      </c>
      <c r="F2689" s="4" t="s">
        <v>27</v>
      </c>
      <c r="G2689" s="4" t="s">
        <v>40</v>
      </c>
      <c r="H2689" s="4">
        <v>2</v>
      </c>
      <c r="I2689" s="4">
        <v>1</v>
      </c>
      <c r="J2689" s="5">
        <v>45671</v>
      </c>
      <c r="K2689" s="6">
        <v>0.6793865740740741</v>
      </c>
    </row>
    <row r="2690" spans="1:11" x14ac:dyDescent="0.25">
      <c r="A2690" s="4">
        <v>16</v>
      </c>
      <c r="B2690" s="4" t="s">
        <v>11</v>
      </c>
      <c r="C2690" s="7">
        <v>30.86</v>
      </c>
      <c r="D2690" s="4" t="s">
        <v>19</v>
      </c>
      <c r="E2690" s="4" t="s">
        <v>17</v>
      </c>
      <c r="F2690" s="4" t="s">
        <v>27</v>
      </c>
      <c r="G2690" s="4" t="s">
        <v>40</v>
      </c>
      <c r="H2690" s="4">
        <v>2</v>
      </c>
      <c r="I2690" s="4">
        <v>1</v>
      </c>
      <c r="J2690" s="5">
        <v>45671</v>
      </c>
      <c r="K2690" s="6">
        <v>0.68016203703703704</v>
      </c>
    </row>
    <row r="2691" spans="1:11" x14ac:dyDescent="0.25">
      <c r="A2691" s="4">
        <v>19</v>
      </c>
      <c r="B2691" s="4" t="s">
        <v>11</v>
      </c>
      <c r="C2691" s="7">
        <v>35.76</v>
      </c>
      <c r="D2691" s="4" t="s">
        <v>29</v>
      </c>
      <c r="E2691" s="4" t="s">
        <v>20</v>
      </c>
      <c r="F2691" s="4" t="s">
        <v>27</v>
      </c>
      <c r="G2691" s="4" t="s">
        <v>40</v>
      </c>
      <c r="H2691" s="4">
        <v>2</v>
      </c>
      <c r="I2691" s="4">
        <v>1</v>
      </c>
      <c r="J2691" s="5">
        <v>45671</v>
      </c>
      <c r="K2691" s="6">
        <v>0.820775462962963</v>
      </c>
    </row>
    <row r="2692" spans="1:11" x14ac:dyDescent="0.25">
      <c r="A2692" s="4">
        <v>21</v>
      </c>
      <c r="B2692" s="4" t="s">
        <v>11</v>
      </c>
      <c r="C2692" s="7">
        <v>35.76</v>
      </c>
      <c r="D2692" s="4" t="s">
        <v>12</v>
      </c>
      <c r="E2692" s="4" t="s">
        <v>20</v>
      </c>
      <c r="F2692" s="4" t="s">
        <v>27</v>
      </c>
      <c r="G2692" s="4" t="s">
        <v>40</v>
      </c>
      <c r="H2692" s="4">
        <v>2</v>
      </c>
      <c r="I2692" s="4">
        <v>1</v>
      </c>
      <c r="J2692" s="5">
        <v>45671</v>
      </c>
      <c r="K2692" s="6">
        <v>0.87679398148148147</v>
      </c>
    </row>
    <row r="2693" spans="1:11" x14ac:dyDescent="0.25">
      <c r="A2693" s="4">
        <v>9</v>
      </c>
      <c r="B2693" s="4" t="s">
        <v>11</v>
      </c>
      <c r="C2693" s="7">
        <v>30.86</v>
      </c>
      <c r="D2693" s="4" t="s">
        <v>19</v>
      </c>
      <c r="E2693" s="4" t="s">
        <v>13</v>
      </c>
      <c r="F2693" s="4" t="s">
        <v>28</v>
      </c>
      <c r="G2693" s="4" t="s">
        <v>40</v>
      </c>
      <c r="H2693" s="4">
        <v>3</v>
      </c>
      <c r="I2693" s="4">
        <v>1</v>
      </c>
      <c r="J2693" s="5">
        <v>45672</v>
      </c>
      <c r="K2693" s="6">
        <v>0.38337962962962963</v>
      </c>
    </row>
    <row r="2694" spans="1:11" x14ac:dyDescent="0.25">
      <c r="A2694" s="4">
        <v>11</v>
      </c>
      <c r="B2694" s="4" t="s">
        <v>11</v>
      </c>
      <c r="C2694" s="7">
        <v>25.96</v>
      </c>
      <c r="D2694" s="4" t="s">
        <v>18</v>
      </c>
      <c r="E2694" s="4" t="s">
        <v>13</v>
      </c>
      <c r="F2694" s="4" t="s">
        <v>28</v>
      </c>
      <c r="G2694" s="4" t="s">
        <v>40</v>
      </c>
      <c r="H2694" s="4">
        <v>3</v>
      </c>
      <c r="I2694" s="4">
        <v>1</v>
      </c>
      <c r="J2694" s="5">
        <v>45672</v>
      </c>
      <c r="K2694" s="6">
        <v>0.46554398148148146</v>
      </c>
    </row>
    <row r="2695" spans="1:11" x14ac:dyDescent="0.25">
      <c r="A2695" s="4">
        <v>13</v>
      </c>
      <c r="B2695" s="4" t="s">
        <v>11</v>
      </c>
      <c r="C2695" s="7">
        <v>35.76</v>
      </c>
      <c r="D2695" s="4" t="s">
        <v>29</v>
      </c>
      <c r="E2695" s="4" t="s">
        <v>17</v>
      </c>
      <c r="F2695" s="4" t="s">
        <v>28</v>
      </c>
      <c r="G2695" s="4" t="s">
        <v>40</v>
      </c>
      <c r="H2695" s="4">
        <v>3</v>
      </c>
      <c r="I2695" s="4">
        <v>1</v>
      </c>
      <c r="J2695" s="5">
        <v>45672</v>
      </c>
      <c r="K2695" s="6">
        <v>0.55155092592592592</v>
      </c>
    </row>
    <row r="2696" spans="1:11" x14ac:dyDescent="0.25">
      <c r="A2696" s="4">
        <v>15</v>
      </c>
      <c r="B2696" s="4" t="s">
        <v>11</v>
      </c>
      <c r="C2696" s="7">
        <v>35.76</v>
      </c>
      <c r="D2696" s="4" t="s">
        <v>12</v>
      </c>
      <c r="E2696" s="4" t="s">
        <v>17</v>
      </c>
      <c r="F2696" s="4" t="s">
        <v>28</v>
      </c>
      <c r="G2696" s="4" t="s">
        <v>40</v>
      </c>
      <c r="H2696" s="4">
        <v>3</v>
      </c>
      <c r="I2696" s="4">
        <v>1</v>
      </c>
      <c r="J2696" s="5">
        <v>45672</v>
      </c>
      <c r="K2696" s="6">
        <v>0.64954861111111106</v>
      </c>
    </row>
    <row r="2697" spans="1:11" x14ac:dyDescent="0.25">
      <c r="A2697" s="4">
        <v>15</v>
      </c>
      <c r="B2697" s="4" t="s">
        <v>11</v>
      </c>
      <c r="C2697" s="7">
        <v>35.76</v>
      </c>
      <c r="D2697" s="4" t="s">
        <v>29</v>
      </c>
      <c r="E2697" s="4" t="s">
        <v>17</v>
      </c>
      <c r="F2697" s="4" t="s">
        <v>28</v>
      </c>
      <c r="G2697" s="4" t="s">
        <v>40</v>
      </c>
      <c r="H2697" s="4">
        <v>3</v>
      </c>
      <c r="I2697" s="4">
        <v>1</v>
      </c>
      <c r="J2697" s="5">
        <v>45672</v>
      </c>
      <c r="K2697" s="6">
        <v>0.65054398148148151</v>
      </c>
    </row>
    <row r="2698" spans="1:11" x14ac:dyDescent="0.25">
      <c r="A2698" s="4">
        <v>15</v>
      </c>
      <c r="B2698" s="4" t="s">
        <v>11</v>
      </c>
      <c r="C2698" s="7">
        <v>35.76</v>
      </c>
      <c r="D2698" s="4" t="s">
        <v>12</v>
      </c>
      <c r="E2698" s="4" t="s">
        <v>17</v>
      </c>
      <c r="F2698" s="4" t="s">
        <v>28</v>
      </c>
      <c r="G2698" s="4" t="s">
        <v>40</v>
      </c>
      <c r="H2698" s="4">
        <v>3</v>
      </c>
      <c r="I2698" s="4">
        <v>1</v>
      </c>
      <c r="J2698" s="5">
        <v>45672</v>
      </c>
      <c r="K2698" s="6">
        <v>0.65133101851851849</v>
      </c>
    </row>
    <row r="2699" spans="1:11" x14ac:dyDescent="0.25">
      <c r="A2699" s="4">
        <v>16</v>
      </c>
      <c r="B2699" s="4" t="s">
        <v>11</v>
      </c>
      <c r="C2699" s="7">
        <v>35.76</v>
      </c>
      <c r="D2699" s="4" t="s">
        <v>12</v>
      </c>
      <c r="E2699" s="4" t="s">
        <v>17</v>
      </c>
      <c r="F2699" s="4" t="s">
        <v>28</v>
      </c>
      <c r="G2699" s="4" t="s">
        <v>40</v>
      </c>
      <c r="H2699" s="4">
        <v>3</v>
      </c>
      <c r="I2699" s="4">
        <v>1</v>
      </c>
      <c r="J2699" s="5">
        <v>45672</v>
      </c>
      <c r="K2699" s="6">
        <v>0.70516203703703706</v>
      </c>
    </row>
    <row r="2700" spans="1:11" x14ac:dyDescent="0.25">
      <c r="A2700" s="4">
        <v>18</v>
      </c>
      <c r="B2700" s="4" t="s">
        <v>11</v>
      </c>
      <c r="C2700" s="7">
        <v>35.76</v>
      </c>
      <c r="D2700" s="4" t="s">
        <v>12</v>
      </c>
      <c r="E2700" s="4" t="s">
        <v>20</v>
      </c>
      <c r="F2700" s="4" t="s">
        <v>28</v>
      </c>
      <c r="G2700" s="4" t="s">
        <v>40</v>
      </c>
      <c r="H2700" s="4">
        <v>3</v>
      </c>
      <c r="I2700" s="4">
        <v>1</v>
      </c>
      <c r="J2700" s="5">
        <v>45672</v>
      </c>
      <c r="K2700" s="6">
        <v>0.75430555555555556</v>
      </c>
    </row>
    <row r="2701" spans="1:11" x14ac:dyDescent="0.25">
      <c r="A2701" s="4">
        <v>19</v>
      </c>
      <c r="B2701" s="4" t="s">
        <v>11</v>
      </c>
      <c r="C2701" s="7">
        <v>35.76</v>
      </c>
      <c r="D2701" s="4" t="s">
        <v>12</v>
      </c>
      <c r="E2701" s="4" t="s">
        <v>20</v>
      </c>
      <c r="F2701" s="4" t="s">
        <v>28</v>
      </c>
      <c r="G2701" s="4" t="s">
        <v>40</v>
      </c>
      <c r="H2701" s="4">
        <v>3</v>
      </c>
      <c r="I2701" s="4">
        <v>1</v>
      </c>
      <c r="J2701" s="5">
        <v>45672</v>
      </c>
      <c r="K2701" s="6">
        <v>0.82724537037037038</v>
      </c>
    </row>
    <row r="2702" spans="1:11" x14ac:dyDescent="0.25">
      <c r="A2702" s="4">
        <v>21</v>
      </c>
      <c r="B2702" s="4" t="s">
        <v>11</v>
      </c>
      <c r="C2702" s="7">
        <v>35.76</v>
      </c>
      <c r="D2702" s="4" t="s">
        <v>29</v>
      </c>
      <c r="E2702" s="4" t="s">
        <v>20</v>
      </c>
      <c r="F2702" s="4" t="s">
        <v>28</v>
      </c>
      <c r="G2702" s="4" t="s">
        <v>40</v>
      </c>
      <c r="H2702" s="4">
        <v>3</v>
      </c>
      <c r="I2702" s="4">
        <v>1</v>
      </c>
      <c r="J2702" s="5">
        <v>45672</v>
      </c>
      <c r="K2702" s="6">
        <v>0.90363425925925922</v>
      </c>
    </row>
    <row r="2703" spans="1:11" x14ac:dyDescent="0.25">
      <c r="A2703" s="4">
        <v>9</v>
      </c>
      <c r="B2703" s="4" t="s">
        <v>11</v>
      </c>
      <c r="C2703" s="7">
        <v>35.76</v>
      </c>
      <c r="D2703" s="4" t="s">
        <v>12</v>
      </c>
      <c r="E2703" s="4" t="s">
        <v>13</v>
      </c>
      <c r="F2703" s="4" t="s">
        <v>30</v>
      </c>
      <c r="G2703" s="4" t="s">
        <v>40</v>
      </c>
      <c r="H2703" s="4">
        <v>4</v>
      </c>
      <c r="I2703" s="4">
        <v>1</v>
      </c>
      <c r="J2703" s="5">
        <v>45673</v>
      </c>
      <c r="K2703" s="6">
        <v>0.39788194444444447</v>
      </c>
    </row>
    <row r="2704" spans="1:11" x14ac:dyDescent="0.25">
      <c r="A2704" s="4">
        <v>9</v>
      </c>
      <c r="B2704" s="4" t="s">
        <v>11</v>
      </c>
      <c r="C2704" s="7">
        <v>30.86</v>
      </c>
      <c r="D2704" s="4" t="s">
        <v>19</v>
      </c>
      <c r="E2704" s="4" t="s">
        <v>13</v>
      </c>
      <c r="F2704" s="4" t="s">
        <v>30</v>
      </c>
      <c r="G2704" s="4" t="s">
        <v>40</v>
      </c>
      <c r="H2704" s="4">
        <v>4</v>
      </c>
      <c r="I2704" s="4">
        <v>1</v>
      </c>
      <c r="J2704" s="5">
        <v>45673</v>
      </c>
      <c r="K2704" s="6">
        <v>0.40149305555555553</v>
      </c>
    </row>
    <row r="2705" spans="1:11" x14ac:dyDescent="0.25">
      <c r="A2705" s="4">
        <v>10</v>
      </c>
      <c r="B2705" s="4" t="s">
        <v>11</v>
      </c>
      <c r="C2705" s="7">
        <v>30.86</v>
      </c>
      <c r="D2705" s="4" t="s">
        <v>19</v>
      </c>
      <c r="E2705" s="4" t="s">
        <v>13</v>
      </c>
      <c r="F2705" s="4" t="s">
        <v>30</v>
      </c>
      <c r="G2705" s="4" t="s">
        <v>40</v>
      </c>
      <c r="H2705" s="4">
        <v>4</v>
      </c>
      <c r="I2705" s="4">
        <v>1</v>
      </c>
      <c r="J2705" s="5">
        <v>45673</v>
      </c>
      <c r="K2705" s="6">
        <v>0.44560185185185186</v>
      </c>
    </row>
    <row r="2706" spans="1:11" x14ac:dyDescent="0.25">
      <c r="A2706" s="4">
        <v>12</v>
      </c>
      <c r="B2706" s="4" t="s">
        <v>11</v>
      </c>
      <c r="C2706" s="7">
        <v>25.96</v>
      </c>
      <c r="D2706" s="4" t="s">
        <v>24</v>
      </c>
      <c r="E2706" s="4" t="s">
        <v>17</v>
      </c>
      <c r="F2706" s="4" t="s">
        <v>30</v>
      </c>
      <c r="G2706" s="4" t="s">
        <v>40</v>
      </c>
      <c r="H2706" s="4">
        <v>4</v>
      </c>
      <c r="I2706" s="4">
        <v>1</v>
      </c>
      <c r="J2706" s="5">
        <v>45673</v>
      </c>
      <c r="K2706" s="6">
        <v>0.50851851851851848</v>
      </c>
    </row>
    <row r="2707" spans="1:11" x14ac:dyDescent="0.25">
      <c r="A2707" s="4">
        <v>15</v>
      </c>
      <c r="B2707" s="4" t="s">
        <v>11</v>
      </c>
      <c r="C2707" s="7">
        <v>35.76</v>
      </c>
      <c r="D2707" s="4" t="s">
        <v>12</v>
      </c>
      <c r="E2707" s="4" t="s">
        <v>17</v>
      </c>
      <c r="F2707" s="4" t="s">
        <v>30</v>
      </c>
      <c r="G2707" s="4" t="s">
        <v>40</v>
      </c>
      <c r="H2707" s="4">
        <v>4</v>
      </c>
      <c r="I2707" s="4">
        <v>1</v>
      </c>
      <c r="J2707" s="5">
        <v>45673</v>
      </c>
      <c r="K2707" s="6">
        <v>0.63633101851851848</v>
      </c>
    </row>
    <row r="2708" spans="1:11" x14ac:dyDescent="0.25">
      <c r="A2708" s="4">
        <v>16</v>
      </c>
      <c r="B2708" s="4" t="s">
        <v>11</v>
      </c>
      <c r="C2708" s="7">
        <v>35.76</v>
      </c>
      <c r="D2708" s="4" t="s">
        <v>12</v>
      </c>
      <c r="E2708" s="4" t="s">
        <v>17</v>
      </c>
      <c r="F2708" s="4" t="s">
        <v>30</v>
      </c>
      <c r="G2708" s="4" t="s">
        <v>40</v>
      </c>
      <c r="H2708" s="4">
        <v>4</v>
      </c>
      <c r="I2708" s="4">
        <v>1</v>
      </c>
      <c r="J2708" s="5">
        <v>45673</v>
      </c>
      <c r="K2708" s="6">
        <v>0.69109953703703708</v>
      </c>
    </row>
    <row r="2709" spans="1:11" x14ac:dyDescent="0.25">
      <c r="A2709" s="4">
        <v>18</v>
      </c>
      <c r="B2709" s="4" t="s">
        <v>11</v>
      </c>
      <c r="C2709" s="7">
        <v>35.76</v>
      </c>
      <c r="D2709" s="4" t="s">
        <v>29</v>
      </c>
      <c r="E2709" s="4" t="s">
        <v>20</v>
      </c>
      <c r="F2709" s="4" t="s">
        <v>30</v>
      </c>
      <c r="G2709" s="4" t="s">
        <v>40</v>
      </c>
      <c r="H2709" s="4">
        <v>4</v>
      </c>
      <c r="I2709" s="4">
        <v>1</v>
      </c>
      <c r="J2709" s="5">
        <v>45673</v>
      </c>
      <c r="K2709" s="6">
        <v>0.76107638888888884</v>
      </c>
    </row>
    <row r="2710" spans="1:11" x14ac:dyDescent="0.25">
      <c r="A2710" s="4">
        <v>21</v>
      </c>
      <c r="B2710" s="4" t="s">
        <v>11</v>
      </c>
      <c r="C2710" s="7">
        <v>35.76</v>
      </c>
      <c r="D2710" s="4" t="s">
        <v>16</v>
      </c>
      <c r="E2710" s="4" t="s">
        <v>20</v>
      </c>
      <c r="F2710" s="4" t="s">
        <v>30</v>
      </c>
      <c r="G2710" s="4" t="s">
        <v>40</v>
      </c>
      <c r="H2710" s="4">
        <v>4</v>
      </c>
      <c r="I2710" s="4">
        <v>1</v>
      </c>
      <c r="J2710" s="5">
        <v>45673</v>
      </c>
      <c r="K2710" s="6">
        <v>0.88609953703703703</v>
      </c>
    </row>
    <row r="2711" spans="1:11" x14ac:dyDescent="0.25">
      <c r="A2711" s="4">
        <v>21</v>
      </c>
      <c r="B2711" s="4" t="s">
        <v>11</v>
      </c>
      <c r="C2711" s="7">
        <v>35.76</v>
      </c>
      <c r="D2711" s="4" t="s">
        <v>16</v>
      </c>
      <c r="E2711" s="4" t="s">
        <v>20</v>
      </c>
      <c r="F2711" s="4" t="s">
        <v>30</v>
      </c>
      <c r="G2711" s="4" t="s">
        <v>40</v>
      </c>
      <c r="H2711" s="4">
        <v>4</v>
      </c>
      <c r="I2711" s="4">
        <v>1</v>
      </c>
      <c r="J2711" s="5">
        <v>45673</v>
      </c>
      <c r="K2711" s="6">
        <v>0.88679398148148147</v>
      </c>
    </row>
    <row r="2712" spans="1:11" x14ac:dyDescent="0.25">
      <c r="A2712" s="4">
        <v>21</v>
      </c>
      <c r="B2712" s="4" t="s">
        <v>11</v>
      </c>
      <c r="C2712" s="7">
        <v>25.96</v>
      </c>
      <c r="D2712" s="4" t="s">
        <v>24</v>
      </c>
      <c r="E2712" s="4" t="s">
        <v>20</v>
      </c>
      <c r="F2712" s="4" t="s">
        <v>30</v>
      </c>
      <c r="G2712" s="4" t="s">
        <v>40</v>
      </c>
      <c r="H2712" s="4">
        <v>4</v>
      </c>
      <c r="I2712" s="4">
        <v>1</v>
      </c>
      <c r="J2712" s="5">
        <v>45673</v>
      </c>
      <c r="K2712" s="6">
        <v>0.9029166666666667</v>
      </c>
    </row>
    <row r="2713" spans="1:11" x14ac:dyDescent="0.25">
      <c r="A2713" s="4">
        <v>7</v>
      </c>
      <c r="B2713" s="4" t="s">
        <v>11</v>
      </c>
      <c r="C2713" s="7">
        <v>35.76</v>
      </c>
      <c r="D2713" s="4" t="s">
        <v>21</v>
      </c>
      <c r="E2713" s="4" t="s">
        <v>13</v>
      </c>
      <c r="F2713" s="4" t="s">
        <v>14</v>
      </c>
      <c r="G2713" s="4" t="s">
        <v>40</v>
      </c>
      <c r="H2713" s="4">
        <v>5</v>
      </c>
      <c r="I2713" s="4">
        <v>1</v>
      </c>
      <c r="J2713" s="5">
        <v>45674</v>
      </c>
      <c r="K2713" s="6">
        <v>0.31827546296296294</v>
      </c>
    </row>
    <row r="2714" spans="1:11" x14ac:dyDescent="0.25">
      <c r="A2714" s="4">
        <v>8</v>
      </c>
      <c r="B2714" s="4" t="s">
        <v>11</v>
      </c>
      <c r="C2714" s="7">
        <v>35.76</v>
      </c>
      <c r="D2714" s="4" t="s">
        <v>12</v>
      </c>
      <c r="E2714" s="4" t="s">
        <v>13</v>
      </c>
      <c r="F2714" s="4" t="s">
        <v>14</v>
      </c>
      <c r="G2714" s="4" t="s">
        <v>40</v>
      </c>
      <c r="H2714" s="4">
        <v>5</v>
      </c>
      <c r="I2714" s="4">
        <v>1</v>
      </c>
      <c r="J2714" s="5">
        <v>45674</v>
      </c>
      <c r="K2714" s="6">
        <v>0.35162037037037036</v>
      </c>
    </row>
    <row r="2715" spans="1:11" x14ac:dyDescent="0.25">
      <c r="A2715" s="4">
        <v>8</v>
      </c>
      <c r="B2715" s="4" t="s">
        <v>11</v>
      </c>
      <c r="C2715" s="7">
        <v>35.76</v>
      </c>
      <c r="D2715" s="4" t="s">
        <v>29</v>
      </c>
      <c r="E2715" s="4" t="s">
        <v>13</v>
      </c>
      <c r="F2715" s="4" t="s">
        <v>14</v>
      </c>
      <c r="G2715" s="4" t="s">
        <v>40</v>
      </c>
      <c r="H2715" s="4">
        <v>5</v>
      </c>
      <c r="I2715" s="4">
        <v>1</v>
      </c>
      <c r="J2715" s="5">
        <v>45674</v>
      </c>
      <c r="K2715" s="6">
        <v>0.35263888888888889</v>
      </c>
    </row>
    <row r="2716" spans="1:11" x14ac:dyDescent="0.25">
      <c r="A2716" s="4">
        <v>8</v>
      </c>
      <c r="B2716" s="4" t="s">
        <v>11</v>
      </c>
      <c r="C2716" s="7">
        <v>30.86</v>
      </c>
      <c r="D2716" s="4" t="s">
        <v>19</v>
      </c>
      <c r="E2716" s="4" t="s">
        <v>13</v>
      </c>
      <c r="F2716" s="4" t="s">
        <v>14</v>
      </c>
      <c r="G2716" s="4" t="s">
        <v>40</v>
      </c>
      <c r="H2716" s="4">
        <v>5</v>
      </c>
      <c r="I2716" s="4">
        <v>1</v>
      </c>
      <c r="J2716" s="5">
        <v>45674</v>
      </c>
      <c r="K2716" s="6">
        <v>0.36662037037037037</v>
      </c>
    </row>
    <row r="2717" spans="1:11" x14ac:dyDescent="0.25">
      <c r="A2717" s="4">
        <v>9</v>
      </c>
      <c r="B2717" s="4" t="s">
        <v>11</v>
      </c>
      <c r="C2717" s="7">
        <v>30.86</v>
      </c>
      <c r="D2717" s="4" t="s">
        <v>19</v>
      </c>
      <c r="E2717" s="4" t="s">
        <v>13</v>
      </c>
      <c r="F2717" s="4" t="s">
        <v>14</v>
      </c>
      <c r="G2717" s="4" t="s">
        <v>40</v>
      </c>
      <c r="H2717" s="4">
        <v>5</v>
      </c>
      <c r="I2717" s="4">
        <v>1</v>
      </c>
      <c r="J2717" s="5">
        <v>45674</v>
      </c>
      <c r="K2717" s="6">
        <v>0.3941898148148148</v>
      </c>
    </row>
    <row r="2718" spans="1:11" x14ac:dyDescent="0.25">
      <c r="A2718" s="4">
        <v>14</v>
      </c>
      <c r="B2718" s="4" t="s">
        <v>11</v>
      </c>
      <c r="C2718" s="7">
        <v>35.76</v>
      </c>
      <c r="D2718" s="4" t="s">
        <v>21</v>
      </c>
      <c r="E2718" s="4" t="s">
        <v>17</v>
      </c>
      <c r="F2718" s="4" t="s">
        <v>14</v>
      </c>
      <c r="G2718" s="4" t="s">
        <v>40</v>
      </c>
      <c r="H2718" s="4">
        <v>5</v>
      </c>
      <c r="I2718" s="4">
        <v>1</v>
      </c>
      <c r="J2718" s="5">
        <v>45674</v>
      </c>
      <c r="K2718" s="6">
        <v>0.59783564814814816</v>
      </c>
    </row>
    <row r="2719" spans="1:11" x14ac:dyDescent="0.25">
      <c r="A2719" s="4">
        <v>14</v>
      </c>
      <c r="B2719" s="4" t="s">
        <v>11</v>
      </c>
      <c r="C2719" s="7">
        <v>35.76</v>
      </c>
      <c r="D2719" s="4" t="s">
        <v>21</v>
      </c>
      <c r="E2719" s="4" t="s">
        <v>17</v>
      </c>
      <c r="F2719" s="4" t="s">
        <v>14</v>
      </c>
      <c r="G2719" s="4" t="s">
        <v>40</v>
      </c>
      <c r="H2719" s="4">
        <v>5</v>
      </c>
      <c r="I2719" s="4">
        <v>1</v>
      </c>
      <c r="J2719" s="5">
        <v>45674</v>
      </c>
      <c r="K2719" s="6">
        <v>0.59863425925925928</v>
      </c>
    </row>
    <row r="2720" spans="1:11" x14ac:dyDescent="0.25">
      <c r="A2720" s="4">
        <v>17</v>
      </c>
      <c r="B2720" s="4" t="s">
        <v>11</v>
      </c>
      <c r="C2720" s="7">
        <v>35.76</v>
      </c>
      <c r="D2720" s="4" t="s">
        <v>16</v>
      </c>
      <c r="E2720" s="4" t="s">
        <v>20</v>
      </c>
      <c r="F2720" s="4" t="s">
        <v>14</v>
      </c>
      <c r="G2720" s="4" t="s">
        <v>40</v>
      </c>
      <c r="H2720" s="4">
        <v>5</v>
      </c>
      <c r="I2720" s="4">
        <v>1</v>
      </c>
      <c r="J2720" s="5">
        <v>45674</v>
      </c>
      <c r="K2720" s="6">
        <v>0.73553240740740744</v>
      </c>
    </row>
    <row r="2721" spans="1:11" x14ac:dyDescent="0.25">
      <c r="A2721" s="4">
        <v>21</v>
      </c>
      <c r="B2721" s="4" t="s">
        <v>11</v>
      </c>
      <c r="C2721" s="7">
        <v>35.76</v>
      </c>
      <c r="D2721" s="4" t="s">
        <v>16</v>
      </c>
      <c r="E2721" s="4" t="s">
        <v>20</v>
      </c>
      <c r="F2721" s="4" t="s">
        <v>14</v>
      </c>
      <c r="G2721" s="4" t="s">
        <v>40</v>
      </c>
      <c r="H2721" s="4">
        <v>5</v>
      </c>
      <c r="I2721" s="4">
        <v>1</v>
      </c>
      <c r="J2721" s="5">
        <v>45674</v>
      </c>
      <c r="K2721" s="6">
        <v>0.89048611111111109</v>
      </c>
    </row>
    <row r="2722" spans="1:11" x14ac:dyDescent="0.25">
      <c r="A2722" s="4">
        <v>10</v>
      </c>
      <c r="B2722" s="4" t="s">
        <v>11</v>
      </c>
      <c r="C2722" s="7">
        <v>30.86</v>
      </c>
      <c r="D2722" s="4" t="s">
        <v>19</v>
      </c>
      <c r="E2722" s="4" t="s">
        <v>13</v>
      </c>
      <c r="F2722" s="4" t="s">
        <v>22</v>
      </c>
      <c r="G2722" s="4" t="s">
        <v>40</v>
      </c>
      <c r="H2722" s="4">
        <v>6</v>
      </c>
      <c r="I2722" s="4">
        <v>1</v>
      </c>
      <c r="J2722" s="5">
        <v>45675</v>
      </c>
      <c r="K2722" s="6">
        <v>0.4254398148148148</v>
      </c>
    </row>
    <row r="2723" spans="1:11" x14ac:dyDescent="0.25">
      <c r="A2723" s="4">
        <v>16</v>
      </c>
      <c r="B2723" s="4" t="s">
        <v>11</v>
      </c>
      <c r="C2723" s="7">
        <v>35.76</v>
      </c>
      <c r="D2723" s="4" t="s">
        <v>16</v>
      </c>
      <c r="E2723" s="4" t="s">
        <v>17</v>
      </c>
      <c r="F2723" s="4" t="s">
        <v>22</v>
      </c>
      <c r="G2723" s="4" t="s">
        <v>40</v>
      </c>
      <c r="H2723" s="4">
        <v>6</v>
      </c>
      <c r="I2723" s="4">
        <v>1</v>
      </c>
      <c r="J2723" s="5">
        <v>45675</v>
      </c>
      <c r="K2723" s="6">
        <v>0.69004629629629632</v>
      </c>
    </row>
    <row r="2724" spans="1:11" x14ac:dyDescent="0.25">
      <c r="A2724" s="4">
        <v>16</v>
      </c>
      <c r="B2724" s="4" t="s">
        <v>11</v>
      </c>
      <c r="C2724" s="7">
        <v>35.76</v>
      </c>
      <c r="D2724" s="4" t="s">
        <v>12</v>
      </c>
      <c r="E2724" s="4" t="s">
        <v>17</v>
      </c>
      <c r="F2724" s="4" t="s">
        <v>22</v>
      </c>
      <c r="G2724" s="4" t="s">
        <v>40</v>
      </c>
      <c r="H2724" s="4">
        <v>6</v>
      </c>
      <c r="I2724" s="4">
        <v>1</v>
      </c>
      <c r="J2724" s="5">
        <v>45675</v>
      </c>
      <c r="K2724" s="6">
        <v>0.69113425925925931</v>
      </c>
    </row>
    <row r="2725" spans="1:11" x14ac:dyDescent="0.25">
      <c r="A2725" s="4">
        <v>16</v>
      </c>
      <c r="B2725" s="4" t="s">
        <v>11</v>
      </c>
      <c r="C2725" s="7">
        <v>35.76</v>
      </c>
      <c r="D2725" s="4" t="s">
        <v>16</v>
      </c>
      <c r="E2725" s="4" t="s">
        <v>17</v>
      </c>
      <c r="F2725" s="4" t="s">
        <v>22</v>
      </c>
      <c r="G2725" s="4" t="s">
        <v>40</v>
      </c>
      <c r="H2725" s="4">
        <v>6</v>
      </c>
      <c r="I2725" s="4">
        <v>1</v>
      </c>
      <c r="J2725" s="5">
        <v>45675</v>
      </c>
      <c r="K2725" s="6">
        <v>0.69199074074074074</v>
      </c>
    </row>
    <row r="2726" spans="1:11" x14ac:dyDescent="0.25">
      <c r="A2726" s="4">
        <v>8</v>
      </c>
      <c r="B2726" s="4" t="s">
        <v>11</v>
      </c>
      <c r="C2726" s="7">
        <v>30.86</v>
      </c>
      <c r="D2726" s="4" t="s">
        <v>19</v>
      </c>
      <c r="E2726" s="4" t="s">
        <v>13</v>
      </c>
      <c r="F2726" s="4" t="s">
        <v>25</v>
      </c>
      <c r="G2726" s="4" t="s">
        <v>40</v>
      </c>
      <c r="H2726" s="4">
        <v>1</v>
      </c>
      <c r="I2726" s="4">
        <v>1</v>
      </c>
      <c r="J2726" s="5">
        <v>45677</v>
      </c>
      <c r="K2726" s="6">
        <v>0.35401620370370368</v>
      </c>
    </row>
    <row r="2727" spans="1:11" x14ac:dyDescent="0.25">
      <c r="A2727" s="4">
        <v>10</v>
      </c>
      <c r="B2727" s="4" t="s">
        <v>11</v>
      </c>
      <c r="C2727" s="7">
        <v>30.86</v>
      </c>
      <c r="D2727" s="4" t="s">
        <v>19</v>
      </c>
      <c r="E2727" s="4" t="s">
        <v>13</v>
      </c>
      <c r="F2727" s="4" t="s">
        <v>25</v>
      </c>
      <c r="G2727" s="4" t="s">
        <v>40</v>
      </c>
      <c r="H2727" s="4">
        <v>1</v>
      </c>
      <c r="I2727" s="4">
        <v>1</v>
      </c>
      <c r="J2727" s="5">
        <v>45677</v>
      </c>
      <c r="K2727" s="6">
        <v>0.45653935185185185</v>
      </c>
    </row>
    <row r="2728" spans="1:11" x14ac:dyDescent="0.25">
      <c r="A2728" s="4">
        <v>11</v>
      </c>
      <c r="B2728" s="4" t="s">
        <v>11</v>
      </c>
      <c r="C2728" s="7">
        <v>25.96</v>
      </c>
      <c r="D2728" s="4" t="s">
        <v>24</v>
      </c>
      <c r="E2728" s="4" t="s">
        <v>13</v>
      </c>
      <c r="F2728" s="4" t="s">
        <v>25</v>
      </c>
      <c r="G2728" s="4" t="s">
        <v>40</v>
      </c>
      <c r="H2728" s="4">
        <v>1</v>
      </c>
      <c r="I2728" s="4">
        <v>1</v>
      </c>
      <c r="J2728" s="5">
        <v>45677</v>
      </c>
      <c r="K2728" s="6">
        <v>0.48638888888888887</v>
      </c>
    </row>
    <row r="2729" spans="1:11" x14ac:dyDescent="0.25">
      <c r="A2729" s="4">
        <v>12</v>
      </c>
      <c r="B2729" s="4" t="s">
        <v>11</v>
      </c>
      <c r="C2729" s="7">
        <v>25.96</v>
      </c>
      <c r="D2729" s="4" t="s">
        <v>18</v>
      </c>
      <c r="E2729" s="4" t="s">
        <v>17</v>
      </c>
      <c r="F2729" s="4" t="s">
        <v>25</v>
      </c>
      <c r="G2729" s="4" t="s">
        <v>40</v>
      </c>
      <c r="H2729" s="4">
        <v>1</v>
      </c>
      <c r="I2729" s="4">
        <v>1</v>
      </c>
      <c r="J2729" s="5">
        <v>45677</v>
      </c>
      <c r="K2729" s="6">
        <v>0.50334490740740745</v>
      </c>
    </row>
    <row r="2730" spans="1:11" x14ac:dyDescent="0.25">
      <c r="A2730" s="4">
        <v>12</v>
      </c>
      <c r="B2730" s="4" t="s">
        <v>11</v>
      </c>
      <c r="C2730" s="7">
        <v>25.96</v>
      </c>
      <c r="D2730" s="4" t="s">
        <v>24</v>
      </c>
      <c r="E2730" s="4" t="s">
        <v>17</v>
      </c>
      <c r="F2730" s="4" t="s">
        <v>25</v>
      </c>
      <c r="G2730" s="4" t="s">
        <v>40</v>
      </c>
      <c r="H2730" s="4">
        <v>1</v>
      </c>
      <c r="I2730" s="4">
        <v>1</v>
      </c>
      <c r="J2730" s="5">
        <v>45677</v>
      </c>
      <c r="K2730" s="6">
        <v>0.50416666666666665</v>
      </c>
    </row>
    <row r="2731" spans="1:11" x14ac:dyDescent="0.25">
      <c r="A2731" s="4">
        <v>13</v>
      </c>
      <c r="B2731" s="4" t="s">
        <v>11</v>
      </c>
      <c r="C2731" s="7">
        <v>30.86</v>
      </c>
      <c r="D2731" s="4" t="s">
        <v>19</v>
      </c>
      <c r="E2731" s="4" t="s">
        <v>17</v>
      </c>
      <c r="F2731" s="4" t="s">
        <v>25</v>
      </c>
      <c r="G2731" s="4" t="s">
        <v>40</v>
      </c>
      <c r="H2731" s="4">
        <v>1</v>
      </c>
      <c r="I2731" s="4">
        <v>1</v>
      </c>
      <c r="J2731" s="5">
        <v>45677</v>
      </c>
      <c r="K2731" s="6">
        <v>0.57307870370370373</v>
      </c>
    </row>
    <row r="2732" spans="1:11" x14ac:dyDescent="0.25">
      <c r="A2732" s="4">
        <v>20</v>
      </c>
      <c r="B2732" s="4" t="s">
        <v>11</v>
      </c>
      <c r="C2732" s="7">
        <v>35.76</v>
      </c>
      <c r="D2732" s="4" t="s">
        <v>16</v>
      </c>
      <c r="E2732" s="4" t="s">
        <v>20</v>
      </c>
      <c r="F2732" s="4" t="s">
        <v>25</v>
      </c>
      <c r="G2732" s="4" t="s">
        <v>40</v>
      </c>
      <c r="H2732" s="4">
        <v>1</v>
      </c>
      <c r="I2732" s="4">
        <v>1</v>
      </c>
      <c r="J2732" s="5">
        <v>45677</v>
      </c>
      <c r="K2732" s="6">
        <v>0.83901620370370367</v>
      </c>
    </row>
    <row r="2733" spans="1:11" x14ac:dyDescent="0.25">
      <c r="A2733" s="4">
        <v>20</v>
      </c>
      <c r="B2733" s="4" t="s">
        <v>11</v>
      </c>
      <c r="C2733" s="7">
        <v>35.76</v>
      </c>
      <c r="D2733" s="4" t="s">
        <v>29</v>
      </c>
      <c r="E2733" s="4" t="s">
        <v>20</v>
      </c>
      <c r="F2733" s="4" t="s">
        <v>25</v>
      </c>
      <c r="G2733" s="4" t="s">
        <v>40</v>
      </c>
      <c r="H2733" s="4">
        <v>1</v>
      </c>
      <c r="I2733" s="4">
        <v>1</v>
      </c>
      <c r="J2733" s="5">
        <v>45677</v>
      </c>
      <c r="K2733" s="6">
        <v>0.85166666666666668</v>
      </c>
    </row>
    <row r="2734" spans="1:11" x14ac:dyDescent="0.25">
      <c r="A2734" s="4">
        <v>20</v>
      </c>
      <c r="B2734" s="4" t="s">
        <v>11</v>
      </c>
      <c r="C2734" s="7">
        <v>35.76</v>
      </c>
      <c r="D2734" s="4" t="s">
        <v>29</v>
      </c>
      <c r="E2734" s="4" t="s">
        <v>20</v>
      </c>
      <c r="F2734" s="4" t="s">
        <v>25</v>
      </c>
      <c r="G2734" s="4" t="s">
        <v>40</v>
      </c>
      <c r="H2734" s="4">
        <v>1</v>
      </c>
      <c r="I2734" s="4">
        <v>1</v>
      </c>
      <c r="J2734" s="5">
        <v>45677</v>
      </c>
      <c r="K2734" s="6">
        <v>0.85240740740740739</v>
      </c>
    </row>
    <row r="2735" spans="1:11" x14ac:dyDescent="0.25">
      <c r="A2735" s="4">
        <v>21</v>
      </c>
      <c r="B2735" s="4" t="s">
        <v>11</v>
      </c>
      <c r="C2735" s="7">
        <v>35.76</v>
      </c>
      <c r="D2735" s="4" t="s">
        <v>12</v>
      </c>
      <c r="E2735" s="4" t="s">
        <v>20</v>
      </c>
      <c r="F2735" s="4" t="s">
        <v>25</v>
      </c>
      <c r="G2735" s="4" t="s">
        <v>40</v>
      </c>
      <c r="H2735" s="4">
        <v>1</v>
      </c>
      <c r="I2735" s="4">
        <v>1</v>
      </c>
      <c r="J2735" s="5">
        <v>45677</v>
      </c>
      <c r="K2735" s="6">
        <v>0.88454861111111116</v>
      </c>
    </row>
    <row r="2736" spans="1:11" x14ac:dyDescent="0.25">
      <c r="A2736" s="4">
        <v>8</v>
      </c>
      <c r="B2736" s="4" t="s">
        <v>11</v>
      </c>
      <c r="C2736" s="7">
        <v>35.76</v>
      </c>
      <c r="D2736" s="4" t="s">
        <v>21</v>
      </c>
      <c r="E2736" s="4" t="s">
        <v>13</v>
      </c>
      <c r="F2736" s="4" t="s">
        <v>27</v>
      </c>
      <c r="G2736" s="4" t="s">
        <v>40</v>
      </c>
      <c r="H2736" s="4">
        <v>2</v>
      </c>
      <c r="I2736" s="4">
        <v>1</v>
      </c>
      <c r="J2736" s="5">
        <v>45678</v>
      </c>
      <c r="K2736" s="6">
        <v>0.33685185185185185</v>
      </c>
    </row>
    <row r="2737" spans="1:11" x14ac:dyDescent="0.25">
      <c r="A2737" s="4">
        <v>8</v>
      </c>
      <c r="B2737" s="4" t="s">
        <v>11</v>
      </c>
      <c r="C2737" s="7">
        <v>25.96</v>
      </c>
      <c r="D2737" s="4" t="s">
        <v>24</v>
      </c>
      <c r="E2737" s="4" t="s">
        <v>13</v>
      </c>
      <c r="F2737" s="4" t="s">
        <v>27</v>
      </c>
      <c r="G2737" s="4" t="s">
        <v>40</v>
      </c>
      <c r="H2737" s="4">
        <v>2</v>
      </c>
      <c r="I2737" s="4">
        <v>1</v>
      </c>
      <c r="J2737" s="5">
        <v>45678</v>
      </c>
      <c r="K2737" s="6">
        <v>0.34605324074074073</v>
      </c>
    </row>
    <row r="2738" spans="1:11" x14ac:dyDescent="0.25">
      <c r="A2738" s="4">
        <v>8</v>
      </c>
      <c r="B2738" s="4" t="s">
        <v>11</v>
      </c>
      <c r="C2738" s="7">
        <v>30.86</v>
      </c>
      <c r="D2738" s="4" t="s">
        <v>19</v>
      </c>
      <c r="E2738" s="4" t="s">
        <v>13</v>
      </c>
      <c r="F2738" s="4" t="s">
        <v>27</v>
      </c>
      <c r="G2738" s="4" t="s">
        <v>40</v>
      </c>
      <c r="H2738" s="4">
        <v>2</v>
      </c>
      <c r="I2738" s="4">
        <v>1</v>
      </c>
      <c r="J2738" s="5">
        <v>45678</v>
      </c>
      <c r="K2738" s="6">
        <v>0.34685185185185186</v>
      </c>
    </row>
    <row r="2739" spans="1:11" x14ac:dyDescent="0.25">
      <c r="A2739" s="4">
        <v>15</v>
      </c>
      <c r="B2739" s="4" t="s">
        <v>11</v>
      </c>
      <c r="C2739" s="7">
        <v>25.96</v>
      </c>
      <c r="D2739" s="4" t="s">
        <v>18</v>
      </c>
      <c r="E2739" s="4" t="s">
        <v>17</v>
      </c>
      <c r="F2739" s="4" t="s">
        <v>27</v>
      </c>
      <c r="G2739" s="4" t="s">
        <v>40</v>
      </c>
      <c r="H2739" s="4">
        <v>2</v>
      </c>
      <c r="I2739" s="4">
        <v>1</v>
      </c>
      <c r="J2739" s="5">
        <v>45678</v>
      </c>
      <c r="K2739" s="6">
        <v>0.64949074074074076</v>
      </c>
    </row>
    <row r="2740" spans="1:11" x14ac:dyDescent="0.25">
      <c r="A2740" s="4">
        <v>18</v>
      </c>
      <c r="B2740" s="4" t="s">
        <v>11</v>
      </c>
      <c r="C2740" s="7">
        <v>35.76</v>
      </c>
      <c r="D2740" s="4" t="s">
        <v>16</v>
      </c>
      <c r="E2740" s="4" t="s">
        <v>20</v>
      </c>
      <c r="F2740" s="4" t="s">
        <v>27</v>
      </c>
      <c r="G2740" s="4" t="s">
        <v>40</v>
      </c>
      <c r="H2740" s="4">
        <v>2</v>
      </c>
      <c r="I2740" s="4">
        <v>1</v>
      </c>
      <c r="J2740" s="5">
        <v>45678</v>
      </c>
      <c r="K2740" s="6">
        <v>0.77259259259259261</v>
      </c>
    </row>
    <row r="2741" spans="1:11" x14ac:dyDescent="0.25">
      <c r="A2741" s="4">
        <v>18</v>
      </c>
      <c r="B2741" s="4" t="s">
        <v>11</v>
      </c>
      <c r="C2741" s="7">
        <v>35.76</v>
      </c>
      <c r="D2741" s="4" t="s">
        <v>12</v>
      </c>
      <c r="E2741" s="4" t="s">
        <v>20</v>
      </c>
      <c r="F2741" s="4" t="s">
        <v>27</v>
      </c>
      <c r="G2741" s="4" t="s">
        <v>40</v>
      </c>
      <c r="H2741" s="4">
        <v>2</v>
      </c>
      <c r="I2741" s="4">
        <v>1</v>
      </c>
      <c r="J2741" s="5">
        <v>45678</v>
      </c>
      <c r="K2741" s="6">
        <v>0.78765046296296293</v>
      </c>
    </row>
    <row r="2742" spans="1:11" x14ac:dyDescent="0.25">
      <c r="A2742" s="4">
        <v>18</v>
      </c>
      <c r="B2742" s="4" t="s">
        <v>11</v>
      </c>
      <c r="C2742" s="7">
        <v>35.76</v>
      </c>
      <c r="D2742" s="4" t="s">
        <v>12</v>
      </c>
      <c r="E2742" s="4" t="s">
        <v>20</v>
      </c>
      <c r="F2742" s="4" t="s">
        <v>27</v>
      </c>
      <c r="G2742" s="4" t="s">
        <v>40</v>
      </c>
      <c r="H2742" s="4">
        <v>2</v>
      </c>
      <c r="I2742" s="4">
        <v>1</v>
      </c>
      <c r="J2742" s="5">
        <v>45678</v>
      </c>
      <c r="K2742" s="6">
        <v>0.7890625</v>
      </c>
    </row>
    <row r="2743" spans="1:11" x14ac:dyDescent="0.25">
      <c r="A2743" s="4">
        <v>19</v>
      </c>
      <c r="B2743" s="4" t="s">
        <v>11</v>
      </c>
      <c r="C2743" s="7">
        <v>25.96</v>
      </c>
      <c r="D2743" s="4" t="s">
        <v>18</v>
      </c>
      <c r="E2743" s="4" t="s">
        <v>20</v>
      </c>
      <c r="F2743" s="4" t="s">
        <v>27</v>
      </c>
      <c r="G2743" s="4" t="s">
        <v>40</v>
      </c>
      <c r="H2743" s="4">
        <v>2</v>
      </c>
      <c r="I2743" s="4">
        <v>1</v>
      </c>
      <c r="J2743" s="5">
        <v>45678</v>
      </c>
      <c r="K2743" s="6">
        <v>0.80232638888888885</v>
      </c>
    </row>
    <row r="2744" spans="1:11" x14ac:dyDescent="0.25">
      <c r="A2744" s="4">
        <v>11</v>
      </c>
      <c r="B2744" s="4" t="s">
        <v>11</v>
      </c>
      <c r="C2744" s="7">
        <v>21.06</v>
      </c>
      <c r="D2744" s="4" t="s">
        <v>26</v>
      </c>
      <c r="E2744" s="4" t="s">
        <v>13</v>
      </c>
      <c r="F2744" s="4" t="s">
        <v>28</v>
      </c>
      <c r="G2744" s="4" t="s">
        <v>40</v>
      </c>
      <c r="H2744" s="4">
        <v>3</v>
      </c>
      <c r="I2744" s="4">
        <v>1</v>
      </c>
      <c r="J2744" s="5">
        <v>45679</v>
      </c>
      <c r="K2744" s="6">
        <v>0.47552083333333334</v>
      </c>
    </row>
    <row r="2745" spans="1:11" x14ac:dyDescent="0.25">
      <c r="A2745" s="4">
        <v>17</v>
      </c>
      <c r="B2745" s="4" t="s">
        <v>11</v>
      </c>
      <c r="C2745" s="7">
        <v>30.86</v>
      </c>
      <c r="D2745" s="4" t="s">
        <v>19</v>
      </c>
      <c r="E2745" s="4" t="s">
        <v>20</v>
      </c>
      <c r="F2745" s="4" t="s">
        <v>28</v>
      </c>
      <c r="G2745" s="4" t="s">
        <v>40</v>
      </c>
      <c r="H2745" s="4">
        <v>3</v>
      </c>
      <c r="I2745" s="4">
        <v>1</v>
      </c>
      <c r="J2745" s="5">
        <v>45679</v>
      </c>
      <c r="K2745" s="6">
        <v>0.73062499999999997</v>
      </c>
    </row>
    <row r="2746" spans="1:11" x14ac:dyDescent="0.25">
      <c r="A2746" s="4">
        <v>18</v>
      </c>
      <c r="B2746" s="4" t="s">
        <v>11</v>
      </c>
      <c r="C2746" s="7">
        <v>35.76</v>
      </c>
      <c r="D2746" s="4" t="s">
        <v>21</v>
      </c>
      <c r="E2746" s="4" t="s">
        <v>20</v>
      </c>
      <c r="F2746" s="4" t="s">
        <v>28</v>
      </c>
      <c r="G2746" s="4" t="s">
        <v>40</v>
      </c>
      <c r="H2746" s="4">
        <v>3</v>
      </c>
      <c r="I2746" s="4">
        <v>1</v>
      </c>
      <c r="J2746" s="5">
        <v>45679</v>
      </c>
      <c r="K2746" s="6">
        <v>0.78471064814814817</v>
      </c>
    </row>
    <row r="2747" spans="1:11" x14ac:dyDescent="0.25">
      <c r="A2747" s="4">
        <v>19</v>
      </c>
      <c r="B2747" s="4" t="s">
        <v>11</v>
      </c>
      <c r="C2747" s="7">
        <v>30.86</v>
      </c>
      <c r="D2747" s="4" t="s">
        <v>19</v>
      </c>
      <c r="E2747" s="4" t="s">
        <v>20</v>
      </c>
      <c r="F2747" s="4" t="s">
        <v>28</v>
      </c>
      <c r="G2747" s="4" t="s">
        <v>40</v>
      </c>
      <c r="H2747" s="4">
        <v>3</v>
      </c>
      <c r="I2747" s="4">
        <v>1</v>
      </c>
      <c r="J2747" s="5">
        <v>45679</v>
      </c>
      <c r="K2747" s="6">
        <v>0.79891203703703706</v>
      </c>
    </row>
    <row r="2748" spans="1:11" x14ac:dyDescent="0.25">
      <c r="A2748" s="4">
        <v>19</v>
      </c>
      <c r="B2748" s="4" t="s">
        <v>11</v>
      </c>
      <c r="C2748" s="7">
        <v>35.76</v>
      </c>
      <c r="D2748" s="4" t="s">
        <v>29</v>
      </c>
      <c r="E2748" s="4" t="s">
        <v>20</v>
      </c>
      <c r="F2748" s="4" t="s">
        <v>28</v>
      </c>
      <c r="G2748" s="4" t="s">
        <v>40</v>
      </c>
      <c r="H2748" s="4">
        <v>3</v>
      </c>
      <c r="I2748" s="4">
        <v>1</v>
      </c>
      <c r="J2748" s="5">
        <v>45679</v>
      </c>
      <c r="K2748" s="6">
        <v>0.79957175925925927</v>
      </c>
    </row>
    <row r="2749" spans="1:11" x14ac:dyDescent="0.25">
      <c r="A2749" s="4">
        <v>19</v>
      </c>
      <c r="B2749" s="4" t="s">
        <v>11</v>
      </c>
      <c r="C2749" s="7">
        <v>35.76</v>
      </c>
      <c r="D2749" s="4" t="s">
        <v>12</v>
      </c>
      <c r="E2749" s="4" t="s">
        <v>20</v>
      </c>
      <c r="F2749" s="4" t="s">
        <v>28</v>
      </c>
      <c r="G2749" s="4" t="s">
        <v>40</v>
      </c>
      <c r="H2749" s="4">
        <v>3</v>
      </c>
      <c r="I2749" s="4">
        <v>1</v>
      </c>
      <c r="J2749" s="5">
        <v>45679</v>
      </c>
      <c r="K2749" s="6">
        <v>0.8119791666666667</v>
      </c>
    </row>
    <row r="2750" spans="1:11" x14ac:dyDescent="0.25">
      <c r="A2750" s="4">
        <v>20</v>
      </c>
      <c r="B2750" s="4" t="s">
        <v>11</v>
      </c>
      <c r="C2750" s="7">
        <v>30.86</v>
      </c>
      <c r="D2750" s="4" t="s">
        <v>19</v>
      </c>
      <c r="E2750" s="4" t="s">
        <v>20</v>
      </c>
      <c r="F2750" s="4" t="s">
        <v>28</v>
      </c>
      <c r="G2750" s="4" t="s">
        <v>40</v>
      </c>
      <c r="H2750" s="4">
        <v>3</v>
      </c>
      <c r="I2750" s="4">
        <v>1</v>
      </c>
      <c r="J2750" s="5">
        <v>45679</v>
      </c>
      <c r="K2750" s="6">
        <v>0.84340277777777772</v>
      </c>
    </row>
    <row r="2751" spans="1:11" x14ac:dyDescent="0.25">
      <c r="A2751" s="4">
        <v>13</v>
      </c>
      <c r="B2751" s="4" t="s">
        <v>11</v>
      </c>
      <c r="C2751" s="7">
        <v>35.76</v>
      </c>
      <c r="D2751" s="4" t="s">
        <v>29</v>
      </c>
      <c r="E2751" s="4" t="s">
        <v>17</v>
      </c>
      <c r="F2751" s="4" t="s">
        <v>14</v>
      </c>
      <c r="G2751" s="4" t="s">
        <v>40</v>
      </c>
      <c r="H2751" s="4">
        <v>5</v>
      </c>
      <c r="I2751" s="4">
        <v>1</v>
      </c>
      <c r="J2751" s="5">
        <v>45681</v>
      </c>
      <c r="K2751" s="6">
        <v>0.57101851851851848</v>
      </c>
    </row>
    <row r="2752" spans="1:11" x14ac:dyDescent="0.25">
      <c r="A2752" s="4">
        <v>13</v>
      </c>
      <c r="B2752" s="4" t="s">
        <v>11</v>
      </c>
      <c r="C2752" s="7">
        <v>25.96</v>
      </c>
      <c r="D2752" s="4" t="s">
        <v>24</v>
      </c>
      <c r="E2752" s="4" t="s">
        <v>17</v>
      </c>
      <c r="F2752" s="4" t="s">
        <v>14</v>
      </c>
      <c r="G2752" s="4" t="s">
        <v>40</v>
      </c>
      <c r="H2752" s="4">
        <v>5</v>
      </c>
      <c r="I2752" s="4">
        <v>1</v>
      </c>
      <c r="J2752" s="5">
        <v>45681</v>
      </c>
      <c r="K2752" s="6">
        <v>0.57195601851851852</v>
      </c>
    </row>
    <row r="2753" spans="1:11" x14ac:dyDescent="0.25">
      <c r="A2753" s="4">
        <v>15</v>
      </c>
      <c r="B2753" s="4" t="s">
        <v>11</v>
      </c>
      <c r="C2753" s="7">
        <v>35.76</v>
      </c>
      <c r="D2753" s="4" t="s">
        <v>21</v>
      </c>
      <c r="E2753" s="4" t="s">
        <v>17</v>
      </c>
      <c r="F2753" s="4" t="s">
        <v>14</v>
      </c>
      <c r="G2753" s="4" t="s">
        <v>40</v>
      </c>
      <c r="H2753" s="4">
        <v>5</v>
      </c>
      <c r="I2753" s="4">
        <v>1</v>
      </c>
      <c r="J2753" s="5">
        <v>45681</v>
      </c>
      <c r="K2753" s="6">
        <v>0.6448842592592593</v>
      </c>
    </row>
    <row r="2754" spans="1:11" x14ac:dyDescent="0.25">
      <c r="A2754" s="4">
        <v>17</v>
      </c>
      <c r="B2754" s="4" t="s">
        <v>11</v>
      </c>
      <c r="C2754" s="7">
        <v>25.96</v>
      </c>
      <c r="D2754" s="4" t="s">
        <v>18</v>
      </c>
      <c r="E2754" s="4" t="s">
        <v>20</v>
      </c>
      <c r="F2754" s="4" t="s">
        <v>14</v>
      </c>
      <c r="G2754" s="4" t="s">
        <v>40</v>
      </c>
      <c r="H2754" s="4">
        <v>5</v>
      </c>
      <c r="I2754" s="4">
        <v>1</v>
      </c>
      <c r="J2754" s="5">
        <v>45681</v>
      </c>
      <c r="K2754" s="6">
        <v>0.73737268518518517</v>
      </c>
    </row>
    <row r="2755" spans="1:11" x14ac:dyDescent="0.25">
      <c r="A2755" s="4">
        <v>21</v>
      </c>
      <c r="B2755" s="4" t="s">
        <v>11</v>
      </c>
      <c r="C2755" s="7">
        <v>35.76</v>
      </c>
      <c r="D2755" s="4" t="s">
        <v>21</v>
      </c>
      <c r="E2755" s="4" t="s">
        <v>20</v>
      </c>
      <c r="F2755" s="4" t="s">
        <v>14</v>
      </c>
      <c r="G2755" s="4" t="s">
        <v>40</v>
      </c>
      <c r="H2755" s="4">
        <v>5</v>
      </c>
      <c r="I2755" s="4">
        <v>1</v>
      </c>
      <c r="J2755" s="5">
        <v>45681</v>
      </c>
      <c r="K2755" s="6">
        <v>0.88641203703703708</v>
      </c>
    </row>
    <row r="2756" spans="1:11" x14ac:dyDescent="0.25">
      <c r="A2756" s="4">
        <v>22</v>
      </c>
      <c r="B2756" s="4" t="s">
        <v>11</v>
      </c>
      <c r="C2756" s="7">
        <v>35.76</v>
      </c>
      <c r="D2756" s="4" t="s">
        <v>16</v>
      </c>
      <c r="E2756" s="4" t="s">
        <v>20</v>
      </c>
      <c r="F2756" s="4" t="s">
        <v>14</v>
      </c>
      <c r="G2756" s="4" t="s">
        <v>40</v>
      </c>
      <c r="H2756" s="4">
        <v>5</v>
      </c>
      <c r="I2756" s="4">
        <v>1</v>
      </c>
      <c r="J2756" s="5">
        <v>45681</v>
      </c>
      <c r="K2756" s="6">
        <v>0.93883101851851847</v>
      </c>
    </row>
    <row r="2757" spans="1:11" x14ac:dyDescent="0.25">
      <c r="A2757" s="4">
        <v>22</v>
      </c>
      <c r="B2757" s="4" t="s">
        <v>11</v>
      </c>
      <c r="C2757" s="7">
        <v>35.76</v>
      </c>
      <c r="D2757" s="4" t="s">
        <v>12</v>
      </c>
      <c r="E2757" s="4" t="s">
        <v>20</v>
      </c>
      <c r="F2757" s="4" t="s">
        <v>14</v>
      </c>
      <c r="G2757" s="4" t="s">
        <v>40</v>
      </c>
      <c r="H2757" s="4">
        <v>5</v>
      </c>
      <c r="I2757" s="4">
        <v>1</v>
      </c>
      <c r="J2757" s="5">
        <v>45681</v>
      </c>
      <c r="K2757" s="6">
        <v>0.9395486111111111</v>
      </c>
    </row>
    <row r="2758" spans="1:11" x14ac:dyDescent="0.25">
      <c r="A2758" s="4">
        <v>13</v>
      </c>
      <c r="B2758" s="4" t="s">
        <v>11</v>
      </c>
      <c r="C2758" s="7">
        <v>35.76</v>
      </c>
      <c r="D2758" s="4" t="s">
        <v>29</v>
      </c>
      <c r="E2758" s="4" t="s">
        <v>17</v>
      </c>
      <c r="F2758" s="4" t="s">
        <v>22</v>
      </c>
      <c r="G2758" s="4" t="s">
        <v>40</v>
      </c>
      <c r="H2758" s="4">
        <v>6</v>
      </c>
      <c r="I2758" s="4">
        <v>1</v>
      </c>
      <c r="J2758" s="5">
        <v>45682</v>
      </c>
      <c r="K2758" s="6">
        <v>0.55629629629629629</v>
      </c>
    </row>
    <row r="2759" spans="1:11" x14ac:dyDescent="0.25">
      <c r="A2759" s="4">
        <v>14</v>
      </c>
      <c r="B2759" s="4" t="s">
        <v>11</v>
      </c>
      <c r="C2759" s="7">
        <v>35.76</v>
      </c>
      <c r="D2759" s="4" t="s">
        <v>29</v>
      </c>
      <c r="E2759" s="4" t="s">
        <v>17</v>
      </c>
      <c r="F2759" s="4" t="s">
        <v>22</v>
      </c>
      <c r="G2759" s="4" t="s">
        <v>40</v>
      </c>
      <c r="H2759" s="4">
        <v>6</v>
      </c>
      <c r="I2759" s="4">
        <v>1</v>
      </c>
      <c r="J2759" s="5">
        <v>45682</v>
      </c>
      <c r="K2759" s="6">
        <v>0.61</v>
      </c>
    </row>
    <row r="2760" spans="1:11" x14ac:dyDescent="0.25">
      <c r="A2760" s="4">
        <v>14</v>
      </c>
      <c r="B2760" s="4" t="s">
        <v>11</v>
      </c>
      <c r="C2760" s="7">
        <v>25.96</v>
      </c>
      <c r="D2760" s="4" t="s">
        <v>18</v>
      </c>
      <c r="E2760" s="4" t="s">
        <v>17</v>
      </c>
      <c r="F2760" s="4" t="s">
        <v>22</v>
      </c>
      <c r="G2760" s="4" t="s">
        <v>40</v>
      </c>
      <c r="H2760" s="4">
        <v>6</v>
      </c>
      <c r="I2760" s="4">
        <v>1</v>
      </c>
      <c r="J2760" s="5">
        <v>45682</v>
      </c>
      <c r="K2760" s="6">
        <v>0.6108217592592593</v>
      </c>
    </row>
    <row r="2761" spans="1:11" x14ac:dyDescent="0.25">
      <c r="A2761" s="4">
        <v>12</v>
      </c>
      <c r="B2761" s="4" t="s">
        <v>11</v>
      </c>
      <c r="C2761" s="7">
        <v>25.96</v>
      </c>
      <c r="D2761" s="4" t="s">
        <v>18</v>
      </c>
      <c r="E2761" s="4" t="s">
        <v>17</v>
      </c>
      <c r="F2761" s="4" t="s">
        <v>23</v>
      </c>
      <c r="G2761" s="4" t="s">
        <v>40</v>
      </c>
      <c r="H2761" s="4">
        <v>7</v>
      </c>
      <c r="I2761" s="4">
        <v>1</v>
      </c>
      <c r="J2761" s="5">
        <v>45683</v>
      </c>
      <c r="K2761" s="6">
        <v>0.52456018518518521</v>
      </c>
    </row>
    <row r="2762" spans="1:11" x14ac:dyDescent="0.25">
      <c r="A2762" s="4">
        <v>12</v>
      </c>
      <c r="B2762" s="4" t="s">
        <v>11</v>
      </c>
      <c r="C2762" s="7">
        <v>21.06</v>
      </c>
      <c r="D2762" s="4" t="s">
        <v>26</v>
      </c>
      <c r="E2762" s="4" t="s">
        <v>17</v>
      </c>
      <c r="F2762" s="4" t="s">
        <v>23</v>
      </c>
      <c r="G2762" s="4" t="s">
        <v>40</v>
      </c>
      <c r="H2762" s="4">
        <v>7</v>
      </c>
      <c r="I2762" s="4">
        <v>1</v>
      </c>
      <c r="J2762" s="5">
        <v>45683</v>
      </c>
      <c r="K2762" s="6">
        <v>0.52539351851851857</v>
      </c>
    </row>
    <row r="2763" spans="1:11" x14ac:dyDescent="0.25">
      <c r="A2763" s="4">
        <v>8</v>
      </c>
      <c r="B2763" s="4" t="s">
        <v>11</v>
      </c>
      <c r="C2763" s="7">
        <v>25.96</v>
      </c>
      <c r="D2763" s="4" t="s">
        <v>24</v>
      </c>
      <c r="E2763" s="4" t="s">
        <v>13</v>
      </c>
      <c r="F2763" s="4" t="s">
        <v>25</v>
      </c>
      <c r="G2763" s="4" t="s">
        <v>40</v>
      </c>
      <c r="H2763" s="4">
        <v>1</v>
      </c>
      <c r="I2763" s="4">
        <v>1</v>
      </c>
      <c r="J2763" s="5">
        <v>45684</v>
      </c>
      <c r="K2763" s="6">
        <v>0.33868055555555554</v>
      </c>
    </row>
    <row r="2764" spans="1:11" x14ac:dyDescent="0.25">
      <c r="A2764" s="4">
        <v>8</v>
      </c>
      <c r="B2764" s="4" t="s">
        <v>11</v>
      </c>
      <c r="C2764" s="7">
        <v>25.96</v>
      </c>
      <c r="D2764" s="4" t="s">
        <v>18</v>
      </c>
      <c r="E2764" s="4" t="s">
        <v>13</v>
      </c>
      <c r="F2764" s="4" t="s">
        <v>25</v>
      </c>
      <c r="G2764" s="4" t="s">
        <v>40</v>
      </c>
      <c r="H2764" s="4">
        <v>1</v>
      </c>
      <c r="I2764" s="4">
        <v>1</v>
      </c>
      <c r="J2764" s="5">
        <v>45684</v>
      </c>
      <c r="K2764" s="6">
        <v>0.35605324074074074</v>
      </c>
    </row>
    <row r="2765" spans="1:11" x14ac:dyDescent="0.25">
      <c r="A2765" s="4">
        <v>12</v>
      </c>
      <c r="B2765" s="4" t="s">
        <v>11</v>
      </c>
      <c r="C2765" s="7">
        <v>35.76</v>
      </c>
      <c r="D2765" s="4" t="s">
        <v>29</v>
      </c>
      <c r="E2765" s="4" t="s">
        <v>17</v>
      </c>
      <c r="F2765" s="4" t="s">
        <v>25</v>
      </c>
      <c r="G2765" s="4" t="s">
        <v>40</v>
      </c>
      <c r="H2765" s="4">
        <v>1</v>
      </c>
      <c r="I2765" s="4">
        <v>1</v>
      </c>
      <c r="J2765" s="5">
        <v>45684</v>
      </c>
      <c r="K2765" s="6">
        <v>0.5034953703703704</v>
      </c>
    </row>
    <row r="2766" spans="1:11" x14ac:dyDescent="0.25">
      <c r="A2766" s="4">
        <v>13</v>
      </c>
      <c r="B2766" s="4" t="s">
        <v>11</v>
      </c>
      <c r="C2766" s="7">
        <v>30.86</v>
      </c>
      <c r="D2766" s="4" t="s">
        <v>19</v>
      </c>
      <c r="E2766" s="4" t="s">
        <v>17</v>
      </c>
      <c r="F2766" s="4" t="s">
        <v>25</v>
      </c>
      <c r="G2766" s="4" t="s">
        <v>40</v>
      </c>
      <c r="H2766" s="4">
        <v>1</v>
      </c>
      <c r="I2766" s="4">
        <v>1</v>
      </c>
      <c r="J2766" s="5">
        <v>45684</v>
      </c>
      <c r="K2766" s="6">
        <v>0.57300925925925927</v>
      </c>
    </row>
    <row r="2767" spans="1:11" x14ac:dyDescent="0.25">
      <c r="A2767" s="4">
        <v>15</v>
      </c>
      <c r="B2767" s="4" t="s">
        <v>11</v>
      </c>
      <c r="C2767" s="7">
        <v>30.86</v>
      </c>
      <c r="D2767" s="4" t="s">
        <v>19</v>
      </c>
      <c r="E2767" s="4" t="s">
        <v>17</v>
      </c>
      <c r="F2767" s="4" t="s">
        <v>25</v>
      </c>
      <c r="G2767" s="4" t="s">
        <v>40</v>
      </c>
      <c r="H2767" s="4">
        <v>1</v>
      </c>
      <c r="I2767" s="4">
        <v>1</v>
      </c>
      <c r="J2767" s="5">
        <v>45684</v>
      </c>
      <c r="K2767" s="6">
        <v>0.64437500000000003</v>
      </c>
    </row>
    <row r="2768" spans="1:11" x14ac:dyDescent="0.25">
      <c r="A2768" s="4">
        <v>15</v>
      </c>
      <c r="B2768" s="4" t="s">
        <v>11</v>
      </c>
      <c r="C2768" s="7">
        <v>25.96</v>
      </c>
      <c r="D2768" s="4" t="s">
        <v>24</v>
      </c>
      <c r="E2768" s="4" t="s">
        <v>17</v>
      </c>
      <c r="F2768" s="4" t="s">
        <v>25</v>
      </c>
      <c r="G2768" s="4" t="s">
        <v>40</v>
      </c>
      <c r="H2768" s="4">
        <v>1</v>
      </c>
      <c r="I2768" s="4">
        <v>1</v>
      </c>
      <c r="J2768" s="5">
        <v>45684</v>
      </c>
      <c r="K2768" s="6">
        <v>0.64513888888888893</v>
      </c>
    </row>
    <row r="2769" spans="1:11" x14ac:dyDescent="0.25">
      <c r="A2769" s="4">
        <v>15</v>
      </c>
      <c r="B2769" s="4" t="s">
        <v>11</v>
      </c>
      <c r="C2769" s="7">
        <v>30.86</v>
      </c>
      <c r="D2769" s="4" t="s">
        <v>19</v>
      </c>
      <c r="E2769" s="4" t="s">
        <v>17</v>
      </c>
      <c r="F2769" s="4" t="s">
        <v>25</v>
      </c>
      <c r="G2769" s="4" t="s">
        <v>40</v>
      </c>
      <c r="H2769" s="4">
        <v>1</v>
      </c>
      <c r="I2769" s="4">
        <v>1</v>
      </c>
      <c r="J2769" s="5">
        <v>45684</v>
      </c>
      <c r="K2769" s="6">
        <v>0.64597222222222217</v>
      </c>
    </row>
    <row r="2770" spans="1:11" x14ac:dyDescent="0.25">
      <c r="A2770" s="4">
        <v>18</v>
      </c>
      <c r="B2770" s="4" t="s">
        <v>11</v>
      </c>
      <c r="C2770" s="7">
        <v>35.76</v>
      </c>
      <c r="D2770" s="4" t="s">
        <v>12</v>
      </c>
      <c r="E2770" s="4" t="s">
        <v>20</v>
      </c>
      <c r="F2770" s="4" t="s">
        <v>25</v>
      </c>
      <c r="G2770" s="4" t="s">
        <v>40</v>
      </c>
      <c r="H2770" s="4">
        <v>1</v>
      </c>
      <c r="I2770" s="4">
        <v>1</v>
      </c>
      <c r="J2770" s="5">
        <v>45684</v>
      </c>
      <c r="K2770" s="6">
        <v>0.78841435185185182</v>
      </c>
    </row>
    <row r="2771" spans="1:11" x14ac:dyDescent="0.25">
      <c r="A2771" s="4">
        <v>19</v>
      </c>
      <c r="B2771" s="4" t="s">
        <v>11</v>
      </c>
      <c r="C2771" s="7">
        <v>35.76</v>
      </c>
      <c r="D2771" s="4" t="s">
        <v>12</v>
      </c>
      <c r="E2771" s="4" t="s">
        <v>20</v>
      </c>
      <c r="F2771" s="4" t="s">
        <v>25</v>
      </c>
      <c r="G2771" s="4" t="s">
        <v>40</v>
      </c>
      <c r="H2771" s="4">
        <v>1</v>
      </c>
      <c r="I2771" s="4">
        <v>1</v>
      </c>
      <c r="J2771" s="5">
        <v>45684</v>
      </c>
      <c r="K2771" s="6">
        <v>0.79351851851851851</v>
      </c>
    </row>
    <row r="2772" spans="1:11" x14ac:dyDescent="0.25">
      <c r="A2772" s="4">
        <v>19</v>
      </c>
      <c r="B2772" s="4" t="s">
        <v>11</v>
      </c>
      <c r="C2772" s="7">
        <v>35.76</v>
      </c>
      <c r="D2772" s="4" t="s">
        <v>12</v>
      </c>
      <c r="E2772" s="4" t="s">
        <v>20</v>
      </c>
      <c r="F2772" s="4" t="s">
        <v>25</v>
      </c>
      <c r="G2772" s="4" t="s">
        <v>40</v>
      </c>
      <c r="H2772" s="4">
        <v>1</v>
      </c>
      <c r="I2772" s="4">
        <v>1</v>
      </c>
      <c r="J2772" s="5">
        <v>45684</v>
      </c>
      <c r="K2772" s="6">
        <v>0.79427083333333337</v>
      </c>
    </row>
    <row r="2773" spans="1:11" x14ac:dyDescent="0.25">
      <c r="A2773" s="4">
        <v>8</v>
      </c>
      <c r="B2773" s="4" t="s">
        <v>11</v>
      </c>
      <c r="C2773" s="7">
        <v>35.76</v>
      </c>
      <c r="D2773" s="4" t="s">
        <v>12</v>
      </c>
      <c r="E2773" s="4" t="s">
        <v>13</v>
      </c>
      <c r="F2773" s="4" t="s">
        <v>27</v>
      </c>
      <c r="G2773" s="4" t="s">
        <v>40</v>
      </c>
      <c r="H2773" s="4">
        <v>2</v>
      </c>
      <c r="I2773" s="4">
        <v>1</v>
      </c>
      <c r="J2773" s="5">
        <v>45685</v>
      </c>
      <c r="K2773" s="6">
        <v>0.35180555555555554</v>
      </c>
    </row>
    <row r="2774" spans="1:11" x14ac:dyDescent="0.25">
      <c r="A2774" s="4">
        <v>9</v>
      </c>
      <c r="B2774" s="4" t="s">
        <v>11</v>
      </c>
      <c r="C2774" s="7">
        <v>25.96</v>
      </c>
      <c r="D2774" s="4" t="s">
        <v>18</v>
      </c>
      <c r="E2774" s="4" t="s">
        <v>13</v>
      </c>
      <c r="F2774" s="4" t="s">
        <v>27</v>
      </c>
      <c r="G2774" s="4" t="s">
        <v>40</v>
      </c>
      <c r="H2774" s="4">
        <v>2</v>
      </c>
      <c r="I2774" s="4">
        <v>1</v>
      </c>
      <c r="J2774" s="5">
        <v>45685</v>
      </c>
      <c r="K2774" s="6">
        <v>0.39811342592592591</v>
      </c>
    </row>
    <row r="2775" spans="1:11" x14ac:dyDescent="0.25">
      <c r="A2775" s="4">
        <v>11</v>
      </c>
      <c r="B2775" s="4" t="s">
        <v>11</v>
      </c>
      <c r="C2775" s="7">
        <v>30.86</v>
      </c>
      <c r="D2775" s="4" t="s">
        <v>19</v>
      </c>
      <c r="E2775" s="4" t="s">
        <v>13</v>
      </c>
      <c r="F2775" s="4" t="s">
        <v>27</v>
      </c>
      <c r="G2775" s="4" t="s">
        <v>40</v>
      </c>
      <c r="H2775" s="4">
        <v>2</v>
      </c>
      <c r="I2775" s="4">
        <v>1</v>
      </c>
      <c r="J2775" s="5">
        <v>45685</v>
      </c>
      <c r="K2775" s="6">
        <v>0.49752314814814813</v>
      </c>
    </row>
    <row r="2776" spans="1:11" x14ac:dyDescent="0.25">
      <c r="A2776" s="4">
        <v>12</v>
      </c>
      <c r="B2776" s="4" t="s">
        <v>11</v>
      </c>
      <c r="C2776" s="7">
        <v>25.96</v>
      </c>
      <c r="D2776" s="4" t="s">
        <v>18</v>
      </c>
      <c r="E2776" s="4" t="s">
        <v>17</v>
      </c>
      <c r="F2776" s="4" t="s">
        <v>27</v>
      </c>
      <c r="G2776" s="4" t="s">
        <v>40</v>
      </c>
      <c r="H2776" s="4">
        <v>2</v>
      </c>
      <c r="I2776" s="4">
        <v>1</v>
      </c>
      <c r="J2776" s="5">
        <v>45685</v>
      </c>
      <c r="K2776" s="6">
        <v>0.51528935185185187</v>
      </c>
    </row>
    <row r="2777" spans="1:11" x14ac:dyDescent="0.25">
      <c r="A2777" s="4">
        <v>16</v>
      </c>
      <c r="B2777" s="4" t="s">
        <v>11</v>
      </c>
      <c r="C2777" s="7">
        <v>35.76</v>
      </c>
      <c r="D2777" s="4" t="s">
        <v>21</v>
      </c>
      <c r="E2777" s="4" t="s">
        <v>17</v>
      </c>
      <c r="F2777" s="4" t="s">
        <v>27</v>
      </c>
      <c r="G2777" s="4" t="s">
        <v>40</v>
      </c>
      <c r="H2777" s="4">
        <v>2</v>
      </c>
      <c r="I2777" s="4">
        <v>1</v>
      </c>
      <c r="J2777" s="5">
        <v>45685</v>
      </c>
      <c r="K2777" s="6">
        <v>0.67994212962962963</v>
      </c>
    </row>
    <row r="2778" spans="1:11" x14ac:dyDescent="0.25">
      <c r="A2778" s="4">
        <v>16</v>
      </c>
      <c r="B2778" s="4" t="s">
        <v>11</v>
      </c>
      <c r="C2778" s="7">
        <v>25.96</v>
      </c>
      <c r="D2778" s="4" t="s">
        <v>24</v>
      </c>
      <c r="E2778" s="4" t="s">
        <v>17</v>
      </c>
      <c r="F2778" s="4" t="s">
        <v>27</v>
      </c>
      <c r="G2778" s="4" t="s">
        <v>40</v>
      </c>
      <c r="H2778" s="4">
        <v>2</v>
      </c>
      <c r="I2778" s="4">
        <v>1</v>
      </c>
      <c r="J2778" s="5">
        <v>45685</v>
      </c>
      <c r="K2778" s="6">
        <v>0.68106481481481485</v>
      </c>
    </row>
    <row r="2779" spans="1:11" x14ac:dyDescent="0.25">
      <c r="A2779" s="4">
        <v>17</v>
      </c>
      <c r="B2779" s="4" t="s">
        <v>11</v>
      </c>
      <c r="C2779" s="7">
        <v>25.96</v>
      </c>
      <c r="D2779" s="4" t="s">
        <v>18</v>
      </c>
      <c r="E2779" s="4" t="s">
        <v>20</v>
      </c>
      <c r="F2779" s="4" t="s">
        <v>27</v>
      </c>
      <c r="G2779" s="4" t="s">
        <v>40</v>
      </c>
      <c r="H2779" s="4">
        <v>2</v>
      </c>
      <c r="I2779" s="4">
        <v>1</v>
      </c>
      <c r="J2779" s="5">
        <v>45685</v>
      </c>
      <c r="K2779" s="6">
        <v>0.73611111111111116</v>
      </c>
    </row>
    <row r="2780" spans="1:11" x14ac:dyDescent="0.25">
      <c r="A2780" s="4">
        <v>20</v>
      </c>
      <c r="B2780" s="4" t="s">
        <v>11</v>
      </c>
      <c r="C2780" s="7">
        <v>35.76</v>
      </c>
      <c r="D2780" s="4" t="s">
        <v>12</v>
      </c>
      <c r="E2780" s="4" t="s">
        <v>20</v>
      </c>
      <c r="F2780" s="4" t="s">
        <v>27</v>
      </c>
      <c r="G2780" s="4" t="s">
        <v>40</v>
      </c>
      <c r="H2780" s="4">
        <v>2</v>
      </c>
      <c r="I2780" s="4">
        <v>1</v>
      </c>
      <c r="J2780" s="5">
        <v>45685</v>
      </c>
      <c r="K2780" s="6">
        <v>0.84155092592592595</v>
      </c>
    </row>
    <row r="2781" spans="1:11" x14ac:dyDescent="0.25">
      <c r="A2781" s="4">
        <v>20</v>
      </c>
      <c r="B2781" s="4" t="s">
        <v>11</v>
      </c>
      <c r="C2781" s="7">
        <v>35.76</v>
      </c>
      <c r="D2781" s="4" t="s">
        <v>29</v>
      </c>
      <c r="E2781" s="4" t="s">
        <v>20</v>
      </c>
      <c r="F2781" s="4" t="s">
        <v>27</v>
      </c>
      <c r="G2781" s="4" t="s">
        <v>40</v>
      </c>
      <c r="H2781" s="4">
        <v>2</v>
      </c>
      <c r="I2781" s="4">
        <v>1</v>
      </c>
      <c r="J2781" s="5">
        <v>45685</v>
      </c>
      <c r="K2781" s="6">
        <v>0.84288194444444442</v>
      </c>
    </row>
    <row r="2782" spans="1:11" x14ac:dyDescent="0.25">
      <c r="A2782" s="4">
        <v>9</v>
      </c>
      <c r="B2782" s="4" t="s">
        <v>11</v>
      </c>
      <c r="C2782" s="7">
        <v>25.96</v>
      </c>
      <c r="D2782" s="4" t="s">
        <v>18</v>
      </c>
      <c r="E2782" s="4" t="s">
        <v>13</v>
      </c>
      <c r="F2782" s="4" t="s">
        <v>28</v>
      </c>
      <c r="G2782" s="4" t="s">
        <v>40</v>
      </c>
      <c r="H2782" s="4">
        <v>3</v>
      </c>
      <c r="I2782" s="4">
        <v>1</v>
      </c>
      <c r="J2782" s="5">
        <v>45686</v>
      </c>
      <c r="K2782" s="6">
        <v>0.40193287037037034</v>
      </c>
    </row>
    <row r="2783" spans="1:11" x14ac:dyDescent="0.25">
      <c r="A2783" s="4">
        <v>16</v>
      </c>
      <c r="B2783" s="4" t="s">
        <v>11</v>
      </c>
      <c r="C2783" s="7">
        <v>25.96</v>
      </c>
      <c r="D2783" s="4" t="s">
        <v>18</v>
      </c>
      <c r="E2783" s="4" t="s">
        <v>17</v>
      </c>
      <c r="F2783" s="4" t="s">
        <v>28</v>
      </c>
      <c r="G2783" s="4" t="s">
        <v>40</v>
      </c>
      <c r="H2783" s="4">
        <v>3</v>
      </c>
      <c r="I2783" s="4">
        <v>1</v>
      </c>
      <c r="J2783" s="5">
        <v>45686</v>
      </c>
      <c r="K2783" s="6">
        <v>0.68444444444444441</v>
      </c>
    </row>
    <row r="2784" spans="1:11" x14ac:dyDescent="0.25">
      <c r="A2784" s="4">
        <v>19</v>
      </c>
      <c r="B2784" s="4" t="s">
        <v>11</v>
      </c>
      <c r="C2784" s="7">
        <v>30.86</v>
      </c>
      <c r="D2784" s="4" t="s">
        <v>19</v>
      </c>
      <c r="E2784" s="4" t="s">
        <v>20</v>
      </c>
      <c r="F2784" s="4" t="s">
        <v>28</v>
      </c>
      <c r="G2784" s="4" t="s">
        <v>40</v>
      </c>
      <c r="H2784" s="4">
        <v>3</v>
      </c>
      <c r="I2784" s="4">
        <v>1</v>
      </c>
      <c r="J2784" s="5">
        <v>45686</v>
      </c>
      <c r="K2784" s="6">
        <v>0.80495370370370367</v>
      </c>
    </row>
    <row r="2785" spans="1:11" x14ac:dyDescent="0.25">
      <c r="A2785" s="4">
        <v>19</v>
      </c>
      <c r="B2785" s="4" t="s">
        <v>11</v>
      </c>
      <c r="C2785" s="7">
        <v>21.06</v>
      </c>
      <c r="D2785" s="4" t="s">
        <v>26</v>
      </c>
      <c r="E2785" s="4" t="s">
        <v>20</v>
      </c>
      <c r="F2785" s="4" t="s">
        <v>28</v>
      </c>
      <c r="G2785" s="4" t="s">
        <v>40</v>
      </c>
      <c r="H2785" s="4">
        <v>3</v>
      </c>
      <c r="I2785" s="4">
        <v>1</v>
      </c>
      <c r="J2785" s="5">
        <v>45686</v>
      </c>
      <c r="K2785" s="6">
        <v>0.80594907407407412</v>
      </c>
    </row>
    <row r="2786" spans="1:11" x14ac:dyDescent="0.25">
      <c r="A2786" s="4">
        <v>9</v>
      </c>
      <c r="B2786" s="4" t="s">
        <v>11</v>
      </c>
      <c r="C2786" s="7">
        <v>30.86</v>
      </c>
      <c r="D2786" s="4" t="s">
        <v>19</v>
      </c>
      <c r="E2786" s="4" t="s">
        <v>13</v>
      </c>
      <c r="F2786" s="4" t="s">
        <v>30</v>
      </c>
      <c r="G2786" s="4" t="s">
        <v>40</v>
      </c>
      <c r="H2786" s="4">
        <v>4</v>
      </c>
      <c r="I2786" s="4">
        <v>1</v>
      </c>
      <c r="J2786" s="5">
        <v>45687</v>
      </c>
      <c r="K2786" s="6">
        <v>0.38755787037037037</v>
      </c>
    </row>
    <row r="2787" spans="1:11" x14ac:dyDescent="0.25">
      <c r="A2787" s="4">
        <v>10</v>
      </c>
      <c r="B2787" s="4" t="s">
        <v>11</v>
      </c>
      <c r="C2787" s="7">
        <v>30.86</v>
      </c>
      <c r="D2787" s="4" t="s">
        <v>19</v>
      </c>
      <c r="E2787" s="4" t="s">
        <v>13</v>
      </c>
      <c r="F2787" s="4" t="s">
        <v>30</v>
      </c>
      <c r="G2787" s="4" t="s">
        <v>40</v>
      </c>
      <c r="H2787" s="4">
        <v>4</v>
      </c>
      <c r="I2787" s="4">
        <v>1</v>
      </c>
      <c r="J2787" s="5">
        <v>45687</v>
      </c>
      <c r="K2787" s="6">
        <v>0.42538194444444444</v>
      </c>
    </row>
    <row r="2788" spans="1:11" x14ac:dyDescent="0.25">
      <c r="A2788" s="4">
        <v>11</v>
      </c>
      <c r="B2788" s="4" t="s">
        <v>11</v>
      </c>
      <c r="C2788" s="7">
        <v>25.96</v>
      </c>
      <c r="D2788" s="4" t="s">
        <v>24</v>
      </c>
      <c r="E2788" s="4" t="s">
        <v>13</v>
      </c>
      <c r="F2788" s="4" t="s">
        <v>30</v>
      </c>
      <c r="G2788" s="4" t="s">
        <v>40</v>
      </c>
      <c r="H2788" s="4">
        <v>4</v>
      </c>
      <c r="I2788" s="4">
        <v>1</v>
      </c>
      <c r="J2788" s="5">
        <v>45687</v>
      </c>
      <c r="K2788" s="6">
        <v>0.47672453703703704</v>
      </c>
    </row>
    <row r="2789" spans="1:11" x14ac:dyDescent="0.25">
      <c r="A2789" s="4">
        <v>12</v>
      </c>
      <c r="B2789" s="4" t="s">
        <v>11</v>
      </c>
      <c r="C2789" s="7">
        <v>35.76</v>
      </c>
      <c r="D2789" s="4" t="s">
        <v>16</v>
      </c>
      <c r="E2789" s="4" t="s">
        <v>17</v>
      </c>
      <c r="F2789" s="4" t="s">
        <v>30</v>
      </c>
      <c r="G2789" s="4" t="s">
        <v>40</v>
      </c>
      <c r="H2789" s="4">
        <v>4</v>
      </c>
      <c r="I2789" s="4">
        <v>1</v>
      </c>
      <c r="J2789" s="5">
        <v>45687</v>
      </c>
      <c r="K2789" s="6">
        <v>0.52934027777777781</v>
      </c>
    </row>
    <row r="2790" spans="1:11" x14ac:dyDescent="0.25">
      <c r="A2790" s="4">
        <v>13</v>
      </c>
      <c r="B2790" s="4" t="s">
        <v>11</v>
      </c>
      <c r="C2790" s="7">
        <v>25.96</v>
      </c>
      <c r="D2790" s="4" t="s">
        <v>18</v>
      </c>
      <c r="E2790" s="4" t="s">
        <v>17</v>
      </c>
      <c r="F2790" s="4" t="s">
        <v>30</v>
      </c>
      <c r="G2790" s="4" t="s">
        <v>40</v>
      </c>
      <c r="H2790" s="4">
        <v>4</v>
      </c>
      <c r="I2790" s="4">
        <v>1</v>
      </c>
      <c r="J2790" s="5">
        <v>45687</v>
      </c>
      <c r="K2790" s="6">
        <v>0.54305555555555551</v>
      </c>
    </row>
    <row r="2791" spans="1:11" x14ac:dyDescent="0.25">
      <c r="A2791" s="4">
        <v>14</v>
      </c>
      <c r="B2791" s="4" t="s">
        <v>11</v>
      </c>
      <c r="C2791" s="7">
        <v>30.86</v>
      </c>
      <c r="D2791" s="4" t="s">
        <v>19</v>
      </c>
      <c r="E2791" s="4" t="s">
        <v>17</v>
      </c>
      <c r="F2791" s="4" t="s">
        <v>30</v>
      </c>
      <c r="G2791" s="4" t="s">
        <v>40</v>
      </c>
      <c r="H2791" s="4">
        <v>4</v>
      </c>
      <c r="I2791" s="4">
        <v>1</v>
      </c>
      <c r="J2791" s="5">
        <v>45687</v>
      </c>
      <c r="K2791" s="6">
        <v>0.61229166666666668</v>
      </c>
    </row>
    <row r="2792" spans="1:11" x14ac:dyDescent="0.25">
      <c r="A2792" s="4">
        <v>17</v>
      </c>
      <c r="B2792" s="4" t="s">
        <v>11</v>
      </c>
      <c r="C2792" s="7">
        <v>35.76</v>
      </c>
      <c r="D2792" s="4" t="s">
        <v>16</v>
      </c>
      <c r="E2792" s="4" t="s">
        <v>20</v>
      </c>
      <c r="F2792" s="4" t="s">
        <v>30</v>
      </c>
      <c r="G2792" s="4" t="s">
        <v>40</v>
      </c>
      <c r="H2792" s="4">
        <v>4</v>
      </c>
      <c r="I2792" s="4">
        <v>1</v>
      </c>
      <c r="J2792" s="5">
        <v>45687</v>
      </c>
      <c r="K2792" s="6">
        <v>0.72138888888888886</v>
      </c>
    </row>
    <row r="2793" spans="1:11" x14ac:dyDescent="0.25">
      <c r="A2793" s="4">
        <v>18</v>
      </c>
      <c r="B2793" s="4" t="s">
        <v>11</v>
      </c>
      <c r="C2793" s="7">
        <v>30.86</v>
      </c>
      <c r="D2793" s="4" t="s">
        <v>19</v>
      </c>
      <c r="E2793" s="4" t="s">
        <v>20</v>
      </c>
      <c r="F2793" s="4" t="s">
        <v>30</v>
      </c>
      <c r="G2793" s="4" t="s">
        <v>40</v>
      </c>
      <c r="H2793" s="4">
        <v>4</v>
      </c>
      <c r="I2793" s="4">
        <v>1</v>
      </c>
      <c r="J2793" s="5">
        <v>45687</v>
      </c>
      <c r="K2793" s="6">
        <v>0.76673611111111106</v>
      </c>
    </row>
    <row r="2794" spans="1:11" x14ac:dyDescent="0.25">
      <c r="A2794" s="4">
        <v>18</v>
      </c>
      <c r="B2794" s="4" t="s">
        <v>11</v>
      </c>
      <c r="C2794" s="7">
        <v>25.96</v>
      </c>
      <c r="D2794" s="4" t="s">
        <v>24</v>
      </c>
      <c r="E2794" s="4" t="s">
        <v>20</v>
      </c>
      <c r="F2794" s="4" t="s">
        <v>30</v>
      </c>
      <c r="G2794" s="4" t="s">
        <v>40</v>
      </c>
      <c r="H2794" s="4">
        <v>4</v>
      </c>
      <c r="I2794" s="4">
        <v>1</v>
      </c>
      <c r="J2794" s="5">
        <v>45687</v>
      </c>
      <c r="K2794" s="6">
        <v>0.7790393518518518</v>
      </c>
    </row>
    <row r="2795" spans="1:11" x14ac:dyDescent="0.25">
      <c r="A2795" s="4">
        <v>8</v>
      </c>
      <c r="B2795" s="4" t="s">
        <v>11</v>
      </c>
      <c r="C2795" s="7">
        <v>25.96</v>
      </c>
      <c r="D2795" s="4" t="s">
        <v>18</v>
      </c>
      <c r="E2795" s="4" t="s">
        <v>13</v>
      </c>
      <c r="F2795" s="4" t="s">
        <v>14</v>
      </c>
      <c r="G2795" s="4" t="s">
        <v>40</v>
      </c>
      <c r="H2795" s="4">
        <v>5</v>
      </c>
      <c r="I2795" s="4">
        <v>1</v>
      </c>
      <c r="J2795" s="5">
        <v>45688</v>
      </c>
      <c r="K2795" s="6">
        <v>0.36170138888888886</v>
      </c>
    </row>
    <row r="2796" spans="1:11" x14ac:dyDescent="0.25">
      <c r="A2796" s="4">
        <v>8</v>
      </c>
      <c r="B2796" s="4" t="s">
        <v>11</v>
      </c>
      <c r="C2796" s="7">
        <v>30.86</v>
      </c>
      <c r="D2796" s="4" t="s">
        <v>19</v>
      </c>
      <c r="E2796" s="4" t="s">
        <v>13</v>
      </c>
      <c r="F2796" s="4" t="s">
        <v>14</v>
      </c>
      <c r="G2796" s="4" t="s">
        <v>40</v>
      </c>
      <c r="H2796" s="4">
        <v>5</v>
      </c>
      <c r="I2796" s="4">
        <v>1</v>
      </c>
      <c r="J2796" s="5">
        <v>45688</v>
      </c>
      <c r="K2796" s="6">
        <v>0.36231481481481481</v>
      </c>
    </row>
    <row r="2797" spans="1:11" x14ac:dyDescent="0.25">
      <c r="A2797" s="4">
        <v>9</v>
      </c>
      <c r="B2797" s="4" t="s">
        <v>11</v>
      </c>
      <c r="C2797" s="7">
        <v>30.86</v>
      </c>
      <c r="D2797" s="4" t="s">
        <v>19</v>
      </c>
      <c r="E2797" s="4" t="s">
        <v>13</v>
      </c>
      <c r="F2797" s="4" t="s">
        <v>14</v>
      </c>
      <c r="G2797" s="4" t="s">
        <v>40</v>
      </c>
      <c r="H2797" s="4">
        <v>5</v>
      </c>
      <c r="I2797" s="4">
        <v>1</v>
      </c>
      <c r="J2797" s="5">
        <v>45688</v>
      </c>
      <c r="K2797" s="6">
        <v>0.38696759259259261</v>
      </c>
    </row>
    <row r="2798" spans="1:11" x14ac:dyDescent="0.25">
      <c r="A2798" s="4">
        <v>9</v>
      </c>
      <c r="B2798" s="4" t="s">
        <v>11</v>
      </c>
      <c r="C2798" s="7">
        <v>35.76</v>
      </c>
      <c r="D2798" s="4" t="s">
        <v>21</v>
      </c>
      <c r="E2798" s="4" t="s">
        <v>13</v>
      </c>
      <c r="F2798" s="4" t="s">
        <v>14</v>
      </c>
      <c r="G2798" s="4" t="s">
        <v>40</v>
      </c>
      <c r="H2798" s="4">
        <v>5</v>
      </c>
      <c r="I2798" s="4">
        <v>1</v>
      </c>
      <c r="J2798" s="5">
        <v>45688</v>
      </c>
      <c r="K2798" s="6">
        <v>0.38900462962962962</v>
      </c>
    </row>
    <row r="2799" spans="1:11" x14ac:dyDescent="0.25">
      <c r="A2799" s="4">
        <v>9</v>
      </c>
      <c r="B2799" s="4" t="s">
        <v>11</v>
      </c>
      <c r="C2799" s="7">
        <v>35.76</v>
      </c>
      <c r="D2799" s="4" t="s">
        <v>29</v>
      </c>
      <c r="E2799" s="4" t="s">
        <v>13</v>
      </c>
      <c r="F2799" s="4" t="s">
        <v>14</v>
      </c>
      <c r="G2799" s="4" t="s">
        <v>40</v>
      </c>
      <c r="H2799" s="4">
        <v>5</v>
      </c>
      <c r="I2799" s="4">
        <v>1</v>
      </c>
      <c r="J2799" s="5">
        <v>45688</v>
      </c>
      <c r="K2799" s="6">
        <v>0.39358796296296295</v>
      </c>
    </row>
    <row r="2800" spans="1:11" x14ac:dyDescent="0.25">
      <c r="A2800" s="4">
        <v>9</v>
      </c>
      <c r="B2800" s="4" t="s">
        <v>11</v>
      </c>
      <c r="C2800" s="7">
        <v>35.76</v>
      </c>
      <c r="D2800" s="4" t="s">
        <v>29</v>
      </c>
      <c r="E2800" s="4" t="s">
        <v>13</v>
      </c>
      <c r="F2800" s="4" t="s">
        <v>14</v>
      </c>
      <c r="G2800" s="4" t="s">
        <v>40</v>
      </c>
      <c r="H2800" s="4">
        <v>5</v>
      </c>
      <c r="I2800" s="4">
        <v>1</v>
      </c>
      <c r="J2800" s="5">
        <v>45688</v>
      </c>
      <c r="K2800" s="6">
        <v>0.39429398148148148</v>
      </c>
    </row>
    <row r="2801" spans="1:11" x14ac:dyDescent="0.25">
      <c r="A2801" s="4">
        <v>12</v>
      </c>
      <c r="B2801" s="4" t="s">
        <v>11</v>
      </c>
      <c r="C2801" s="7">
        <v>35.76</v>
      </c>
      <c r="D2801" s="4" t="s">
        <v>12</v>
      </c>
      <c r="E2801" s="4" t="s">
        <v>17</v>
      </c>
      <c r="F2801" s="4" t="s">
        <v>14</v>
      </c>
      <c r="G2801" s="4" t="s">
        <v>40</v>
      </c>
      <c r="H2801" s="4">
        <v>5</v>
      </c>
      <c r="I2801" s="4">
        <v>1</v>
      </c>
      <c r="J2801" s="5">
        <v>45688</v>
      </c>
      <c r="K2801" s="6">
        <v>0.52153935185185185</v>
      </c>
    </row>
    <row r="2802" spans="1:11" x14ac:dyDescent="0.25">
      <c r="A2802" s="4">
        <v>12</v>
      </c>
      <c r="B2802" s="4" t="s">
        <v>11</v>
      </c>
      <c r="C2802" s="7">
        <v>35.76</v>
      </c>
      <c r="D2802" s="4" t="s">
        <v>12</v>
      </c>
      <c r="E2802" s="4" t="s">
        <v>17</v>
      </c>
      <c r="F2802" s="4" t="s">
        <v>14</v>
      </c>
      <c r="G2802" s="4" t="s">
        <v>40</v>
      </c>
      <c r="H2802" s="4">
        <v>5</v>
      </c>
      <c r="I2802" s="4">
        <v>1</v>
      </c>
      <c r="J2802" s="5">
        <v>45688</v>
      </c>
      <c r="K2802" s="6">
        <v>0.53778935185185184</v>
      </c>
    </row>
    <row r="2803" spans="1:11" x14ac:dyDescent="0.25">
      <c r="A2803" s="4">
        <v>14</v>
      </c>
      <c r="B2803" s="4" t="s">
        <v>11</v>
      </c>
      <c r="C2803" s="7">
        <v>35.76</v>
      </c>
      <c r="D2803" s="4" t="s">
        <v>29</v>
      </c>
      <c r="E2803" s="4" t="s">
        <v>17</v>
      </c>
      <c r="F2803" s="4" t="s">
        <v>14</v>
      </c>
      <c r="G2803" s="4" t="s">
        <v>40</v>
      </c>
      <c r="H2803" s="4">
        <v>5</v>
      </c>
      <c r="I2803" s="4">
        <v>1</v>
      </c>
      <c r="J2803" s="5">
        <v>45688</v>
      </c>
      <c r="K2803" s="6">
        <v>0.58539351851851851</v>
      </c>
    </row>
    <row r="2804" spans="1:11" x14ac:dyDescent="0.25">
      <c r="A2804" s="4">
        <v>16</v>
      </c>
      <c r="B2804" s="4" t="s">
        <v>11</v>
      </c>
      <c r="C2804" s="7">
        <v>30.86</v>
      </c>
      <c r="D2804" s="4" t="s">
        <v>19</v>
      </c>
      <c r="E2804" s="4" t="s">
        <v>17</v>
      </c>
      <c r="F2804" s="4" t="s">
        <v>14</v>
      </c>
      <c r="G2804" s="4" t="s">
        <v>40</v>
      </c>
      <c r="H2804" s="4">
        <v>5</v>
      </c>
      <c r="I2804" s="4">
        <v>1</v>
      </c>
      <c r="J2804" s="5">
        <v>45688</v>
      </c>
      <c r="K2804" s="6">
        <v>0.70038194444444446</v>
      </c>
    </row>
    <row r="2805" spans="1:11" x14ac:dyDescent="0.25">
      <c r="A2805" s="4">
        <v>22</v>
      </c>
      <c r="B2805" s="4" t="s">
        <v>11</v>
      </c>
      <c r="C2805" s="7">
        <v>30.86</v>
      </c>
      <c r="D2805" s="4" t="s">
        <v>19</v>
      </c>
      <c r="E2805" s="4" t="s">
        <v>20</v>
      </c>
      <c r="F2805" s="4" t="s">
        <v>14</v>
      </c>
      <c r="G2805" s="4" t="s">
        <v>40</v>
      </c>
      <c r="H2805" s="4">
        <v>5</v>
      </c>
      <c r="I2805" s="4">
        <v>1</v>
      </c>
      <c r="J2805" s="5">
        <v>45688</v>
      </c>
      <c r="K2805" s="6">
        <v>0.94164351851851846</v>
      </c>
    </row>
    <row r="2806" spans="1:11" x14ac:dyDescent="0.25">
      <c r="A2806" s="4">
        <v>22</v>
      </c>
      <c r="B2806" s="4" t="s">
        <v>11</v>
      </c>
      <c r="C2806" s="7">
        <v>25.96</v>
      </c>
      <c r="D2806" s="4" t="s">
        <v>18</v>
      </c>
      <c r="E2806" s="4" t="s">
        <v>20</v>
      </c>
      <c r="F2806" s="4" t="s">
        <v>14</v>
      </c>
      <c r="G2806" s="4" t="s">
        <v>40</v>
      </c>
      <c r="H2806" s="4">
        <v>5</v>
      </c>
      <c r="I2806" s="4">
        <v>1</v>
      </c>
      <c r="J2806" s="5">
        <v>45688</v>
      </c>
      <c r="K2806" s="6">
        <v>0.94238425925925928</v>
      </c>
    </row>
    <row r="2807" spans="1:11" x14ac:dyDescent="0.25">
      <c r="A2807" s="4">
        <v>8</v>
      </c>
      <c r="B2807" s="4" t="s">
        <v>11</v>
      </c>
      <c r="C2807" s="7">
        <v>30.86</v>
      </c>
      <c r="D2807" s="4" t="s">
        <v>19</v>
      </c>
      <c r="E2807" s="4" t="s">
        <v>13</v>
      </c>
      <c r="F2807" s="4" t="s">
        <v>22</v>
      </c>
      <c r="G2807" s="4" t="s">
        <v>41</v>
      </c>
      <c r="H2807" s="4">
        <v>6</v>
      </c>
      <c r="I2807" s="4">
        <v>2</v>
      </c>
      <c r="J2807" s="5">
        <v>45689</v>
      </c>
      <c r="K2807" s="6">
        <v>0.36832175925925925</v>
      </c>
    </row>
    <row r="2808" spans="1:11" x14ac:dyDescent="0.25">
      <c r="A2808" s="4">
        <v>10</v>
      </c>
      <c r="B2808" s="4" t="s">
        <v>11</v>
      </c>
      <c r="C2808" s="7">
        <v>30.86</v>
      </c>
      <c r="D2808" s="4" t="s">
        <v>19</v>
      </c>
      <c r="E2808" s="4" t="s">
        <v>13</v>
      </c>
      <c r="F2808" s="4" t="s">
        <v>22</v>
      </c>
      <c r="G2808" s="4" t="s">
        <v>41</v>
      </c>
      <c r="H2808" s="4">
        <v>6</v>
      </c>
      <c r="I2808" s="4">
        <v>2</v>
      </c>
      <c r="J2808" s="5">
        <v>45689</v>
      </c>
      <c r="K2808" s="6">
        <v>0.42178240740740741</v>
      </c>
    </row>
    <row r="2809" spans="1:11" x14ac:dyDescent="0.25">
      <c r="A2809" s="4">
        <v>13</v>
      </c>
      <c r="B2809" s="4" t="s">
        <v>11</v>
      </c>
      <c r="C2809" s="7">
        <v>25.96</v>
      </c>
      <c r="D2809" s="4" t="s">
        <v>24</v>
      </c>
      <c r="E2809" s="4" t="s">
        <v>17</v>
      </c>
      <c r="F2809" s="4" t="s">
        <v>22</v>
      </c>
      <c r="G2809" s="4" t="s">
        <v>41</v>
      </c>
      <c r="H2809" s="4">
        <v>6</v>
      </c>
      <c r="I2809" s="4">
        <v>2</v>
      </c>
      <c r="J2809" s="5">
        <v>45689</v>
      </c>
      <c r="K2809" s="6">
        <v>0.55192129629629627</v>
      </c>
    </row>
    <row r="2810" spans="1:11" x14ac:dyDescent="0.25">
      <c r="A2810" s="4">
        <v>13</v>
      </c>
      <c r="B2810" s="4" t="s">
        <v>11</v>
      </c>
      <c r="C2810" s="7">
        <v>25.96</v>
      </c>
      <c r="D2810" s="4" t="s">
        <v>24</v>
      </c>
      <c r="E2810" s="4" t="s">
        <v>17</v>
      </c>
      <c r="F2810" s="4" t="s">
        <v>22</v>
      </c>
      <c r="G2810" s="4" t="s">
        <v>41</v>
      </c>
      <c r="H2810" s="4">
        <v>6</v>
      </c>
      <c r="I2810" s="4">
        <v>2</v>
      </c>
      <c r="J2810" s="5">
        <v>45689</v>
      </c>
      <c r="K2810" s="6">
        <v>0.5524189814814815</v>
      </c>
    </row>
    <row r="2811" spans="1:11" x14ac:dyDescent="0.25">
      <c r="A2811" s="4">
        <v>14</v>
      </c>
      <c r="B2811" s="4" t="s">
        <v>11</v>
      </c>
      <c r="C2811" s="7">
        <v>35.76</v>
      </c>
      <c r="D2811" s="4" t="s">
        <v>29</v>
      </c>
      <c r="E2811" s="4" t="s">
        <v>17</v>
      </c>
      <c r="F2811" s="4" t="s">
        <v>22</v>
      </c>
      <c r="G2811" s="4" t="s">
        <v>41</v>
      </c>
      <c r="H2811" s="4">
        <v>6</v>
      </c>
      <c r="I2811" s="4">
        <v>2</v>
      </c>
      <c r="J2811" s="5">
        <v>45689</v>
      </c>
      <c r="K2811" s="6">
        <v>0.60784722222222221</v>
      </c>
    </row>
    <row r="2812" spans="1:11" x14ac:dyDescent="0.25">
      <c r="A2812" s="4">
        <v>14</v>
      </c>
      <c r="B2812" s="4" t="s">
        <v>11</v>
      </c>
      <c r="C2812" s="7">
        <v>35.76</v>
      </c>
      <c r="D2812" s="4" t="s">
        <v>29</v>
      </c>
      <c r="E2812" s="4" t="s">
        <v>17</v>
      </c>
      <c r="F2812" s="4" t="s">
        <v>22</v>
      </c>
      <c r="G2812" s="4" t="s">
        <v>41</v>
      </c>
      <c r="H2812" s="4">
        <v>6</v>
      </c>
      <c r="I2812" s="4">
        <v>2</v>
      </c>
      <c r="J2812" s="5">
        <v>45689</v>
      </c>
      <c r="K2812" s="6">
        <v>0.60851851851851857</v>
      </c>
    </row>
    <row r="2813" spans="1:11" x14ac:dyDescent="0.25">
      <c r="A2813" s="4">
        <v>15</v>
      </c>
      <c r="B2813" s="4" t="s">
        <v>11</v>
      </c>
      <c r="C2813" s="7">
        <v>35.76</v>
      </c>
      <c r="D2813" s="4" t="s">
        <v>12</v>
      </c>
      <c r="E2813" s="4" t="s">
        <v>17</v>
      </c>
      <c r="F2813" s="4" t="s">
        <v>22</v>
      </c>
      <c r="G2813" s="4" t="s">
        <v>41</v>
      </c>
      <c r="H2813" s="4">
        <v>6</v>
      </c>
      <c r="I2813" s="4">
        <v>2</v>
      </c>
      <c r="J2813" s="5">
        <v>45689</v>
      </c>
      <c r="K2813" s="6">
        <v>0.65969907407407402</v>
      </c>
    </row>
    <row r="2814" spans="1:11" x14ac:dyDescent="0.25">
      <c r="A2814" s="4">
        <v>18</v>
      </c>
      <c r="B2814" s="4" t="s">
        <v>11</v>
      </c>
      <c r="C2814" s="7">
        <v>35.76</v>
      </c>
      <c r="D2814" s="4" t="s">
        <v>29</v>
      </c>
      <c r="E2814" s="4" t="s">
        <v>20</v>
      </c>
      <c r="F2814" s="4" t="s">
        <v>22</v>
      </c>
      <c r="G2814" s="4" t="s">
        <v>41</v>
      </c>
      <c r="H2814" s="4">
        <v>6</v>
      </c>
      <c r="I2814" s="4">
        <v>2</v>
      </c>
      <c r="J2814" s="5">
        <v>45689</v>
      </c>
      <c r="K2814" s="6">
        <v>0.7897453703703704</v>
      </c>
    </row>
    <row r="2815" spans="1:11" x14ac:dyDescent="0.25">
      <c r="A2815" s="4">
        <v>19</v>
      </c>
      <c r="B2815" s="4" t="s">
        <v>11</v>
      </c>
      <c r="C2815" s="7">
        <v>30.86</v>
      </c>
      <c r="D2815" s="4" t="s">
        <v>19</v>
      </c>
      <c r="E2815" s="4" t="s">
        <v>20</v>
      </c>
      <c r="F2815" s="4" t="s">
        <v>22</v>
      </c>
      <c r="G2815" s="4" t="s">
        <v>41</v>
      </c>
      <c r="H2815" s="4">
        <v>6</v>
      </c>
      <c r="I2815" s="4">
        <v>2</v>
      </c>
      <c r="J2815" s="5">
        <v>45689</v>
      </c>
      <c r="K2815" s="6">
        <v>0.8286458333333333</v>
      </c>
    </row>
    <row r="2816" spans="1:11" x14ac:dyDescent="0.25">
      <c r="A2816" s="4">
        <v>19</v>
      </c>
      <c r="B2816" s="4" t="s">
        <v>11</v>
      </c>
      <c r="C2816" s="7">
        <v>30.86</v>
      </c>
      <c r="D2816" s="4" t="s">
        <v>19</v>
      </c>
      <c r="E2816" s="4" t="s">
        <v>20</v>
      </c>
      <c r="F2816" s="4" t="s">
        <v>22</v>
      </c>
      <c r="G2816" s="4" t="s">
        <v>41</v>
      </c>
      <c r="H2816" s="4">
        <v>6</v>
      </c>
      <c r="I2816" s="4">
        <v>2</v>
      </c>
      <c r="J2816" s="5">
        <v>45689</v>
      </c>
      <c r="K2816" s="6">
        <v>0.82944444444444443</v>
      </c>
    </row>
    <row r="2817" spans="1:11" x14ac:dyDescent="0.25">
      <c r="A2817" s="4">
        <v>21</v>
      </c>
      <c r="B2817" s="4" t="s">
        <v>11</v>
      </c>
      <c r="C2817" s="7">
        <v>30.86</v>
      </c>
      <c r="D2817" s="4" t="s">
        <v>19</v>
      </c>
      <c r="E2817" s="4" t="s">
        <v>20</v>
      </c>
      <c r="F2817" s="4" t="s">
        <v>22</v>
      </c>
      <c r="G2817" s="4" t="s">
        <v>41</v>
      </c>
      <c r="H2817" s="4">
        <v>6</v>
      </c>
      <c r="I2817" s="4">
        <v>2</v>
      </c>
      <c r="J2817" s="5">
        <v>45689</v>
      </c>
      <c r="K2817" s="6">
        <v>0.9007060185185185</v>
      </c>
    </row>
    <row r="2818" spans="1:11" x14ac:dyDescent="0.25">
      <c r="A2818" s="4">
        <v>10</v>
      </c>
      <c r="B2818" s="4" t="s">
        <v>11</v>
      </c>
      <c r="C2818" s="7">
        <v>35.76</v>
      </c>
      <c r="D2818" s="4" t="s">
        <v>29</v>
      </c>
      <c r="E2818" s="4" t="s">
        <v>13</v>
      </c>
      <c r="F2818" s="4" t="s">
        <v>23</v>
      </c>
      <c r="G2818" s="4" t="s">
        <v>41</v>
      </c>
      <c r="H2818" s="4">
        <v>7</v>
      </c>
      <c r="I2818" s="4">
        <v>2</v>
      </c>
      <c r="J2818" s="5">
        <v>45690</v>
      </c>
      <c r="K2818" s="6">
        <v>0.45579861111111108</v>
      </c>
    </row>
    <row r="2819" spans="1:11" x14ac:dyDescent="0.25">
      <c r="A2819" s="4">
        <v>10</v>
      </c>
      <c r="B2819" s="4" t="s">
        <v>11</v>
      </c>
      <c r="C2819" s="7">
        <v>35.76</v>
      </c>
      <c r="D2819" s="4" t="s">
        <v>29</v>
      </c>
      <c r="E2819" s="4" t="s">
        <v>13</v>
      </c>
      <c r="F2819" s="4" t="s">
        <v>23</v>
      </c>
      <c r="G2819" s="4" t="s">
        <v>41</v>
      </c>
      <c r="H2819" s="4">
        <v>7</v>
      </c>
      <c r="I2819" s="4">
        <v>2</v>
      </c>
      <c r="J2819" s="5">
        <v>45690</v>
      </c>
      <c r="K2819" s="6">
        <v>0.45667824074074076</v>
      </c>
    </row>
    <row r="2820" spans="1:11" x14ac:dyDescent="0.25">
      <c r="A2820" s="4">
        <v>12</v>
      </c>
      <c r="B2820" s="4" t="s">
        <v>11</v>
      </c>
      <c r="C2820" s="7">
        <v>35.76</v>
      </c>
      <c r="D2820" s="4" t="s">
        <v>12</v>
      </c>
      <c r="E2820" s="4" t="s">
        <v>17</v>
      </c>
      <c r="F2820" s="4" t="s">
        <v>23</v>
      </c>
      <c r="G2820" s="4" t="s">
        <v>41</v>
      </c>
      <c r="H2820" s="4">
        <v>7</v>
      </c>
      <c r="I2820" s="4">
        <v>2</v>
      </c>
      <c r="J2820" s="5">
        <v>45690</v>
      </c>
      <c r="K2820" s="6">
        <v>0.53787037037037033</v>
      </c>
    </row>
    <row r="2821" spans="1:11" x14ac:dyDescent="0.25">
      <c r="A2821" s="4">
        <v>12</v>
      </c>
      <c r="B2821" s="4" t="s">
        <v>11</v>
      </c>
      <c r="C2821" s="7">
        <v>35.76</v>
      </c>
      <c r="D2821" s="4" t="s">
        <v>12</v>
      </c>
      <c r="E2821" s="4" t="s">
        <v>17</v>
      </c>
      <c r="F2821" s="4" t="s">
        <v>23</v>
      </c>
      <c r="G2821" s="4" t="s">
        <v>41</v>
      </c>
      <c r="H2821" s="4">
        <v>7</v>
      </c>
      <c r="I2821" s="4">
        <v>2</v>
      </c>
      <c r="J2821" s="5">
        <v>45690</v>
      </c>
      <c r="K2821" s="6">
        <v>0.53893518518518524</v>
      </c>
    </row>
    <row r="2822" spans="1:11" x14ac:dyDescent="0.25">
      <c r="A2822" s="4">
        <v>14</v>
      </c>
      <c r="B2822" s="4" t="s">
        <v>11</v>
      </c>
      <c r="C2822" s="7">
        <v>30.86</v>
      </c>
      <c r="D2822" s="4" t="s">
        <v>19</v>
      </c>
      <c r="E2822" s="4" t="s">
        <v>17</v>
      </c>
      <c r="F2822" s="4" t="s">
        <v>23</v>
      </c>
      <c r="G2822" s="4" t="s">
        <v>41</v>
      </c>
      <c r="H2822" s="4">
        <v>7</v>
      </c>
      <c r="I2822" s="4">
        <v>2</v>
      </c>
      <c r="J2822" s="5">
        <v>45690</v>
      </c>
      <c r="K2822" s="6">
        <v>0.59927083333333331</v>
      </c>
    </row>
    <row r="2823" spans="1:11" x14ac:dyDescent="0.25">
      <c r="A2823" s="4">
        <v>16</v>
      </c>
      <c r="B2823" s="4" t="s">
        <v>11</v>
      </c>
      <c r="C2823" s="7">
        <v>35.76</v>
      </c>
      <c r="D2823" s="4" t="s">
        <v>12</v>
      </c>
      <c r="E2823" s="4" t="s">
        <v>17</v>
      </c>
      <c r="F2823" s="4" t="s">
        <v>23</v>
      </c>
      <c r="G2823" s="4" t="s">
        <v>41</v>
      </c>
      <c r="H2823" s="4">
        <v>7</v>
      </c>
      <c r="I2823" s="4">
        <v>2</v>
      </c>
      <c r="J2823" s="5">
        <v>45690</v>
      </c>
      <c r="K2823" s="6">
        <v>0.69799768518518523</v>
      </c>
    </row>
    <row r="2824" spans="1:11" x14ac:dyDescent="0.25">
      <c r="A2824" s="4">
        <v>16</v>
      </c>
      <c r="B2824" s="4" t="s">
        <v>11</v>
      </c>
      <c r="C2824" s="7">
        <v>35.76</v>
      </c>
      <c r="D2824" s="4" t="s">
        <v>12</v>
      </c>
      <c r="E2824" s="4" t="s">
        <v>17</v>
      </c>
      <c r="F2824" s="4" t="s">
        <v>23</v>
      </c>
      <c r="G2824" s="4" t="s">
        <v>41</v>
      </c>
      <c r="H2824" s="4">
        <v>7</v>
      </c>
      <c r="I2824" s="4">
        <v>2</v>
      </c>
      <c r="J2824" s="5">
        <v>45690</v>
      </c>
      <c r="K2824" s="6">
        <v>0.69927083333333329</v>
      </c>
    </row>
    <row r="2825" spans="1:11" x14ac:dyDescent="0.25">
      <c r="A2825" s="4">
        <v>7</v>
      </c>
      <c r="B2825" s="4" t="s">
        <v>11</v>
      </c>
      <c r="C2825" s="7">
        <v>35.76</v>
      </c>
      <c r="D2825" s="4" t="s">
        <v>29</v>
      </c>
      <c r="E2825" s="4" t="s">
        <v>13</v>
      </c>
      <c r="F2825" s="4" t="s">
        <v>25</v>
      </c>
      <c r="G2825" s="4" t="s">
        <v>41</v>
      </c>
      <c r="H2825" s="4">
        <v>1</v>
      </c>
      <c r="I2825" s="4">
        <v>2</v>
      </c>
      <c r="J2825" s="5">
        <v>45691</v>
      </c>
      <c r="K2825" s="6">
        <v>0.29402777777777778</v>
      </c>
    </row>
    <row r="2826" spans="1:11" x14ac:dyDescent="0.25">
      <c r="A2826" s="4">
        <v>7</v>
      </c>
      <c r="B2826" s="4" t="s">
        <v>11</v>
      </c>
      <c r="C2826" s="7">
        <v>30.86</v>
      </c>
      <c r="D2826" s="4" t="s">
        <v>19</v>
      </c>
      <c r="E2826" s="4" t="s">
        <v>13</v>
      </c>
      <c r="F2826" s="4" t="s">
        <v>25</v>
      </c>
      <c r="G2826" s="4" t="s">
        <v>41</v>
      </c>
      <c r="H2826" s="4">
        <v>1</v>
      </c>
      <c r="I2826" s="4">
        <v>2</v>
      </c>
      <c r="J2826" s="5">
        <v>45691</v>
      </c>
      <c r="K2826" s="6">
        <v>0.29509259259259257</v>
      </c>
    </row>
    <row r="2827" spans="1:11" x14ac:dyDescent="0.25">
      <c r="A2827" s="4">
        <v>8</v>
      </c>
      <c r="B2827" s="4" t="s">
        <v>11</v>
      </c>
      <c r="C2827" s="7">
        <v>21.06</v>
      </c>
      <c r="D2827" s="4" t="s">
        <v>26</v>
      </c>
      <c r="E2827" s="4" t="s">
        <v>13</v>
      </c>
      <c r="F2827" s="4" t="s">
        <v>25</v>
      </c>
      <c r="G2827" s="4" t="s">
        <v>41</v>
      </c>
      <c r="H2827" s="4">
        <v>1</v>
      </c>
      <c r="I2827" s="4">
        <v>2</v>
      </c>
      <c r="J2827" s="5">
        <v>45691</v>
      </c>
      <c r="K2827" s="6">
        <v>0.33614583333333331</v>
      </c>
    </row>
    <row r="2828" spans="1:11" x14ac:dyDescent="0.25">
      <c r="A2828" s="4">
        <v>8</v>
      </c>
      <c r="B2828" s="4" t="s">
        <v>11</v>
      </c>
      <c r="C2828" s="7">
        <v>30.86</v>
      </c>
      <c r="D2828" s="4" t="s">
        <v>19</v>
      </c>
      <c r="E2828" s="4" t="s">
        <v>13</v>
      </c>
      <c r="F2828" s="4" t="s">
        <v>25</v>
      </c>
      <c r="G2828" s="4" t="s">
        <v>41</v>
      </c>
      <c r="H2828" s="4">
        <v>1</v>
      </c>
      <c r="I2828" s="4">
        <v>2</v>
      </c>
      <c r="J2828" s="5">
        <v>45691</v>
      </c>
      <c r="K2828" s="6">
        <v>0.33967592592592594</v>
      </c>
    </row>
    <row r="2829" spans="1:11" x14ac:dyDescent="0.25">
      <c r="A2829" s="4">
        <v>10</v>
      </c>
      <c r="B2829" s="4" t="s">
        <v>11</v>
      </c>
      <c r="C2829" s="7">
        <v>25.96</v>
      </c>
      <c r="D2829" s="4" t="s">
        <v>18</v>
      </c>
      <c r="E2829" s="4" t="s">
        <v>13</v>
      </c>
      <c r="F2829" s="4" t="s">
        <v>25</v>
      </c>
      <c r="G2829" s="4" t="s">
        <v>41</v>
      </c>
      <c r="H2829" s="4">
        <v>1</v>
      </c>
      <c r="I2829" s="4">
        <v>2</v>
      </c>
      <c r="J2829" s="5">
        <v>45691</v>
      </c>
      <c r="K2829" s="6">
        <v>0.42752314814814812</v>
      </c>
    </row>
    <row r="2830" spans="1:11" x14ac:dyDescent="0.25">
      <c r="A2830" s="4">
        <v>10</v>
      </c>
      <c r="B2830" s="4" t="s">
        <v>11</v>
      </c>
      <c r="C2830" s="7">
        <v>35.76</v>
      </c>
      <c r="D2830" s="4" t="s">
        <v>29</v>
      </c>
      <c r="E2830" s="4" t="s">
        <v>13</v>
      </c>
      <c r="F2830" s="4" t="s">
        <v>25</v>
      </c>
      <c r="G2830" s="4" t="s">
        <v>41</v>
      </c>
      <c r="H2830" s="4">
        <v>1</v>
      </c>
      <c r="I2830" s="4">
        <v>2</v>
      </c>
      <c r="J2830" s="5">
        <v>45691</v>
      </c>
      <c r="K2830" s="6">
        <v>0.43215277777777777</v>
      </c>
    </row>
    <row r="2831" spans="1:11" x14ac:dyDescent="0.25">
      <c r="A2831" s="4">
        <v>10</v>
      </c>
      <c r="B2831" s="4" t="s">
        <v>11</v>
      </c>
      <c r="C2831" s="7">
        <v>30.86</v>
      </c>
      <c r="D2831" s="4" t="s">
        <v>19</v>
      </c>
      <c r="E2831" s="4" t="s">
        <v>13</v>
      </c>
      <c r="F2831" s="4" t="s">
        <v>25</v>
      </c>
      <c r="G2831" s="4" t="s">
        <v>41</v>
      </c>
      <c r="H2831" s="4">
        <v>1</v>
      </c>
      <c r="I2831" s="4">
        <v>2</v>
      </c>
      <c r="J2831" s="5">
        <v>45691</v>
      </c>
      <c r="K2831" s="6">
        <v>0.45136574074074076</v>
      </c>
    </row>
    <row r="2832" spans="1:11" x14ac:dyDescent="0.25">
      <c r="A2832" s="4">
        <v>13</v>
      </c>
      <c r="B2832" s="4" t="s">
        <v>11</v>
      </c>
      <c r="C2832" s="7">
        <v>35.76</v>
      </c>
      <c r="D2832" s="4" t="s">
        <v>29</v>
      </c>
      <c r="E2832" s="4" t="s">
        <v>17</v>
      </c>
      <c r="F2832" s="4" t="s">
        <v>25</v>
      </c>
      <c r="G2832" s="4" t="s">
        <v>41</v>
      </c>
      <c r="H2832" s="4">
        <v>1</v>
      </c>
      <c r="I2832" s="4">
        <v>2</v>
      </c>
      <c r="J2832" s="5">
        <v>45691</v>
      </c>
      <c r="K2832" s="6">
        <v>0.55905092592592598</v>
      </c>
    </row>
    <row r="2833" spans="1:11" x14ac:dyDescent="0.25">
      <c r="A2833" s="4">
        <v>13</v>
      </c>
      <c r="B2833" s="4" t="s">
        <v>11</v>
      </c>
      <c r="C2833" s="7">
        <v>35.76</v>
      </c>
      <c r="D2833" s="4" t="s">
        <v>29</v>
      </c>
      <c r="E2833" s="4" t="s">
        <v>17</v>
      </c>
      <c r="F2833" s="4" t="s">
        <v>25</v>
      </c>
      <c r="G2833" s="4" t="s">
        <v>41</v>
      </c>
      <c r="H2833" s="4">
        <v>1</v>
      </c>
      <c r="I2833" s="4">
        <v>2</v>
      </c>
      <c r="J2833" s="5">
        <v>45691</v>
      </c>
      <c r="K2833" s="6">
        <v>0.56450231481481483</v>
      </c>
    </row>
    <row r="2834" spans="1:11" x14ac:dyDescent="0.25">
      <c r="A2834" s="4">
        <v>13</v>
      </c>
      <c r="B2834" s="4" t="s">
        <v>11</v>
      </c>
      <c r="C2834" s="7">
        <v>25.96</v>
      </c>
      <c r="D2834" s="4" t="s">
        <v>18</v>
      </c>
      <c r="E2834" s="4" t="s">
        <v>17</v>
      </c>
      <c r="F2834" s="4" t="s">
        <v>25</v>
      </c>
      <c r="G2834" s="4" t="s">
        <v>41</v>
      </c>
      <c r="H2834" s="4">
        <v>1</v>
      </c>
      <c r="I2834" s="4">
        <v>2</v>
      </c>
      <c r="J2834" s="5">
        <v>45691</v>
      </c>
      <c r="K2834" s="6">
        <v>0.57711805555555551</v>
      </c>
    </row>
    <row r="2835" spans="1:11" x14ac:dyDescent="0.25">
      <c r="A2835" s="4">
        <v>14</v>
      </c>
      <c r="B2835" s="4" t="s">
        <v>11</v>
      </c>
      <c r="C2835" s="7">
        <v>25.96</v>
      </c>
      <c r="D2835" s="4" t="s">
        <v>18</v>
      </c>
      <c r="E2835" s="4" t="s">
        <v>17</v>
      </c>
      <c r="F2835" s="4" t="s">
        <v>25</v>
      </c>
      <c r="G2835" s="4" t="s">
        <v>41</v>
      </c>
      <c r="H2835" s="4">
        <v>1</v>
      </c>
      <c r="I2835" s="4">
        <v>2</v>
      </c>
      <c r="J2835" s="5">
        <v>45691</v>
      </c>
      <c r="K2835" s="6">
        <v>0.58791666666666664</v>
      </c>
    </row>
    <row r="2836" spans="1:11" x14ac:dyDescent="0.25">
      <c r="A2836" s="4">
        <v>14</v>
      </c>
      <c r="B2836" s="4" t="s">
        <v>11</v>
      </c>
      <c r="C2836" s="7">
        <v>35.76</v>
      </c>
      <c r="D2836" s="4" t="s">
        <v>12</v>
      </c>
      <c r="E2836" s="4" t="s">
        <v>17</v>
      </c>
      <c r="F2836" s="4" t="s">
        <v>25</v>
      </c>
      <c r="G2836" s="4" t="s">
        <v>41</v>
      </c>
      <c r="H2836" s="4">
        <v>1</v>
      </c>
      <c r="I2836" s="4">
        <v>2</v>
      </c>
      <c r="J2836" s="5">
        <v>45691</v>
      </c>
      <c r="K2836" s="6">
        <v>0.61599537037037033</v>
      </c>
    </row>
    <row r="2837" spans="1:11" x14ac:dyDescent="0.25">
      <c r="A2837" s="4">
        <v>14</v>
      </c>
      <c r="B2837" s="4" t="s">
        <v>11</v>
      </c>
      <c r="C2837" s="7">
        <v>35.76</v>
      </c>
      <c r="D2837" s="4" t="s">
        <v>12</v>
      </c>
      <c r="E2837" s="4" t="s">
        <v>17</v>
      </c>
      <c r="F2837" s="4" t="s">
        <v>25</v>
      </c>
      <c r="G2837" s="4" t="s">
        <v>41</v>
      </c>
      <c r="H2837" s="4">
        <v>1</v>
      </c>
      <c r="I2837" s="4">
        <v>2</v>
      </c>
      <c r="J2837" s="5">
        <v>45691</v>
      </c>
      <c r="K2837" s="6">
        <v>0.61828703703703702</v>
      </c>
    </row>
    <row r="2838" spans="1:11" x14ac:dyDescent="0.25">
      <c r="A2838" s="4">
        <v>15</v>
      </c>
      <c r="B2838" s="4" t="s">
        <v>11</v>
      </c>
      <c r="C2838" s="7">
        <v>35.76</v>
      </c>
      <c r="D2838" s="4" t="s">
        <v>12</v>
      </c>
      <c r="E2838" s="4" t="s">
        <v>17</v>
      </c>
      <c r="F2838" s="4" t="s">
        <v>25</v>
      </c>
      <c r="G2838" s="4" t="s">
        <v>41</v>
      </c>
      <c r="H2838" s="4">
        <v>1</v>
      </c>
      <c r="I2838" s="4">
        <v>2</v>
      </c>
      <c r="J2838" s="5">
        <v>45691</v>
      </c>
      <c r="K2838" s="6">
        <v>0.62620370370370371</v>
      </c>
    </row>
    <row r="2839" spans="1:11" x14ac:dyDescent="0.25">
      <c r="A2839" s="4">
        <v>15</v>
      </c>
      <c r="B2839" s="4" t="s">
        <v>11</v>
      </c>
      <c r="C2839" s="7">
        <v>25.96</v>
      </c>
      <c r="D2839" s="4" t="s">
        <v>18</v>
      </c>
      <c r="E2839" s="4" t="s">
        <v>17</v>
      </c>
      <c r="F2839" s="4" t="s">
        <v>25</v>
      </c>
      <c r="G2839" s="4" t="s">
        <v>41</v>
      </c>
      <c r="H2839" s="4">
        <v>1</v>
      </c>
      <c r="I2839" s="4">
        <v>2</v>
      </c>
      <c r="J2839" s="5">
        <v>45691</v>
      </c>
      <c r="K2839" s="6">
        <v>0.65378472222222217</v>
      </c>
    </row>
    <row r="2840" spans="1:11" x14ac:dyDescent="0.25">
      <c r="A2840" s="4">
        <v>17</v>
      </c>
      <c r="B2840" s="4" t="s">
        <v>11</v>
      </c>
      <c r="C2840" s="7">
        <v>35.76</v>
      </c>
      <c r="D2840" s="4" t="s">
        <v>21</v>
      </c>
      <c r="E2840" s="4" t="s">
        <v>20</v>
      </c>
      <c r="F2840" s="4" t="s">
        <v>25</v>
      </c>
      <c r="G2840" s="4" t="s">
        <v>41</v>
      </c>
      <c r="H2840" s="4">
        <v>1</v>
      </c>
      <c r="I2840" s="4">
        <v>2</v>
      </c>
      <c r="J2840" s="5">
        <v>45691</v>
      </c>
      <c r="K2840" s="6">
        <v>0.70932870370370371</v>
      </c>
    </row>
    <row r="2841" spans="1:11" x14ac:dyDescent="0.25">
      <c r="A2841" s="4">
        <v>17</v>
      </c>
      <c r="B2841" s="4" t="s">
        <v>11</v>
      </c>
      <c r="C2841" s="7">
        <v>30.86</v>
      </c>
      <c r="D2841" s="4" t="s">
        <v>19</v>
      </c>
      <c r="E2841" s="4" t="s">
        <v>20</v>
      </c>
      <c r="F2841" s="4" t="s">
        <v>25</v>
      </c>
      <c r="G2841" s="4" t="s">
        <v>41</v>
      </c>
      <c r="H2841" s="4">
        <v>1</v>
      </c>
      <c r="I2841" s="4">
        <v>2</v>
      </c>
      <c r="J2841" s="5">
        <v>45691</v>
      </c>
      <c r="K2841" s="6">
        <v>0.71521990740740737</v>
      </c>
    </row>
    <row r="2842" spans="1:11" x14ac:dyDescent="0.25">
      <c r="A2842" s="4">
        <v>17</v>
      </c>
      <c r="B2842" s="4" t="s">
        <v>11</v>
      </c>
      <c r="C2842" s="7">
        <v>30.86</v>
      </c>
      <c r="D2842" s="4" t="s">
        <v>19</v>
      </c>
      <c r="E2842" s="4" t="s">
        <v>20</v>
      </c>
      <c r="F2842" s="4" t="s">
        <v>25</v>
      </c>
      <c r="G2842" s="4" t="s">
        <v>41</v>
      </c>
      <c r="H2842" s="4">
        <v>1</v>
      </c>
      <c r="I2842" s="4">
        <v>2</v>
      </c>
      <c r="J2842" s="5">
        <v>45691</v>
      </c>
      <c r="K2842" s="6">
        <v>0.71605324074074073</v>
      </c>
    </row>
    <row r="2843" spans="1:11" x14ac:dyDescent="0.25">
      <c r="A2843" s="4">
        <v>17</v>
      </c>
      <c r="B2843" s="4" t="s">
        <v>11</v>
      </c>
      <c r="C2843" s="7">
        <v>30.86</v>
      </c>
      <c r="D2843" s="4" t="s">
        <v>19</v>
      </c>
      <c r="E2843" s="4" t="s">
        <v>20</v>
      </c>
      <c r="F2843" s="4" t="s">
        <v>25</v>
      </c>
      <c r="G2843" s="4" t="s">
        <v>41</v>
      </c>
      <c r="H2843" s="4">
        <v>1</v>
      </c>
      <c r="I2843" s="4">
        <v>2</v>
      </c>
      <c r="J2843" s="5">
        <v>45691</v>
      </c>
      <c r="K2843" s="6">
        <v>0.71672453703703709</v>
      </c>
    </row>
    <row r="2844" spans="1:11" x14ac:dyDescent="0.25">
      <c r="A2844" s="4">
        <v>17</v>
      </c>
      <c r="B2844" s="4" t="s">
        <v>11</v>
      </c>
      <c r="C2844" s="7">
        <v>35.76</v>
      </c>
      <c r="D2844" s="4" t="s">
        <v>16</v>
      </c>
      <c r="E2844" s="4" t="s">
        <v>20</v>
      </c>
      <c r="F2844" s="4" t="s">
        <v>25</v>
      </c>
      <c r="G2844" s="4" t="s">
        <v>41</v>
      </c>
      <c r="H2844" s="4">
        <v>1</v>
      </c>
      <c r="I2844" s="4">
        <v>2</v>
      </c>
      <c r="J2844" s="5">
        <v>45691</v>
      </c>
      <c r="K2844" s="6">
        <v>0.71760416666666671</v>
      </c>
    </row>
    <row r="2845" spans="1:11" x14ac:dyDescent="0.25">
      <c r="A2845" s="4">
        <v>17</v>
      </c>
      <c r="B2845" s="4" t="s">
        <v>11</v>
      </c>
      <c r="C2845" s="7">
        <v>35.76</v>
      </c>
      <c r="D2845" s="4" t="s">
        <v>12</v>
      </c>
      <c r="E2845" s="4" t="s">
        <v>20</v>
      </c>
      <c r="F2845" s="4" t="s">
        <v>25</v>
      </c>
      <c r="G2845" s="4" t="s">
        <v>41</v>
      </c>
      <c r="H2845" s="4">
        <v>1</v>
      </c>
      <c r="I2845" s="4">
        <v>2</v>
      </c>
      <c r="J2845" s="5">
        <v>45691</v>
      </c>
      <c r="K2845" s="6">
        <v>0.71826388888888892</v>
      </c>
    </row>
    <row r="2846" spans="1:11" x14ac:dyDescent="0.25">
      <c r="A2846" s="4">
        <v>17</v>
      </c>
      <c r="B2846" s="4" t="s">
        <v>11</v>
      </c>
      <c r="C2846" s="7">
        <v>35.76</v>
      </c>
      <c r="D2846" s="4" t="s">
        <v>16</v>
      </c>
      <c r="E2846" s="4" t="s">
        <v>20</v>
      </c>
      <c r="F2846" s="4" t="s">
        <v>25</v>
      </c>
      <c r="G2846" s="4" t="s">
        <v>41</v>
      </c>
      <c r="H2846" s="4">
        <v>1</v>
      </c>
      <c r="I2846" s="4">
        <v>2</v>
      </c>
      <c r="J2846" s="5">
        <v>45691</v>
      </c>
      <c r="K2846" s="6">
        <v>0.719212962962963</v>
      </c>
    </row>
    <row r="2847" spans="1:11" x14ac:dyDescent="0.25">
      <c r="A2847" s="4">
        <v>17</v>
      </c>
      <c r="B2847" s="4" t="s">
        <v>11</v>
      </c>
      <c r="C2847" s="7">
        <v>30.86</v>
      </c>
      <c r="D2847" s="4" t="s">
        <v>19</v>
      </c>
      <c r="E2847" s="4" t="s">
        <v>20</v>
      </c>
      <c r="F2847" s="4" t="s">
        <v>25</v>
      </c>
      <c r="G2847" s="4" t="s">
        <v>41</v>
      </c>
      <c r="H2847" s="4">
        <v>1</v>
      </c>
      <c r="I2847" s="4">
        <v>2</v>
      </c>
      <c r="J2847" s="5">
        <v>45691</v>
      </c>
      <c r="K2847" s="6">
        <v>0.73908564814814814</v>
      </c>
    </row>
    <row r="2848" spans="1:11" x14ac:dyDescent="0.25">
      <c r="A2848" s="4">
        <v>18</v>
      </c>
      <c r="B2848" s="4" t="s">
        <v>11</v>
      </c>
      <c r="C2848" s="7">
        <v>25.96</v>
      </c>
      <c r="D2848" s="4" t="s">
        <v>18</v>
      </c>
      <c r="E2848" s="4" t="s">
        <v>20</v>
      </c>
      <c r="F2848" s="4" t="s">
        <v>25</v>
      </c>
      <c r="G2848" s="4" t="s">
        <v>41</v>
      </c>
      <c r="H2848" s="4">
        <v>1</v>
      </c>
      <c r="I2848" s="4">
        <v>2</v>
      </c>
      <c r="J2848" s="5">
        <v>45691</v>
      </c>
      <c r="K2848" s="6">
        <v>0.75624999999999998</v>
      </c>
    </row>
    <row r="2849" spans="1:11" x14ac:dyDescent="0.25">
      <c r="A2849" s="4">
        <v>20</v>
      </c>
      <c r="B2849" s="4" t="s">
        <v>11</v>
      </c>
      <c r="C2849" s="7">
        <v>35.76</v>
      </c>
      <c r="D2849" s="4" t="s">
        <v>21</v>
      </c>
      <c r="E2849" s="4" t="s">
        <v>20</v>
      </c>
      <c r="F2849" s="4" t="s">
        <v>25</v>
      </c>
      <c r="G2849" s="4" t="s">
        <v>41</v>
      </c>
      <c r="H2849" s="4">
        <v>1</v>
      </c>
      <c r="I2849" s="4">
        <v>2</v>
      </c>
      <c r="J2849" s="5">
        <v>45691</v>
      </c>
      <c r="K2849" s="6">
        <v>0.86405092592592592</v>
      </c>
    </row>
    <row r="2850" spans="1:11" x14ac:dyDescent="0.25">
      <c r="A2850" s="4">
        <v>10</v>
      </c>
      <c r="B2850" s="4" t="s">
        <v>11</v>
      </c>
      <c r="C2850" s="7">
        <v>30.86</v>
      </c>
      <c r="D2850" s="4" t="s">
        <v>19</v>
      </c>
      <c r="E2850" s="4" t="s">
        <v>13</v>
      </c>
      <c r="F2850" s="4" t="s">
        <v>27</v>
      </c>
      <c r="G2850" s="4" t="s">
        <v>41</v>
      </c>
      <c r="H2850" s="4">
        <v>2</v>
      </c>
      <c r="I2850" s="4">
        <v>2</v>
      </c>
      <c r="J2850" s="5">
        <v>45692</v>
      </c>
      <c r="K2850" s="6">
        <v>0.42009259259259257</v>
      </c>
    </row>
    <row r="2851" spans="1:11" x14ac:dyDescent="0.25">
      <c r="A2851" s="4">
        <v>10</v>
      </c>
      <c r="B2851" s="4" t="s">
        <v>11</v>
      </c>
      <c r="C2851" s="7">
        <v>25.96</v>
      </c>
      <c r="D2851" s="4" t="s">
        <v>18</v>
      </c>
      <c r="E2851" s="4" t="s">
        <v>13</v>
      </c>
      <c r="F2851" s="4" t="s">
        <v>27</v>
      </c>
      <c r="G2851" s="4" t="s">
        <v>41</v>
      </c>
      <c r="H2851" s="4">
        <v>2</v>
      </c>
      <c r="I2851" s="4">
        <v>2</v>
      </c>
      <c r="J2851" s="5">
        <v>45692</v>
      </c>
      <c r="K2851" s="6">
        <v>0.42466435185185186</v>
      </c>
    </row>
    <row r="2852" spans="1:11" x14ac:dyDescent="0.25">
      <c r="A2852" s="4">
        <v>12</v>
      </c>
      <c r="B2852" s="4" t="s">
        <v>11</v>
      </c>
      <c r="C2852" s="7">
        <v>30.86</v>
      </c>
      <c r="D2852" s="4" t="s">
        <v>19</v>
      </c>
      <c r="E2852" s="4" t="s">
        <v>17</v>
      </c>
      <c r="F2852" s="4" t="s">
        <v>27</v>
      </c>
      <c r="G2852" s="4" t="s">
        <v>41</v>
      </c>
      <c r="H2852" s="4">
        <v>2</v>
      </c>
      <c r="I2852" s="4">
        <v>2</v>
      </c>
      <c r="J2852" s="5">
        <v>45692</v>
      </c>
      <c r="K2852" s="6">
        <v>0.52497685185185183</v>
      </c>
    </row>
    <row r="2853" spans="1:11" x14ac:dyDescent="0.25">
      <c r="A2853" s="4">
        <v>13</v>
      </c>
      <c r="B2853" s="4" t="s">
        <v>11</v>
      </c>
      <c r="C2853" s="7">
        <v>25.96</v>
      </c>
      <c r="D2853" s="4" t="s">
        <v>24</v>
      </c>
      <c r="E2853" s="4" t="s">
        <v>17</v>
      </c>
      <c r="F2853" s="4" t="s">
        <v>27</v>
      </c>
      <c r="G2853" s="4" t="s">
        <v>41</v>
      </c>
      <c r="H2853" s="4">
        <v>2</v>
      </c>
      <c r="I2853" s="4">
        <v>2</v>
      </c>
      <c r="J2853" s="5">
        <v>45692</v>
      </c>
      <c r="K2853" s="6">
        <v>0.54697916666666668</v>
      </c>
    </row>
    <row r="2854" spans="1:11" x14ac:dyDescent="0.25">
      <c r="A2854" s="4">
        <v>14</v>
      </c>
      <c r="B2854" s="4" t="s">
        <v>11</v>
      </c>
      <c r="C2854" s="7">
        <v>25.96</v>
      </c>
      <c r="D2854" s="4" t="s">
        <v>18</v>
      </c>
      <c r="E2854" s="4" t="s">
        <v>17</v>
      </c>
      <c r="F2854" s="4" t="s">
        <v>27</v>
      </c>
      <c r="G2854" s="4" t="s">
        <v>41</v>
      </c>
      <c r="H2854" s="4">
        <v>2</v>
      </c>
      <c r="I2854" s="4">
        <v>2</v>
      </c>
      <c r="J2854" s="5">
        <v>45692</v>
      </c>
      <c r="K2854" s="6">
        <v>0.59391203703703699</v>
      </c>
    </row>
    <row r="2855" spans="1:11" x14ac:dyDescent="0.25">
      <c r="A2855" s="4">
        <v>14</v>
      </c>
      <c r="B2855" s="4" t="s">
        <v>11</v>
      </c>
      <c r="C2855" s="7">
        <v>30.86</v>
      </c>
      <c r="D2855" s="4" t="s">
        <v>19</v>
      </c>
      <c r="E2855" s="4" t="s">
        <v>17</v>
      </c>
      <c r="F2855" s="4" t="s">
        <v>27</v>
      </c>
      <c r="G2855" s="4" t="s">
        <v>41</v>
      </c>
      <c r="H2855" s="4">
        <v>2</v>
      </c>
      <c r="I2855" s="4">
        <v>2</v>
      </c>
      <c r="J2855" s="5">
        <v>45692</v>
      </c>
      <c r="K2855" s="6">
        <v>0.5955555555555555</v>
      </c>
    </row>
    <row r="2856" spans="1:11" x14ac:dyDescent="0.25">
      <c r="A2856" s="4">
        <v>14</v>
      </c>
      <c r="B2856" s="4" t="s">
        <v>11</v>
      </c>
      <c r="C2856" s="7">
        <v>25.96</v>
      </c>
      <c r="D2856" s="4" t="s">
        <v>18</v>
      </c>
      <c r="E2856" s="4" t="s">
        <v>17</v>
      </c>
      <c r="F2856" s="4" t="s">
        <v>27</v>
      </c>
      <c r="G2856" s="4" t="s">
        <v>41</v>
      </c>
      <c r="H2856" s="4">
        <v>2</v>
      </c>
      <c r="I2856" s="4">
        <v>2</v>
      </c>
      <c r="J2856" s="5">
        <v>45692</v>
      </c>
      <c r="K2856" s="6">
        <v>0.5970833333333333</v>
      </c>
    </row>
    <row r="2857" spans="1:11" x14ac:dyDescent="0.25">
      <c r="A2857" s="4">
        <v>18</v>
      </c>
      <c r="B2857" s="4" t="s">
        <v>11</v>
      </c>
      <c r="C2857" s="7">
        <v>30.86</v>
      </c>
      <c r="D2857" s="4" t="s">
        <v>19</v>
      </c>
      <c r="E2857" s="4" t="s">
        <v>20</v>
      </c>
      <c r="F2857" s="4" t="s">
        <v>27</v>
      </c>
      <c r="G2857" s="4" t="s">
        <v>41</v>
      </c>
      <c r="H2857" s="4">
        <v>2</v>
      </c>
      <c r="I2857" s="4">
        <v>2</v>
      </c>
      <c r="J2857" s="5">
        <v>45692</v>
      </c>
      <c r="K2857" s="6">
        <v>0.75950231481481478</v>
      </c>
    </row>
    <row r="2858" spans="1:11" x14ac:dyDescent="0.25">
      <c r="A2858" s="4">
        <v>19</v>
      </c>
      <c r="B2858" s="4" t="s">
        <v>11</v>
      </c>
      <c r="C2858" s="7">
        <v>35.76</v>
      </c>
      <c r="D2858" s="4" t="s">
        <v>21</v>
      </c>
      <c r="E2858" s="4" t="s">
        <v>20</v>
      </c>
      <c r="F2858" s="4" t="s">
        <v>27</v>
      </c>
      <c r="G2858" s="4" t="s">
        <v>41</v>
      </c>
      <c r="H2858" s="4">
        <v>2</v>
      </c>
      <c r="I2858" s="4">
        <v>2</v>
      </c>
      <c r="J2858" s="5">
        <v>45692</v>
      </c>
      <c r="K2858" s="6">
        <v>0.79538194444444443</v>
      </c>
    </row>
    <row r="2859" spans="1:11" x14ac:dyDescent="0.25">
      <c r="A2859" s="4">
        <v>19</v>
      </c>
      <c r="B2859" s="4" t="s">
        <v>11</v>
      </c>
      <c r="C2859" s="7">
        <v>35.76</v>
      </c>
      <c r="D2859" s="4" t="s">
        <v>21</v>
      </c>
      <c r="E2859" s="4" t="s">
        <v>20</v>
      </c>
      <c r="F2859" s="4" t="s">
        <v>27</v>
      </c>
      <c r="G2859" s="4" t="s">
        <v>41</v>
      </c>
      <c r="H2859" s="4">
        <v>2</v>
      </c>
      <c r="I2859" s="4">
        <v>2</v>
      </c>
      <c r="J2859" s="5">
        <v>45692</v>
      </c>
      <c r="K2859" s="6">
        <v>0.79833333333333334</v>
      </c>
    </row>
    <row r="2860" spans="1:11" x14ac:dyDescent="0.25">
      <c r="A2860" s="4">
        <v>19</v>
      </c>
      <c r="B2860" s="4" t="s">
        <v>11</v>
      </c>
      <c r="C2860" s="7">
        <v>35.76</v>
      </c>
      <c r="D2860" s="4" t="s">
        <v>21</v>
      </c>
      <c r="E2860" s="4" t="s">
        <v>20</v>
      </c>
      <c r="F2860" s="4" t="s">
        <v>27</v>
      </c>
      <c r="G2860" s="4" t="s">
        <v>41</v>
      </c>
      <c r="H2860" s="4">
        <v>2</v>
      </c>
      <c r="I2860" s="4">
        <v>2</v>
      </c>
      <c r="J2860" s="5">
        <v>45692</v>
      </c>
      <c r="K2860" s="6">
        <v>0.7989236111111111</v>
      </c>
    </row>
    <row r="2861" spans="1:11" x14ac:dyDescent="0.25">
      <c r="A2861" s="4">
        <v>19</v>
      </c>
      <c r="B2861" s="4" t="s">
        <v>11</v>
      </c>
      <c r="C2861" s="7">
        <v>25.96</v>
      </c>
      <c r="D2861" s="4" t="s">
        <v>24</v>
      </c>
      <c r="E2861" s="4" t="s">
        <v>20</v>
      </c>
      <c r="F2861" s="4" t="s">
        <v>27</v>
      </c>
      <c r="G2861" s="4" t="s">
        <v>41</v>
      </c>
      <c r="H2861" s="4">
        <v>2</v>
      </c>
      <c r="I2861" s="4">
        <v>2</v>
      </c>
      <c r="J2861" s="5">
        <v>45692</v>
      </c>
      <c r="K2861" s="6">
        <v>0.81072916666666661</v>
      </c>
    </row>
    <row r="2862" spans="1:11" x14ac:dyDescent="0.25">
      <c r="A2862" s="4">
        <v>8</v>
      </c>
      <c r="B2862" s="4" t="s">
        <v>11</v>
      </c>
      <c r="C2862" s="7">
        <v>30.86</v>
      </c>
      <c r="D2862" s="4" t="s">
        <v>19</v>
      </c>
      <c r="E2862" s="4" t="s">
        <v>13</v>
      </c>
      <c r="F2862" s="4" t="s">
        <v>28</v>
      </c>
      <c r="G2862" s="4" t="s">
        <v>41</v>
      </c>
      <c r="H2862" s="4">
        <v>3</v>
      </c>
      <c r="I2862" s="4">
        <v>2</v>
      </c>
      <c r="J2862" s="5">
        <v>45693</v>
      </c>
      <c r="K2862" s="6">
        <v>0.36261574074074077</v>
      </c>
    </row>
    <row r="2863" spans="1:11" x14ac:dyDescent="0.25">
      <c r="A2863" s="4">
        <v>9</v>
      </c>
      <c r="B2863" s="4" t="s">
        <v>11</v>
      </c>
      <c r="C2863" s="7">
        <v>30.86</v>
      </c>
      <c r="D2863" s="4" t="s">
        <v>19</v>
      </c>
      <c r="E2863" s="4" t="s">
        <v>13</v>
      </c>
      <c r="F2863" s="4" t="s">
        <v>28</v>
      </c>
      <c r="G2863" s="4" t="s">
        <v>41</v>
      </c>
      <c r="H2863" s="4">
        <v>3</v>
      </c>
      <c r="I2863" s="4">
        <v>2</v>
      </c>
      <c r="J2863" s="5">
        <v>45693</v>
      </c>
      <c r="K2863" s="6">
        <v>0.38244212962962965</v>
      </c>
    </row>
    <row r="2864" spans="1:11" x14ac:dyDescent="0.25">
      <c r="A2864" s="4">
        <v>11</v>
      </c>
      <c r="B2864" s="4" t="s">
        <v>11</v>
      </c>
      <c r="C2864" s="7">
        <v>25.96</v>
      </c>
      <c r="D2864" s="4" t="s">
        <v>18</v>
      </c>
      <c r="E2864" s="4" t="s">
        <v>13</v>
      </c>
      <c r="F2864" s="4" t="s">
        <v>28</v>
      </c>
      <c r="G2864" s="4" t="s">
        <v>41</v>
      </c>
      <c r="H2864" s="4">
        <v>3</v>
      </c>
      <c r="I2864" s="4">
        <v>2</v>
      </c>
      <c r="J2864" s="5">
        <v>45693</v>
      </c>
      <c r="K2864" s="6">
        <v>0.49276620370370372</v>
      </c>
    </row>
    <row r="2865" spans="1:11" x14ac:dyDescent="0.25">
      <c r="A2865" s="4">
        <v>11</v>
      </c>
      <c r="B2865" s="4" t="s">
        <v>11</v>
      </c>
      <c r="C2865" s="7">
        <v>25.96</v>
      </c>
      <c r="D2865" s="4" t="s">
        <v>18</v>
      </c>
      <c r="E2865" s="4" t="s">
        <v>13</v>
      </c>
      <c r="F2865" s="4" t="s">
        <v>28</v>
      </c>
      <c r="G2865" s="4" t="s">
        <v>41</v>
      </c>
      <c r="H2865" s="4">
        <v>3</v>
      </c>
      <c r="I2865" s="4">
        <v>2</v>
      </c>
      <c r="J2865" s="5">
        <v>45693</v>
      </c>
      <c r="K2865" s="6">
        <v>0.49353009259259262</v>
      </c>
    </row>
    <row r="2866" spans="1:11" x14ac:dyDescent="0.25">
      <c r="A2866" s="4">
        <v>11</v>
      </c>
      <c r="B2866" s="4" t="s">
        <v>11</v>
      </c>
      <c r="C2866" s="7">
        <v>25.96</v>
      </c>
      <c r="D2866" s="4" t="s">
        <v>18</v>
      </c>
      <c r="E2866" s="4" t="s">
        <v>13</v>
      </c>
      <c r="F2866" s="4" t="s">
        <v>28</v>
      </c>
      <c r="G2866" s="4" t="s">
        <v>41</v>
      </c>
      <c r="H2866" s="4">
        <v>3</v>
      </c>
      <c r="I2866" s="4">
        <v>2</v>
      </c>
      <c r="J2866" s="5">
        <v>45693</v>
      </c>
      <c r="K2866" s="6">
        <v>0.49427083333333333</v>
      </c>
    </row>
    <row r="2867" spans="1:11" x14ac:dyDescent="0.25">
      <c r="A2867" s="4">
        <v>11</v>
      </c>
      <c r="B2867" s="4" t="s">
        <v>11</v>
      </c>
      <c r="C2867" s="7">
        <v>30.86</v>
      </c>
      <c r="D2867" s="4" t="s">
        <v>19</v>
      </c>
      <c r="E2867" s="4" t="s">
        <v>13</v>
      </c>
      <c r="F2867" s="4" t="s">
        <v>28</v>
      </c>
      <c r="G2867" s="4" t="s">
        <v>41</v>
      </c>
      <c r="H2867" s="4">
        <v>3</v>
      </c>
      <c r="I2867" s="4">
        <v>2</v>
      </c>
      <c r="J2867" s="5">
        <v>45693</v>
      </c>
      <c r="K2867" s="6">
        <v>0.49902777777777779</v>
      </c>
    </row>
    <row r="2868" spans="1:11" x14ac:dyDescent="0.25">
      <c r="A2868" s="4">
        <v>12</v>
      </c>
      <c r="B2868" s="4" t="s">
        <v>11</v>
      </c>
      <c r="C2868" s="7">
        <v>25.96</v>
      </c>
      <c r="D2868" s="4" t="s">
        <v>18</v>
      </c>
      <c r="E2868" s="4" t="s">
        <v>17</v>
      </c>
      <c r="F2868" s="4" t="s">
        <v>28</v>
      </c>
      <c r="G2868" s="4" t="s">
        <v>41</v>
      </c>
      <c r="H2868" s="4">
        <v>3</v>
      </c>
      <c r="I2868" s="4">
        <v>2</v>
      </c>
      <c r="J2868" s="5">
        <v>45693</v>
      </c>
      <c r="K2868" s="6">
        <v>0.50747685185185187</v>
      </c>
    </row>
    <row r="2869" spans="1:11" x14ac:dyDescent="0.25">
      <c r="A2869" s="4">
        <v>13</v>
      </c>
      <c r="B2869" s="4" t="s">
        <v>11</v>
      </c>
      <c r="C2869" s="7">
        <v>25.96</v>
      </c>
      <c r="D2869" s="4" t="s">
        <v>18</v>
      </c>
      <c r="E2869" s="4" t="s">
        <v>17</v>
      </c>
      <c r="F2869" s="4" t="s">
        <v>28</v>
      </c>
      <c r="G2869" s="4" t="s">
        <v>41</v>
      </c>
      <c r="H2869" s="4">
        <v>3</v>
      </c>
      <c r="I2869" s="4">
        <v>2</v>
      </c>
      <c r="J2869" s="5">
        <v>45693</v>
      </c>
      <c r="K2869" s="6">
        <v>0.55608796296296292</v>
      </c>
    </row>
    <row r="2870" spans="1:11" x14ac:dyDescent="0.25">
      <c r="A2870" s="4">
        <v>13</v>
      </c>
      <c r="B2870" s="4" t="s">
        <v>11</v>
      </c>
      <c r="C2870" s="7">
        <v>21.06</v>
      </c>
      <c r="D2870" s="4" t="s">
        <v>26</v>
      </c>
      <c r="E2870" s="4" t="s">
        <v>17</v>
      </c>
      <c r="F2870" s="4" t="s">
        <v>28</v>
      </c>
      <c r="G2870" s="4" t="s">
        <v>41</v>
      </c>
      <c r="H2870" s="4">
        <v>3</v>
      </c>
      <c r="I2870" s="4">
        <v>2</v>
      </c>
      <c r="J2870" s="5">
        <v>45693</v>
      </c>
      <c r="K2870" s="6">
        <v>0.57201388888888893</v>
      </c>
    </row>
    <row r="2871" spans="1:11" x14ac:dyDescent="0.25">
      <c r="A2871" s="4">
        <v>13</v>
      </c>
      <c r="B2871" s="4" t="s">
        <v>11</v>
      </c>
      <c r="C2871" s="7">
        <v>21.06</v>
      </c>
      <c r="D2871" s="4" t="s">
        <v>26</v>
      </c>
      <c r="E2871" s="4" t="s">
        <v>17</v>
      </c>
      <c r="F2871" s="4" t="s">
        <v>28</v>
      </c>
      <c r="G2871" s="4" t="s">
        <v>41</v>
      </c>
      <c r="H2871" s="4">
        <v>3</v>
      </c>
      <c r="I2871" s="4">
        <v>2</v>
      </c>
      <c r="J2871" s="5">
        <v>45693</v>
      </c>
      <c r="K2871" s="6">
        <v>0.57255787037037043</v>
      </c>
    </row>
    <row r="2872" spans="1:11" x14ac:dyDescent="0.25">
      <c r="A2872" s="4">
        <v>14</v>
      </c>
      <c r="B2872" s="4" t="s">
        <v>11</v>
      </c>
      <c r="C2872" s="7">
        <v>35.76</v>
      </c>
      <c r="D2872" s="4" t="s">
        <v>29</v>
      </c>
      <c r="E2872" s="4" t="s">
        <v>17</v>
      </c>
      <c r="F2872" s="4" t="s">
        <v>28</v>
      </c>
      <c r="G2872" s="4" t="s">
        <v>41</v>
      </c>
      <c r="H2872" s="4">
        <v>3</v>
      </c>
      <c r="I2872" s="4">
        <v>2</v>
      </c>
      <c r="J2872" s="5">
        <v>45693</v>
      </c>
      <c r="K2872" s="6">
        <v>0.62351851851851847</v>
      </c>
    </row>
    <row r="2873" spans="1:11" x14ac:dyDescent="0.25">
      <c r="A2873" s="4">
        <v>15</v>
      </c>
      <c r="B2873" s="4" t="s">
        <v>11</v>
      </c>
      <c r="C2873" s="7">
        <v>35.76</v>
      </c>
      <c r="D2873" s="4" t="s">
        <v>29</v>
      </c>
      <c r="E2873" s="4" t="s">
        <v>17</v>
      </c>
      <c r="F2873" s="4" t="s">
        <v>28</v>
      </c>
      <c r="G2873" s="4" t="s">
        <v>41</v>
      </c>
      <c r="H2873" s="4">
        <v>3</v>
      </c>
      <c r="I2873" s="4">
        <v>2</v>
      </c>
      <c r="J2873" s="5">
        <v>45693</v>
      </c>
      <c r="K2873" s="6">
        <v>0.66039351851851846</v>
      </c>
    </row>
    <row r="2874" spans="1:11" x14ac:dyDescent="0.25">
      <c r="A2874" s="4">
        <v>16</v>
      </c>
      <c r="B2874" s="4" t="s">
        <v>11</v>
      </c>
      <c r="C2874" s="7">
        <v>35.76</v>
      </c>
      <c r="D2874" s="4" t="s">
        <v>16</v>
      </c>
      <c r="E2874" s="4" t="s">
        <v>17</v>
      </c>
      <c r="F2874" s="4" t="s">
        <v>28</v>
      </c>
      <c r="G2874" s="4" t="s">
        <v>41</v>
      </c>
      <c r="H2874" s="4">
        <v>3</v>
      </c>
      <c r="I2874" s="4">
        <v>2</v>
      </c>
      <c r="J2874" s="5">
        <v>45693</v>
      </c>
      <c r="K2874" s="6">
        <v>0.69050925925925921</v>
      </c>
    </row>
    <row r="2875" spans="1:11" x14ac:dyDescent="0.25">
      <c r="A2875" s="4">
        <v>16</v>
      </c>
      <c r="B2875" s="4" t="s">
        <v>11</v>
      </c>
      <c r="C2875" s="7">
        <v>35.76</v>
      </c>
      <c r="D2875" s="4" t="s">
        <v>12</v>
      </c>
      <c r="E2875" s="4" t="s">
        <v>17</v>
      </c>
      <c r="F2875" s="4" t="s">
        <v>28</v>
      </c>
      <c r="G2875" s="4" t="s">
        <v>41</v>
      </c>
      <c r="H2875" s="4">
        <v>3</v>
      </c>
      <c r="I2875" s="4">
        <v>2</v>
      </c>
      <c r="J2875" s="5">
        <v>45693</v>
      </c>
      <c r="K2875" s="6">
        <v>0.69135416666666671</v>
      </c>
    </row>
    <row r="2876" spans="1:11" x14ac:dyDescent="0.25">
      <c r="A2876" s="4">
        <v>16</v>
      </c>
      <c r="B2876" s="4" t="s">
        <v>11</v>
      </c>
      <c r="C2876" s="7">
        <v>35.76</v>
      </c>
      <c r="D2876" s="4" t="s">
        <v>12</v>
      </c>
      <c r="E2876" s="4" t="s">
        <v>17</v>
      </c>
      <c r="F2876" s="4" t="s">
        <v>28</v>
      </c>
      <c r="G2876" s="4" t="s">
        <v>41</v>
      </c>
      <c r="H2876" s="4">
        <v>3</v>
      </c>
      <c r="I2876" s="4">
        <v>2</v>
      </c>
      <c r="J2876" s="5">
        <v>45693</v>
      </c>
      <c r="K2876" s="6">
        <v>0.69206018518518519</v>
      </c>
    </row>
    <row r="2877" spans="1:11" x14ac:dyDescent="0.25">
      <c r="A2877" s="4">
        <v>16</v>
      </c>
      <c r="B2877" s="4" t="s">
        <v>11</v>
      </c>
      <c r="C2877" s="7">
        <v>35.76</v>
      </c>
      <c r="D2877" s="4" t="s">
        <v>21</v>
      </c>
      <c r="E2877" s="4" t="s">
        <v>17</v>
      </c>
      <c r="F2877" s="4" t="s">
        <v>28</v>
      </c>
      <c r="G2877" s="4" t="s">
        <v>41</v>
      </c>
      <c r="H2877" s="4">
        <v>3</v>
      </c>
      <c r="I2877" s="4">
        <v>2</v>
      </c>
      <c r="J2877" s="5">
        <v>45693</v>
      </c>
      <c r="K2877" s="6">
        <v>0.69376157407407413</v>
      </c>
    </row>
    <row r="2878" spans="1:11" x14ac:dyDescent="0.25">
      <c r="A2878" s="4">
        <v>16</v>
      </c>
      <c r="B2878" s="4" t="s">
        <v>11</v>
      </c>
      <c r="C2878" s="7">
        <v>35.76</v>
      </c>
      <c r="D2878" s="4" t="s">
        <v>16</v>
      </c>
      <c r="E2878" s="4" t="s">
        <v>17</v>
      </c>
      <c r="F2878" s="4" t="s">
        <v>28</v>
      </c>
      <c r="G2878" s="4" t="s">
        <v>41</v>
      </c>
      <c r="H2878" s="4">
        <v>3</v>
      </c>
      <c r="I2878" s="4">
        <v>2</v>
      </c>
      <c r="J2878" s="5">
        <v>45693</v>
      </c>
      <c r="K2878" s="6">
        <v>0.69524305555555554</v>
      </c>
    </row>
    <row r="2879" spans="1:11" x14ac:dyDescent="0.25">
      <c r="A2879" s="4">
        <v>18</v>
      </c>
      <c r="B2879" s="4" t="s">
        <v>11</v>
      </c>
      <c r="C2879" s="7">
        <v>35.76</v>
      </c>
      <c r="D2879" s="4" t="s">
        <v>29</v>
      </c>
      <c r="E2879" s="4" t="s">
        <v>20</v>
      </c>
      <c r="F2879" s="4" t="s">
        <v>28</v>
      </c>
      <c r="G2879" s="4" t="s">
        <v>41</v>
      </c>
      <c r="H2879" s="4">
        <v>3</v>
      </c>
      <c r="I2879" s="4">
        <v>2</v>
      </c>
      <c r="J2879" s="5">
        <v>45693</v>
      </c>
      <c r="K2879" s="6">
        <v>0.7628935185185185</v>
      </c>
    </row>
    <row r="2880" spans="1:11" x14ac:dyDescent="0.25">
      <c r="A2880" s="4">
        <v>18</v>
      </c>
      <c r="B2880" s="4" t="s">
        <v>11</v>
      </c>
      <c r="C2880" s="7">
        <v>35.76</v>
      </c>
      <c r="D2880" s="4" t="s">
        <v>29</v>
      </c>
      <c r="E2880" s="4" t="s">
        <v>20</v>
      </c>
      <c r="F2880" s="4" t="s">
        <v>28</v>
      </c>
      <c r="G2880" s="4" t="s">
        <v>41</v>
      </c>
      <c r="H2880" s="4">
        <v>3</v>
      </c>
      <c r="I2880" s="4">
        <v>2</v>
      </c>
      <c r="J2880" s="5">
        <v>45693</v>
      </c>
      <c r="K2880" s="6">
        <v>0.76376157407407408</v>
      </c>
    </row>
    <row r="2881" spans="1:11" x14ac:dyDescent="0.25">
      <c r="A2881" s="4">
        <v>18</v>
      </c>
      <c r="B2881" s="4" t="s">
        <v>11</v>
      </c>
      <c r="C2881" s="7">
        <v>35.76</v>
      </c>
      <c r="D2881" s="4" t="s">
        <v>21</v>
      </c>
      <c r="E2881" s="4" t="s">
        <v>20</v>
      </c>
      <c r="F2881" s="4" t="s">
        <v>28</v>
      </c>
      <c r="G2881" s="4" t="s">
        <v>41</v>
      </c>
      <c r="H2881" s="4">
        <v>3</v>
      </c>
      <c r="I2881" s="4">
        <v>2</v>
      </c>
      <c r="J2881" s="5">
        <v>45693</v>
      </c>
      <c r="K2881" s="6">
        <v>0.76447916666666671</v>
      </c>
    </row>
    <row r="2882" spans="1:11" x14ac:dyDescent="0.25">
      <c r="A2882" s="4">
        <v>18</v>
      </c>
      <c r="B2882" s="4" t="s">
        <v>11</v>
      </c>
      <c r="C2882" s="7">
        <v>30.86</v>
      </c>
      <c r="D2882" s="4" t="s">
        <v>19</v>
      </c>
      <c r="E2882" s="4" t="s">
        <v>20</v>
      </c>
      <c r="F2882" s="4" t="s">
        <v>28</v>
      </c>
      <c r="G2882" s="4" t="s">
        <v>41</v>
      </c>
      <c r="H2882" s="4">
        <v>3</v>
      </c>
      <c r="I2882" s="4">
        <v>2</v>
      </c>
      <c r="J2882" s="5">
        <v>45693</v>
      </c>
      <c r="K2882" s="6">
        <v>0.76769675925925929</v>
      </c>
    </row>
    <row r="2883" spans="1:11" x14ac:dyDescent="0.25">
      <c r="A2883" s="4">
        <v>18</v>
      </c>
      <c r="B2883" s="4" t="s">
        <v>11</v>
      </c>
      <c r="C2883" s="7">
        <v>35.76</v>
      </c>
      <c r="D2883" s="4" t="s">
        <v>29</v>
      </c>
      <c r="E2883" s="4" t="s">
        <v>20</v>
      </c>
      <c r="F2883" s="4" t="s">
        <v>28</v>
      </c>
      <c r="G2883" s="4" t="s">
        <v>41</v>
      </c>
      <c r="H2883" s="4">
        <v>3</v>
      </c>
      <c r="I2883" s="4">
        <v>2</v>
      </c>
      <c r="J2883" s="5">
        <v>45693</v>
      </c>
      <c r="K2883" s="6">
        <v>0.78173611111111108</v>
      </c>
    </row>
    <row r="2884" spans="1:11" x14ac:dyDescent="0.25">
      <c r="A2884" s="4">
        <v>19</v>
      </c>
      <c r="B2884" s="4" t="s">
        <v>11</v>
      </c>
      <c r="C2884" s="7">
        <v>35.76</v>
      </c>
      <c r="D2884" s="4" t="s">
        <v>16</v>
      </c>
      <c r="E2884" s="4" t="s">
        <v>20</v>
      </c>
      <c r="F2884" s="4" t="s">
        <v>28</v>
      </c>
      <c r="G2884" s="4" t="s">
        <v>41</v>
      </c>
      <c r="H2884" s="4">
        <v>3</v>
      </c>
      <c r="I2884" s="4">
        <v>2</v>
      </c>
      <c r="J2884" s="5">
        <v>45693</v>
      </c>
      <c r="K2884" s="6">
        <v>0.79636574074074074</v>
      </c>
    </row>
    <row r="2885" spans="1:11" x14ac:dyDescent="0.25">
      <c r="A2885" s="4">
        <v>20</v>
      </c>
      <c r="B2885" s="4" t="s">
        <v>11</v>
      </c>
      <c r="C2885" s="7">
        <v>35.76</v>
      </c>
      <c r="D2885" s="4" t="s">
        <v>21</v>
      </c>
      <c r="E2885" s="4" t="s">
        <v>20</v>
      </c>
      <c r="F2885" s="4" t="s">
        <v>28</v>
      </c>
      <c r="G2885" s="4" t="s">
        <v>41</v>
      </c>
      <c r="H2885" s="4">
        <v>3</v>
      </c>
      <c r="I2885" s="4">
        <v>2</v>
      </c>
      <c r="J2885" s="5">
        <v>45693</v>
      </c>
      <c r="K2885" s="6">
        <v>0.83564814814814814</v>
      </c>
    </row>
    <row r="2886" spans="1:11" x14ac:dyDescent="0.25">
      <c r="A2886" s="4">
        <v>7</v>
      </c>
      <c r="B2886" s="4" t="s">
        <v>11</v>
      </c>
      <c r="C2886" s="7">
        <v>30.86</v>
      </c>
      <c r="D2886" s="4" t="s">
        <v>19</v>
      </c>
      <c r="E2886" s="4" t="s">
        <v>13</v>
      </c>
      <c r="F2886" s="4" t="s">
        <v>30</v>
      </c>
      <c r="G2886" s="4" t="s">
        <v>41</v>
      </c>
      <c r="H2886" s="4">
        <v>4</v>
      </c>
      <c r="I2886" s="4">
        <v>2</v>
      </c>
      <c r="J2886" s="5">
        <v>45694</v>
      </c>
      <c r="K2886" s="6">
        <v>0.30333333333333334</v>
      </c>
    </row>
    <row r="2887" spans="1:11" x14ac:dyDescent="0.25">
      <c r="A2887" s="4">
        <v>13</v>
      </c>
      <c r="B2887" s="4" t="s">
        <v>11</v>
      </c>
      <c r="C2887" s="7">
        <v>25.96</v>
      </c>
      <c r="D2887" s="4" t="s">
        <v>18</v>
      </c>
      <c r="E2887" s="4" t="s">
        <v>17</v>
      </c>
      <c r="F2887" s="4" t="s">
        <v>30</v>
      </c>
      <c r="G2887" s="4" t="s">
        <v>41</v>
      </c>
      <c r="H2887" s="4">
        <v>4</v>
      </c>
      <c r="I2887" s="4">
        <v>2</v>
      </c>
      <c r="J2887" s="5">
        <v>45694</v>
      </c>
      <c r="K2887" s="6">
        <v>0.58288194444444441</v>
      </c>
    </row>
    <row r="2888" spans="1:11" x14ac:dyDescent="0.25">
      <c r="A2888" s="4">
        <v>14</v>
      </c>
      <c r="B2888" s="4" t="s">
        <v>11</v>
      </c>
      <c r="C2888" s="7">
        <v>30.86</v>
      </c>
      <c r="D2888" s="4" t="s">
        <v>19</v>
      </c>
      <c r="E2888" s="4" t="s">
        <v>17</v>
      </c>
      <c r="F2888" s="4" t="s">
        <v>30</v>
      </c>
      <c r="G2888" s="4" t="s">
        <v>41</v>
      </c>
      <c r="H2888" s="4">
        <v>4</v>
      </c>
      <c r="I2888" s="4">
        <v>2</v>
      </c>
      <c r="J2888" s="5">
        <v>45694</v>
      </c>
      <c r="K2888" s="6">
        <v>0.62188657407407411</v>
      </c>
    </row>
    <row r="2889" spans="1:11" x14ac:dyDescent="0.25">
      <c r="A2889" s="4">
        <v>14</v>
      </c>
      <c r="B2889" s="4" t="s">
        <v>11</v>
      </c>
      <c r="C2889" s="7">
        <v>35.76</v>
      </c>
      <c r="D2889" s="4" t="s">
        <v>29</v>
      </c>
      <c r="E2889" s="4" t="s">
        <v>17</v>
      </c>
      <c r="F2889" s="4" t="s">
        <v>30</v>
      </c>
      <c r="G2889" s="4" t="s">
        <v>41</v>
      </c>
      <c r="H2889" s="4">
        <v>4</v>
      </c>
      <c r="I2889" s="4">
        <v>2</v>
      </c>
      <c r="J2889" s="5">
        <v>45694</v>
      </c>
      <c r="K2889" s="6">
        <v>0.62456018518518519</v>
      </c>
    </row>
    <row r="2890" spans="1:11" x14ac:dyDescent="0.25">
      <c r="A2890" s="4">
        <v>16</v>
      </c>
      <c r="B2890" s="4" t="s">
        <v>11</v>
      </c>
      <c r="C2890" s="7">
        <v>35.76</v>
      </c>
      <c r="D2890" s="4" t="s">
        <v>21</v>
      </c>
      <c r="E2890" s="4" t="s">
        <v>17</v>
      </c>
      <c r="F2890" s="4" t="s">
        <v>30</v>
      </c>
      <c r="G2890" s="4" t="s">
        <v>41</v>
      </c>
      <c r="H2890" s="4">
        <v>4</v>
      </c>
      <c r="I2890" s="4">
        <v>2</v>
      </c>
      <c r="J2890" s="5">
        <v>45694</v>
      </c>
      <c r="K2890" s="6">
        <v>0.6769560185185185</v>
      </c>
    </row>
    <row r="2891" spans="1:11" x14ac:dyDescent="0.25">
      <c r="A2891" s="4">
        <v>17</v>
      </c>
      <c r="B2891" s="4" t="s">
        <v>11</v>
      </c>
      <c r="C2891" s="7">
        <v>35.76</v>
      </c>
      <c r="D2891" s="4" t="s">
        <v>21</v>
      </c>
      <c r="E2891" s="4" t="s">
        <v>20</v>
      </c>
      <c r="F2891" s="4" t="s">
        <v>30</v>
      </c>
      <c r="G2891" s="4" t="s">
        <v>41</v>
      </c>
      <c r="H2891" s="4">
        <v>4</v>
      </c>
      <c r="I2891" s="4">
        <v>2</v>
      </c>
      <c r="J2891" s="5">
        <v>45694</v>
      </c>
      <c r="K2891" s="6">
        <v>0.71510416666666665</v>
      </c>
    </row>
    <row r="2892" spans="1:11" x14ac:dyDescent="0.25">
      <c r="A2892" s="4">
        <v>17</v>
      </c>
      <c r="B2892" s="4" t="s">
        <v>11</v>
      </c>
      <c r="C2892" s="7">
        <v>35.76</v>
      </c>
      <c r="D2892" s="4" t="s">
        <v>21</v>
      </c>
      <c r="E2892" s="4" t="s">
        <v>20</v>
      </c>
      <c r="F2892" s="4" t="s">
        <v>30</v>
      </c>
      <c r="G2892" s="4" t="s">
        <v>41</v>
      </c>
      <c r="H2892" s="4">
        <v>4</v>
      </c>
      <c r="I2892" s="4">
        <v>2</v>
      </c>
      <c r="J2892" s="5">
        <v>45694</v>
      </c>
      <c r="K2892" s="6">
        <v>0.74612268518518521</v>
      </c>
    </row>
    <row r="2893" spans="1:11" x14ac:dyDescent="0.25">
      <c r="A2893" s="4">
        <v>19</v>
      </c>
      <c r="B2893" s="4" t="s">
        <v>11</v>
      </c>
      <c r="C2893" s="7">
        <v>35.76</v>
      </c>
      <c r="D2893" s="4" t="s">
        <v>29</v>
      </c>
      <c r="E2893" s="4" t="s">
        <v>20</v>
      </c>
      <c r="F2893" s="4" t="s">
        <v>30</v>
      </c>
      <c r="G2893" s="4" t="s">
        <v>41</v>
      </c>
      <c r="H2893" s="4">
        <v>4</v>
      </c>
      <c r="I2893" s="4">
        <v>2</v>
      </c>
      <c r="J2893" s="5">
        <v>45694</v>
      </c>
      <c r="K2893" s="6">
        <v>0.82861111111111108</v>
      </c>
    </row>
    <row r="2894" spans="1:11" x14ac:dyDescent="0.25">
      <c r="A2894" s="4">
        <v>19</v>
      </c>
      <c r="B2894" s="4" t="s">
        <v>11</v>
      </c>
      <c r="C2894" s="7">
        <v>21.06</v>
      </c>
      <c r="D2894" s="4" t="s">
        <v>26</v>
      </c>
      <c r="E2894" s="4" t="s">
        <v>20</v>
      </c>
      <c r="F2894" s="4" t="s">
        <v>30</v>
      </c>
      <c r="G2894" s="4" t="s">
        <v>41</v>
      </c>
      <c r="H2894" s="4">
        <v>4</v>
      </c>
      <c r="I2894" s="4">
        <v>2</v>
      </c>
      <c r="J2894" s="5">
        <v>45694</v>
      </c>
      <c r="K2894" s="6">
        <v>0.8299305555555555</v>
      </c>
    </row>
    <row r="2895" spans="1:11" x14ac:dyDescent="0.25">
      <c r="A2895" s="4">
        <v>20</v>
      </c>
      <c r="B2895" s="4" t="s">
        <v>11</v>
      </c>
      <c r="C2895" s="7">
        <v>35.76</v>
      </c>
      <c r="D2895" s="4" t="s">
        <v>21</v>
      </c>
      <c r="E2895" s="4" t="s">
        <v>20</v>
      </c>
      <c r="F2895" s="4" t="s">
        <v>30</v>
      </c>
      <c r="G2895" s="4" t="s">
        <v>41</v>
      </c>
      <c r="H2895" s="4">
        <v>4</v>
      </c>
      <c r="I2895" s="4">
        <v>2</v>
      </c>
      <c r="J2895" s="5">
        <v>45694</v>
      </c>
      <c r="K2895" s="6">
        <v>0.83818287037037043</v>
      </c>
    </row>
    <row r="2896" spans="1:11" x14ac:dyDescent="0.25">
      <c r="A2896" s="4">
        <v>20</v>
      </c>
      <c r="B2896" s="4" t="s">
        <v>11</v>
      </c>
      <c r="C2896" s="7">
        <v>35.76</v>
      </c>
      <c r="D2896" s="4" t="s">
        <v>21</v>
      </c>
      <c r="E2896" s="4" t="s">
        <v>20</v>
      </c>
      <c r="F2896" s="4" t="s">
        <v>30</v>
      </c>
      <c r="G2896" s="4" t="s">
        <v>41</v>
      </c>
      <c r="H2896" s="4">
        <v>4</v>
      </c>
      <c r="I2896" s="4">
        <v>2</v>
      </c>
      <c r="J2896" s="5">
        <v>45694</v>
      </c>
      <c r="K2896" s="6">
        <v>0.83873842592592596</v>
      </c>
    </row>
    <row r="2897" spans="1:11" x14ac:dyDescent="0.25">
      <c r="A2897" s="4">
        <v>20</v>
      </c>
      <c r="B2897" s="4" t="s">
        <v>11</v>
      </c>
      <c r="C2897" s="7">
        <v>35.76</v>
      </c>
      <c r="D2897" s="4" t="s">
        <v>12</v>
      </c>
      <c r="E2897" s="4" t="s">
        <v>20</v>
      </c>
      <c r="F2897" s="4" t="s">
        <v>30</v>
      </c>
      <c r="G2897" s="4" t="s">
        <v>41</v>
      </c>
      <c r="H2897" s="4">
        <v>4</v>
      </c>
      <c r="I2897" s="4">
        <v>2</v>
      </c>
      <c r="J2897" s="5">
        <v>45694</v>
      </c>
      <c r="K2897" s="6">
        <v>0.84945601851851849</v>
      </c>
    </row>
    <row r="2898" spans="1:11" x14ac:dyDescent="0.25">
      <c r="A2898" s="4">
        <v>8</v>
      </c>
      <c r="B2898" s="4" t="s">
        <v>11</v>
      </c>
      <c r="C2898" s="7">
        <v>30.86</v>
      </c>
      <c r="D2898" s="4" t="s">
        <v>19</v>
      </c>
      <c r="E2898" s="4" t="s">
        <v>13</v>
      </c>
      <c r="F2898" s="4" t="s">
        <v>14</v>
      </c>
      <c r="G2898" s="4" t="s">
        <v>41</v>
      </c>
      <c r="H2898" s="4">
        <v>5</v>
      </c>
      <c r="I2898" s="4">
        <v>2</v>
      </c>
      <c r="J2898" s="5">
        <v>45695</v>
      </c>
      <c r="K2898" s="6">
        <v>0.3644560185185185</v>
      </c>
    </row>
    <row r="2899" spans="1:11" x14ac:dyDescent="0.25">
      <c r="A2899" s="4">
        <v>9</v>
      </c>
      <c r="B2899" s="4" t="s">
        <v>11</v>
      </c>
      <c r="C2899" s="7">
        <v>30.86</v>
      </c>
      <c r="D2899" s="4" t="s">
        <v>19</v>
      </c>
      <c r="E2899" s="4" t="s">
        <v>13</v>
      </c>
      <c r="F2899" s="4" t="s">
        <v>14</v>
      </c>
      <c r="G2899" s="4" t="s">
        <v>41</v>
      </c>
      <c r="H2899" s="4">
        <v>5</v>
      </c>
      <c r="I2899" s="4">
        <v>2</v>
      </c>
      <c r="J2899" s="5">
        <v>45695</v>
      </c>
      <c r="K2899" s="6">
        <v>0.37990740740740742</v>
      </c>
    </row>
    <row r="2900" spans="1:11" x14ac:dyDescent="0.25">
      <c r="A2900" s="4">
        <v>10</v>
      </c>
      <c r="B2900" s="4" t="s">
        <v>11</v>
      </c>
      <c r="C2900" s="7">
        <v>25.96</v>
      </c>
      <c r="D2900" s="4" t="s">
        <v>18</v>
      </c>
      <c r="E2900" s="4" t="s">
        <v>13</v>
      </c>
      <c r="F2900" s="4" t="s">
        <v>14</v>
      </c>
      <c r="G2900" s="4" t="s">
        <v>41</v>
      </c>
      <c r="H2900" s="4">
        <v>5</v>
      </c>
      <c r="I2900" s="4">
        <v>2</v>
      </c>
      <c r="J2900" s="5">
        <v>45695</v>
      </c>
      <c r="K2900" s="6">
        <v>0.45096064814814812</v>
      </c>
    </row>
    <row r="2901" spans="1:11" x14ac:dyDescent="0.25">
      <c r="A2901" s="4">
        <v>12</v>
      </c>
      <c r="B2901" s="4" t="s">
        <v>11</v>
      </c>
      <c r="C2901" s="7">
        <v>35.76</v>
      </c>
      <c r="D2901" s="4" t="s">
        <v>21</v>
      </c>
      <c r="E2901" s="4" t="s">
        <v>17</v>
      </c>
      <c r="F2901" s="4" t="s">
        <v>14</v>
      </c>
      <c r="G2901" s="4" t="s">
        <v>41</v>
      </c>
      <c r="H2901" s="4">
        <v>5</v>
      </c>
      <c r="I2901" s="4">
        <v>2</v>
      </c>
      <c r="J2901" s="5">
        <v>45695</v>
      </c>
      <c r="K2901" s="6">
        <v>0.50668981481481479</v>
      </c>
    </row>
    <row r="2902" spans="1:11" x14ac:dyDescent="0.25">
      <c r="A2902" s="4">
        <v>12</v>
      </c>
      <c r="B2902" s="4" t="s">
        <v>11</v>
      </c>
      <c r="C2902" s="7">
        <v>30.86</v>
      </c>
      <c r="D2902" s="4" t="s">
        <v>19</v>
      </c>
      <c r="E2902" s="4" t="s">
        <v>17</v>
      </c>
      <c r="F2902" s="4" t="s">
        <v>14</v>
      </c>
      <c r="G2902" s="4" t="s">
        <v>41</v>
      </c>
      <c r="H2902" s="4">
        <v>5</v>
      </c>
      <c r="I2902" s="4">
        <v>2</v>
      </c>
      <c r="J2902" s="5">
        <v>45695</v>
      </c>
      <c r="K2902" s="6">
        <v>0.53567129629629628</v>
      </c>
    </row>
    <row r="2903" spans="1:11" x14ac:dyDescent="0.25">
      <c r="A2903" s="4">
        <v>12</v>
      </c>
      <c r="B2903" s="4" t="s">
        <v>11</v>
      </c>
      <c r="C2903" s="7">
        <v>25.96</v>
      </c>
      <c r="D2903" s="4" t="s">
        <v>18</v>
      </c>
      <c r="E2903" s="4" t="s">
        <v>17</v>
      </c>
      <c r="F2903" s="4" t="s">
        <v>14</v>
      </c>
      <c r="G2903" s="4" t="s">
        <v>41</v>
      </c>
      <c r="H2903" s="4">
        <v>5</v>
      </c>
      <c r="I2903" s="4">
        <v>2</v>
      </c>
      <c r="J2903" s="5">
        <v>45695</v>
      </c>
      <c r="K2903" s="6">
        <v>0.5408680555555555</v>
      </c>
    </row>
    <row r="2904" spans="1:11" x14ac:dyDescent="0.25">
      <c r="A2904" s="4">
        <v>16</v>
      </c>
      <c r="B2904" s="4" t="s">
        <v>11</v>
      </c>
      <c r="C2904" s="7">
        <v>25.96</v>
      </c>
      <c r="D2904" s="4" t="s">
        <v>24</v>
      </c>
      <c r="E2904" s="4" t="s">
        <v>17</v>
      </c>
      <c r="F2904" s="4" t="s">
        <v>14</v>
      </c>
      <c r="G2904" s="4" t="s">
        <v>41</v>
      </c>
      <c r="H2904" s="4">
        <v>5</v>
      </c>
      <c r="I2904" s="4">
        <v>2</v>
      </c>
      <c r="J2904" s="5">
        <v>45695</v>
      </c>
      <c r="K2904" s="6">
        <v>0.66956018518518523</v>
      </c>
    </row>
    <row r="2905" spans="1:11" x14ac:dyDescent="0.25">
      <c r="A2905" s="4">
        <v>16</v>
      </c>
      <c r="B2905" s="4" t="s">
        <v>11</v>
      </c>
      <c r="C2905" s="7">
        <v>35.76</v>
      </c>
      <c r="D2905" s="4" t="s">
        <v>12</v>
      </c>
      <c r="E2905" s="4" t="s">
        <v>17</v>
      </c>
      <c r="F2905" s="4" t="s">
        <v>14</v>
      </c>
      <c r="G2905" s="4" t="s">
        <v>41</v>
      </c>
      <c r="H2905" s="4">
        <v>5</v>
      </c>
      <c r="I2905" s="4">
        <v>2</v>
      </c>
      <c r="J2905" s="5">
        <v>45695</v>
      </c>
      <c r="K2905" s="6">
        <v>0.68209490740740741</v>
      </c>
    </row>
    <row r="2906" spans="1:11" x14ac:dyDescent="0.25">
      <c r="A2906" s="4">
        <v>16</v>
      </c>
      <c r="B2906" s="4" t="s">
        <v>11</v>
      </c>
      <c r="C2906" s="7">
        <v>35.76</v>
      </c>
      <c r="D2906" s="4" t="s">
        <v>16</v>
      </c>
      <c r="E2906" s="4" t="s">
        <v>17</v>
      </c>
      <c r="F2906" s="4" t="s">
        <v>14</v>
      </c>
      <c r="G2906" s="4" t="s">
        <v>41</v>
      </c>
      <c r="H2906" s="4">
        <v>5</v>
      </c>
      <c r="I2906" s="4">
        <v>2</v>
      </c>
      <c r="J2906" s="5">
        <v>45695</v>
      </c>
      <c r="K2906" s="6">
        <v>0.68280092592592589</v>
      </c>
    </row>
    <row r="2907" spans="1:11" x14ac:dyDescent="0.25">
      <c r="A2907" s="4">
        <v>16</v>
      </c>
      <c r="B2907" s="4" t="s">
        <v>11</v>
      </c>
      <c r="C2907" s="7">
        <v>35.76</v>
      </c>
      <c r="D2907" s="4" t="s">
        <v>12</v>
      </c>
      <c r="E2907" s="4" t="s">
        <v>17</v>
      </c>
      <c r="F2907" s="4" t="s">
        <v>14</v>
      </c>
      <c r="G2907" s="4" t="s">
        <v>41</v>
      </c>
      <c r="H2907" s="4">
        <v>5</v>
      </c>
      <c r="I2907" s="4">
        <v>2</v>
      </c>
      <c r="J2907" s="5">
        <v>45695</v>
      </c>
      <c r="K2907" s="6">
        <v>0.68373842592592593</v>
      </c>
    </row>
    <row r="2908" spans="1:11" x14ac:dyDescent="0.25">
      <c r="A2908" s="4">
        <v>18</v>
      </c>
      <c r="B2908" s="4" t="s">
        <v>11</v>
      </c>
      <c r="C2908" s="7">
        <v>35.76</v>
      </c>
      <c r="D2908" s="4" t="s">
        <v>21</v>
      </c>
      <c r="E2908" s="4" t="s">
        <v>20</v>
      </c>
      <c r="F2908" s="4" t="s">
        <v>14</v>
      </c>
      <c r="G2908" s="4" t="s">
        <v>41</v>
      </c>
      <c r="H2908" s="4">
        <v>5</v>
      </c>
      <c r="I2908" s="4">
        <v>2</v>
      </c>
      <c r="J2908" s="5">
        <v>45695</v>
      </c>
      <c r="K2908" s="6">
        <v>0.77958333333333329</v>
      </c>
    </row>
    <row r="2909" spans="1:11" x14ac:dyDescent="0.25">
      <c r="A2909" s="4">
        <v>18</v>
      </c>
      <c r="B2909" s="4" t="s">
        <v>11</v>
      </c>
      <c r="C2909" s="7">
        <v>35.76</v>
      </c>
      <c r="D2909" s="4" t="s">
        <v>21</v>
      </c>
      <c r="E2909" s="4" t="s">
        <v>20</v>
      </c>
      <c r="F2909" s="4" t="s">
        <v>14</v>
      </c>
      <c r="G2909" s="4" t="s">
        <v>41</v>
      </c>
      <c r="H2909" s="4">
        <v>5</v>
      </c>
      <c r="I2909" s="4">
        <v>2</v>
      </c>
      <c r="J2909" s="5">
        <v>45695</v>
      </c>
      <c r="K2909" s="6">
        <v>0.78027777777777774</v>
      </c>
    </row>
    <row r="2910" spans="1:11" x14ac:dyDescent="0.25">
      <c r="A2910" s="4">
        <v>18</v>
      </c>
      <c r="B2910" s="4" t="s">
        <v>11</v>
      </c>
      <c r="C2910" s="7">
        <v>25.96</v>
      </c>
      <c r="D2910" s="4" t="s">
        <v>24</v>
      </c>
      <c r="E2910" s="4" t="s">
        <v>20</v>
      </c>
      <c r="F2910" s="4" t="s">
        <v>14</v>
      </c>
      <c r="G2910" s="4" t="s">
        <v>41</v>
      </c>
      <c r="H2910" s="4">
        <v>5</v>
      </c>
      <c r="I2910" s="4">
        <v>2</v>
      </c>
      <c r="J2910" s="5">
        <v>45695</v>
      </c>
      <c r="K2910" s="6">
        <v>0.78090277777777772</v>
      </c>
    </row>
    <row r="2911" spans="1:11" x14ac:dyDescent="0.25">
      <c r="A2911" s="4">
        <v>18</v>
      </c>
      <c r="B2911" s="4" t="s">
        <v>11</v>
      </c>
      <c r="C2911" s="7">
        <v>35.76</v>
      </c>
      <c r="D2911" s="4" t="s">
        <v>21</v>
      </c>
      <c r="E2911" s="4" t="s">
        <v>20</v>
      </c>
      <c r="F2911" s="4" t="s">
        <v>14</v>
      </c>
      <c r="G2911" s="4" t="s">
        <v>41</v>
      </c>
      <c r="H2911" s="4">
        <v>5</v>
      </c>
      <c r="I2911" s="4">
        <v>2</v>
      </c>
      <c r="J2911" s="5">
        <v>45695</v>
      </c>
      <c r="K2911" s="6">
        <v>0.78151620370370367</v>
      </c>
    </row>
    <row r="2912" spans="1:11" x14ac:dyDescent="0.25">
      <c r="A2912" s="4">
        <v>20</v>
      </c>
      <c r="B2912" s="4" t="s">
        <v>11</v>
      </c>
      <c r="C2912" s="7">
        <v>35.76</v>
      </c>
      <c r="D2912" s="4" t="s">
        <v>21</v>
      </c>
      <c r="E2912" s="4" t="s">
        <v>20</v>
      </c>
      <c r="F2912" s="4" t="s">
        <v>14</v>
      </c>
      <c r="G2912" s="4" t="s">
        <v>41</v>
      </c>
      <c r="H2912" s="4">
        <v>5</v>
      </c>
      <c r="I2912" s="4">
        <v>2</v>
      </c>
      <c r="J2912" s="5">
        <v>45695</v>
      </c>
      <c r="K2912" s="6">
        <v>0.84096064814814819</v>
      </c>
    </row>
    <row r="2913" spans="1:11" x14ac:dyDescent="0.25">
      <c r="A2913" s="4">
        <v>20</v>
      </c>
      <c r="B2913" s="4" t="s">
        <v>11</v>
      </c>
      <c r="C2913" s="7">
        <v>25.96</v>
      </c>
      <c r="D2913" s="4" t="s">
        <v>24</v>
      </c>
      <c r="E2913" s="4" t="s">
        <v>20</v>
      </c>
      <c r="F2913" s="4" t="s">
        <v>14</v>
      </c>
      <c r="G2913" s="4" t="s">
        <v>41</v>
      </c>
      <c r="H2913" s="4">
        <v>5</v>
      </c>
      <c r="I2913" s="4">
        <v>2</v>
      </c>
      <c r="J2913" s="5">
        <v>45695</v>
      </c>
      <c r="K2913" s="6">
        <v>0.85481481481481481</v>
      </c>
    </row>
    <row r="2914" spans="1:11" x14ac:dyDescent="0.25">
      <c r="A2914" s="4">
        <v>9</v>
      </c>
      <c r="B2914" s="4" t="s">
        <v>11</v>
      </c>
      <c r="C2914" s="7">
        <v>25.96</v>
      </c>
      <c r="D2914" s="4" t="s">
        <v>18</v>
      </c>
      <c r="E2914" s="4" t="s">
        <v>13</v>
      </c>
      <c r="F2914" s="4" t="s">
        <v>22</v>
      </c>
      <c r="G2914" s="4" t="s">
        <v>41</v>
      </c>
      <c r="H2914" s="4">
        <v>6</v>
      </c>
      <c r="I2914" s="4">
        <v>2</v>
      </c>
      <c r="J2914" s="5">
        <v>45696</v>
      </c>
      <c r="K2914" s="6">
        <v>0.37618055555555557</v>
      </c>
    </row>
    <row r="2915" spans="1:11" x14ac:dyDescent="0.25">
      <c r="A2915" s="4">
        <v>10</v>
      </c>
      <c r="B2915" s="4" t="s">
        <v>11</v>
      </c>
      <c r="C2915" s="7">
        <v>30.86</v>
      </c>
      <c r="D2915" s="4" t="s">
        <v>19</v>
      </c>
      <c r="E2915" s="4" t="s">
        <v>13</v>
      </c>
      <c r="F2915" s="4" t="s">
        <v>22</v>
      </c>
      <c r="G2915" s="4" t="s">
        <v>41</v>
      </c>
      <c r="H2915" s="4">
        <v>6</v>
      </c>
      <c r="I2915" s="4">
        <v>2</v>
      </c>
      <c r="J2915" s="5">
        <v>45696</v>
      </c>
      <c r="K2915" s="6">
        <v>0.45575231481481482</v>
      </c>
    </row>
    <row r="2916" spans="1:11" x14ac:dyDescent="0.25">
      <c r="A2916" s="4">
        <v>11</v>
      </c>
      <c r="B2916" s="4" t="s">
        <v>11</v>
      </c>
      <c r="C2916" s="7">
        <v>25.96</v>
      </c>
      <c r="D2916" s="4" t="s">
        <v>24</v>
      </c>
      <c r="E2916" s="4" t="s">
        <v>13</v>
      </c>
      <c r="F2916" s="4" t="s">
        <v>22</v>
      </c>
      <c r="G2916" s="4" t="s">
        <v>41</v>
      </c>
      <c r="H2916" s="4">
        <v>6</v>
      </c>
      <c r="I2916" s="4">
        <v>2</v>
      </c>
      <c r="J2916" s="5">
        <v>45696</v>
      </c>
      <c r="K2916" s="6">
        <v>0.46019675925925924</v>
      </c>
    </row>
    <row r="2917" spans="1:11" x14ac:dyDescent="0.25">
      <c r="A2917" s="4">
        <v>11</v>
      </c>
      <c r="B2917" s="4" t="s">
        <v>11</v>
      </c>
      <c r="C2917" s="7">
        <v>25.96</v>
      </c>
      <c r="D2917" s="4" t="s">
        <v>18</v>
      </c>
      <c r="E2917" s="4" t="s">
        <v>13</v>
      </c>
      <c r="F2917" s="4" t="s">
        <v>22</v>
      </c>
      <c r="G2917" s="4" t="s">
        <v>41</v>
      </c>
      <c r="H2917" s="4">
        <v>6</v>
      </c>
      <c r="I2917" s="4">
        <v>2</v>
      </c>
      <c r="J2917" s="5">
        <v>45696</v>
      </c>
      <c r="K2917" s="6">
        <v>0.48579861111111111</v>
      </c>
    </row>
    <row r="2918" spans="1:11" x14ac:dyDescent="0.25">
      <c r="A2918" s="4">
        <v>12</v>
      </c>
      <c r="B2918" s="4" t="s">
        <v>11</v>
      </c>
      <c r="C2918" s="7">
        <v>25.96</v>
      </c>
      <c r="D2918" s="4" t="s">
        <v>18</v>
      </c>
      <c r="E2918" s="4" t="s">
        <v>17</v>
      </c>
      <c r="F2918" s="4" t="s">
        <v>22</v>
      </c>
      <c r="G2918" s="4" t="s">
        <v>41</v>
      </c>
      <c r="H2918" s="4">
        <v>6</v>
      </c>
      <c r="I2918" s="4">
        <v>2</v>
      </c>
      <c r="J2918" s="5">
        <v>45696</v>
      </c>
      <c r="K2918" s="6">
        <v>0.53208333333333335</v>
      </c>
    </row>
    <row r="2919" spans="1:11" x14ac:dyDescent="0.25">
      <c r="A2919" s="4">
        <v>13</v>
      </c>
      <c r="B2919" s="4" t="s">
        <v>11</v>
      </c>
      <c r="C2919" s="7">
        <v>25.96</v>
      </c>
      <c r="D2919" s="4" t="s">
        <v>18</v>
      </c>
      <c r="E2919" s="4" t="s">
        <v>17</v>
      </c>
      <c r="F2919" s="4" t="s">
        <v>22</v>
      </c>
      <c r="G2919" s="4" t="s">
        <v>41</v>
      </c>
      <c r="H2919" s="4">
        <v>6</v>
      </c>
      <c r="I2919" s="4">
        <v>2</v>
      </c>
      <c r="J2919" s="5">
        <v>45696</v>
      </c>
      <c r="K2919" s="6">
        <v>0.56026620370370372</v>
      </c>
    </row>
    <row r="2920" spans="1:11" x14ac:dyDescent="0.25">
      <c r="A2920" s="4">
        <v>15</v>
      </c>
      <c r="B2920" s="4" t="s">
        <v>11</v>
      </c>
      <c r="C2920" s="7">
        <v>25.96</v>
      </c>
      <c r="D2920" s="4" t="s">
        <v>18</v>
      </c>
      <c r="E2920" s="4" t="s">
        <v>17</v>
      </c>
      <c r="F2920" s="4" t="s">
        <v>22</v>
      </c>
      <c r="G2920" s="4" t="s">
        <v>41</v>
      </c>
      <c r="H2920" s="4">
        <v>6</v>
      </c>
      <c r="I2920" s="4">
        <v>2</v>
      </c>
      <c r="J2920" s="5">
        <v>45696</v>
      </c>
      <c r="K2920" s="6">
        <v>0.62990740740740736</v>
      </c>
    </row>
    <row r="2921" spans="1:11" x14ac:dyDescent="0.25">
      <c r="A2921" s="4">
        <v>15</v>
      </c>
      <c r="B2921" s="4" t="s">
        <v>11</v>
      </c>
      <c r="C2921" s="7">
        <v>25.96</v>
      </c>
      <c r="D2921" s="4" t="s">
        <v>18</v>
      </c>
      <c r="E2921" s="4" t="s">
        <v>17</v>
      </c>
      <c r="F2921" s="4" t="s">
        <v>22</v>
      </c>
      <c r="G2921" s="4" t="s">
        <v>41</v>
      </c>
      <c r="H2921" s="4">
        <v>6</v>
      </c>
      <c r="I2921" s="4">
        <v>2</v>
      </c>
      <c r="J2921" s="5">
        <v>45696</v>
      </c>
      <c r="K2921" s="6">
        <v>0.63065972222222222</v>
      </c>
    </row>
    <row r="2922" spans="1:11" x14ac:dyDescent="0.25">
      <c r="A2922" s="4">
        <v>8</v>
      </c>
      <c r="B2922" s="4" t="s">
        <v>11</v>
      </c>
      <c r="C2922" s="7">
        <v>35.76</v>
      </c>
      <c r="D2922" s="4" t="s">
        <v>21</v>
      </c>
      <c r="E2922" s="4" t="s">
        <v>13</v>
      </c>
      <c r="F2922" s="4" t="s">
        <v>23</v>
      </c>
      <c r="G2922" s="4" t="s">
        <v>41</v>
      </c>
      <c r="H2922" s="4">
        <v>7</v>
      </c>
      <c r="I2922" s="4">
        <v>2</v>
      </c>
      <c r="J2922" s="5">
        <v>45697</v>
      </c>
      <c r="K2922" s="6">
        <v>0.3676388888888889</v>
      </c>
    </row>
    <row r="2923" spans="1:11" x14ac:dyDescent="0.25">
      <c r="A2923" s="4">
        <v>10</v>
      </c>
      <c r="B2923" s="4" t="s">
        <v>11</v>
      </c>
      <c r="C2923" s="7">
        <v>30.86</v>
      </c>
      <c r="D2923" s="4" t="s">
        <v>19</v>
      </c>
      <c r="E2923" s="4" t="s">
        <v>13</v>
      </c>
      <c r="F2923" s="4" t="s">
        <v>23</v>
      </c>
      <c r="G2923" s="4" t="s">
        <v>41</v>
      </c>
      <c r="H2923" s="4">
        <v>7</v>
      </c>
      <c r="I2923" s="4">
        <v>2</v>
      </c>
      <c r="J2923" s="5">
        <v>45697</v>
      </c>
      <c r="K2923" s="6">
        <v>0.43829861111111112</v>
      </c>
    </row>
    <row r="2924" spans="1:11" x14ac:dyDescent="0.25">
      <c r="A2924" s="4">
        <v>10</v>
      </c>
      <c r="B2924" s="4" t="s">
        <v>11</v>
      </c>
      <c r="C2924" s="7">
        <v>25.96</v>
      </c>
      <c r="D2924" s="4" t="s">
        <v>18</v>
      </c>
      <c r="E2924" s="4" t="s">
        <v>13</v>
      </c>
      <c r="F2924" s="4" t="s">
        <v>23</v>
      </c>
      <c r="G2924" s="4" t="s">
        <v>41</v>
      </c>
      <c r="H2924" s="4">
        <v>7</v>
      </c>
      <c r="I2924" s="4">
        <v>2</v>
      </c>
      <c r="J2924" s="5">
        <v>45697</v>
      </c>
      <c r="K2924" s="6">
        <v>0.45240740740740742</v>
      </c>
    </row>
    <row r="2925" spans="1:11" x14ac:dyDescent="0.25">
      <c r="A2925" s="4">
        <v>12</v>
      </c>
      <c r="B2925" s="4" t="s">
        <v>11</v>
      </c>
      <c r="C2925" s="7">
        <v>35.76</v>
      </c>
      <c r="D2925" s="4" t="s">
        <v>12</v>
      </c>
      <c r="E2925" s="4" t="s">
        <v>17</v>
      </c>
      <c r="F2925" s="4" t="s">
        <v>23</v>
      </c>
      <c r="G2925" s="4" t="s">
        <v>41</v>
      </c>
      <c r="H2925" s="4">
        <v>7</v>
      </c>
      <c r="I2925" s="4">
        <v>2</v>
      </c>
      <c r="J2925" s="5">
        <v>45697</v>
      </c>
      <c r="K2925" s="6">
        <v>0.50353009259259263</v>
      </c>
    </row>
    <row r="2926" spans="1:11" x14ac:dyDescent="0.25">
      <c r="A2926" s="4">
        <v>15</v>
      </c>
      <c r="B2926" s="4" t="s">
        <v>11</v>
      </c>
      <c r="C2926" s="7">
        <v>35.76</v>
      </c>
      <c r="D2926" s="4" t="s">
        <v>21</v>
      </c>
      <c r="E2926" s="4" t="s">
        <v>17</v>
      </c>
      <c r="F2926" s="4" t="s">
        <v>23</v>
      </c>
      <c r="G2926" s="4" t="s">
        <v>41</v>
      </c>
      <c r="H2926" s="4">
        <v>7</v>
      </c>
      <c r="I2926" s="4">
        <v>2</v>
      </c>
      <c r="J2926" s="5">
        <v>45697</v>
      </c>
      <c r="K2926" s="6">
        <v>0.63413194444444443</v>
      </c>
    </row>
    <row r="2927" spans="1:11" x14ac:dyDescent="0.25">
      <c r="A2927" s="4">
        <v>15</v>
      </c>
      <c r="B2927" s="4" t="s">
        <v>11</v>
      </c>
      <c r="C2927" s="7">
        <v>35.76</v>
      </c>
      <c r="D2927" s="4" t="s">
        <v>12</v>
      </c>
      <c r="E2927" s="4" t="s">
        <v>17</v>
      </c>
      <c r="F2927" s="4" t="s">
        <v>23</v>
      </c>
      <c r="G2927" s="4" t="s">
        <v>41</v>
      </c>
      <c r="H2927" s="4">
        <v>7</v>
      </c>
      <c r="I2927" s="4">
        <v>2</v>
      </c>
      <c r="J2927" s="5">
        <v>45697</v>
      </c>
      <c r="K2927" s="6">
        <v>0.63474537037037038</v>
      </c>
    </row>
    <row r="2928" spans="1:11" x14ac:dyDescent="0.25">
      <c r="A2928" s="4">
        <v>15</v>
      </c>
      <c r="B2928" s="4" t="s">
        <v>11</v>
      </c>
      <c r="C2928" s="7">
        <v>35.76</v>
      </c>
      <c r="D2928" s="4" t="s">
        <v>16</v>
      </c>
      <c r="E2928" s="4" t="s">
        <v>17</v>
      </c>
      <c r="F2928" s="4" t="s">
        <v>23</v>
      </c>
      <c r="G2928" s="4" t="s">
        <v>41</v>
      </c>
      <c r="H2928" s="4">
        <v>7</v>
      </c>
      <c r="I2928" s="4">
        <v>2</v>
      </c>
      <c r="J2928" s="5">
        <v>45697</v>
      </c>
      <c r="K2928" s="6">
        <v>0.63607638888888884</v>
      </c>
    </row>
    <row r="2929" spans="1:11" x14ac:dyDescent="0.25">
      <c r="A2929" s="4">
        <v>15</v>
      </c>
      <c r="B2929" s="4" t="s">
        <v>11</v>
      </c>
      <c r="C2929" s="7">
        <v>35.76</v>
      </c>
      <c r="D2929" s="4" t="s">
        <v>21</v>
      </c>
      <c r="E2929" s="4" t="s">
        <v>17</v>
      </c>
      <c r="F2929" s="4" t="s">
        <v>23</v>
      </c>
      <c r="G2929" s="4" t="s">
        <v>41</v>
      </c>
      <c r="H2929" s="4">
        <v>7</v>
      </c>
      <c r="I2929" s="4">
        <v>2</v>
      </c>
      <c r="J2929" s="5">
        <v>45697</v>
      </c>
      <c r="K2929" s="6">
        <v>0.63671296296296298</v>
      </c>
    </row>
    <row r="2930" spans="1:11" x14ac:dyDescent="0.25">
      <c r="A2930" s="4">
        <v>16</v>
      </c>
      <c r="B2930" s="4" t="s">
        <v>11</v>
      </c>
      <c r="C2930" s="7">
        <v>25.96</v>
      </c>
      <c r="D2930" s="4" t="s">
        <v>24</v>
      </c>
      <c r="E2930" s="4" t="s">
        <v>17</v>
      </c>
      <c r="F2930" s="4" t="s">
        <v>23</v>
      </c>
      <c r="G2930" s="4" t="s">
        <v>41</v>
      </c>
      <c r="H2930" s="4">
        <v>7</v>
      </c>
      <c r="I2930" s="4">
        <v>2</v>
      </c>
      <c r="J2930" s="5">
        <v>45697</v>
      </c>
      <c r="K2930" s="6">
        <v>0.68076388888888884</v>
      </c>
    </row>
    <row r="2931" spans="1:11" x14ac:dyDescent="0.25">
      <c r="A2931" s="4">
        <v>7</v>
      </c>
      <c r="B2931" s="4" t="s">
        <v>11</v>
      </c>
      <c r="C2931" s="7">
        <v>25.96</v>
      </c>
      <c r="D2931" s="4" t="s">
        <v>18</v>
      </c>
      <c r="E2931" s="4" t="s">
        <v>13</v>
      </c>
      <c r="F2931" s="4" t="s">
        <v>25</v>
      </c>
      <c r="G2931" s="4" t="s">
        <v>41</v>
      </c>
      <c r="H2931" s="4">
        <v>1</v>
      </c>
      <c r="I2931" s="4">
        <v>2</v>
      </c>
      <c r="J2931" s="5">
        <v>45698</v>
      </c>
      <c r="K2931" s="6">
        <v>0.29289351851851853</v>
      </c>
    </row>
    <row r="2932" spans="1:11" x14ac:dyDescent="0.25">
      <c r="A2932" s="4">
        <v>8</v>
      </c>
      <c r="B2932" s="4" t="s">
        <v>11</v>
      </c>
      <c r="C2932" s="7">
        <v>25.96</v>
      </c>
      <c r="D2932" s="4" t="s">
        <v>18</v>
      </c>
      <c r="E2932" s="4" t="s">
        <v>13</v>
      </c>
      <c r="F2932" s="4" t="s">
        <v>25</v>
      </c>
      <c r="G2932" s="4" t="s">
        <v>41</v>
      </c>
      <c r="H2932" s="4">
        <v>1</v>
      </c>
      <c r="I2932" s="4">
        <v>2</v>
      </c>
      <c r="J2932" s="5">
        <v>45698</v>
      </c>
      <c r="K2932" s="6">
        <v>0.3448148148148148</v>
      </c>
    </row>
    <row r="2933" spans="1:11" x14ac:dyDescent="0.25">
      <c r="A2933" s="4">
        <v>8</v>
      </c>
      <c r="B2933" s="4" t="s">
        <v>11</v>
      </c>
      <c r="C2933" s="7">
        <v>25.96</v>
      </c>
      <c r="D2933" s="4" t="s">
        <v>18</v>
      </c>
      <c r="E2933" s="4" t="s">
        <v>13</v>
      </c>
      <c r="F2933" s="4" t="s">
        <v>25</v>
      </c>
      <c r="G2933" s="4" t="s">
        <v>41</v>
      </c>
      <c r="H2933" s="4">
        <v>1</v>
      </c>
      <c r="I2933" s="4">
        <v>2</v>
      </c>
      <c r="J2933" s="5">
        <v>45698</v>
      </c>
      <c r="K2933" s="6">
        <v>0.35064814814814815</v>
      </c>
    </row>
    <row r="2934" spans="1:11" x14ac:dyDescent="0.25">
      <c r="A2934" s="4">
        <v>11</v>
      </c>
      <c r="B2934" s="4" t="s">
        <v>11</v>
      </c>
      <c r="C2934" s="7">
        <v>30.86</v>
      </c>
      <c r="D2934" s="4" t="s">
        <v>19</v>
      </c>
      <c r="E2934" s="4" t="s">
        <v>13</v>
      </c>
      <c r="F2934" s="4" t="s">
        <v>25</v>
      </c>
      <c r="G2934" s="4" t="s">
        <v>41</v>
      </c>
      <c r="H2934" s="4">
        <v>1</v>
      </c>
      <c r="I2934" s="4">
        <v>2</v>
      </c>
      <c r="J2934" s="5">
        <v>45698</v>
      </c>
      <c r="K2934" s="6">
        <v>0.4664699074074074</v>
      </c>
    </row>
    <row r="2935" spans="1:11" x14ac:dyDescent="0.25">
      <c r="A2935" s="4">
        <v>13</v>
      </c>
      <c r="B2935" s="4" t="s">
        <v>11</v>
      </c>
      <c r="C2935" s="7">
        <v>25.96</v>
      </c>
      <c r="D2935" s="4" t="s">
        <v>18</v>
      </c>
      <c r="E2935" s="4" t="s">
        <v>17</v>
      </c>
      <c r="F2935" s="4" t="s">
        <v>25</v>
      </c>
      <c r="G2935" s="4" t="s">
        <v>41</v>
      </c>
      <c r="H2935" s="4">
        <v>1</v>
      </c>
      <c r="I2935" s="4">
        <v>2</v>
      </c>
      <c r="J2935" s="5">
        <v>45698</v>
      </c>
      <c r="K2935" s="6">
        <v>0.54780092592592589</v>
      </c>
    </row>
    <row r="2936" spans="1:11" x14ac:dyDescent="0.25">
      <c r="A2936" s="4">
        <v>13</v>
      </c>
      <c r="B2936" s="4" t="s">
        <v>11</v>
      </c>
      <c r="C2936" s="7">
        <v>35.76</v>
      </c>
      <c r="D2936" s="4" t="s">
        <v>21</v>
      </c>
      <c r="E2936" s="4" t="s">
        <v>17</v>
      </c>
      <c r="F2936" s="4" t="s">
        <v>25</v>
      </c>
      <c r="G2936" s="4" t="s">
        <v>41</v>
      </c>
      <c r="H2936" s="4">
        <v>1</v>
      </c>
      <c r="I2936" s="4">
        <v>2</v>
      </c>
      <c r="J2936" s="5">
        <v>45698</v>
      </c>
      <c r="K2936" s="6">
        <v>0.54936342592592591</v>
      </c>
    </row>
    <row r="2937" spans="1:11" x14ac:dyDescent="0.25">
      <c r="A2937" s="4">
        <v>13</v>
      </c>
      <c r="B2937" s="4" t="s">
        <v>11</v>
      </c>
      <c r="C2937" s="7">
        <v>30.86</v>
      </c>
      <c r="D2937" s="4" t="s">
        <v>19</v>
      </c>
      <c r="E2937" s="4" t="s">
        <v>17</v>
      </c>
      <c r="F2937" s="4" t="s">
        <v>25</v>
      </c>
      <c r="G2937" s="4" t="s">
        <v>41</v>
      </c>
      <c r="H2937" s="4">
        <v>1</v>
      </c>
      <c r="I2937" s="4">
        <v>2</v>
      </c>
      <c r="J2937" s="5">
        <v>45698</v>
      </c>
      <c r="K2937" s="6">
        <v>0.56034722222222222</v>
      </c>
    </row>
    <row r="2938" spans="1:11" x14ac:dyDescent="0.25">
      <c r="A2938" s="4">
        <v>13</v>
      </c>
      <c r="B2938" s="4" t="s">
        <v>11</v>
      </c>
      <c r="C2938" s="7">
        <v>25.96</v>
      </c>
      <c r="D2938" s="4" t="s">
        <v>18</v>
      </c>
      <c r="E2938" s="4" t="s">
        <v>17</v>
      </c>
      <c r="F2938" s="4" t="s">
        <v>25</v>
      </c>
      <c r="G2938" s="4" t="s">
        <v>41</v>
      </c>
      <c r="H2938" s="4">
        <v>1</v>
      </c>
      <c r="I2938" s="4">
        <v>2</v>
      </c>
      <c r="J2938" s="5">
        <v>45698</v>
      </c>
      <c r="K2938" s="6">
        <v>0.56959490740740737</v>
      </c>
    </row>
    <row r="2939" spans="1:11" x14ac:dyDescent="0.25">
      <c r="A2939" s="4">
        <v>14</v>
      </c>
      <c r="B2939" s="4" t="s">
        <v>11</v>
      </c>
      <c r="C2939" s="7">
        <v>35.76</v>
      </c>
      <c r="D2939" s="4" t="s">
        <v>12</v>
      </c>
      <c r="E2939" s="4" t="s">
        <v>17</v>
      </c>
      <c r="F2939" s="4" t="s">
        <v>25</v>
      </c>
      <c r="G2939" s="4" t="s">
        <v>41</v>
      </c>
      <c r="H2939" s="4">
        <v>1</v>
      </c>
      <c r="I2939" s="4">
        <v>2</v>
      </c>
      <c r="J2939" s="5">
        <v>45698</v>
      </c>
      <c r="K2939" s="6">
        <v>0.58462962962962961</v>
      </c>
    </row>
    <row r="2940" spans="1:11" x14ac:dyDescent="0.25">
      <c r="A2940" s="4">
        <v>14</v>
      </c>
      <c r="B2940" s="4" t="s">
        <v>11</v>
      </c>
      <c r="C2940" s="7">
        <v>25.96</v>
      </c>
      <c r="D2940" s="4" t="s">
        <v>18</v>
      </c>
      <c r="E2940" s="4" t="s">
        <v>17</v>
      </c>
      <c r="F2940" s="4" t="s">
        <v>25</v>
      </c>
      <c r="G2940" s="4" t="s">
        <v>41</v>
      </c>
      <c r="H2940" s="4">
        <v>1</v>
      </c>
      <c r="I2940" s="4">
        <v>2</v>
      </c>
      <c r="J2940" s="5">
        <v>45698</v>
      </c>
      <c r="K2940" s="6">
        <v>0.5886689814814815</v>
      </c>
    </row>
    <row r="2941" spans="1:11" x14ac:dyDescent="0.25">
      <c r="A2941" s="4">
        <v>14</v>
      </c>
      <c r="B2941" s="4" t="s">
        <v>11</v>
      </c>
      <c r="C2941" s="7">
        <v>35.76</v>
      </c>
      <c r="D2941" s="4" t="s">
        <v>21</v>
      </c>
      <c r="E2941" s="4" t="s">
        <v>17</v>
      </c>
      <c r="F2941" s="4" t="s">
        <v>25</v>
      </c>
      <c r="G2941" s="4" t="s">
        <v>41</v>
      </c>
      <c r="H2941" s="4">
        <v>1</v>
      </c>
      <c r="I2941" s="4">
        <v>2</v>
      </c>
      <c r="J2941" s="5">
        <v>45698</v>
      </c>
      <c r="K2941" s="6">
        <v>0.59150462962962957</v>
      </c>
    </row>
    <row r="2942" spans="1:11" x14ac:dyDescent="0.25">
      <c r="A2942" s="4">
        <v>14</v>
      </c>
      <c r="B2942" s="4" t="s">
        <v>11</v>
      </c>
      <c r="C2942" s="7">
        <v>35.76</v>
      </c>
      <c r="D2942" s="4" t="s">
        <v>21</v>
      </c>
      <c r="E2942" s="4" t="s">
        <v>17</v>
      </c>
      <c r="F2942" s="4" t="s">
        <v>25</v>
      </c>
      <c r="G2942" s="4" t="s">
        <v>41</v>
      </c>
      <c r="H2942" s="4">
        <v>1</v>
      </c>
      <c r="I2942" s="4">
        <v>2</v>
      </c>
      <c r="J2942" s="5">
        <v>45698</v>
      </c>
      <c r="K2942" s="6">
        <v>0.59425925925925926</v>
      </c>
    </row>
    <row r="2943" spans="1:11" x14ac:dyDescent="0.25">
      <c r="A2943" s="4">
        <v>15</v>
      </c>
      <c r="B2943" s="4" t="s">
        <v>11</v>
      </c>
      <c r="C2943" s="7">
        <v>35.76</v>
      </c>
      <c r="D2943" s="4" t="s">
        <v>29</v>
      </c>
      <c r="E2943" s="4" t="s">
        <v>17</v>
      </c>
      <c r="F2943" s="4" t="s">
        <v>25</v>
      </c>
      <c r="G2943" s="4" t="s">
        <v>41</v>
      </c>
      <c r="H2943" s="4">
        <v>1</v>
      </c>
      <c r="I2943" s="4">
        <v>2</v>
      </c>
      <c r="J2943" s="5">
        <v>45698</v>
      </c>
      <c r="K2943" s="6">
        <v>0.62631944444444443</v>
      </c>
    </row>
    <row r="2944" spans="1:11" x14ac:dyDescent="0.25">
      <c r="A2944" s="4">
        <v>15</v>
      </c>
      <c r="B2944" s="4" t="s">
        <v>11</v>
      </c>
      <c r="C2944" s="7">
        <v>30.86</v>
      </c>
      <c r="D2944" s="4" t="s">
        <v>19</v>
      </c>
      <c r="E2944" s="4" t="s">
        <v>17</v>
      </c>
      <c r="F2944" s="4" t="s">
        <v>25</v>
      </c>
      <c r="G2944" s="4" t="s">
        <v>41</v>
      </c>
      <c r="H2944" s="4">
        <v>1</v>
      </c>
      <c r="I2944" s="4">
        <v>2</v>
      </c>
      <c r="J2944" s="5">
        <v>45698</v>
      </c>
      <c r="K2944" s="6">
        <v>0.63473379629629634</v>
      </c>
    </row>
    <row r="2945" spans="1:11" x14ac:dyDescent="0.25">
      <c r="A2945" s="4">
        <v>15</v>
      </c>
      <c r="B2945" s="4" t="s">
        <v>11</v>
      </c>
      <c r="C2945" s="7">
        <v>35.76</v>
      </c>
      <c r="D2945" s="4" t="s">
        <v>12</v>
      </c>
      <c r="E2945" s="4" t="s">
        <v>17</v>
      </c>
      <c r="F2945" s="4" t="s">
        <v>25</v>
      </c>
      <c r="G2945" s="4" t="s">
        <v>41</v>
      </c>
      <c r="H2945" s="4">
        <v>1</v>
      </c>
      <c r="I2945" s="4">
        <v>2</v>
      </c>
      <c r="J2945" s="5">
        <v>45698</v>
      </c>
      <c r="K2945" s="6">
        <v>0.65696759259259263</v>
      </c>
    </row>
    <row r="2946" spans="1:11" x14ac:dyDescent="0.25">
      <c r="A2946" s="4">
        <v>15</v>
      </c>
      <c r="B2946" s="4" t="s">
        <v>11</v>
      </c>
      <c r="C2946" s="7">
        <v>35.76</v>
      </c>
      <c r="D2946" s="4" t="s">
        <v>16</v>
      </c>
      <c r="E2946" s="4" t="s">
        <v>17</v>
      </c>
      <c r="F2946" s="4" t="s">
        <v>25</v>
      </c>
      <c r="G2946" s="4" t="s">
        <v>41</v>
      </c>
      <c r="H2946" s="4">
        <v>1</v>
      </c>
      <c r="I2946" s="4">
        <v>2</v>
      </c>
      <c r="J2946" s="5">
        <v>45698</v>
      </c>
      <c r="K2946" s="6">
        <v>0.65814814814814815</v>
      </c>
    </row>
    <row r="2947" spans="1:11" x14ac:dyDescent="0.25">
      <c r="A2947" s="4">
        <v>16</v>
      </c>
      <c r="B2947" s="4" t="s">
        <v>11</v>
      </c>
      <c r="C2947" s="7">
        <v>35.76</v>
      </c>
      <c r="D2947" s="4" t="s">
        <v>21</v>
      </c>
      <c r="E2947" s="4" t="s">
        <v>17</v>
      </c>
      <c r="F2947" s="4" t="s">
        <v>25</v>
      </c>
      <c r="G2947" s="4" t="s">
        <v>41</v>
      </c>
      <c r="H2947" s="4">
        <v>1</v>
      </c>
      <c r="I2947" s="4">
        <v>2</v>
      </c>
      <c r="J2947" s="5">
        <v>45698</v>
      </c>
      <c r="K2947" s="6">
        <v>0.68119212962962961</v>
      </c>
    </row>
    <row r="2948" spans="1:11" x14ac:dyDescent="0.25">
      <c r="A2948" s="4">
        <v>17</v>
      </c>
      <c r="B2948" s="4" t="s">
        <v>11</v>
      </c>
      <c r="C2948" s="7">
        <v>25.96</v>
      </c>
      <c r="D2948" s="4" t="s">
        <v>18</v>
      </c>
      <c r="E2948" s="4" t="s">
        <v>20</v>
      </c>
      <c r="F2948" s="4" t="s">
        <v>25</v>
      </c>
      <c r="G2948" s="4" t="s">
        <v>41</v>
      </c>
      <c r="H2948" s="4">
        <v>1</v>
      </c>
      <c r="I2948" s="4">
        <v>2</v>
      </c>
      <c r="J2948" s="5">
        <v>45698</v>
      </c>
      <c r="K2948" s="6">
        <v>0.71668981481481486</v>
      </c>
    </row>
    <row r="2949" spans="1:11" x14ac:dyDescent="0.25">
      <c r="A2949" s="4">
        <v>18</v>
      </c>
      <c r="B2949" s="4" t="s">
        <v>11</v>
      </c>
      <c r="C2949" s="7">
        <v>30.86</v>
      </c>
      <c r="D2949" s="4" t="s">
        <v>19</v>
      </c>
      <c r="E2949" s="4" t="s">
        <v>20</v>
      </c>
      <c r="F2949" s="4" t="s">
        <v>25</v>
      </c>
      <c r="G2949" s="4" t="s">
        <v>41</v>
      </c>
      <c r="H2949" s="4">
        <v>1</v>
      </c>
      <c r="I2949" s="4">
        <v>2</v>
      </c>
      <c r="J2949" s="5">
        <v>45698</v>
      </c>
      <c r="K2949" s="6">
        <v>0.76891203703703703</v>
      </c>
    </row>
    <row r="2950" spans="1:11" x14ac:dyDescent="0.25">
      <c r="A2950" s="4">
        <v>19</v>
      </c>
      <c r="B2950" s="4" t="s">
        <v>11</v>
      </c>
      <c r="C2950" s="7">
        <v>35.76</v>
      </c>
      <c r="D2950" s="4" t="s">
        <v>12</v>
      </c>
      <c r="E2950" s="4" t="s">
        <v>20</v>
      </c>
      <c r="F2950" s="4" t="s">
        <v>25</v>
      </c>
      <c r="G2950" s="4" t="s">
        <v>41</v>
      </c>
      <c r="H2950" s="4">
        <v>1</v>
      </c>
      <c r="I2950" s="4">
        <v>2</v>
      </c>
      <c r="J2950" s="5">
        <v>45698</v>
      </c>
      <c r="K2950" s="6">
        <v>0.80140046296296297</v>
      </c>
    </row>
    <row r="2951" spans="1:11" x14ac:dyDescent="0.25">
      <c r="A2951" s="4">
        <v>19</v>
      </c>
      <c r="B2951" s="4" t="s">
        <v>11</v>
      </c>
      <c r="C2951" s="7">
        <v>35.76</v>
      </c>
      <c r="D2951" s="4" t="s">
        <v>12</v>
      </c>
      <c r="E2951" s="4" t="s">
        <v>20</v>
      </c>
      <c r="F2951" s="4" t="s">
        <v>25</v>
      </c>
      <c r="G2951" s="4" t="s">
        <v>41</v>
      </c>
      <c r="H2951" s="4">
        <v>1</v>
      </c>
      <c r="I2951" s="4">
        <v>2</v>
      </c>
      <c r="J2951" s="5">
        <v>45698</v>
      </c>
      <c r="K2951" s="6">
        <v>0.80200231481481477</v>
      </c>
    </row>
    <row r="2952" spans="1:11" x14ac:dyDescent="0.25">
      <c r="A2952" s="4">
        <v>10</v>
      </c>
      <c r="B2952" s="4" t="s">
        <v>11</v>
      </c>
      <c r="C2952" s="7">
        <v>25.96</v>
      </c>
      <c r="D2952" s="4" t="s">
        <v>18</v>
      </c>
      <c r="E2952" s="4" t="s">
        <v>13</v>
      </c>
      <c r="F2952" s="4" t="s">
        <v>27</v>
      </c>
      <c r="G2952" s="4" t="s">
        <v>41</v>
      </c>
      <c r="H2952" s="4">
        <v>2</v>
      </c>
      <c r="I2952" s="4">
        <v>2</v>
      </c>
      <c r="J2952" s="5">
        <v>45699</v>
      </c>
      <c r="K2952" s="6">
        <v>0.44335648148148149</v>
      </c>
    </row>
    <row r="2953" spans="1:11" x14ac:dyDescent="0.25">
      <c r="A2953" s="4">
        <v>11</v>
      </c>
      <c r="B2953" s="4" t="s">
        <v>11</v>
      </c>
      <c r="C2953" s="7">
        <v>25.96</v>
      </c>
      <c r="D2953" s="4" t="s">
        <v>18</v>
      </c>
      <c r="E2953" s="4" t="s">
        <v>13</v>
      </c>
      <c r="F2953" s="4" t="s">
        <v>27</v>
      </c>
      <c r="G2953" s="4" t="s">
        <v>41</v>
      </c>
      <c r="H2953" s="4">
        <v>2</v>
      </c>
      <c r="I2953" s="4">
        <v>2</v>
      </c>
      <c r="J2953" s="5">
        <v>45699</v>
      </c>
      <c r="K2953" s="6">
        <v>0.47170138888888891</v>
      </c>
    </row>
    <row r="2954" spans="1:11" x14ac:dyDescent="0.25">
      <c r="A2954" s="4">
        <v>11</v>
      </c>
      <c r="B2954" s="4" t="s">
        <v>11</v>
      </c>
      <c r="C2954" s="7">
        <v>30.86</v>
      </c>
      <c r="D2954" s="4" t="s">
        <v>19</v>
      </c>
      <c r="E2954" s="4" t="s">
        <v>13</v>
      </c>
      <c r="F2954" s="4" t="s">
        <v>27</v>
      </c>
      <c r="G2954" s="4" t="s">
        <v>41</v>
      </c>
      <c r="H2954" s="4">
        <v>2</v>
      </c>
      <c r="I2954" s="4">
        <v>2</v>
      </c>
      <c r="J2954" s="5">
        <v>45699</v>
      </c>
      <c r="K2954" s="6">
        <v>0.47236111111111112</v>
      </c>
    </row>
    <row r="2955" spans="1:11" x14ac:dyDescent="0.25">
      <c r="A2955" s="4">
        <v>11</v>
      </c>
      <c r="B2955" s="4" t="s">
        <v>11</v>
      </c>
      <c r="C2955" s="7">
        <v>35.76</v>
      </c>
      <c r="D2955" s="4" t="s">
        <v>21</v>
      </c>
      <c r="E2955" s="4" t="s">
        <v>13</v>
      </c>
      <c r="F2955" s="4" t="s">
        <v>27</v>
      </c>
      <c r="G2955" s="4" t="s">
        <v>41</v>
      </c>
      <c r="H2955" s="4">
        <v>2</v>
      </c>
      <c r="I2955" s="4">
        <v>2</v>
      </c>
      <c r="J2955" s="5">
        <v>45699</v>
      </c>
      <c r="K2955" s="6">
        <v>0.47300925925925924</v>
      </c>
    </row>
    <row r="2956" spans="1:11" x14ac:dyDescent="0.25">
      <c r="A2956" s="4">
        <v>15</v>
      </c>
      <c r="B2956" s="4" t="s">
        <v>11</v>
      </c>
      <c r="C2956" s="7">
        <v>35.76</v>
      </c>
      <c r="D2956" s="4" t="s">
        <v>16</v>
      </c>
      <c r="E2956" s="4" t="s">
        <v>17</v>
      </c>
      <c r="F2956" s="4" t="s">
        <v>27</v>
      </c>
      <c r="G2956" s="4" t="s">
        <v>41</v>
      </c>
      <c r="H2956" s="4">
        <v>2</v>
      </c>
      <c r="I2956" s="4">
        <v>2</v>
      </c>
      <c r="J2956" s="5">
        <v>45699</v>
      </c>
      <c r="K2956" s="6">
        <v>0.66445601851851854</v>
      </c>
    </row>
    <row r="2957" spans="1:11" x14ac:dyDescent="0.25">
      <c r="A2957" s="4">
        <v>16</v>
      </c>
      <c r="B2957" s="4" t="s">
        <v>11</v>
      </c>
      <c r="C2957" s="7">
        <v>30.86</v>
      </c>
      <c r="D2957" s="4" t="s">
        <v>19</v>
      </c>
      <c r="E2957" s="4" t="s">
        <v>17</v>
      </c>
      <c r="F2957" s="4" t="s">
        <v>27</v>
      </c>
      <c r="G2957" s="4" t="s">
        <v>41</v>
      </c>
      <c r="H2957" s="4">
        <v>2</v>
      </c>
      <c r="I2957" s="4">
        <v>2</v>
      </c>
      <c r="J2957" s="5">
        <v>45699</v>
      </c>
      <c r="K2957" s="6">
        <v>0.67300925925925925</v>
      </c>
    </row>
    <row r="2958" spans="1:11" x14ac:dyDescent="0.25">
      <c r="A2958" s="4">
        <v>16</v>
      </c>
      <c r="B2958" s="4" t="s">
        <v>11</v>
      </c>
      <c r="C2958" s="7">
        <v>21.06</v>
      </c>
      <c r="D2958" s="4" t="s">
        <v>26</v>
      </c>
      <c r="E2958" s="4" t="s">
        <v>17</v>
      </c>
      <c r="F2958" s="4" t="s">
        <v>27</v>
      </c>
      <c r="G2958" s="4" t="s">
        <v>41</v>
      </c>
      <c r="H2958" s="4">
        <v>2</v>
      </c>
      <c r="I2958" s="4">
        <v>2</v>
      </c>
      <c r="J2958" s="5">
        <v>45699</v>
      </c>
      <c r="K2958" s="6">
        <v>0.7011574074074074</v>
      </c>
    </row>
    <row r="2959" spans="1:11" x14ac:dyDescent="0.25">
      <c r="A2959" s="4">
        <v>17</v>
      </c>
      <c r="B2959" s="4" t="s">
        <v>11</v>
      </c>
      <c r="C2959" s="7">
        <v>35.76</v>
      </c>
      <c r="D2959" s="4" t="s">
        <v>12</v>
      </c>
      <c r="E2959" s="4" t="s">
        <v>20</v>
      </c>
      <c r="F2959" s="4" t="s">
        <v>27</v>
      </c>
      <c r="G2959" s="4" t="s">
        <v>41</v>
      </c>
      <c r="H2959" s="4">
        <v>2</v>
      </c>
      <c r="I2959" s="4">
        <v>2</v>
      </c>
      <c r="J2959" s="5">
        <v>45699</v>
      </c>
      <c r="K2959" s="6">
        <v>0.73303240740740738</v>
      </c>
    </row>
    <row r="2960" spans="1:11" x14ac:dyDescent="0.25">
      <c r="A2960" s="4">
        <v>17</v>
      </c>
      <c r="B2960" s="4" t="s">
        <v>11</v>
      </c>
      <c r="C2960" s="7">
        <v>30.86</v>
      </c>
      <c r="D2960" s="4" t="s">
        <v>19</v>
      </c>
      <c r="E2960" s="4" t="s">
        <v>20</v>
      </c>
      <c r="F2960" s="4" t="s">
        <v>27</v>
      </c>
      <c r="G2960" s="4" t="s">
        <v>41</v>
      </c>
      <c r="H2960" s="4">
        <v>2</v>
      </c>
      <c r="I2960" s="4">
        <v>2</v>
      </c>
      <c r="J2960" s="5">
        <v>45699</v>
      </c>
      <c r="K2960" s="6">
        <v>0.73381944444444447</v>
      </c>
    </row>
    <row r="2961" spans="1:11" x14ac:dyDescent="0.25">
      <c r="A2961" s="4">
        <v>17</v>
      </c>
      <c r="B2961" s="4" t="s">
        <v>11</v>
      </c>
      <c r="C2961" s="7">
        <v>30.86</v>
      </c>
      <c r="D2961" s="4" t="s">
        <v>19</v>
      </c>
      <c r="E2961" s="4" t="s">
        <v>20</v>
      </c>
      <c r="F2961" s="4" t="s">
        <v>27</v>
      </c>
      <c r="G2961" s="4" t="s">
        <v>41</v>
      </c>
      <c r="H2961" s="4">
        <v>2</v>
      </c>
      <c r="I2961" s="4">
        <v>2</v>
      </c>
      <c r="J2961" s="5">
        <v>45699</v>
      </c>
      <c r="K2961" s="6">
        <v>0.73902777777777773</v>
      </c>
    </row>
    <row r="2962" spans="1:11" x14ac:dyDescent="0.25">
      <c r="A2962" s="4">
        <v>17</v>
      </c>
      <c r="B2962" s="4" t="s">
        <v>11</v>
      </c>
      <c r="C2962" s="7">
        <v>25.96</v>
      </c>
      <c r="D2962" s="4" t="s">
        <v>18</v>
      </c>
      <c r="E2962" s="4" t="s">
        <v>20</v>
      </c>
      <c r="F2962" s="4" t="s">
        <v>27</v>
      </c>
      <c r="G2962" s="4" t="s">
        <v>41</v>
      </c>
      <c r="H2962" s="4">
        <v>2</v>
      </c>
      <c r="I2962" s="4">
        <v>2</v>
      </c>
      <c r="J2962" s="5">
        <v>45699</v>
      </c>
      <c r="K2962" s="6">
        <v>0.74351851851851847</v>
      </c>
    </row>
    <row r="2963" spans="1:11" x14ac:dyDescent="0.25">
      <c r="A2963" s="4">
        <v>17</v>
      </c>
      <c r="B2963" s="4" t="s">
        <v>11</v>
      </c>
      <c r="C2963" s="7">
        <v>30.86</v>
      </c>
      <c r="D2963" s="4" t="s">
        <v>19</v>
      </c>
      <c r="E2963" s="4" t="s">
        <v>20</v>
      </c>
      <c r="F2963" s="4" t="s">
        <v>27</v>
      </c>
      <c r="G2963" s="4" t="s">
        <v>41</v>
      </c>
      <c r="H2963" s="4">
        <v>2</v>
      </c>
      <c r="I2963" s="4">
        <v>2</v>
      </c>
      <c r="J2963" s="5">
        <v>45699</v>
      </c>
      <c r="K2963" s="6">
        <v>0.74626157407407412</v>
      </c>
    </row>
    <row r="2964" spans="1:11" x14ac:dyDescent="0.25">
      <c r="A2964" s="4">
        <v>19</v>
      </c>
      <c r="B2964" s="4" t="s">
        <v>11</v>
      </c>
      <c r="C2964" s="7">
        <v>35.76</v>
      </c>
      <c r="D2964" s="4" t="s">
        <v>12</v>
      </c>
      <c r="E2964" s="4" t="s">
        <v>20</v>
      </c>
      <c r="F2964" s="4" t="s">
        <v>27</v>
      </c>
      <c r="G2964" s="4" t="s">
        <v>41</v>
      </c>
      <c r="H2964" s="4">
        <v>2</v>
      </c>
      <c r="I2964" s="4">
        <v>2</v>
      </c>
      <c r="J2964" s="5">
        <v>45699</v>
      </c>
      <c r="K2964" s="6">
        <v>0.79457175925925927</v>
      </c>
    </row>
    <row r="2965" spans="1:11" x14ac:dyDescent="0.25">
      <c r="A2965" s="4">
        <v>19</v>
      </c>
      <c r="B2965" s="4" t="s">
        <v>11</v>
      </c>
      <c r="C2965" s="7">
        <v>35.76</v>
      </c>
      <c r="D2965" s="4" t="s">
        <v>21</v>
      </c>
      <c r="E2965" s="4" t="s">
        <v>20</v>
      </c>
      <c r="F2965" s="4" t="s">
        <v>27</v>
      </c>
      <c r="G2965" s="4" t="s">
        <v>41</v>
      </c>
      <c r="H2965" s="4">
        <v>2</v>
      </c>
      <c r="I2965" s="4">
        <v>2</v>
      </c>
      <c r="J2965" s="5">
        <v>45699</v>
      </c>
      <c r="K2965" s="6">
        <v>0.79517361111111107</v>
      </c>
    </row>
    <row r="2966" spans="1:11" x14ac:dyDescent="0.25">
      <c r="A2966" s="4">
        <v>7</v>
      </c>
      <c r="B2966" s="4" t="s">
        <v>11</v>
      </c>
      <c r="C2966" s="7">
        <v>35.76</v>
      </c>
      <c r="D2966" s="4" t="s">
        <v>29</v>
      </c>
      <c r="E2966" s="4" t="s">
        <v>13</v>
      </c>
      <c r="F2966" s="4" t="s">
        <v>28</v>
      </c>
      <c r="G2966" s="4" t="s">
        <v>41</v>
      </c>
      <c r="H2966" s="4">
        <v>3</v>
      </c>
      <c r="I2966" s="4">
        <v>2</v>
      </c>
      <c r="J2966" s="5">
        <v>45700</v>
      </c>
      <c r="K2966" s="6">
        <v>0.30343750000000003</v>
      </c>
    </row>
    <row r="2967" spans="1:11" x14ac:dyDescent="0.25">
      <c r="A2967" s="4">
        <v>7</v>
      </c>
      <c r="B2967" s="4" t="s">
        <v>11</v>
      </c>
      <c r="C2967" s="7">
        <v>25.96</v>
      </c>
      <c r="D2967" s="4" t="s">
        <v>18</v>
      </c>
      <c r="E2967" s="4" t="s">
        <v>13</v>
      </c>
      <c r="F2967" s="4" t="s">
        <v>28</v>
      </c>
      <c r="G2967" s="4" t="s">
        <v>41</v>
      </c>
      <c r="H2967" s="4">
        <v>3</v>
      </c>
      <c r="I2967" s="4">
        <v>2</v>
      </c>
      <c r="J2967" s="5">
        <v>45700</v>
      </c>
      <c r="K2967" s="6">
        <v>0.31640046296296298</v>
      </c>
    </row>
    <row r="2968" spans="1:11" x14ac:dyDescent="0.25">
      <c r="A2968" s="4">
        <v>8</v>
      </c>
      <c r="B2968" s="4" t="s">
        <v>11</v>
      </c>
      <c r="C2968" s="7">
        <v>35.76</v>
      </c>
      <c r="D2968" s="4" t="s">
        <v>21</v>
      </c>
      <c r="E2968" s="4" t="s">
        <v>13</v>
      </c>
      <c r="F2968" s="4" t="s">
        <v>28</v>
      </c>
      <c r="G2968" s="4" t="s">
        <v>41</v>
      </c>
      <c r="H2968" s="4">
        <v>3</v>
      </c>
      <c r="I2968" s="4">
        <v>2</v>
      </c>
      <c r="J2968" s="5">
        <v>45700</v>
      </c>
      <c r="K2968" s="6">
        <v>0.37123842592592593</v>
      </c>
    </row>
    <row r="2969" spans="1:11" x14ac:dyDescent="0.25">
      <c r="A2969" s="4">
        <v>9</v>
      </c>
      <c r="B2969" s="4" t="s">
        <v>11</v>
      </c>
      <c r="C2969" s="7">
        <v>30.86</v>
      </c>
      <c r="D2969" s="4" t="s">
        <v>19</v>
      </c>
      <c r="E2969" s="4" t="s">
        <v>13</v>
      </c>
      <c r="F2969" s="4" t="s">
        <v>28</v>
      </c>
      <c r="G2969" s="4" t="s">
        <v>41</v>
      </c>
      <c r="H2969" s="4">
        <v>3</v>
      </c>
      <c r="I2969" s="4">
        <v>2</v>
      </c>
      <c r="J2969" s="5">
        <v>45700</v>
      </c>
      <c r="K2969" s="6">
        <v>0.38871527777777776</v>
      </c>
    </row>
    <row r="2970" spans="1:11" x14ac:dyDescent="0.25">
      <c r="A2970" s="4">
        <v>10</v>
      </c>
      <c r="B2970" s="4" t="s">
        <v>11</v>
      </c>
      <c r="C2970" s="7">
        <v>25.96</v>
      </c>
      <c r="D2970" s="4" t="s">
        <v>18</v>
      </c>
      <c r="E2970" s="4" t="s">
        <v>13</v>
      </c>
      <c r="F2970" s="4" t="s">
        <v>28</v>
      </c>
      <c r="G2970" s="4" t="s">
        <v>41</v>
      </c>
      <c r="H2970" s="4">
        <v>3</v>
      </c>
      <c r="I2970" s="4">
        <v>2</v>
      </c>
      <c r="J2970" s="5">
        <v>45700</v>
      </c>
      <c r="K2970" s="6">
        <v>0.44667824074074075</v>
      </c>
    </row>
    <row r="2971" spans="1:11" x14ac:dyDescent="0.25">
      <c r="A2971" s="4">
        <v>12</v>
      </c>
      <c r="B2971" s="4" t="s">
        <v>11</v>
      </c>
      <c r="C2971" s="7">
        <v>25.96</v>
      </c>
      <c r="D2971" s="4" t="s">
        <v>18</v>
      </c>
      <c r="E2971" s="4" t="s">
        <v>17</v>
      </c>
      <c r="F2971" s="4" t="s">
        <v>28</v>
      </c>
      <c r="G2971" s="4" t="s">
        <v>41</v>
      </c>
      <c r="H2971" s="4">
        <v>3</v>
      </c>
      <c r="I2971" s="4">
        <v>2</v>
      </c>
      <c r="J2971" s="5">
        <v>45700</v>
      </c>
      <c r="K2971" s="6">
        <v>0.53019675925925924</v>
      </c>
    </row>
    <row r="2972" spans="1:11" x14ac:dyDescent="0.25">
      <c r="A2972" s="4">
        <v>13</v>
      </c>
      <c r="B2972" s="4" t="s">
        <v>11</v>
      </c>
      <c r="C2972" s="7">
        <v>25.96</v>
      </c>
      <c r="D2972" s="4" t="s">
        <v>18</v>
      </c>
      <c r="E2972" s="4" t="s">
        <v>17</v>
      </c>
      <c r="F2972" s="4" t="s">
        <v>28</v>
      </c>
      <c r="G2972" s="4" t="s">
        <v>41</v>
      </c>
      <c r="H2972" s="4">
        <v>3</v>
      </c>
      <c r="I2972" s="4">
        <v>2</v>
      </c>
      <c r="J2972" s="5">
        <v>45700</v>
      </c>
      <c r="K2972" s="6">
        <v>0.54732638888888885</v>
      </c>
    </row>
    <row r="2973" spans="1:11" x14ac:dyDescent="0.25">
      <c r="A2973" s="4">
        <v>13</v>
      </c>
      <c r="B2973" s="4" t="s">
        <v>11</v>
      </c>
      <c r="C2973" s="7">
        <v>35.76</v>
      </c>
      <c r="D2973" s="4" t="s">
        <v>16</v>
      </c>
      <c r="E2973" s="4" t="s">
        <v>17</v>
      </c>
      <c r="F2973" s="4" t="s">
        <v>28</v>
      </c>
      <c r="G2973" s="4" t="s">
        <v>41</v>
      </c>
      <c r="H2973" s="4">
        <v>3</v>
      </c>
      <c r="I2973" s="4">
        <v>2</v>
      </c>
      <c r="J2973" s="5">
        <v>45700</v>
      </c>
      <c r="K2973" s="6">
        <v>0.57059027777777782</v>
      </c>
    </row>
    <row r="2974" spans="1:11" x14ac:dyDescent="0.25">
      <c r="A2974" s="4">
        <v>15</v>
      </c>
      <c r="B2974" s="4" t="s">
        <v>11</v>
      </c>
      <c r="C2974" s="7">
        <v>35.76</v>
      </c>
      <c r="D2974" s="4" t="s">
        <v>16</v>
      </c>
      <c r="E2974" s="4" t="s">
        <v>17</v>
      </c>
      <c r="F2974" s="4" t="s">
        <v>28</v>
      </c>
      <c r="G2974" s="4" t="s">
        <v>41</v>
      </c>
      <c r="H2974" s="4">
        <v>3</v>
      </c>
      <c r="I2974" s="4">
        <v>2</v>
      </c>
      <c r="J2974" s="5">
        <v>45700</v>
      </c>
      <c r="K2974" s="6">
        <v>0.65375000000000005</v>
      </c>
    </row>
    <row r="2975" spans="1:11" x14ac:dyDescent="0.25">
      <c r="A2975" s="4">
        <v>15</v>
      </c>
      <c r="B2975" s="4" t="s">
        <v>11</v>
      </c>
      <c r="C2975" s="7">
        <v>35.76</v>
      </c>
      <c r="D2975" s="4" t="s">
        <v>12</v>
      </c>
      <c r="E2975" s="4" t="s">
        <v>17</v>
      </c>
      <c r="F2975" s="4" t="s">
        <v>28</v>
      </c>
      <c r="G2975" s="4" t="s">
        <v>41</v>
      </c>
      <c r="H2975" s="4">
        <v>3</v>
      </c>
      <c r="I2975" s="4">
        <v>2</v>
      </c>
      <c r="J2975" s="5">
        <v>45700</v>
      </c>
      <c r="K2975" s="6">
        <v>0.65435185185185185</v>
      </c>
    </row>
    <row r="2976" spans="1:11" x14ac:dyDescent="0.25">
      <c r="A2976" s="4">
        <v>15</v>
      </c>
      <c r="B2976" s="4" t="s">
        <v>11</v>
      </c>
      <c r="C2976" s="7">
        <v>35.76</v>
      </c>
      <c r="D2976" s="4" t="s">
        <v>16</v>
      </c>
      <c r="E2976" s="4" t="s">
        <v>17</v>
      </c>
      <c r="F2976" s="4" t="s">
        <v>28</v>
      </c>
      <c r="G2976" s="4" t="s">
        <v>41</v>
      </c>
      <c r="H2976" s="4">
        <v>3</v>
      </c>
      <c r="I2976" s="4">
        <v>2</v>
      </c>
      <c r="J2976" s="5">
        <v>45700</v>
      </c>
      <c r="K2976" s="6">
        <v>0.65525462962962966</v>
      </c>
    </row>
    <row r="2977" spans="1:11" x14ac:dyDescent="0.25">
      <c r="A2977" s="4">
        <v>16</v>
      </c>
      <c r="B2977" s="4" t="s">
        <v>11</v>
      </c>
      <c r="C2977" s="7">
        <v>25.96</v>
      </c>
      <c r="D2977" s="4" t="s">
        <v>18</v>
      </c>
      <c r="E2977" s="4" t="s">
        <v>17</v>
      </c>
      <c r="F2977" s="4" t="s">
        <v>28</v>
      </c>
      <c r="G2977" s="4" t="s">
        <v>41</v>
      </c>
      <c r="H2977" s="4">
        <v>3</v>
      </c>
      <c r="I2977" s="4">
        <v>2</v>
      </c>
      <c r="J2977" s="5">
        <v>45700</v>
      </c>
      <c r="K2977" s="6">
        <v>0.6756712962962963</v>
      </c>
    </row>
    <row r="2978" spans="1:11" x14ac:dyDescent="0.25">
      <c r="A2978" s="4">
        <v>16</v>
      </c>
      <c r="B2978" s="4" t="s">
        <v>11</v>
      </c>
      <c r="C2978" s="7">
        <v>25.96</v>
      </c>
      <c r="D2978" s="4" t="s">
        <v>18</v>
      </c>
      <c r="E2978" s="4" t="s">
        <v>17</v>
      </c>
      <c r="F2978" s="4" t="s">
        <v>28</v>
      </c>
      <c r="G2978" s="4" t="s">
        <v>41</v>
      </c>
      <c r="H2978" s="4">
        <v>3</v>
      </c>
      <c r="I2978" s="4">
        <v>2</v>
      </c>
      <c r="J2978" s="5">
        <v>45700</v>
      </c>
      <c r="K2978" s="6">
        <v>0.68481481481481477</v>
      </c>
    </row>
    <row r="2979" spans="1:11" x14ac:dyDescent="0.25">
      <c r="A2979" s="4">
        <v>17</v>
      </c>
      <c r="B2979" s="4" t="s">
        <v>11</v>
      </c>
      <c r="C2979" s="7">
        <v>35.76</v>
      </c>
      <c r="D2979" s="4" t="s">
        <v>29</v>
      </c>
      <c r="E2979" s="4" t="s">
        <v>20</v>
      </c>
      <c r="F2979" s="4" t="s">
        <v>28</v>
      </c>
      <c r="G2979" s="4" t="s">
        <v>41</v>
      </c>
      <c r="H2979" s="4">
        <v>3</v>
      </c>
      <c r="I2979" s="4">
        <v>2</v>
      </c>
      <c r="J2979" s="5">
        <v>45700</v>
      </c>
      <c r="K2979" s="6">
        <v>0.7121643518518519</v>
      </c>
    </row>
    <row r="2980" spans="1:11" x14ac:dyDescent="0.25">
      <c r="A2980" s="4">
        <v>17</v>
      </c>
      <c r="B2980" s="4" t="s">
        <v>11</v>
      </c>
      <c r="C2980" s="7">
        <v>25.96</v>
      </c>
      <c r="D2980" s="4" t="s">
        <v>18</v>
      </c>
      <c r="E2980" s="4" t="s">
        <v>20</v>
      </c>
      <c r="F2980" s="4" t="s">
        <v>28</v>
      </c>
      <c r="G2980" s="4" t="s">
        <v>41</v>
      </c>
      <c r="H2980" s="4">
        <v>3</v>
      </c>
      <c r="I2980" s="4">
        <v>2</v>
      </c>
      <c r="J2980" s="5">
        <v>45700</v>
      </c>
      <c r="K2980" s="6">
        <v>0.7380902777777778</v>
      </c>
    </row>
    <row r="2981" spans="1:11" x14ac:dyDescent="0.25">
      <c r="A2981" s="4">
        <v>20</v>
      </c>
      <c r="B2981" s="4" t="s">
        <v>11</v>
      </c>
      <c r="C2981" s="7">
        <v>35.76</v>
      </c>
      <c r="D2981" s="4" t="s">
        <v>12</v>
      </c>
      <c r="E2981" s="4" t="s">
        <v>20</v>
      </c>
      <c r="F2981" s="4" t="s">
        <v>28</v>
      </c>
      <c r="G2981" s="4" t="s">
        <v>41</v>
      </c>
      <c r="H2981" s="4">
        <v>3</v>
      </c>
      <c r="I2981" s="4">
        <v>2</v>
      </c>
      <c r="J2981" s="5">
        <v>45700</v>
      </c>
      <c r="K2981" s="6">
        <v>0.83726851851851847</v>
      </c>
    </row>
    <row r="2982" spans="1:11" x14ac:dyDescent="0.25">
      <c r="A2982" s="4">
        <v>20</v>
      </c>
      <c r="B2982" s="4" t="s">
        <v>11</v>
      </c>
      <c r="C2982" s="7">
        <v>35.76</v>
      </c>
      <c r="D2982" s="4" t="s">
        <v>21</v>
      </c>
      <c r="E2982" s="4" t="s">
        <v>20</v>
      </c>
      <c r="F2982" s="4" t="s">
        <v>28</v>
      </c>
      <c r="G2982" s="4" t="s">
        <v>41</v>
      </c>
      <c r="H2982" s="4">
        <v>3</v>
      </c>
      <c r="I2982" s="4">
        <v>2</v>
      </c>
      <c r="J2982" s="5">
        <v>45700</v>
      </c>
      <c r="K2982" s="6">
        <v>0.84945601851851849</v>
      </c>
    </row>
    <row r="2983" spans="1:11" x14ac:dyDescent="0.25">
      <c r="A2983" s="4">
        <v>21</v>
      </c>
      <c r="B2983" s="4" t="s">
        <v>11</v>
      </c>
      <c r="C2983" s="7">
        <v>35.76</v>
      </c>
      <c r="D2983" s="4" t="s">
        <v>29</v>
      </c>
      <c r="E2983" s="4" t="s">
        <v>20</v>
      </c>
      <c r="F2983" s="4" t="s">
        <v>28</v>
      </c>
      <c r="G2983" s="4" t="s">
        <v>41</v>
      </c>
      <c r="H2983" s="4">
        <v>3</v>
      </c>
      <c r="I2983" s="4">
        <v>2</v>
      </c>
      <c r="J2983" s="5">
        <v>45700</v>
      </c>
      <c r="K2983" s="6">
        <v>0.88685185185185189</v>
      </c>
    </row>
    <row r="2984" spans="1:11" x14ac:dyDescent="0.25">
      <c r="A2984" s="4">
        <v>7</v>
      </c>
      <c r="B2984" s="4" t="s">
        <v>11</v>
      </c>
      <c r="C2984" s="7">
        <v>30.86</v>
      </c>
      <c r="D2984" s="4" t="s">
        <v>19</v>
      </c>
      <c r="E2984" s="4" t="s">
        <v>13</v>
      </c>
      <c r="F2984" s="4" t="s">
        <v>30</v>
      </c>
      <c r="G2984" s="4" t="s">
        <v>41</v>
      </c>
      <c r="H2984" s="4">
        <v>4</v>
      </c>
      <c r="I2984" s="4">
        <v>2</v>
      </c>
      <c r="J2984" s="5">
        <v>45701</v>
      </c>
      <c r="K2984" s="6">
        <v>0.31859953703703703</v>
      </c>
    </row>
    <row r="2985" spans="1:11" x14ac:dyDescent="0.25">
      <c r="A2985" s="4">
        <v>8</v>
      </c>
      <c r="B2985" s="4" t="s">
        <v>11</v>
      </c>
      <c r="C2985" s="7">
        <v>25.96</v>
      </c>
      <c r="D2985" s="4" t="s">
        <v>18</v>
      </c>
      <c r="E2985" s="4" t="s">
        <v>13</v>
      </c>
      <c r="F2985" s="4" t="s">
        <v>30</v>
      </c>
      <c r="G2985" s="4" t="s">
        <v>41</v>
      </c>
      <c r="H2985" s="4">
        <v>4</v>
      </c>
      <c r="I2985" s="4">
        <v>2</v>
      </c>
      <c r="J2985" s="5">
        <v>45701</v>
      </c>
      <c r="K2985" s="6">
        <v>0.36524305555555553</v>
      </c>
    </row>
    <row r="2986" spans="1:11" x14ac:dyDescent="0.25">
      <c r="A2986" s="4">
        <v>9</v>
      </c>
      <c r="B2986" s="4" t="s">
        <v>11</v>
      </c>
      <c r="C2986" s="7">
        <v>21.06</v>
      </c>
      <c r="D2986" s="4" t="s">
        <v>26</v>
      </c>
      <c r="E2986" s="4" t="s">
        <v>13</v>
      </c>
      <c r="F2986" s="4" t="s">
        <v>30</v>
      </c>
      <c r="G2986" s="4" t="s">
        <v>41</v>
      </c>
      <c r="H2986" s="4">
        <v>4</v>
      </c>
      <c r="I2986" s="4">
        <v>2</v>
      </c>
      <c r="J2986" s="5">
        <v>45701</v>
      </c>
      <c r="K2986" s="6">
        <v>0.38704861111111111</v>
      </c>
    </row>
    <row r="2987" spans="1:11" x14ac:dyDescent="0.25">
      <c r="A2987" s="4">
        <v>9</v>
      </c>
      <c r="B2987" s="4" t="s">
        <v>11</v>
      </c>
      <c r="C2987" s="7">
        <v>35.76</v>
      </c>
      <c r="D2987" s="4" t="s">
        <v>21</v>
      </c>
      <c r="E2987" s="4" t="s">
        <v>13</v>
      </c>
      <c r="F2987" s="4" t="s">
        <v>30</v>
      </c>
      <c r="G2987" s="4" t="s">
        <v>41</v>
      </c>
      <c r="H2987" s="4">
        <v>4</v>
      </c>
      <c r="I2987" s="4">
        <v>2</v>
      </c>
      <c r="J2987" s="5">
        <v>45701</v>
      </c>
      <c r="K2987" s="6">
        <v>0.40005787037037038</v>
      </c>
    </row>
    <row r="2988" spans="1:11" x14ac:dyDescent="0.25">
      <c r="A2988" s="4">
        <v>10</v>
      </c>
      <c r="B2988" s="4" t="s">
        <v>11</v>
      </c>
      <c r="C2988" s="7">
        <v>30.86</v>
      </c>
      <c r="D2988" s="4" t="s">
        <v>19</v>
      </c>
      <c r="E2988" s="4" t="s">
        <v>13</v>
      </c>
      <c r="F2988" s="4" t="s">
        <v>30</v>
      </c>
      <c r="G2988" s="4" t="s">
        <v>41</v>
      </c>
      <c r="H2988" s="4">
        <v>4</v>
      </c>
      <c r="I2988" s="4">
        <v>2</v>
      </c>
      <c r="J2988" s="5">
        <v>45701</v>
      </c>
      <c r="K2988" s="6">
        <v>0.43717592592592591</v>
      </c>
    </row>
    <row r="2989" spans="1:11" x14ac:dyDescent="0.25">
      <c r="A2989" s="4">
        <v>10</v>
      </c>
      <c r="B2989" s="4" t="s">
        <v>11</v>
      </c>
      <c r="C2989" s="7">
        <v>30.86</v>
      </c>
      <c r="D2989" s="4" t="s">
        <v>19</v>
      </c>
      <c r="E2989" s="4" t="s">
        <v>13</v>
      </c>
      <c r="F2989" s="4" t="s">
        <v>30</v>
      </c>
      <c r="G2989" s="4" t="s">
        <v>41</v>
      </c>
      <c r="H2989" s="4">
        <v>4</v>
      </c>
      <c r="I2989" s="4">
        <v>2</v>
      </c>
      <c r="J2989" s="5">
        <v>45701</v>
      </c>
      <c r="K2989" s="6">
        <v>0.45795138888888887</v>
      </c>
    </row>
    <row r="2990" spans="1:11" x14ac:dyDescent="0.25">
      <c r="A2990" s="4">
        <v>16</v>
      </c>
      <c r="B2990" s="4" t="s">
        <v>11</v>
      </c>
      <c r="C2990" s="7">
        <v>25.96</v>
      </c>
      <c r="D2990" s="4" t="s">
        <v>18</v>
      </c>
      <c r="E2990" s="4" t="s">
        <v>17</v>
      </c>
      <c r="F2990" s="4" t="s">
        <v>30</v>
      </c>
      <c r="G2990" s="4" t="s">
        <v>41</v>
      </c>
      <c r="H2990" s="4">
        <v>4</v>
      </c>
      <c r="I2990" s="4">
        <v>2</v>
      </c>
      <c r="J2990" s="5">
        <v>45701</v>
      </c>
      <c r="K2990" s="6">
        <v>0.68795138888888885</v>
      </c>
    </row>
    <row r="2991" spans="1:11" x14ac:dyDescent="0.25">
      <c r="A2991" s="4">
        <v>16</v>
      </c>
      <c r="B2991" s="4" t="s">
        <v>11</v>
      </c>
      <c r="C2991" s="7">
        <v>25.96</v>
      </c>
      <c r="D2991" s="4" t="s">
        <v>18</v>
      </c>
      <c r="E2991" s="4" t="s">
        <v>17</v>
      </c>
      <c r="F2991" s="4" t="s">
        <v>30</v>
      </c>
      <c r="G2991" s="4" t="s">
        <v>41</v>
      </c>
      <c r="H2991" s="4">
        <v>4</v>
      </c>
      <c r="I2991" s="4">
        <v>2</v>
      </c>
      <c r="J2991" s="5">
        <v>45701</v>
      </c>
      <c r="K2991" s="6">
        <v>0.68857638888888884</v>
      </c>
    </row>
    <row r="2992" spans="1:11" x14ac:dyDescent="0.25">
      <c r="A2992" s="4">
        <v>17</v>
      </c>
      <c r="B2992" s="4" t="s">
        <v>11</v>
      </c>
      <c r="C2992" s="7">
        <v>30.86</v>
      </c>
      <c r="D2992" s="4" t="s">
        <v>19</v>
      </c>
      <c r="E2992" s="4" t="s">
        <v>20</v>
      </c>
      <c r="F2992" s="4" t="s">
        <v>30</v>
      </c>
      <c r="G2992" s="4" t="s">
        <v>41</v>
      </c>
      <c r="H2992" s="4">
        <v>4</v>
      </c>
      <c r="I2992" s="4">
        <v>2</v>
      </c>
      <c r="J2992" s="5">
        <v>45701</v>
      </c>
      <c r="K2992" s="6">
        <v>0.71957175925925931</v>
      </c>
    </row>
    <row r="2993" spans="1:11" x14ac:dyDescent="0.25">
      <c r="A2993" s="4">
        <v>17</v>
      </c>
      <c r="B2993" s="4" t="s">
        <v>11</v>
      </c>
      <c r="C2993" s="7">
        <v>30.86</v>
      </c>
      <c r="D2993" s="4" t="s">
        <v>19</v>
      </c>
      <c r="E2993" s="4" t="s">
        <v>20</v>
      </c>
      <c r="F2993" s="4" t="s">
        <v>30</v>
      </c>
      <c r="G2993" s="4" t="s">
        <v>41</v>
      </c>
      <c r="H2993" s="4">
        <v>4</v>
      </c>
      <c r="I2993" s="4">
        <v>2</v>
      </c>
      <c r="J2993" s="5">
        <v>45701</v>
      </c>
      <c r="K2993" s="6">
        <v>0.72037037037037033</v>
      </c>
    </row>
    <row r="2994" spans="1:11" x14ac:dyDescent="0.25">
      <c r="A2994" s="4">
        <v>18</v>
      </c>
      <c r="B2994" s="4" t="s">
        <v>11</v>
      </c>
      <c r="C2994" s="7">
        <v>35.76</v>
      </c>
      <c r="D2994" s="4" t="s">
        <v>12</v>
      </c>
      <c r="E2994" s="4" t="s">
        <v>20</v>
      </c>
      <c r="F2994" s="4" t="s">
        <v>30</v>
      </c>
      <c r="G2994" s="4" t="s">
        <v>41</v>
      </c>
      <c r="H2994" s="4">
        <v>4</v>
      </c>
      <c r="I2994" s="4">
        <v>2</v>
      </c>
      <c r="J2994" s="5">
        <v>45701</v>
      </c>
      <c r="K2994" s="6">
        <v>0.75109953703703702</v>
      </c>
    </row>
    <row r="2995" spans="1:11" x14ac:dyDescent="0.25">
      <c r="A2995" s="4">
        <v>18</v>
      </c>
      <c r="B2995" s="4" t="s">
        <v>11</v>
      </c>
      <c r="C2995" s="7">
        <v>35.76</v>
      </c>
      <c r="D2995" s="4" t="s">
        <v>29</v>
      </c>
      <c r="E2995" s="4" t="s">
        <v>20</v>
      </c>
      <c r="F2995" s="4" t="s">
        <v>30</v>
      </c>
      <c r="G2995" s="4" t="s">
        <v>41</v>
      </c>
      <c r="H2995" s="4">
        <v>4</v>
      </c>
      <c r="I2995" s="4">
        <v>2</v>
      </c>
      <c r="J2995" s="5">
        <v>45701</v>
      </c>
      <c r="K2995" s="6">
        <v>0.76050925925925927</v>
      </c>
    </row>
    <row r="2996" spans="1:11" x14ac:dyDescent="0.25">
      <c r="A2996" s="4">
        <v>19</v>
      </c>
      <c r="B2996" s="4" t="s">
        <v>11</v>
      </c>
      <c r="C2996" s="7">
        <v>35.76</v>
      </c>
      <c r="D2996" s="4" t="s">
        <v>12</v>
      </c>
      <c r="E2996" s="4" t="s">
        <v>20</v>
      </c>
      <c r="F2996" s="4" t="s">
        <v>30</v>
      </c>
      <c r="G2996" s="4" t="s">
        <v>41</v>
      </c>
      <c r="H2996" s="4">
        <v>4</v>
      </c>
      <c r="I2996" s="4">
        <v>2</v>
      </c>
      <c r="J2996" s="5">
        <v>45701</v>
      </c>
      <c r="K2996" s="6">
        <v>0.79618055555555556</v>
      </c>
    </row>
    <row r="2997" spans="1:11" x14ac:dyDescent="0.25">
      <c r="A2997" s="4">
        <v>11</v>
      </c>
      <c r="B2997" s="4" t="s">
        <v>11</v>
      </c>
      <c r="C2997" s="7">
        <v>25.96</v>
      </c>
      <c r="D2997" s="4" t="s">
        <v>18</v>
      </c>
      <c r="E2997" s="4" t="s">
        <v>13</v>
      </c>
      <c r="F2997" s="4" t="s">
        <v>14</v>
      </c>
      <c r="G2997" s="4" t="s">
        <v>41</v>
      </c>
      <c r="H2997" s="4">
        <v>5</v>
      </c>
      <c r="I2997" s="4">
        <v>2</v>
      </c>
      <c r="J2997" s="5">
        <v>45702</v>
      </c>
      <c r="K2997" s="6">
        <v>0.4853587962962963</v>
      </c>
    </row>
    <row r="2998" spans="1:11" x14ac:dyDescent="0.25">
      <c r="A2998" s="4">
        <v>14</v>
      </c>
      <c r="B2998" s="4" t="s">
        <v>11</v>
      </c>
      <c r="C2998" s="7">
        <v>35.76</v>
      </c>
      <c r="D2998" s="4" t="s">
        <v>16</v>
      </c>
      <c r="E2998" s="4" t="s">
        <v>17</v>
      </c>
      <c r="F2998" s="4" t="s">
        <v>14</v>
      </c>
      <c r="G2998" s="4" t="s">
        <v>41</v>
      </c>
      <c r="H2998" s="4">
        <v>5</v>
      </c>
      <c r="I2998" s="4">
        <v>2</v>
      </c>
      <c r="J2998" s="5">
        <v>45702</v>
      </c>
      <c r="K2998" s="6">
        <v>0.58829861111111115</v>
      </c>
    </row>
    <row r="2999" spans="1:11" x14ac:dyDescent="0.25">
      <c r="A2999" s="4">
        <v>14</v>
      </c>
      <c r="B2999" s="4" t="s">
        <v>11</v>
      </c>
      <c r="C2999" s="7">
        <v>25.96</v>
      </c>
      <c r="D2999" s="4" t="s">
        <v>18</v>
      </c>
      <c r="E2999" s="4" t="s">
        <v>17</v>
      </c>
      <c r="F2999" s="4" t="s">
        <v>14</v>
      </c>
      <c r="G2999" s="4" t="s">
        <v>41</v>
      </c>
      <c r="H2999" s="4">
        <v>5</v>
      </c>
      <c r="I2999" s="4">
        <v>2</v>
      </c>
      <c r="J2999" s="5">
        <v>45702</v>
      </c>
      <c r="K2999" s="6">
        <v>0.61526620370370366</v>
      </c>
    </row>
    <row r="3000" spans="1:11" x14ac:dyDescent="0.25">
      <c r="A3000" s="4">
        <v>14</v>
      </c>
      <c r="B3000" s="4" t="s">
        <v>11</v>
      </c>
      <c r="C3000" s="7">
        <v>21.06</v>
      </c>
      <c r="D3000" s="4" t="s">
        <v>26</v>
      </c>
      <c r="E3000" s="4" t="s">
        <v>17</v>
      </c>
      <c r="F3000" s="4" t="s">
        <v>14</v>
      </c>
      <c r="G3000" s="4" t="s">
        <v>41</v>
      </c>
      <c r="H3000" s="4">
        <v>5</v>
      </c>
      <c r="I3000" s="4">
        <v>2</v>
      </c>
      <c r="J3000" s="5">
        <v>45702</v>
      </c>
      <c r="K3000" s="6">
        <v>0.61579861111111112</v>
      </c>
    </row>
    <row r="3001" spans="1:11" x14ac:dyDescent="0.25">
      <c r="A3001" s="4">
        <v>14</v>
      </c>
      <c r="B3001" s="4" t="s">
        <v>11</v>
      </c>
      <c r="C3001" s="7">
        <v>30.86</v>
      </c>
      <c r="D3001" s="4" t="s">
        <v>19</v>
      </c>
      <c r="E3001" s="4" t="s">
        <v>17</v>
      </c>
      <c r="F3001" s="4" t="s">
        <v>14</v>
      </c>
      <c r="G3001" s="4" t="s">
        <v>41</v>
      </c>
      <c r="H3001" s="4">
        <v>5</v>
      </c>
      <c r="I3001" s="4">
        <v>2</v>
      </c>
      <c r="J3001" s="5">
        <v>45702</v>
      </c>
      <c r="K3001" s="6">
        <v>0.62375000000000003</v>
      </c>
    </row>
    <row r="3002" spans="1:11" x14ac:dyDescent="0.25">
      <c r="A3002" s="4">
        <v>15</v>
      </c>
      <c r="B3002" s="4" t="s">
        <v>11</v>
      </c>
      <c r="C3002" s="7">
        <v>35.76</v>
      </c>
      <c r="D3002" s="4" t="s">
        <v>29</v>
      </c>
      <c r="E3002" s="4" t="s">
        <v>17</v>
      </c>
      <c r="F3002" s="4" t="s">
        <v>14</v>
      </c>
      <c r="G3002" s="4" t="s">
        <v>41</v>
      </c>
      <c r="H3002" s="4">
        <v>5</v>
      </c>
      <c r="I3002" s="4">
        <v>2</v>
      </c>
      <c r="J3002" s="5">
        <v>45702</v>
      </c>
      <c r="K3002" s="6">
        <v>0.62518518518518518</v>
      </c>
    </row>
    <row r="3003" spans="1:11" x14ac:dyDescent="0.25">
      <c r="A3003" s="4">
        <v>15</v>
      </c>
      <c r="B3003" s="4" t="s">
        <v>11</v>
      </c>
      <c r="C3003" s="7">
        <v>35.76</v>
      </c>
      <c r="D3003" s="4" t="s">
        <v>29</v>
      </c>
      <c r="E3003" s="4" t="s">
        <v>17</v>
      </c>
      <c r="F3003" s="4" t="s">
        <v>14</v>
      </c>
      <c r="G3003" s="4" t="s">
        <v>41</v>
      </c>
      <c r="H3003" s="4">
        <v>5</v>
      </c>
      <c r="I3003" s="4">
        <v>2</v>
      </c>
      <c r="J3003" s="5">
        <v>45702</v>
      </c>
      <c r="K3003" s="6">
        <v>0.65046296296296291</v>
      </c>
    </row>
    <row r="3004" spans="1:11" x14ac:dyDescent="0.25">
      <c r="A3004" s="4">
        <v>15</v>
      </c>
      <c r="B3004" s="4" t="s">
        <v>11</v>
      </c>
      <c r="C3004" s="7">
        <v>35.76</v>
      </c>
      <c r="D3004" s="4" t="s">
        <v>12</v>
      </c>
      <c r="E3004" s="4" t="s">
        <v>17</v>
      </c>
      <c r="F3004" s="4" t="s">
        <v>14</v>
      </c>
      <c r="G3004" s="4" t="s">
        <v>41</v>
      </c>
      <c r="H3004" s="4">
        <v>5</v>
      </c>
      <c r="I3004" s="4">
        <v>2</v>
      </c>
      <c r="J3004" s="5">
        <v>45702</v>
      </c>
      <c r="K3004" s="6">
        <v>0.6519328703703704</v>
      </c>
    </row>
    <row r="3005" spans="1:11" x14ac:dyDescent="0.25">
      <c r="A3005" s="4">
        <v>15</v>
      </c>
      <c r="B3005" s="4" t="s">
        <v>11</v>
      </c>
      <c r="C3005" s="7">
        <v>35.76</v>
      </c>
      <c r="D3005" s="4" t="s">
        <v>16</v>
      </c>
      <c r="E3005" s="4" t="s">
        <v>17</v>
      </c>
      <c r="F3005" s="4" t="s">
        <v>14</v>
      </c>
      <c r="G3005" s="4" t="s">
        <v>41</v>
      </c>
      <c r="H3005" s="4">
        <v>5</v>
      </c>
      <c r="I3005" s="4">
        <v>2</v>
      </c>
      <c r="J3005" s="5">
        <v>45702</v>
      </c>
      <c r="K3005" s="6">
        <v>0.66245370370370371</v>
      </c>
    </row>
    <row r="3006" spans="1:11" x14ac:dyDescent="0.25">
      <c r="A3006" s="4">
        <v>15</v>
      </c>
      <c r="B3006" s="4" t="s">
        <v>11</v>
      </c>
      <c r="C3006" s="7">
        <v>35.76</v>
      </c>
      <c r="D3006" s="4" t="s">
        <v>29</v>
      </c>
      <c r="E3006" s="4" t="s">
        <v>17</v>
      </c>
      <c r="F3006" s="4" t="s">
        <v>14</v>
      </c>
      <c r="G3006" s="4" t="s">
        <v>41</v>
      </c>
      <c r="H3006" s="4">
        <v>5</v>
      </c>
      <c r="I3006" s="4">
        <v>2</v>
      </c>
      <c r="J3006" s="5">
        <v>45702</v>
      </c>
      <c r="K3006" s="6">
        <v>0.66315972222222219</v>
      </c>
    </row>
    <row r="3007" spans="1:11" x14ac:dyDescent="0.25">
      <c r="A3007" s="4">
        <v>17</v>
      </c>
      <c r="B3007" s="4" t="s">
        <v>11</v>
      </c>
      <c r="C3007" s="7">
        <v>25.96</v>
      </c>
      <c r="D3007" s="4" t="s">
        <v>18</v>
      </c>
      <c r="E3007" s="4" t="s">
        <v>20</v>
      </c>
      <c r="F3007" s="4" t="s">
        <v>14</v>
      </c>
      <c r="G3007" s="4" t="s">
        <v>41</v>
      </c>
      <c r="H3007" s="4">
        <v>5</v>
      </c>
      <c r="I3007" s="4">
        <v>2</v>
      </c>
      <c r="J3007" s="5">
        <v>45702</v>
      </c>
      <c r="K3007" s="6">
        <v>0.71060185185185187</v>
      </c>
    </row>
    <row r="3008" spans="1:11" x14ac:dyDescent="0.25">
      <c r="A3008" s="4">
        <v>17</v>
      </c>
      <c r="B3008" s="4" t="s">
        <v>11</v>
      </c>
      <c r="C3008" s="7">
        <v>35.76</v>
      </c>
      <c r="D3008" s="4" t="s">
        <v>21</v>
      </c>
      <c r="E3008" s="4" t="s">
        <v>20</v>
      </c>
      <c r="F3008" s="4" t="s">
        <v>14</v>
      </c>
      <c r="G3008" s="4" t="s">
        <v>41</v>
      </c>
      <c r="H3008" s="4">
        <v>5</v>
      </c>
      <c r="I3008" s="4">
        <v>2</v>
      </c>
      <c r="J3008" s="5">
        <v>45702</v>
      </c>
      <c r="K3008" s="6">
        <v>0.71144675925925926</v>
      </c>
    </row>
    <row r="3009" spans="1:11" x14ac:dyDescent="0.25">
      <c r="A3009" s="4">
        <v>17</v>
      </c>
      <c r="B3009" s="4" t="s">
        <v>11</v>
      </c>
      <c r="C3009" s="7">
        <v>21.06</v>
      </c>
      <c r="D3009" s="4" t="s">
        <v>26</v>
      </c>
      <c r="E3009" s="4" t="s">
        <v>20</v>
      </c>
      <c r="F3009" s="4" t="s">
        <v>14</v>
      </c>
      <c r="G3009" s="4" t="s">
        <v>41</v>
      </c>
      <c r="H3009" s="4">
        <v>5</v>
      </c>
      <c r="I3009" s="4">
        <v>2</v>
      </c>
      <c r="J3009" s="5">
        <v>45702</v>
      </c>
      <c r="K3009" s="6">
        <v>0.71466435185185184</v>
      </c>
    </row>
    <row r="3010" spans="1:11" x14ac:dyDescent="0.25">
      <c r="A3010" s="4">
        <v>17</v>
      </c>
      <c r="B3010" s="4" t="s">
        <v>11</v>
      </c>
      <c r="C3010" s="7">
        <v>30.86</v>
      </c>
      <c r="D3010" s="4" t="s">
        <v>19</v>
      </c>
      <c r="E3010" s="4" t="s">
        <v>20</v>
      </c>
      <c r="F3010" s="4" t="s">
        <v>14</v>
      </c>
      <c r="G3010" s="4" t="s">
        <v>41</v>
      </c>
      <c r="H3010" s="4">
        <v>5</v>
      </c>
      <c r="I3010" s="4">
        <v>2</v>
      </c>
      <c r="J3010" s="5">
        <v>45702</v>
      </c>
      <c r="K3010" s="6">
        <v>0.72597222222222224</v>
      </c>
    </row>
    <row r="3011" spans="1:11" x14ac:dyDescent="0.25">
      <c r="A3011" s="4">
        <v>21</v>
      </c>
      <c r="B3011" s="4" t="s">
        <v>11</v>
      </c>
      <c r="C3011" s="7">
        <v>25.96</v>
      </c>
      <c r="D3011" s="4" t="s">
        <v>18</v>
      </c>
      <c r="E3011" s="4" t="s">
        <v>20</v>
      </c>
      <c r="F3011" s="4" t="s">
        <v>14</v>
      </c>
      <c r="G3011" s="4" t="s">
        <v>41</v>
      </c>
      <c r="H3011" s="4">
        <v>5</v>
      </c>
      <c r="I3011" s="4">
        <v>2</v>
      </c>
      <c r="J3011" s="5">
        <v>45702</v>
      </c>
      <c r="K3011" s="6">
        <v>0.88783564814814819</v>
      </c>
    </row>
    <row r="3012" spans="1:11" x14ac:dyDescent="0.25">
      <c r="A3012" s="4">
        <v>9</v>
      </c>
      <c r="B3012" s="4" t="s">
        <v>11</v>
      </c>
      <c r="C3012" s="7">
        <v>35.76</v>
      </c>
      <c r="D3012" s="4" t="s">
        <v>29</v>
      </c>
      <c r="E3012" s="4" t="s">
        <v>13</v>
      </c>
      <c r="F3012" s="4" t="s">
        <v>22</v>
      </c>
      <c r="G3012" s="4" t="s">
        <v>41</v>
      </c>
      <c r="H3012" s="4">
        <v>6</v>
      </c>
      <c r="I3012" s="4">
        <v>2</v>
      </c>
      <c r="J3012" s="5">
        <v>45703</v>
      </c>
      <c r="K3012" s="6">
        <v>0.39086805555555554</v>
      </c>
    </row>
    <row r="3013" spans="1:11" x14ac:dyDescent="0.25">
      <c r="A3013" s="4">
        <v>12</v>
      </c>
      <c r="B3013" s="4" t="s">
        <v>11</v>
      </c>
      <c r="C3013" s="7">
        <v>35.76</v>
      </c>
      <c r="D3013" s="4" t="s">
        <v>29</v>
      </c>
      <c r="E3013" s="4" t="s">
        <v>17</v>
      </c>
      <c r="F3013" s="4" t="s">
        <v>22</v>
      </c>
      <c r="G3013" s="4" t="s">
        <v>41</v>
      </c>
      <c r="H3013" s="4">
        <v>6</v>
      </c>
      <c r="I3013" s="4">
        <v>2</v>
      </c>
      <c r="J3013" s="5">
        <v>45703</v>
      </c>
      <c r="K3013" s="6">
        <v>0.52908564814814818</v>
      </c>
    </row>
    <row r="3014" spans="1:11" x14ac:dyDescent="0.25">
      <c r="A3014" s="4">
        <v>12</v>
      </c>
      <c r="B3014" s="4" t="s">
        <v>11</v>
      </c>
      <c r="C3014" s="7">
        <v>25.96</v>
      </c>
      <c r="D3014" s="4" t="s">
        <v>18</v>
      </c>
      <c r="E3014" s="4" t="s">
        <v>17</v>
      </c>
      <c r="F3014" s="4" t="s">
        <v>22</v>
      </c>
      <c r="G3014" s="4" t="s">
        <v>41</v>
      </c>
      <c r="H3014" s="4">
        <v>6</v>
      </c>
      <c r="I3014" s="4">
        <v>2</v>
      </c>
      <c r="J3014" s="5">
        <v>45703</v>
      </c>
      <c r="K3014" s="6">
        <v>0.53085648148148146</v>
      </c>
    </row>
    <row r="3015" spans="1:11" x14ac:dyDescent="0.25">
      <c r="A3015" s="4">
        <v>13</v>
      </c>
      <c r="B3015" s="4" t="s">
        <v>11</v>
      </c>
      <c r="C3015" s="7">
        <v>30.86</v>
      </c>
      <c r="D3015" s="4" t="s">
        <v>19</v>
      </c>
      <c r="E3015" s="4" t="s">
        <v>17</v>
      </c>
      <c r="F3015" s="4" t="s">
        <v>22</v>
      </c>
      <c r="G3015" s="4" t="s">
        <v>41</v>
      </c>
      <c r="H3015" s="4">
        <v>6</v>
      </c>
      <c r="I3015" s="4">
        <v>2</v>
      </c>
      <c r="J3015" s="5">
        <v>45703</v>
      </c>
      <c r="K3015" s="6">
        <v>0.54327546296296292</v>
      </c>
    </row>
    <row r="3016" spans="1:11" x14ac:dyDescent="0.25">
      <c r="A3016" s="4">
        <v>13</v>
      </c>
      <c r="B3016" s="4" t="s">
        <v>11</v>
      </c>
      <c r="C3016" s="7">
        <v>30.86</v>
      </c>
      <c r="D3016" s="4" t="s">
        <v>19</v>
      </c>
      <c r="E3016" s="4" t="s">
        <v>17</v>
      </c>
      <c r="F3016" s="4" t="s">
        <v>22</v>
      </c>
      <c r="G3016" s="4" t="s">
        <v>41</v>
      </c>
      <c r="H3016" s="4">
        <v>6</v>
      </c>
      <c r="I3016" s="4">
        <v>2</v>
      </c>
      <c r="J3016" s="5">
        <v>45703</v>
      </c>
      <c r="K3016" s="6">
        <v>0.5639467592592593</v>
      </c>
    </row>
    <row r="3017" spans="1:11" x14ac:dyDescent="0.25">
      <c r="A3017" s="4">
        <v>14</v>
      </c>
      <c r="B3017" s="4" t="s">
        <v>11</v>
      </c>
      <c r="C3017" s="7">
        <v>35.76</v>
      </c>
      <c r="D3017" s="4" t="s">
        <v>29</v>
      </c>
      <c r="E3017" s="4" t="s">
        <v>17</v>
      </c>
      <c r="F3017" s="4" t="s">
        <v>22</v>
      </c>
      <c r="G3017" s="4" t="s">
        <v>41</v>
      </c>
      <c r="H3017" s="4">
        <v>6</v>
      </c>
      <c r="I3017" s="4">
        <v>2</v>
      </c>
      <c r="J3017" s="5">
        <v>45703</v>
      </c>
      <c r="K3017" s="6">
        <v>0.58461805555555557</v>
      </c>
    </row>
    <row r="3018" spans="1:11" x14ac:dyDescent="0.25">
      <c r="A3018" s="4">
        <v>14</v>
      </c>
      <c r="B3018" s="4" t="s">
        <v>11</v>
      </c>
      <c r="C3018" s="7">
        <v>25.96</v>
      </c>
      <c r="D3018" s="4" t="s">
        <v>18</v>
      </c>
      <c r="E3018" s="4" t="s">
        <v>17</v>
      </c>
      <c r="F3018" s="4" t="s">
        <v>22</v>
      </c>
      <c r="G3018" s="4" t="s">
        <v>41</v>
      </c>
      <c r="H3018" s="4">
        <v>6</v>
      </c>
      <c r="I3018" s="4">
        <v>2</v>
      </c>
      <c r="J3018" s="5">
        <v>45703</v>
      </c>
      <c r="K3018" s="6">
        <v>0.59158564814814818</v>
      </c>
    </row>
    <row r="3019" spans="1:11" x14ac:dyDescent="0.25">
      <c r="A3019" s="4">
        <v>15</v>
      </c>
      <c r="B3019" s="4" t="s">
        <v>11</v>
      </c>
      <c r="C3019" s="7">
        <v>35.76</v>
      </c>
      <c r="D3019" s="4" t="s">
        <v>16</v>
      </c>
      <c r="E3019" s="4" t="s">
        <v>17</v>
      </c>
      <c r="F3019" s="4" t="s">
        <v>22</v>
      </c>
      <c r="G3019" s="4" t="s">
        <v>41</v>
      </c>
      <c r="H3019" s="4">
        <v>6</v>
      </c>
      <c r="I3019" s="4">
        <v>2</v>
      </c>
      <c r="J3019" s="5">
        <v>45703</v>
      </c>
      <c r="K3019" s="6">
        <v>0.65285879629629628</v>
      </c>
    </row>
    <row r="3020" spans="1:11" x14ac:dyDescent="0.25">
      <c r="A3020" s="4">
        <v>15</v>
      </c>
      <c r="B3020" s="4" t="s">
        <v>11</v>
      </c>
      <c r="C3020" s="7">
        <v>35.76</v>
      </c>
      <c r="D3020" s="4" t="s">
        <v>16</v>
      </c>
      <c r="E3020" s="4" t="s">
        <v>17</v>
      </c>
      <c r="F3020" s="4" t="s">
        <v>22</v>
      </c>
      <c r="G3020" s="4" t="s">
        <v>41</v>
      </c>
      <c r="H3020" s="4">
        <v>6</v>
      </c>
      <c r="I3020" s="4">
        <v>2</v>
      </c>
      <c r="J3020" s="5">
        <v>45703</v>
      </c>
      <c r="K3020" s="6">
        <v>0.65346064814814819</v>
      </c>
    </row>
    <row r="3021" spans="1:11" x14ac:dyDescent="0.25">
      <c r="A3021" s="4">
        <v>10</v>
      </c>
      <c r="B3021" s="4" t="s">
        <v>11</v>
      </c>
      <c r="C3021" s="7">
        <v>25.96</v>
      </c>
      <c r="D3021" s="4" t="s">
        <v>18</v>
      </c>
      <c r="E3021" s="4" t="s">
        <v>13</v>
      </c>
      <c r="F3021" s="4" t="s">
        <v>23</v>
      </c>
      <c r="G3021" s="4" t="s">
        <v>41</v>
      </c>
      <c r="H3021" s="4">
        <v>7</v>
      </c>
      <c r="I3021" s="4">
        <v>2</v>
      </c>
      <c r="J3021" s="5">
        <v>45704</v>
      </c>
      <c r="K3021" s="6">
        <v>0.4491087962962963</v>
      </c>
    </row>
    <row r="3022" spans="1:11" x14ac:dyDescent="0.25">
      <c r="A3022" s="4">
        <v>10</v>
      </c>
      <c r="B3022" s="4" t="s">
        <v>11</v>
      </c>
      <c r="C3022" s="7">
        <v>25.96</v>
      </c>
      <c r="D3022" s="4" t="s">
        <v>18</v>
      </c>
      <c r="E3022" s="4" t="s">
        <v>13</v>
      </c>
      <c r="F3022" s="4" t="s">
        <v>23</v>
      </c>
      <c r="G3022" s="4" t="s">
        <v>41</v>
      </c>
      <c r="H3022" s="4">
        <v>7</v>
      </c>
      <c r="I3022" s="4">
        <v>2</v>
      </c>
      <c r="J3022" s="5">
        <v>45704</v>
      </c>
      <c r="K3022" s="6">
        <v>0.4513888888888889</v>
      </c>
    </row>
    <row r="3023" spans="1:11" x14ac:dyDescent="0.25">
      <c r="A3023" s="4">
        <v>10</v>
      </c>
      <c r="B3023" s="4" t="s">
        <v>11</v>
      </c>
      <c r="C3023" s="7">
        <v>30.86</v>
      </c>
      <c r="D3023" s="4" t="s">
        <v>19</v>
      </c>
      <c r="E3023" s="4" t="s">
        <v>13</v>
      </c>
      <c r="F3023" s="4" t="s">
        <v>23</v>
      </c>
      <c r="G3023" s="4" t="s">
        <v>41</v>
      </c>
      <c r="H3023" s="4">
        <v>7</v>
      </c>
      <c r="I3023" s="4">
        <v>2</v>
      </c>
      <c r="J3023" s="5">
        <v>45704</v>
      </c>
      <c r="K3023" s="6">
        <v>0.45211805555555556</v>
      </c>
    </row>
    <row r="3024" spans="1:11" x14ac:dyDescent="0.25">
      <c r="A3024" s="4">
        <v>11</v>
      </c>
      <c r="B3024" s="4" t="s">
        <v>11</v>
      </c>
      <c r="C3024" s="7">
        <v>35.76</v>
      </c>
      <c r="D3024" s="4" t="s">
        <v>16</v>
      </c>
      <c r="E3024" s="4" t="s">
        <v>13</v>
      </c>
      <c r="F3024" s="4" t="s">
        <v>23</v>
      </c>
      <c r="G3024" s="4" t="s">
        <v>41</v>
      </c>
      <c r="H3024" s="4">
        <v>7</v>
      </c>
      <c r="I3024" s="4">
        <v>2</v>
      </c>
      <c r="J3024" s="5">
        <v>45704</v>
      </c>
      <c r="K3024" s="6">
        <v>0.46165509259259258</v>
      </c>
    </row>
    <row r="3025" spans="1:11" x14ac:dyDescent="0.25">
      <c r="A3025" s="4">
        <v>11</v>
      </c>
      <c r="B3025" s="4" t="s">
        <v>11</v>
      </c>
      <c r="C3025" s="7">
        <v>25.96</v>
      </c>
      <c r="D3025" s="4" t="s">
        <v>18</v>
      </c>
      <c r="E3025" s="4" t="s">
        <v>13</v>
      </c>
      <c r="F3025" s="4" t="s">
        <v>23</v>
      </c>
      <c r="G3025" s="4" t="s">
        <v>41</v>
      </c>
      <c r="H3025" s="4">
        <v>7</v>
      </c>
      <c r="I3025" s="4">
        <v>2</v>
      </c>
      <c r="J3025" s="5">
        <v>45704</v>
      </c>
      <c r="K3025" s="6">
        <v>0.4808912037037037</v>
      </c>
    </row>
    <row r="3026" spans="1:11" x14ac:dyDescent="0.25">
      <c r="A3026" s="4">
        <v>14</v>
      </c>
      <c r="B3026" s="4" t="s">
        <v>11</v>
      </c>
      <c r="C3026" s="7">
        <v>35.76</v>
      </c>
      <c r="D3026" s="4" t="s">
        <v>16</v>
      </c>
      <c r="E3026" s="4" t="s">
        <v>17</v>
      </c>
      <c r="F3026" s="4" t="s">
        <v>23</v>
      </c>
      <c r="G3026" s="4" t="s">
        <v>41</v>
      </c>
      <c r="H3026" s="4">
        <v>7</v>
      </c>
      <c r="I3026" s="4">
        <v>2</v>
      </c>
      <c r="J3026" s="5">
        <v>45704</v>
      </c>
      <c r="K3026" s="6">
        <v>0.59417824074074077</v>
      </c>
    </row>
    <row r="3027" spans="1:11" x14ac:dyDescent="0.25">
      <c r="A3027" s="4">
        <v>14</v>
      </c>
      <c r="B3027" s="4" t="s">
        <v>11</v>
      </c>
      <c r="C3027" s="7">
        <v>35.76</v>
      </c>
      <c r="D3027" s="4" t="s">
        <v>12</v>
      </c>
      <c r="E3027" s="4" t="s">
        <v>17</v>
      </c>
      <c r="F3027" s="4" t="s">
        <v>23</v>
      </c>
      <c r="G3027" s="4" t="s">
        <v>41</v>
      </c>
      <c r="H3027" s="4">
        <v>7</v>
      </c>
      <c r="I3027" s="4">
        <v>2</v>
      </c>
      <c r="J3027" s="5">
        <v>45704</v>
      </c>
      <c r="K3027" s="6">
        <v>0.59491898148148148</v>
      </c>
    </row>
    <row r="3028" spans="1:11" x14ac:dyDescent="0.25">
      <c r="A3028" s="4">
        <v>17</v>
      </c>
      <c r="B3028" s="4" t="s">
        <v>11</v>
      </c>
      <c r="C3028" s="7">
        <v>35.76</v>
      </c>
      <c r="D3028" s="4" t="s">
        <v>16</v>
      </c>
      <c r="E3028" s="4" t="s">
        <v>20</v>
      </c>
      <c r="F3028" s="4" t="s">
        <v>23</v>
      </c>
      <c r="G3028" s="4" t="s">
        <v>41</v>
      </c>
      <c r="H3028" s="4">
        <v>7</v>
      </c>
      <c r="I3028" s="4">
        <v>2</v>
      </c>
      <c r="J3028" s="5">
        <v>45704</v>
      </c>
      <c r="K3028" s="6">
        <v>0.71697916666666661</v>
      </c>
    </row>
    <row r="3029" spans="1:11" x14ac:dyDescent="0.25">
      <c r="A3029" s="4">
        <v>17</v>
      </c>
      <c r="B3029" s="4" t="s">
        <v>11</v>
      </c>
      <c r="C3029" s="7">
        <v>30.86</v>
      </c>
      <c r="D3029" s="4" t="s">
        <v>19</v>
      </c>
      <c r="E3029" s="4" t="s">
        <v>20</v>
      </c>
      <c r="F3029" s="4" t="s">
        <v>23</v>
      </c>
      <c r="G3029" s="4" t="s">
        <v>41</v>
      </c>
      <c r="H3029" s="4">
        <v>7</v>
      </c>
      <c r="I3029" s="4">
        <v>2</v>
      </c>
      <c r="J3029" s="5">
        <v>45704</v>
      </c>
      <c r="K3029" s="6">
        <v>0.71773148148148147</v>
      </c>
    </row>
    <row r="3030" spans="1:11" x14ac:dyDescent="0.25">
      <c r="A3030" s="4">
        <v>17</v>
      </c>
      <c r="B3030" s="4" t="s">
        <v>11</v>
      </c>
      <c r="C3030" s="7">
        <v>30.86</v>
      </c>
      <c r="D3030" s="4" t="s">
        <v>19</v>
      </c>
      <c r="E3030" s="4" t="s">
        <v>20</v>
      </c>
      <c r="F3030" s="4" t="s">
        <v>23</v>
      </c>
      <c r="G3030" s="4" t="s">
        <v>41</v>
      </c>
      <c r="H3030" s="4">
        <v>7</v>
      </c>
      <c r="I3030" s="4">
        <v>2</v>
      </c>
      <c r="J3030" s="5">
        <v>45704</v>
      </c>
      <c r="K3030" s="6">
        <v>0.73925925925925928</v>
      </c>
    </row>
    <row r="3031" spans="1:11" x14ac:dyDescent="0.25">
      <c r="A3031" s="4">
        <v>6</v>
      </c>
      <c r="B3031" s="4" t="s">
        <v>11</v>
      </c>
      <c r="C3031" s="7">
        <v>35.76</v>
      </c>
      <c r="D3031" s="4" t="s">
        <v>29</v>
      </c>
      <c r="E3031" s="4" t="s">
        <v>13</v>
      </c>
      <c r="F3031" s="4" t="s">
        <v>25</v>
      </c>
      <c r="G3031" s="4" t="s">
        <v>41</v>
      </c>
      <c r="H3031" s="4">
        <v>1</v>
      </c>
      <c r="I3031" s="4">
        <v>2</v>
      </c>
      <c r="J3031" s="5">
        <v>45705</v>
      </c>
      <c r="K3031" s="6">
        <v>0.28476851851851853</v>
      </c>
    </row>
    <row r="3032" spans="1:11" x14ac:dyDescent="0.25">
      <c r="A3032" s="4">
        <v>8</v>
      </c>
      <c r="B3032" s="4" t="s">
        <v>11</v>
      </c>
      <c r="C3032" s="7">
        <v>25.96</v>
      </c>
      <c r="D3032" s="4" t="s">
        <v>18</v>
      </c>
      <c r="E3032" s="4" t="s">
        <v>13</v>
      </c>
      <c r="F3032" s="4" t="s">
        <v>25</v>
      </c>
      <c r="G3032" s="4" t="s">
        <v>41</v>
      </c>
      <c r="H3032" s="4">
        <v>1</v>
      </c>
      <c r="I3032" s="4">
        <v>2</v>
      </c>
      <c r="J3032" s="5">
        <v>45705</v>
      </c>
      <c r="K3032" s="6">
        <v>0.37028935185185186</v>
      </c>
    </row>
    <row r="3033" spans="1:11" x14ac:dyDescent="0.25">
      <c r="A3033" s="4">
        <v>9</v>
      </c>
      <c r="B3033" s="4" t="s">
        <v>11</v>
      </c>
      <c r="C3033" s="7">
        <v>25.96</v>
      </c>
      <c r="D3033" s="4" t="s">
        <v>18</v>
      </c>
      <c r="E3033" s="4" t="s">
        <v>13</v>
      </c>
      <c r="F3033" s="4" t="s">
        <v>25</v>
      </c>
      <c r="G3033" s="4" t="s">
        <v>41</v>
      </c>
      <c r="H3033" s="4">
        <v>1</v>
      </c>
      <c r="I3033" s="4">
        <v>2</v>
      </c>
      <c r="J3033" s="5">
        <v>45705</v>
      </c>
      <c r="K3033" s="6">
        <v>0.37563657407407408</v>
      </c>
    </row>
    <row r="3034" spans="1:11" x14ac:dyDescent="0.25">
      <c r="A3034" s="4">
        <v>9</v>
      </c>
      <c r="B3034" s="4" t="s">
        <v>11</v>
      </c>
      <c r="C3034" s="7">
        <v>30.86</v>
      </c>
      <c r="D3034" s="4" t="s">
        <v>19</v>
      </c>
      <c r="E3034" s="4" t="s">
        <v>13</v>
      </c>
      <c r="F3034" s="4" t="s">
        <v>25</v>
      </c>
      <c r="G3034" s="4" t="s">
        <v>41</v>
      </c>
      <c r="H3034" s="4">
        <v>1</v>
      </c>
      <c r="I3034" s="4">
        <v>2</v>
      </c>
      <c r="J3034" s="5">
        <v>45705</v>
      </c>
      <c r="K3034" s="6">
        <v>0.39451388888888889</v>
      </c>
    </row>
    <row r="3035" spans="1:11" x14ac:dyDescent="0.25">
      <c r="A3035" s="4">
        <v>9</v>
      </c>
      <c r="B3035" s="4" t="s">
        <v>11</v>
      </c>
      <c r="C3035" s="7">
        <v>35.76</v>
      </c>
      <c r="D3035" s="4" t="s">
        <v>16</v>
      </c>
      <c r="E3035" s="4" t="s">
        <v>13</v>
      </c>
      <c r="F3035" s="4" t="s">
        <v>25</v>
      </c>
      <c r="G3035" s="4" t="s">
        <v>41</v>
      </c>
      <c r="H3035" s="4">
        <v>1</v>
      </c>
      <c r="I3035" s="4">
        <v>2</v>
      </c>
      <c r="J3035" s="5">
        <v>45705</v>
      </c>
      <c r="K3035" s="6">
        <v>0.41457175925925926</v>
      </c>
    </row>
    <row r="3036" spans="1:11" x14ac:dyDescent="0.25">
      <c r="A3036" s="4">
        <v>10</v>
      </c>
      <c r="B3036" s="4" t="s">
        <v>11</v>
      </c>
      <c r="C3036" s="7">
        <v>30.86</v>
      </c>
      <c r="D3036" s="4" t="s">
        <v>19</v>
      </c>
      <c r="E3036" s="4" t="s">
        <v>13</v>
      </c>
      <c r="F3036" s="4" t="s">
        <v>25</v>
      </c>
      <c r="G3036" s="4" t="s">
        <v>41</v>
      </c>
      <c r="H3036" s="4">
        <v>1</v>
      </c>
      <c r="I3036" s="4">
        <v>2</v>
      </c>
      <c r="J3036" s="5">
        <v>45705</v>
      </c>
      <c r="K3036" s="6">
        <v>0.43069444444444444</v>
      </c>
    </row>
    <row r="3037" spans="1:11" x14ac:dyDescent="0.25">
      <c r="A3037" s="4">
        <v>10</v>
      </c>
      <c r="B3037" s="4" t="s">
        <v>11</v>
      </c>
      <c r="C3037" s="7">
        <v>25.96</v>
      </c>
      <c r="D3037" s="4" t="s">
        <v>18</v>
      </c>
      <c r="E3037" s="4" t="s">
        <v>13</v>
      </c>
      <c r="F3037" s="4" t="s">
        <v>25</v>
      </c>
      <c r="G3037" s="4" t="s">
        <v>41</v>
      </c>
      <c r="H3037" s="4">
        <v>1</v>
      </c>
      <c r="I3037" s="4">
        <v>2</v>
      </c>
      <c r="J3037" s="5">
        <v>45705</v>
      </c>
      <c r="K3037" s="6">
        <v>0.44777777777777777</v>
      </c>
    </row>
    <row r="3038" spans="1:11" x14ac:dyDescent="0.25">
      <c r="A3038" s="4">
        <v>11</v>
      </c>
      <c r="B3038" s="4" t="s">
        <v>11</v>
      </c>
      <c r="C3038" s="7">
        <v>30.86</v>
      </c>
      <c r="D3038" s="4" t="s">
        <v>19</v>
      </c>
      <c r="E3038" s="4" t="s">
        <v>13</v>
      </c>
      <c r="F3038" s="4" t="s">
        <v>25</v>
      </c>
      <c r="G3038" s="4" t="s">
        <v>41</v>
      </c>
      <c r="H3038" s="4">
        <v>1</v>
      </c>
      <c r="I3038" s="4">
        <v>2</v>
      </c>
      <c r="J3038" s="5">
        <v>45705</v>
      </c>
      <c r="K3038" s="6">
        <v>0.49581018518518516</v>
      </c>
    </row>
    <row r="3039" spans="1:11" x14ac:dyDescent="0.25">
      <c r="A3039" s="4">
        <v>11</v>
      </c>
      <c r="B3039" s="4" t="s">
        <v>11</v>
      </c>
      <c r="C3039" s="7">
        <v>21.06</v>
      </c>
      <c r="D3039" s="4" t="s">
        <v>26</v>
      </c>
      <c r="E3039" s="4" t="s">
        <v>13</v>
      </c>
      <c r="F3039" s="4" t="s">
        <v>25</v>
      </c>
      <c r="G3039" s="4" t="s">
        <v>41</v>
      </c>
      <c r="H3039" s="4">
        <v>1</v>
      </c>
      <c r="I3039" s="4">
        <v>2</v>
      </c>
      <c r="J3039" s="5">
        <v>45705</v>
      </c>
      <c r="K3039" s="6">
        <v>0.49655092592592592</v>
      </c>
    </row>
    <row r="3040" spans="1:11" x14ac:dyDescent="0.25">
      <c r="A3040" s="4">
        <v>12</v>
      </c>
      <c r="B3040" s="4" t="s">
        <v>11</v>
      </c>
      <c r="C3040" s="7">
        <v>35.76</v>
      </c>
      <c r="D3040" s="4" t="s">
        <v>29</v>
      </c>
      <c r="E3040" s="4" t="s">
        <v>17</v>
      </c>
      <c r="F3040" s="4" t="s">
        <v>25</v>
      </c>
      <c r="G3040" s="4" t="s">
        <v>41</v>
      </c>
      <c r="H3040" s="4">
        <v>1</v>
      </c>
      <c r="I3040" s="4">
        <v>2</v>
      </c>
      <c r="J3040" s="5">
        <v>45705</v>
      </c>
      <c r="K3040" s="6">
        <v>0.53400462962962958</v>
      </c>
    </row>
    <row r="3041" spans="1:11" x14ac:dyDescent="0.25">
      <c r="A3041" s="4">
        <v>14</v>
      </c>
      <c r="B3041" s="4" t="s">
        <v>11</v>
      </c>
      <c r="C3041" s="7">
        <v>35.76</v>
      </c>
      <c r="D3041" s="4" t="s">
        <v>12</v>
      </c>
      <c r="E3041" s="4" t="s">
        <v>17</v>
      </c>
      <c r="F3041" s="4" t="s">
        <v>25</v>
      </c>
      <c r="G3041" s="4" t="s">
        <v>41</v>
      </c>
      <c r="H3041" s="4">
        <v>1</v>
      </c>
      <c r="I3041" s="4">
        <v>2</v>
      </c>
      <c r="J3041" s="5">
        <v>45705</v>
      </c>
      <c r="K3041" s="6">
        <v>0.59931712962962957</v>
      </c>
    </row>
    <row r="3042" spans="1:11" x14ac:dyDescent="0.25">
      <c r="A3042" s="4">
        <v>15</v>
      </c>
      <c r="B3042" s="4" t="s">
        <v>11</v>
      </c>
      <c r="C3042" s="7">
        <v>30.86</v>
      </c>
      <c r="D3042" s="4" t="s">
        <v>19</v>
      </c>
      <c r="E3042" s="4" t="s">
        <v>17</v>
      </c>
      <c r="F3042" s="4" t="s">
        <v>25</v>
      </c>
      <c r="G3042" s="4" t="s">
        <v>41</v>
      </c>
      <c r="H3042" s="4">
        <v>1</v>
      </c>
      <c r="I3042" s="4">
        <v>2</v>
      </c>
      <c r="J3042" s="5">
        <v>45705</v>
      </c>
      <c r="K3042" s="6">
        <v>0.62894675925925925</v>
      </c>
    </row>
    <row r="3043" spans="1:11" x14ac:dyDescent="0.25">
      <c r="A3043" s="4">
        <v>15</v>
      </c>
      <c r="B3043" s="4" t="s">
        <v>11</v>
      </c>
      <c r="C3043" s="7">
        <v>35.76</v>
      </c>
      <c r="D3043" s="4" t="s">
        <v>12</v>
      </c>
      <c r="E3043" s="4" t="s">
        <v>17</v>
      </c>
      <c r="F3043" s="4" t="s">
        <v>25</v>
      </c>
      <c r="G3043" s="4" t="s">
        <v>41</v>
      </c>
      <c r="H3043" s="4">
        <v>1</v>
      </c>
      <c r="I3043" s="4">
        <v>2</v>
      </c>
      <c r="J3043" s="5">
        <v>45705</v>
      </c>
      <c r="K3043" s="6">
        <v>0.6481365740740741</v>
      </c>
    </row>
    <row r="3044" spans="1:11" x14ac:dyDescent="0.25">
      <c r="A3044" s="4">
        <v>16</v>
      </c>
      <c r="B3044" s="4" t="s">
        <v>11</v>
      </c>
      <c r="C3044" s="7">
        <v>21.06</v>
      </c>
      <c r="D3044" s="4" t="s">
        <v>26</v>
      </c>
      <c r="E3044" s="4" t="s">
        <v>17</v>
      </c>
      <c r="F3044" s="4" t="s">
        <v>25</v>
      </c>
      <c r="G3044" s="4" t="s">
        <v>41</v>
      </c>
      <c r="H3044" s="4">
        <v>1</v>
      </c>
      <c r="I3044" s="4">
        <v>2</v>
      </c>
      <c r="J3044" s="5">
        <v>45705</v>
      </c>
      <c r="K3044" s="6">
        <v>0.67993055555555559</v>
      </c>
    </row>
    <row r="3045" spans="1:11" x14ac:dyDescent="0.25">
      <c r="A3045" s="4">
        <v>16</v>
      </c>
      <c r="B3045" s="4" t="s">
        <v>11</v>
      </c>
      <c r="C3045" s="7">
        <v>25.96</v>
      </c>
      <c r="D3045" s="4" t="s">
        <v>18</v>
      </c>
      <c r="E3045" s="4" t="s">
        <v>17</v>
      </c>
      <c r="F3045" s="4" t="s">
        <v>25</v>
      </c>
      <c r="G3045" s="4" t="s">
        <v>41</v>
      </c>
      <c r="H3045" s="4">
        <v>1</v>
      </c>
      <c r="I3045" s="4">
        <v>2</v>
      </c>
      <c r="J3045" s="5">
        <v>45705</v>
      </c>
      <c r="K3045" s="6">
        <v>0.68243055555555554</v>
      </c>
    </row>
    <row r="3046" spans="1:11" x14ac:dyDescent="0.25">
      <c r="A3046" s="4">
        <v>17</v>
      </c>
      <c r="B3046" s="4" t="s">
        <v>11</v>
      </c>
      <c r="C3046" s="7">
        <v>30.86</v>
      </c>
      <c r="D3046" s="4" t="s">
        <v>19</v>
      </c>
      <c r="E3046" s="4" t="s">
        <v>20</v>
      </c>
      <c r="F3046" s="4" t="s">
        <v>25</v>
      </c>
      <c r="G3046" s="4" t="s">
        <v>41</v>
      </c>
      <c r="H3046" s="4">
        <v>1</v>
      </c>
      <c r="I3046" s="4">
        <v>2</v>
      </c>
      <c r="J3046" s="5">
        <v>45705</v>
      </c>
      <c r="K3046" s="6">
        <v>0.73002314814814817</v>
      </c>
    </row>
    <row r="3047" spans="1:11" x14ac:dyDescent="0.25">
      <c r="A3047" s="4">
        <v>18</v>
      </c>
      <c r="B3047" s="4" t="s">
        <v>11</v>
      </c>
      <c r="C3047" s="7">
        <v>25.96</v>
      </c>
      <c r="D3047" s="4" t="s">
        <v>18</v>
      </c>
      <c r="E3047" s="4" t="s">
        <v>20</v>
      </c>
      <c r="F3047" s="4" t="s">
        <v>25</v>
      </c>
      <c r="G3047" s="4" t="s">
        <v>41</v>
      </c>
      <c r="H3047" s="4">
        <v>1</v>
      </c>
      <c r="I3047" s="4">
        <v>2</v>
      </c>
      <c r="J3047" s="5">
        <v>45705</v>
      </c>
      <c r="K3047" s="6">
        <v>0.76657407407407407</v>
      </c>
    </row>
    <row r="3048" spans="1:11" x14ac:dyDescent="0.25">
      <c r="A3048" s="4">
        <v>19</v>
      </c>
      <c r="B3048" s="4" t="s">
        <v>11</v>
      </c>
      <c r="C3048" s="7">
        <v>25.96</v>
      </c>
      <c r="D3048" s="4" t="s">
        <v>18</v>
      </c>
      <c r="E3048" s="4" t="s">
        <v>20</v>
      </c>
      <c r="F3048" s="4" t="s">
        <v>25</v>
      </c>
      <c r="G3048" s="4" t="s">
        <v>41</v>
      </c>
      <c r="H3048" s="4">
        <v>1</v>
      </c>
      <c r="I3048" s="4">
        <v>2</v>
      </c>
      <c r="J3048" s="5">
        <v>45705</v>
      </c>
      <c r="K3048" s="6">
        <v>0.80128472222222225</v>
      </c>
    </row>
    <row r="3049" spans="1:11" x14ac:dyDescent="0.25">
      <c r="A3049" s="4">
        <v>19</v>
      </c>
      <c r="B3049" s="4" t="s">
        <v>11</v>
      </c>
      <c r="C3049" s="7">
        <v>25.96</v>
      </c>
      <c r="D3049" s="4" t="s">
        <v>18</v>
      </c>
      <c r="E3049" s="4" t="s">
        <v>20</v>
      </c>
      <c r="F3049" s="4" t="s">
        <v>25</v>
      </c>
      <c r="G3049" s="4" t="s">
        <v>41</v>
      </c>
      <c r="H3049" s="4">
        <v>1</v>
      </c>
      <c r="I3049" s="4">
        <v>2</v>
      </c>
      <c r="J3049" s="5">
        <v>45705</v>
      </c>
      <c r="K3049" s="6">
        <v>0.80208333333333337</v>
      </c>
    </row>
    <row r="3050" spans="1:11" x14ac:dyDescent="0.25">
      <c r="A3050" s="4">
        <v>20</v>
      </c>
      <c r="B3050" s="4" t="s">
        <v>11</v>
      </c>
      <c r="C3050" s="7">
        <v>35.76</v>
      </c>
      <c r="D3050" s="4" t="s">
        <v>12</v>
      </c>
      <c r="E3050" s="4" t="s">
        <v>20</v>
      </c>
      <c r="F3050" s="4" t="s">
        <v>25</v>
      </c>
      <c r="G3050" s="4" t="s">
        <v>41</v>
      </c>
      <c r="H3050" s="4">
        <v>1</v>
      </c>
      <c r="I3050" s="4">
        <v>2</v>
      </c>
      <c r="J3050" s="5">
        <v>45705</v>
      </c>
      <c r="K3050" s="6">
        <v>0.84603009259259254</v>
      </c>
    </row>
    <row r="3051" spans="1:11" x14ac:dyDescent="0.25">
      <c r="A3051" s="4">
        <v>8</v>
      </c>
      <c r="B3051" s="4" t="s">
        <v>11</v>
      </c>
      <c r="C3051" s="7">
        <v>25.96</v>
      </c>
      <c r="D3051" s="4" t="s">
        <v>18</v>
      </c>
      <c r="E3051" s="4" t="s">
        <v>13</v>
      </c>
      <c r="F3051" s="4" t="s">
        <v>27</v>
      </c>
      <c r="G3051" s="4" t="s">
        <v>41</v>
      </c>
      <c r="H3051" s="4">
        <v>2</v>
      </c>
      <c r="I3051" s="4">
        <v>2</v>
      </c>
      <c r="J3051" s="5">
        <v>45706</v>
      </c>
      <c r="K3051" s="6">
        <v>0.37023148148148149</v>
      </c>
    </row>
    <row r="3052" spans="1:11" x14ac:dyDescent="0.25">
      <c r="A3052" s="4">
        <v>8</v>
      </c>
      <c r="B3052" s="4" t="s">
        <v>11</v>
      </c>
      <c r="C3052" s="7">
        <v>25.96</v>
      </c>
      <c r="D3052" s="4" t="s">
        <v>18</v>
      </c>
      <c r="E3052" s="4" t="s">
        <v>13</v>
      </c>
      <c r="F3052" s="4" t="s">
        <v>27</v>
      </c>
      <c r="G3052" s="4" t="s">
        <v>41</v>
      </c>
      <c r="H3052" s="4">
        <v>2</v>
      </c>
      <c r="I3052" s="4">
        <v>2</v>
      </c>
      <c r="J3052" s="5">
        <v>45706</v>
      </c>
      <c r="K3052" s="6">
        <v>0.37099537037037039</v>
      </c>
    </row>
    <row r="3053" spans="1:11" x14ac:dyDescent="0.25">
      <c r="A3053" s="4">
        <v>11</v>
      </c>
      <c r="B3053" s="4" t="s">
        <v>11</v>
      </c>
      <c r="C3053" s="7">
        <v>25.96</v>
      </c>
      <c r="D3053" s="4" t="s">
        <v>18</v>
      </c>
      <c r="E3053" s="4" t="s">
        <v>13</v>
      </c>
      <c r="F3053" s="4" t="s">
        <v>27</v>
      </c>
      <c r="G3053" s="4" t="s">
        <v>41</v>
      </c>
      <c r="H3053" s="4">
        <v>2</v>
      </c>
      <c r="I3053" s="4">
        <v>2</v>
      </c>
      <c r="J3053" s="5">
        <v>45706</v>
      </c>
      <c r="K3053" s="6">
        <v>0.46359953703703705</v>
      </c>
    </row>
    <row r="3054" spans="1:11" x14ac:dyDescent="0.25">
      <c r="A3054" s="4">
        <v>11</v>
      </c>
      <c r="B3054" s="4" t="s">
        <v>11</v>
      </c>
      <c r="C3054" s="7">
        <v>25.96</v>
      </c>
      <c r="D3054" s="4" t="s">
        <v>18</v>
      </c>
      <c r="E3054" s="4" t="s">
        <v>13</v>
      </c>
      <c r="F3054" s="4" t="s">
        <v>27</v>
      </c>
      <c r="G3054" s="4" t="s">
        <v>41</v>
      </c>
      <c r="H3054" s="4">
        <v>2</v>
      </c>
      <c r="I3054" s="4">
        <v>2</v>
      </c>
      <c r="J3054" s="5">
        <v>45706</v>
      </c>
      <c r="K3054" s="6">
        <v>0.47923611111111108</v>
      </c>
    </row>
    <row r="3055" spans="1:11" x14ac:dyDescent="0.25">
      <c r="A3055" s="4">
        <v>11</v>
      </c>
      <c r="B3055" s="4" t="s">
        <v>11</v>
      </c>
      <c r="C3055" s="7">
        <v>30.86</v>
      </c>
      <c r="D3055" s="4" t="s">
        <v>19</v>
      </c>
      <c r="E3055" s="4" t="s">
        <v>13</v>
      </c>
      <c r="F3055" s="4" t="s">
        <v>27</v>
      </c>
      <c r="G3055" s="4" t="s">
        <v>41</v>
      </c>
      <c r="H3055" s="4">
        <v>2</v>
      </c>
      <c r="I3055" s="4">
        <v>2</v>
      </c>
      <c r="J3055" s="5">
        <v>45706</v>
      </c>
      <c r="K3055" s="6">
        <v>0.48498842592592595</v>
      </c>
    </row>
    <row r="3056" spans="1:11" x14ac:dyDescent="0.25">
      <c r="A3056" s="4">
        <v>12</v>
      </c>
      <c r="B3056" s="4" t="s">
        <v>11</v>
      </c>
      <c r="C3056" s="7">
        <v>30.86</v>
      </c>
      <c r="D3056" s="4" t="s">
        <v>19</v>
      </c>
      <c r="E3056" s="4" t="s">
        <v>17</v>
      </c>
      <c r="F3056" s="4" t="s">
        <v>27</v>
      </c>
      <c r="G3056" s="4" t="s">
        <v>41</v>
      </c>
      <c r="H3056" s="4">
        <v>2</v>
      </c>
      <c r="I3056" s="4">
        <v>2</v>
      </c>
      <c r="J3056" s="5">
        <v>45706</v>
      </c>
      <c r="K3056" s="6">
        <v>0.51071759259259264</v>
      </c>
    </row>
    <row r="3057" spans="1:11" x14ac:dyDescent="0.25">
      <c r="A3057" s="4">
        <v>13</v>
      </c>
      <c r="B3057" s="4" t="s">
        <v>11</v>
      </c>
      <c r="C3057" s="7">
        <v>35.76</v>
      </c>
      <c r="D3057" s="4" t="s">
        <v>21</v>
      </c>
      <c r="E3057" s="4" t="s">
        <v>17</v>
      </c>
      <c r="F3057" s="4" t="s">
        <v>27</v>
      </c>
      <c r="G3057" s="4" t="s">
        <v>41</v>
      </c>
      <c r="H3057" s="4">
        <v>2</v>
      </c>
      <c r="I3057" s="4">
        <v>2</v>
      </c>
      <c r="J3057" s="5">
        <v>45706</v>
      </c>
      <c r="K3057" s="6">
        <v>0.54475694444444445</v>
      </c>
    </row>
    <row r="3058" spans="1:11" x14ac:dyDescent="0.25">
      <c r="A3058" s="4">
        <v>13</v>
      </c>
      <c r="B3058" s="4" t="s">
        <v>11</v>
      </c>
      <c r="C3058" s="7">
        <v>25.96</v>
      </c>
      <c r="D3058" s="4" t="s">
        <v>18</v>
      </c>
      <c r="E3058" s="4" t="s">
        <v>17</v>
      </c>
      <c r="F3058" s="4" t="s">
        <v>27</v>
      </c>
      <c r="G3058" s="4" t="s">
        <v>41</v>
      </c>
      <c r="H3058" s="4">
        <v>2</v>
      </c>
      <c r="I3058" s="4">
        <v>2</v>
      </c>
      <c r="J3058" s="5">
        <v>45706</v>
      </c>
      <c r="K3058" s="6">
        <v>0.55954861111111109</v>
      </c>
    </row>
    <row r="3059" spans="1:11" x14ac:dyDescent="0.25">
      <c r="A3059" s="4">
        <v>13</v>
      </c>
      <c r="B3059" s="4" t="s">
        <v>11</v>
      </c>
      <c r="C3059" s="7">
        <v>30.86</v>
      </c>
      <c r="D3059" s="4" t="s">
        <v>19</v>
      </c>
      <c r="E3059" s="4" t="s">
        <v>17</v>
      </c>
      <c r="F3059" s="4" t="s">
        <v>27</v>
      </c>
      <c r="G3059" s="4" t="s">
        <v>41</v>
      </c>
      <c r="H3059" s="4">
        <v>2</v>
      </c>
      <c r="I3059" s="4">
        <v>2</v>
      </c>
      <c r="J3059" s="5">
        <v>45706</v>
      </c>
      <c r="K3059" s="6">
        <v>0.56047453703703709</v>
      </c>
    </row>
    <row r="3060" spans="1:11" x14ac:dyDescent="0.25">
      <c r="A3060" s="4">
        <v>17</v>
      </c>
      <c r="B3060" s="4" t="s">
        <v>11</v>
      </c>
      <c r="C3060" s="7">
        <v>35.76</v>
      </c>
      <c r="D3060" s="4" t="s">
        <v>16</v>
      </c>
      <c r="E3060" s="4" t="s">
        <v>20</v>
      </c>
      <c r="F3060" s="4" t="s">
        <v>27</v>
      </c>
      <c r="G3060" s="4" t="s">
        <v>41</v>
      </c>
      <c r="H3060" s="4">
        <v>2</v>
      </c>
      <c r="I3060" s="4">
        <v>2</v>
      </c>
      <c r="J3060" s="5">
        <v>45706</v>
      </c>
      <c r="K3060" s="6">
        <v>0.71212962962962967</v>
      </c>
    </row>
    <row r="3061" spans="1:11" x14ac:dyDescent="0.25">
      <c r="A3061" s="4">
        <v>17</v>
      </c>
      <c r="B3061" s="4" t="s">
        <v>11</v>
      </c>
      <c r="C3061" s="7">
        <v>30.86</v>
      </c>
      <c r="D3061" s="4" t="s">
        <v>19</v>
      </c>
      <c r="E3061" s="4" t="s">
        <v>20</v>
      </c>
      <c r="F3061" s="4" t="s">
        <v>27</v>
      </c>
      <c r="G3061" s="4" t="s">
        <v>41</v>
      </c>
      <c r="H3061" s="4">
        <v>2</v>
      </c>
      <c r="I3061" s="4">
        <v>2</v>
      </c>
      <c r="J3061" s="5">
        <v>45706</v>
      </c>
      <c r="K3061" s="6">
        <v>0.71410879629629631</v>
      </c>
    </row>
    <row r="3062" spans="1:11" x14ac:dyDescent="0.25">
      <c r="A3062" s="4">
        <v>17</v>
      </c>
      <c r="B3062" s="4" t="s">
        <v>11</v>
      </c>
      <c r="C3062" s="7">
        <v>21.06</v>
      </c>
      <c r="D3062" s="4" t="s">
        <v>26</v>
      </c>
      <c r="E3062" s="4" t="s">
        <v>20</v>
      </c>
      <c r="F3062" s="4" t="s">
        <v>27</v>
      </c>
      <c r="G3062" s="4" t="s">
        <v>41</v>
      </c>
      <c r="H3062" s="4">
        <v>2</v>
      </c>
      <c r="I3062" s="4">
        <v>2</v>
      </c>
      <c r="J3062" s="5">
        <v>45706</v>
      </c>
      <c r="K3062" s="6">
        <v>0.71478009259259256</v>
      </c>
    </row>
    <row r="3063" spans="1:11" x14ac:dyDescent="0.25">
      <c r="A3063" s="4">
        <v>17</v>
      </c>
      <c r="B3063" s="4" t="s">
        <v>11</v>
      </c>
      <c r="C3063" s="7">
        <v>35.76</v>
      </c>
      <c r="D3063" s="4" t="s">
        <v>21</v>
      </c>
      <c r="E3063" s="4" t="s">
        <v>20</v>
      </c>
      <c r="F3063" s="4" t="s">
        <v>27</v>
      </c>
      <c r="G3063" s="4" t="s">
        <v>41</v>
      </c>
      <c r="H3063" s="4">
        <v>2</v>
      </c>
      <c r="I3063" s="4">
        <v>2</v>
      </c>
      <c r="J3063" s="5">
        <v>45706</v>
      </c>
      <c r="K3063" s="6">
        <v>0.71553240740740742</v>
      </c>
    </row>
    <row r="3064" spans="1:11" x14ac:dyDescent="0.25">
      <c r="A3064" s="4">
        <v>17</v>
      </c>
      <c r="B3064" s="4" t="s">
        <v>11</v>
      </c>
      <c r="C3064" s="7">
        <v>35.76</v>
      </c>
      <c r="D3064" s="4" t="s">
        <v>21</v>
      </c>
      <c r="E3064" s="4" t="s">
        <v>20</v>
      </c>
      <c r="F3064" s="4" t="s">
        <v>27</v>
      </c>
      <c r="G3064" s="4" t="s">
        <v>41</v>
      </c>
      <c r="H3064" s="4">
        <v>2</v>
      </c>
      <c r="I3064" s="4">
        <v>2</v>
      </c>
      <c r="J3064" s="5">
        <v>45706</v>
      </c>
      <c r="K3064" s="6">
        <v>0.71637731481481481</v>
      </c>
    </row>
    <row r="3065" spans="1:11" x14ac:dyDescent="0.25">
      <c r="A3065" s="4">
        <v>19</v>
      </c>
      <c r="B3065" s="4" t="s">
        <v>11</v>
      </c>
      <c r="C3065" s="7">
        <v>35.76</v>
      </c>
      <c r="D3065" s="4" t="s">
        <v>21</v>
      </c>
      <c r="E3065" s="4" t="s">
        <v>20</v>
      </c>
      <c r="F3065" s="4" t="s">
        <v>27</v>
      </c>
      <c r="G3065" s="4" t="s">
        <v>41</v>
      </c>
      <c r="H3065" s="4">
        <v>2</v>
      </c>
      <c r="I3065" s="4">
        <v>2</v>
      </c>
      <c r="J3065" s="5">
        <v>45706</v>
      </c>
      <c r="K3065" s="6">
        <v>0.8169791666666667</v>
      </c>
    </row>
    <row r="3066" spans="1:11" x14ac:dyDescent="0.25">
      <c r="A3066" s="4">
        <v>20</v>
      </c>
      <c r="B3066" s="4" t="s">
        <v>11</v>
      </c>
      <c r="C3066" s="7">
        <v>35.76</v>
      </c>
      <c r="D3066" s="4" t="s">
        <v>21</v>
      </c>
      <c r="E3066" s="4" t="s">
        <v>20</v>
      </c>
      <c r="F3066" s="4" t="s">
        <v>27</v>
      </c>
      <c r="G3066" s="4" t="s">
        <v>41</v>
      </c>
      <c r="H3066" s="4">
        <v>2</v>
      </c>
      <c r="I3066" s="4">
        <v>2</v>
      </c>
      <c r="J3066" s="5">
        <v>45706</v>
      </c>
      <c r="K3066" s="6">
        <v>0.8381481481481482</v>
      </c>
    </row>
    <row r="3067" spans="1:11" x14ac:dyDescent="0.25">
      <c r="A3067" s="4">
        <v>20</v>
      </c>
      <c r="B3067" s="4" t="s">
        <v>11</v>
      </c>
      <c r="C3067" s="7">
        <v>35.76</v>
      </c>
      <c r="D3067" s="4" t="s">
        <v>16</v>
      </c>
      <c r="E3067" s="4" t="s">
        <v>20</v>
      </c>
      <c r="F3067" s="4" t="s">
        <v>27</v>
      </c>
      <c r="G3067" s="4" t="s">
        <v>41</v>
      </c>
      <c r="H3067" s="4">
        <v>2</v>
      </c>
      <c r="I3067" s="4">
        <v>2</v>
      </c>
      <c r="J3067" s="5">
        <v>45706</v>
      </c>
      <c r="K3067" s="6">
        <v>0.87375000000000003</v>
      </c>
    </row>
    <row r="3068" spans="1:11" x14ac:dyDescent="0.25">
      <c r="A3068" s="4">
        <v>21</v>
      </c>
      <c r="B3068" s="4" t="s">
        <v>11</v>
      </c>
      <c r="C3068" s="7">
        <v>30.86</v>
      </c>
      <c r="D3068" s="4" t="s">
        <v>19</v>
      </c>
      <c r="E3068" s="4" t="s">
        <v>20</v>
      </c>
      <c r="F3068" s="4" t="s">
        <v>27</v>
      </c>
      <c r="G3068" s="4" t="s">
        <v>41</v>
      </c>
      <c r="H3068" s="4">
        <v>2</v>
      </c>
      <c r="I3068" s="4">
        <v>2</v>
      </c>
      <c r="J3068" s="5">
        <v>45706</v>
      </c>
      <c r="K3068" s="6">
        <v>0.87637731481481485</v>
      </c>
    </row>
    <row r="3069" spans="1:11" x14ac:dyDescent="0.25">
      <c r="A3069" s="4">
        <v>8</v>
      </c>
      <c r="B3069" s="4" t="s">
        <v>11</v>
      </c>
      <c r="C3069" s="7">
        <v>35.76</v>
      </c>
      <c r="D3069" s="4" t="s">
        <v>29</v>
      </c>
      <c r="E3069" s="4" t="s">
        <v>13</v>
      </c>
      <c r="F3069" s="4" t="s">
        <v>28</v>
      </c>
      <c r="G3069" s="4" t="s">
        <v>41</v>
      </c>
      <c r="H3069" s="4">
        <v>3</v>
      </c>
      <c r="I3069" s="4">
        <v>2</v>
      </c>
      <c r="J3069" s="5">
        <v>45707</v>
      </c>
      <c r="K3069" s="6">
        <v>0.33949074074074076</v>
      </c>
    </row>
    <row r="3070" spans="1:11" x14ac:dyDescent="0.25">
      <c r="A3070" s="4">
        <v>8</v>
      </c>
      <c r="B3070" s="4" t="s">
        <v>11</v>
      </c>
      <c r="C3070" s="7">
        <v>25.96</v>
      </c>
      <c r="D3070" s="4" t="s">
        <v>18</v>
      </c>
      <c r="E3070" s="4" t="s">
        <v>13</v>
      </c>
      <c r="F3070" s="4" t="s">
        <v>28</v>
      </c>
      <c r="G3070" s="4" t="s">
        <v>41</v>
      </c>
      <c r="H3070" s="4">
        <v>3</v>
      </c>
      <c r="I3070" s="4">
        <v>2</v>
      </c>
      <c r="J3070" s="5">
        <v>45707</v>
      </c>
      <c r="K3070" s="6">
        <v>0.34020833333333333</v>
      </c>
    </row>
    <row r="3071" spans="1:11" x14ac:dyDescent="0.25">
      <c r="A3071" s="4">
        <v>8</v>
      </c>
      <c r="B3071" s="4" t="s">
        <v>11</v>
      </c>
      <c r="C3071" s="7">
        <v>25.96</v>
      </c>
      <c r="D3071" s="4" t="s">
        <v>18</v>
      </c>
      <c r="E3071" s="4" t="s">
        <v>13</v>
      </c>
      <c r="F3071" s="4" t="s">
        <v>28</v>
      </c>
      <c r="G3071" s="4" t="s">
        <v>41</v>
      </c>
      <c r="H3071" s="4">
        <v>3</v>
      </c>
      <c r="I3071" s="4">
        <v>2</v>
      </c>
      <c r="J3071" s="5">
        <v>45707</v>
      </c>
      <c r="K3071" s="6">
        <v>0.36634259259259261</v>
      </c>
    </row>
    <row r="3072" spans="1:11" x14ac:dyDescent="0.25">
      <c r="A3072" s="4">
        <v>9</v>
      </c>
      <c r="B3072" s="4" t="s">
        <v>11</v>
      </c>
      <c r="C3072" s="7">
        <v>35.76</v>
      </c>
      <c r="D3072" s="4" t="s">
        <v>29</v>
      </c>
      <c r="E3072" s="4" t="s">
        <v>13</v>
      </c>
      <c r="F3072" s="4" t="s">
        <v>28</v>
      </c>
      <c r="G3072" s="4" t="s">
        <v>41</v>
      </c>
      <c r="H3072" s="4">
        <v>3</v>
      </c>
      <c r="I3072" s="4">
        <v>2</v>
      </c>
      <c r="J3072" s="5">
        <v>45707</v>
      </c>
      <c r="K3072" s="6">
        <v>0.39202546296296298</v>
      </c>
    </row>
    <row r="3073" spans="1:11" x14ac:dyDescent="0.25">
      <c r="A3073" s="4">
        <v>10</v>
      </c>
      <c r="B3073" s="4" t="s">
        <v>11</v>
      </c>
      <c r="C3073" s="7">
        <v>25.96</v>
      </c>
      <c r="D3073" s="4" t="s">
        <v>18</v>
      </c>
      <c r="E3073" s="4" t="s">
        <v>13</v>
      </c>
      <c r="F3073" s="4" t="s">
        <v>28</v>
      </c>
      <c r="G3073" s="4" t="s">
        <v>41</v>
      </c>
      <c r="H3073" s="4">
        <v>3</v>
      </c>
      <c r="I3073" s="4">
        <v>2</v>
      </c>
      <c r="J3073" s="5">
        <v>45707</v>
      </c>
      <c r="K3073" s="6">
        <v>0.42350694444444442</v>
      </c>
    </row>
    <row r="3074" spans="1:11" x14ac:dyDescent="0.25">
      <c r="A3074" s="4">
        <v>10</v>
      </c>
      <c r="B3074" s="4" t="s">
        <v>11</v>
      </c>
      <c r="C3074" s="7">
        <v>35.76</v>
      </c>
      <c r="D3074" s="4" t="s">
        <v>16</v>
      </c>
      <c r="E3074" s="4" t="s">
        <v>13</v>
      </c>
      <c r="F3074" s="4" t="s">
        <v>28</v>
      </c>
      <c r="G3074" s="4" t="s">
        <v>41</v>
      </c>
      <c r="H3074" s="4">
        <v>3</v>
      </c>
      <c r="I3074" s="4">
        <v>2</v>
      </c>
      <c r="J3074" s="5">
        <v>45707</v>
      </c>
      <c r="K3074" s="6">
        <v>0.42987268518518518</v>
      </c>
    </row>
    <row r="3075" spans="1:11" x14ac:dyDescent="0.25">
      <c r="A3075" s="4">
        <v>10</v>
      </c>
      <c r="B3075" s="4" t="s">
        <v>11</v>
      </c>
      <c r="C3075" s="7">
        <v>30.86</v>
      </c>
      <c r="D3075" s="4" t="s">
        <v>19</v>
      </c>
      <c r="E3075" s="4" t="s">
        <v>13</v>
      </c>
      <c r="F3075" s="4" t="s">
        <v>28</v>
      </c>
      <c r="G3075" s="4" t="s">
        <v>41</v>
      </c>
      <c r="H3075" s="4">
        <v>3</v>
      </c>
      <c r="I3075" s="4">
        <v>2</v>
      </c>
      <c r="J3075" s="5">
        <v>45707</v>
      </c>
      <c r="K3075" s="6">
        <v>0.44503472222222223</v>
      </c>
    </row>
    <row r="3076" spans="1:11" x14ac:dyDescent="0.25">
      <c r="A3076" s="4">
        <v>12</v>
      </c>
      <c r="B3076" s="4" t="s">
        <v>11</v>
      </c>
      <c r="C3076" s="7">
        <v>25.96</v>
      </c>
      <c r="D3076" s="4" t="s">
        <v>18</v>
      </c>
      <c r="E3076" s="4" t="s">
        <v>17</v>
      </c>
      <c r="F3076" s="4" t="s">
        <v>28</v>
      </c>
      <c r="G3076" s="4" t="s">
        <v>41</v>
      </c>
      <c r="H3076" s="4">
        <v>3</v>
      </c>
      <c r="I3076" s="4">
        <v>2</v>
      </c>
      <c r="J3076" s="5">
        <v>45707</v>
      </c>
      <c r="K3076" s="6">
        <v>0.53131944444444446</v>
      </c>
    </row>
    <row r="3077" spans="1:11" x14ac:dyDescent="0.25">
      <c r="A3077" s="4">
        <v>12</v>
      </c>
      <c r="B3077" s="4" t="s">
        <v>11</v>
      </c>
      <c r="C3077" s="7">
        <v>35.76</v>
      </c>
      <c r="D3077" s="4" t="s">
        <v>21</v>
      </c>
      <c r="E3077" s="4" t="s">
        <v>17</v>
      </c>
      <c r="F3077" s="4" t="s">
        <v>28</v>
      </c>
      <c r="G3077" s="4" t="s">
        <v>41</v>
      </c>
      <c r="H3077" s="4">
        <v>3</v>
      </c>
      <c r="I3077" s="4">
        <v>2</v>
      </c>
      <c r="J3077" s="5">
        <v>45707</v>
      </c>
      <c r="K3077" s="6">
        <v>0.53197916666666667</v>
      </c>
    </row>
    <row r="3078" spans="1:11" x14ac:dyDescent="0.25">
      <c r="A3078" s="4">
        <v>13</v>
      </c>
      <c r="B3078" s="4" t="s">
        <v>11</v>
      </c>
      <c r="C3078" s="7">
        <v>25.96</v>
      </c>
      <c r="D3078" s="4" t="s">
        <v>18</v>
      </c>
      <c r="E3078" s="4" t="s">
        <v>17</v>
      </c>
      <c r="F3078" s="4" t="s">
        <v>28</v>
      </c>
      <c r="G3078" s="4" t="s">
        <v>41</v>
      </c>
      <c r="H3078" s="4">
        <v>3</v>
      </c>
      <c r="I3078" s="4">
        <v>2</v>
      </c>
      <c r="J3078" s="5">
        <v>45707</v>
      </c>
      <c r="K3078" s="6">
        <v>0.54645833333333338</v>
      </c>
    </row>
    <row r="3079" spans="1:11" x14ac:dyDescent="0.25">
      <c r="A3079" s="4">
        <v>15</v>
      </c>
      <c r="B3079" s="4" t="s">
        <v>11</v>
      </c>
      <c r="C3079" s="7">
        <v>35.76</v>
      </c>
      <c r="D3079" s="4" t="s">
        <v>29</v>
      </c>
      <c r="E3079" s="4" t="s">
        <v>17</v>
      </c>
      <c r="F3079" s="4" t="s">
        <v>28</v>
      </c>
      <c r="G3079" s="4" t="s">
        <v>41</v>
      </c>
      <c r="H3079" s="4">
        <v>3</v>
      </c>
      <c r="I3079" s="4">
        <v>2</v>
      </c>
      <c r="J3079" s="5">
        <v>45707</v>
      </c>
      <c r="K3079" s="6">
        <v>0.66020833333333329</v>
      </c>
    </row>
    <row r="3080" spans="1:11" x14ac:dyDescent="0.25">
      <c r="A3080" s="4">
        <v>17</v>
      </c>
      <c r="B3080" s="4" t="s">
        <v>11</v>
      </c>
      <c r="C3080" s="7">
        <v>25.96</v>
      </c>
      <c r="D3080" s="4" t="s">
        <v>18</v>
      </c>
      <c r="E3080" s="4" t="s">
        <v>20</v>
      </c>
      <c r="F3080" s="4" t="s">
        <v>28</v>
      </c>
      <c r="G3080" s="4" t="s">
        <v>41</v>
      </c>
      <c r="H3080" s="4">
        <v>3</v>
      </c>
      <c r="I3080" s="4">
        <v>2</v>
      </c>
      <c r="J3080" s="5">
        <v>45707</v>
      </c>
      <c r="K3080" s="6">
        <v>0.71111111111111114</v>
      </c>
    </row>
    <row r="3081" spans="1:11" x14ac:dyDescent="0.25">
      <c r="A3081" s="4">
        <v>17</v>
      </c>
      <c r="B3081" s="4" t="s">
        <v>11</v>
      </c>
      <c r="C3081" s="7">
        <v>35.76</v>
      </c>
      <c r="D3081" s="4" t="s">
        <v>29</v>
      </c>
      <c r="E3081" s="4" t="s">
        <v>20</v>
      </c>
      <c r="F3081" s="4" t="s">
        <v>28</v>
      </c>
      <c r="G3081" s="4" t="s">
        <v>41</v>
      </c>
      <c r="H3081" s="4">
        <v>3</v>
      </c>
      <c r="I3081" s="4">
        <v>2</v>
      </c>
      <c r="J3081" s="5">
        <v>45707</v>
      </c>
      <c r="K3081" s="6">
        <v>0.73251157407407408</v>
      </c>
    </row>
    <row r="3082" spans="1:11" x14ac:dyDescent="0.25">
      <c r="A3082" s="4">
        <v>17</v>
      </c>
      <c r="B3082" s="4" t="s">
        <v>11</v>
      </c>
      <c r="C3082" s="7">
        <v>30.86</v>
      </c>
      <c r="D3082" s="4" t="s">
        <v>19</v>
      </c>
      <c r="E3082" s="4" t="s">
        <v>20</v>
      </c>
      <c r="F3082" s="4" t="s">
        <v>28</v>
      </c>
      <c r="G3082" s="4" t="s">
        <v>41</v>
      </c>
      <c r="H3082" s="4">
        <v>3</v>
      </c>
      <c r="I3082" s="4">
        <v>2</v>
      </c>
      <c r="J3082" s="5">
        <v>45707</v>
      </c>
      <c r="K3082" s="6">
        <v>0.74851851851851847</v>
      </c>
    </row>
    <row r="3083" spans="1:11" x14ac:dyDescent="0.25">
      <c r="A3083" s="4">
        <v>18</v>
      </c>
      <c r="B3083" s="4" t="s">
        <v>11</v>
      </c>
      <c r="C3083" s="7">
        <v>35.76</v>
      </c>
      <c r="D3083" s="4" t="s">
        <v>29</v>
      </c>
      <c r="E3083" s="4" t="s">
        <v>20</v>
      </c>
      <c r="F3083" s="4" t="s">
        <v>28</v>
      </c>
      <c r="G3083" s="4" t="s">
        <v>41</v>
      </c>
      <c r="H3083" s="4">
        <v>3</v>
      </c>
      <c r="I3083" s="4">
        <v>2</v>
      </c>
      <c r="J3083" s="5">
        <v>45707</v>
      </c>
      <c r="K3083" s="6">
        <v>0.77474537037037039</v>
      </c>
    </row>
    <row r="3084" spans="1:11" x14ac:dyDescent="0.25">
      <c r="A3084" s="4">
        <v>19</v>
      </c>
      <c r="B3084" s="4" t="s">
        <v>11</v>
      </c>
      <c r="C3084" s="7">
        <v>35.76</v>
      </c>
      <c r="D3084" s="4" t="s">
        <v>12</v>
      </c>
      <c r="E3084" s="4" t="s">
        <v>20</v>
      </c>
      <c r="F3084" s="4" t="s">
        <v>28</v>
      </c>
      <c r="G3084" s="4" t="s">
        <v>41</v>
      </c>
      <c r="H3084" s="4">
        <v>3</v>
      </c>
      <c r="I3084" s="4">
        <v>2</v>
      </c>
      <c r="J3084" s="5">
        <v>45707</v>
      </c>
      <c r="K3084" s="6">
        <v>0.79274305555555558</v>
      </c>
    </row>
    <row r="3085" spans="1:11" x14ac:dyDescent="0.25">
      <c r="A3085" s="4">
        <v>19</v>
      </c>
      <c r="B3085" s="4" t="s">
        <v>11</v>
      </c>
      <c r="C3085" s="7">
        <v>35.76</v>
      </c>
      <c r="D3085" s="4" t="s">
        <v>21</v>
      </c>
      <c r="E3085" s="4" t="s">
        <v>20</v>
      </c>
      <c r="F3085" s="4" t="s">
        <v>28</v>
      </c>
      <c r="G3085" s="4" t="s">
        <v>41</v>
      </c>
      <c r="H3085" s="4">
        <v>3</v>
      </c>
      <c r="I3085" s="4">
        <v>2</v>
      </c>
      <c r="J3085" s="5">
        <v>45707</v>
      </c>
      <c r="K3085" s="6">
        <v>0.79987268518518517</v>
      </c>
    </row>
    <row r="3086" spans="1:11" x14ac:dyDescent="0.25">
      <c r="A3086" s="4">
        <v>19</v>
      </c>
      <c r="B3086" s="4" t="s">
        <v>11</v>
      </c>
      <c r="C3086" s="7">
        <v>35.76</v>
      </c>
      <c r="D3086" s="4" t="s">
        <v>16</v>
      </c>
      <c r="E3086" s="4" t="s">
        <v>20</v>
      </c>
      <c r="F3086" s="4" t="s">
        <v>28</v>
      </c>
      <c r="G3086" s="4" t="s">
        <v>41</v>
      </c>
      <c r="H3086" s="4">
        <v>3</v>
      </c>
      <c r="I3086" s="4">
        <v>2</v>
      </c>
      <c r="J3086" s="5">
        <v>45707</v>
      </c>
      <c r="K3086" s="6">
        <v>0.80048611111111112</v>
      </c>
    </row>
    <row r="3087" spans="1:11" x14ac:dyDescent="0.25">
      <c r="A3087" s="4">
        <v>19</v>
      </c>
      <c r="B3087" s="4" t="s">
        <v>11</v>
      </c>
      <c r="C3087" s="7">
        <v>35.76</v>
      </c>
      <c r="D3087" s="4" t="s">
        <v>12</v>
      </c>
      <c r="E3087" s="4" t="s">
        <v>20</v>
      </c>
      <c r="F3087" s="4" t="s">
        <v>28</v>
      </c>
      <c r="G3087" s="4" t="s">
        <v>41</v>
      </c>
      <c r="H3087" s="4">
        <v>3</v>
      </c>
      <c r="I3087" s="4">
        <v>2</v>
      </c>
      <c r="J3087" s="5">
        <v>45707</v>
      </c>
      <c r="K3087" s="6">
        <v>0.80997685185185186</v>
      </c>
    </row>
    <row r="3088" spans="1:11" x14ac:dyDescent="0.25">
      <c r="A3088" s="4">
        <v>20</v>
      </c>
      <c r="B3088" s="4" t="s">
        <v>11</v>
      </c>
      <c r="C3088" s="7">
        <v>35.76</v>
      </c>
      <c r="D3088" s="4" t="s">
        <v>21</v>
      </c>
      <c r="E3088" s="4" t="s">
        <v>20</v>
      </c>
      <c r="F3088" s="4" t="s">
        <v>28</v>
      </c>
      <c r="G3088" s="4" t="s">
        <v>41</v>
      </c>
      <c r="H3088" s="4">
        <v>3</v>
      </c>
      <c r="I3088" s="4">
        <v>2</v>
      </c>
      <c r="J3088" s="5">
        <v>45707</v>
      </c>
      <c r="K3088" s="6">
        <v>0.83712962962962967</v>
      </c>
    </row>
    <row r="3089" spans="1:11" x14ac:dyDescent="0.25">
      <c r="A3089" s="4">
        <v>7</v>
      </c>
      <c r="B3089" s="4" t="s">
        <v>11</v>
      </c>
      <c r="C3089" s="7">
        <v>35.76</v>
      </c>
      <c r="D3089" s="4" t="s">
        <v>29</v>
      </c>
      <c r="E3089" s="4" t="s">
        <v>13</v>
      </c>
      <c r="F3089" s="4" t="s">
        <v>30</v>
      </c>
      <c r="G3089" s="4" t="s">
        <v>41</v>
      </c>
      <c r="H3089" s="4">
        <v>4</v>
      </c>
      <c r="I3089" s="4">
        <v>2</v>
      </c>
      <c r="J3089" s="5">
        <v>45708</v>
      </c>
      <c r="K3089" s="6">
        <v>0.33083333333333331</v>
      </c>
    </row>
    <row r="3090" spans="1:11" x14ac:dyDescent="0.25">
      <c r="A3090" s="4">
        <v>9</v>
      </c>
      <c r="B3090" s="4" t="s">
        <v>11</v>
      </c>
      <c r="C3090" s="7">
        <v>25.96</v>
      </c>
      <c r="D3090" s="4" t="s">
        <v>18</v>
      </c>
      <c r="E3090" s="4" t="s">
        <v>13</v>
      </c>
      <c r="F3090" s="4" t="s">
        <v>30</v>
      </c>
      <c r="G3090" s="4" t="s">
        <v>41</v>
      </c>
      <c r="H3090" s="4">
        <v>4</v>
      </c>
      <c r="I3090" s="4">
        <v>2</v>
      </c>
      <c r="J3090" s="5">
        <v>45708</v>
      </c>
      <c r="K3090" s="6">
        <v>0.38741898148148146</v>
      </c>
    </row>
    <row r="3091" spans="1:11" x14ac:dyDescent="0.25">
      <c r="A3091" s="4">
        <v>10</v>
      </c>
      <c r="B3091" s="4" t="s">
        <v>11</v>
      </c>
      <c r="C3091" s="7">
        <v>35.76</v>
      </c>
      <c r="D3091" s="4" t="s">
        <v>29</v>
      </c>
      <c r="E3091" s="4" t="s">
        <v>13</v>
      </c>
      <c r="F3091" s="4" t="s">
        <v>30</v>
      </c>
      <c r="G3091" s="4" t="s">
        <v>41</v>
      </c>
      <c r="H3091" s="4">
        <v>4</v>
      </c>
      <c r="I3091" s="4">
        <v>2</v>
      </c>
      <c r="J3091" s="5">
        <v>45708</v>
      </c>
      <c r="K3091" s="6">
        <v>0.42824074074074076</v>
      </c>
    </row>
    <row r="3092" spans="1:11" x14ac:dyDescent="0.25">
      <c r="A3092" s="4">
        <v>10</v>
      </c>
      <c r="B3092" s="4" t="s">
        <v>11</v>
      </c>
      <c r="C3092" s="7">
        <v>25.96</v>
      </c>
      <c r="D3092" s="4" t="s">
        <v>18</v>
      </c>
      <c r="E3092" s="4" t="s">
        <v>13</v>
      </c>
      <c r="F3092" s="4" t="s">
        <v>30</v>
      </c>
      <c r="G3092" s="4" t="s">
        <v>41</v>
      </c>
      <c r="H3092" s="4">
        <v>4</v>
      </c>
      <c r="I3092" s="4">
        <v>2</v>
      </c>
      <c r="J3092" s="5">
        <v>45708</v>
      </c>
      <c r="K3092" s="6">
        <v>0.42891203703703706</v>
      </c>
    </row>
    <row r="3093" spans="1:11" x14ac:dyDescent="0.25">
      <c r="A3093" s="4">
        <v>10</v>
      </c>
      <c r="B3093" s="4" t="s">
        <v>11</v>
      </c>
      <c r="C3093" s="7">
        <v>25.96</v>
      </c>
      <c r="D3093" s="4" t="s">
        <v>18</v>
      </c>
      <c r="E3093" s="4" t="s">
        <v>13</v>
      </c>
      <c r="F3093" s="4" t="s">
        <v>30</v>
      </c>
      <c r="G3093" s="4" t="s">
        <v>41</v>
      </c>
      <c r="H3093" s="4">
        <v>4</v>
      </c>
      <c r="I3093" s="4">
        <v>2</v>
      </c>
      <c r="J3093" s="5">
        <v>45708</v>
      </c>
      <c r="K3093" s="6">
        <v>0.43083333333333335</v>
      </c>
    </row>
    <row r="3094" spans="1:11" x14ac:dyDescent="0.25">
      <c r="A3094" s="4">
        <v>10</v>
      </c>
      <c r="B3094" s="4" t="s">
        <v>11</v>
      </c>
      <c r="C3094" s="7">
        <v>25.96</v>
      </c>
      <c r="D3094" s="4" t="s">
        <v>18</v>
      </c>
      <c r="E3094" s="4" t="s">
        <v>13</v>
      </c>
      <c r="F3094" s="4" t="s">
        <v>30</v>
      </c>
      <c r="G3094" s="4" t="s">
        <v>41</v>
      </c>
      <c r="H3094" s="4">
        <v>4</v>
      </c>
      <c r="I3094" s="4">
        <v>2</v>
      </c>
      <c r="J3094" s="5">
        <v>45708</v>
      </c>
      <c r="K3094" s="6">
        <v>0.43359953703703702</v>
      </c>
    </row>
    <row r="3095" spans="1:11" x14ac:dyDescent="0.25">
      <c r="A3095" s="4">
        <v>13</v>
      </c>
      <c r="B3095" s="4" t="s">
        <v>11</v>
      </c>
      <c r="C3095" s="7">
        <v>30.86</v>
      </c>
      <c r="D3095" s="4" t="s">
        <v>19</v>
      </c>
      <c r="E3095" s="4" t="s">
        <v>17</v>
      </c>
      <c r="F3095" s="4" t="s">
        <v>30</v>
      </c>
      <c r="G3095" s="4" t="s">
        <v>41</v>
      </c>
      <c r="H3095" s="4">
        <v>4</v>
      </c>
      <c r="I3095" s="4">
        <v>2</v>
      </c>
      <c r="J3095" s="5">
        <v>45708</v>
      </c>
      <c r="K3095" s="6">
        <v>0.54327546296296292</v>
      </c>
    </row>
    <row r="3096" spans="1:11" x14ac:dyDescent="0.25">
      <c r="A3096" s="4">
        <v>14</v>
      </c>
      <c r="B3096" s="4" t="s">
        <v>11</v>
      </c>
      <c r="C3096" s="7">
        <v>35.76</v>
      </c>
      <c r="D3096" s="4" t="s">
        <v>12</v>
      </c>
      <c r="E3096" s="4" t="s">
        <v>17</v>
      </c>
      <c r="F3096" s="4" t="s">
        <v>30</v>
      </c>
      <c r="G3096" s="4" t="s">
        <v>41</v>
      </c>
      <c r="H3096" s="4">
        <v>4</v>
      </c>
      <c r="I3096" s="4">
        <v>2</v>
      </c>
      <c r="J3096" s="5">
        <v>45708</v>
      </c>
      <c r="K3096" s="6">
        <v>0.59760416666666671</v>
      </c>
    </row>
    <row r="3097" spans="1:11" x14ac:dyDescent="0.25">
      <c r="A3097" s="4">
        <v>14</v>
      </c>
      <c r="B3097" s="4" t="s">
        <v>11</v>
      </c>
      <c r="C3097" s="7">
        <v>25.96</v>
      </c>
      <c r="D3097" s="4" t="s">
        <v>18</v>
      </c>
      <c r="E3097" s="4" t="s">
        <v>17</v>
      </c>
      <c r="F3097" s="4" t="s">
        <v>30</v>
      </c>
      <c r="G3097" s="4" t="s">
        <v>41</v>
      </c>
      <c r="H3097" s="4">
        <v>4</v>
      </c>
      <c r="I3097" s="4">
        <v>2</v>
      </c>
      <c r="J3097" s="5">
        <v>45708</v>
      </c>
      <c r="K3097" s="6">
        <v>0.60971064814814813</v>
      </c>
    </row>
    <row r="3098" spans="1:11" x14ac:dyDescent="0.25">
      <c r="A3098" s="4">
        <v>14</v>
      </c>
      <c r="B3098" s="4" t="s">
        <v>11</v>
      </c>
      <c r="C3098" s="7">
        <v>25.96</v>
      </c>
      <c r="D3098" s="4" t="s">
        <v>18</v>
      </c>
      <c r="E3098" s="4" t="s">
        <v>17</v>
      </c>
      <c r="F3098" s="4" t="s">
        <v>30</v>
      </c>
      <c r="G3098" s="4" t="s">
        <v>41</v>
      </c>
      <c r="H3098" s="4">
        <v>4</v>
      </c>
      <c r="I3098" s="4">
        <v>2</v>
      </c>
      <c r="J3098" s="5">
        <v>45708</v>
      </c>
      <c r="K3098" s="6">
        <v>0.61028935185185185</v>
      </c>
    </row>
    <row r="3099" spans="1:11" x14ac:dyDescent="0.25">
      <c r="A3099" s="4">
        <v>15</v>
      </c>
      <c r="B3099" s="4" t="s">
        <v>11</v>
      </c>
      <c r="C3099" s="7">
        <v>21.06</v>
      </c>
      <c r="D3099" s="4" t="s">
        <v>26</v>
      </c>
      <c r="E3099" s="4" t="s">
        <v>17</v>
      </c>
      <c r="F3099" s="4" t="s">
        <v>30</v>
      </c>
      <c r="G3099" s="4" t="s">
        <v>41</v>
      </c>
      <c r="H3099" s="4">
        <v>4</v>
      </c>
      <c r="I3099" s="4">
        <v>2</v>
      </c>
      <c r="J3099" s="5">
        <v>45708</v>
      </c>
      <c r="K3099" s="6">
        <v>0.63871527777777781</v>
      </c>
    </row>
    <row r="3100" spans="1:11" x14ac:dyDescent="0.25">
      <c r="A3100" s="4">
        <v>16</v>
      </c>
      <c r="B3100" s="4" t="s">
        <v>11</v>
      </c>
      <c r="C3100" s="7">
        <v>35.76</v>
      </c>
      <c r="D3100" s="4" t="s">
        <v>29</v>
      </c>
      <c r="E3100" s="4" t="s">
        <v>17</v>
      </c>
      <c r="F3100" s="4" t="s">
        <v>30</v>
      </c>
      <c r="G3100" s="4" t="s">
        <v>41</v>
      </c>
      <c r="H3100" s="4">
        <v>4</v>
      </c>
      <c r="I3100" s="4">
        <v>2</v>
      </c>
      <c r="J3100" s="5">
        <v>45708</v>
      </c>
      <c r="K3100" s="6">
        <v>0.67070601851851852</v>
      </c>
    </row>
    <row r="3101" spans="1:11" x14ac:dyDescent="0.25">
      <c r="A3101" s="4">
        <v>16</v>
      </c>
      <c r="B3101" s="4" t="s">
        <v>11</v>
      </c>
      <c r="C3101" s="7">
        <v>35.76</v>
      </c>
      <c r="D3101" s="4" t="s">
        <v>29</v>
      </c>
      <c r="E3101" s="4" t="s">
        <v>17</v>
      </c>
      <c r="F3101" s="4" t="s">
        <v>30</v>
      </c>
      <c r="G3101" s="4" t="s">
        <v>41</v>
      </c>
      <c r="H3101" s="4">
        <v>4</v>
      </c>
      <c r="I3101" s="4">
        <v>2</v>
      </c>
      <c r="J3101" s="5">
        <v>45708</v>
      </c>
      <c r="K3101" s="6">
        <v>0.70770833333333338</v>
      </c>
    </row>
    <row r="3102" spans="1:11" x14ac:dyDescent="0.25">
      <c r="A3102" s="4">
        <v>17</v>
      </c>
      <c r="B3102" s="4" t="s">
        <v>11</v>
      </c>
      <c r="C3102" s="7">
        <v>35.76</v>
      </c>
      <c r="D3102" s="4" t="s">
        <v>16</v>
      </c>
      <c r="E3102" s="4" t="s">
        <v>20</v>
      </c>
      <c r="F3102" s="4" t="s">
        <v>30</v>
      </c>
      <c r="G3102" s="4" t="s">
        <v>41</v>
      </c>
      <c r="H3102" s="4">
        <v>4</v>
      </c>
      <c r="I3102" s="4">
        <v>2</v>
      </c>
      <c r="J3102" s="5">
        <v>45708</v>
      </c>
      <c r="K3102" s="6">
        <v>0.70874999999999999</v>
      </c>
    </row>
    <row r="3103" spans="1:11" x14ac:dyDescent="0.25">
      <c r="A3103" s="4">
        <v>17</v>
      </c>
      <c r="B3103" s="4" t="s">
        <v>11</v>
      </c>
      <c r="C3103" s="7">
        <v>25.96</v>
      </c>
      <c r="D3103" s="4" t="s">
        <v>18</v>
      </c>
      <c r="E3103" s="4" t="s">
        <v>20</v>
      </c>
      <c r="F3103" s="4" t="s">
        <v>30</v>
      </c>
      <c r="G3103" s="4" t="s">
        <v>41</v>
      </c>
      <c r="H3103" s="4">
        <v>4</v>
      </c>
      <c r="I3103" s="4">
        <v>2</v>
      </c>
      <c r="J3103" s="5">
        <v>45708</v>
      </c>
      <c r="K3103" s="6">
        <v>0.7135069444444444</v>
      </c>
    </row>
    <row r="3104" spans="1:11" x14ac:dyDescent="0.25">
      <c r="A3104" s="4">
        <v>18</v>
      </c>
      <c r="B3104" s="4" t="s">
        <v>11</v>
      </c>
      <c r="C3104" s="7">
        <v>25.96</v>
      </c>
      <c r="D3104" s="4" t="s">
        <v>18</v>
      </c>
      <c r="E3104" s="4" t="s">
        <v>20</v>
      </c>
      <c r="F3104" s="4" t="s">
        <v>30</v>
      </c>
      <c r="G3104" s="4" t="s">
        <v>41</v>
      </c>
      <c r="H3104" s="4">
        <v>4</v>
      </c>
      <c r="I3104" s="4">
        <v>2</v>
      </c>
      <c r="J3104" s="5">
        <v>45708</v>
      </c>
      <c r="K3104" s="6">
        <v>0.78997685185185185</v>
      </c>
    </row>
    <row r="3105" spans="1:11" x14ac:dyDescent="0.25">
      <c r="A3105" s="4">
        <v>19</v>
      </c>
      <c r="B3105" s="4" t="s">
        <v>11</v>
      </c>
      <c r="C3105" s="7">
        <v>35.76</v>
      </c>
      <c r="D3105" s="4" t="s">
        <v>16</v>
      </c>
      <c r="E3105" s="4" t="s">
        <v>20</v>
      </c>
      <c r="F3105" s="4" t="s">
        <v>30</v>
      </c>
      <c r="G3105" s="4" t="s">
        <v>41</v>
      </c>
      <c r="H3105" s="4">
        <v>4</v>
      </c>
      <c r="I3105" s="4">
        <v>2</v>
      </c>
      <c r="J3105" s="5">
        <v>45708</v>
      </c>
      <c r="K3105" s="6">
        <v>0.79295138888888894</v>
      </c>
    </row>
    <row r="3106" spans="1:11" x14ac:dyDescent="0.25">
      <c r="A3106" s="4">
        <v>19</v>
      </c>
      <c r="B3106" s="4" t="s">
        <v>11</v>
      </c>
      <c r="C3106" s="7">
        <v>35.76</v>
      </c>
      <c r="D3106" s="4" t="s">
        <v>21</v>
      </c>
      <c r="E3106" s="4" t="s">
        <v>20</v>
      </c>
      <c r="F3106" s="4" t="s">
        <v>30</v>
      </c>
      <c r="G3106" s="4" t="s">
        <v>41</v>
      </c>
      <c r="H3106" s="4">
        <v>4</v>
      </c>
      <c r="I3106" s="4">
        <v>2</v>
      </c>
      <c r="J3106" s="5">
        <v>45708</v>
      </c>
      <c r="K3106" s="6">
        <v>0.79681712962962958</v>
      </c>
    </row>
    <row r="3107" spans="1:11" x14ac:dyDescent="0.25">
      <c r="A3107" s="4">
        <v>20</v>
      </c>
      <c r="B3107" s="4" t="s">
        <v>11</v>
      </c>
      <c r="C3107" s="7">
        <v>35.76</v>
      </c>
      <c r="D3107" s="4" t="s">
        <v>12</v>
      </c>
      <c r="E3107" s="4" t="s">
        <v>20</v>
      </c>
      <c r="F3107" s="4" t="s">
        <v>30</v>
      </c>
      <c r="G3107" s="4" t="s">
        <v>41</v>
      </c>
      <c r="H3107" s="4">
        <v>4</v>
      </c>
      <c r="I3107" s="4">
        <v>2</v>
      </c>
      <c r="J3107" s="5">
        <v>45708</v>
      </c>
      <c r="K3107" s="6">
        <v>0.83822916666666669</v>
      </c>
    </row>
    <row r="3108" spans="1:11" x14ac:dyDescent="0.25">
      <c r="A3108" s="4">
        <v>6</v>
      </c>
      <c r="B3108" s="4" t="s">
        <v>11</v>
      </c>
      <c r="C3108" s="7">
        <v>25.96</v>
      </c>
      <c r="D3108" s="4" t="s">
        <v>18</v>
      </c>
      <c r="E3108" s="4" t="s">
        <v>13</v>
      </c>
      <c r="F3108" s="4" t="s">
        <v>14</v>
      </c>
      <c r="G3108" s="4" t="s">
        <v>41</v>
      </c>
      <c r="H3108" s="4">
        <v>5</v>
      </c>
      <c r="I3108" s="4">
        <v>2</v>
      </c>
      <c r="J3108" s="5">
        <v>45709</v>
      </c>
      <c r="K3108" s="6">
        <v>0.29106481481481483</v>
      </c>
    </row>
    <row r="3109" spans="1:11" x14ac:dyDescent="0.25">
      <c r="A3109" s="4">
        <v>9</v>
      </c>
      <c r="B3109" s="4" t="s">
        <v>11</v>
      </c>
      <c r="C3109" s="7">
        <v>35.76</v>
      </c>
      <c r="D3109" s="4" t="s">
        <v>12</v>
      </c>
      <c r="E3109" s="4" t="s">
        <v>13</v>
      </c>
      <c r="F3109" s="4" t="s">
        <v>14</v>
      </c>
      <c r="G3109" s="4" t="s">
        <v>41</v>
      </c>
      <c r="H3109" s="4">
        <v>5</v>
      </c>
      <c r="I3109" s="4">
        <v>2</v>
      </c>
      <c r="J3109" s="5">
        <v>45709</v>
      </c>
      <c r="K3109" s="6">
        <v>0.40380787037037036</v>
      </c>
    </row>
    <row r="3110" spans="1:11" x14ac:dyDescent="0.25">
      <c r="A3110" s="4">
        <v>9</v>
      </c>
      <c r="B3110" s="4" t="s">
        <v>11</v>
      </c>
      <c r="C3110" s="7">
        <v>35.76</v>
      </c>
      <c r="D3110" s="4" t="s">
        <v>29</v>
      </c>
      <c r="E3110" s="4" t="s">
        <v>13</v>
      </c>
      <c r="F3110" s="4" t="s">
        <v>14</v>
      </c>
      <c r="G3110" s="4" t="s">
        <v>41</v>
      </c>
      <c r="H3110" s="4">
        <v>5</v>
      </c>
      <c r="I3110" s="4">
        <v>2</v>
      </c>
      <c r="J3110" s="5">
        <v>45709</v>
      </c>
      <c r="K3110" s="6">
        <v>0.40925925925925927</v>
      </c>
    </row>
    <row r="3111" spans="1:11" x14ac:dyDescent="0.25">
      <c r="A3111" s="4">
        <v>9</v>
      </c>
      <c r="B3111" s="4" t="s">
        <v>11</v>
      </c>
      <c r="C3111" s="7">
        <v>21.06</v>
      </c>
      <c r="D3111" s="4" t="s">
        <v>26</v>
      </c>
      <c r="E3111" s="4" t="s">
        <v>13</v>
      </c>
      <c r="F3111" s="4" t="s">
        <v>14</v>
      </c>
      <c r="G3111" s="4" t="s">
        <v>41</v>
      </c>
      <c r="H3111" s="4">
        <v>5</v>
      </c>
      <c r="I3111" s="4">
        <v>2</v>
      </c>
      <c r="J3111" s="5">
        <v>45709</v>
      </c>
      <c r="K3111" s="6">
        <v>0.41055555555555556</v>
      </c>
    </row>
    <row r="3112" spans="1:11" x14ac:dyDescent="0.25">
      <c r="A3112" s="4">
        <v>10</v>
      </c>
      <c r="B3112" s="4" t="s">
        <v>11</v>
      </c>
      <c r="C3112" s="7">
        <v>25.96</v>
      </c>
      <c r="D3112" s="4" t="s">
        <v>18</v>
      </c>
      <c r="E3112" s="4" t="s">
        <v>13</v>
      </c>
      <c r="F3112" s="4" t="s">
        <v>14</v>
      </c>
      <c r="G3112" s="4" t="s">
        <v>41</v>
      </c>
      <c r="H3112" s="4">
        <v>5</v>
      </c>
      <c r="I3112" s="4">
        <v>2</v>
      </c>
      <c r="J3112" s="5">
        <v>45709</v>
      </c>
      <c r="K3112" s="6">
        <v>0.42928240740740742</v>
      </c>
    </row>
    <row r="3113" spans="1:11" x14ac:dyDescent="0.25">
      <c r="A3113" s="4">
        <v>11</v>
      </c>
      <c r="B3113" s="4" t="s">
        <v>11</v>
      </c>
      <c r="C3113" s="7">
        <v>30.86</v>
      </c>
      <c r="D3113" s="4" t="s">
        <v>19</v>
      </c>
      <c r="E3113" s="4" t="s">
        <v>13</v>
      </c>
      <c r="F3113" s="4" t="s">
        <v>14</v>
      </c>
      <c r="G3113" s="4" t="s">
        <v>41</v>
      </c>
      <c r="H3113" s="4">
        <v>5</v>
      </c>
      <c r="I3113" s="4">
        <v>2</v>
      </c>
      <c r="J3113" s="5">
        <v>45709</v>
      </c>
      <c r="K3113" s="6">
        <v>0.46535879629629628</v>
      </c>
    </row>
    <row r="3114" spans="1:11" x14ac:dyDescent="0.25">
      <c r="A3114" s="4">
        <v>12</v>
      </c>
      <c r="B3114" s="4" t="s">
        <v>11</v>
      </c>
      <c r="C3114" s="7">
        <v>25.96</v>
      </c>
      <c r="D3114" s="4" t="s">
        <v>18</v>
      </c>
      <c r="E3114" s="4" t="s">
        <v>17</v>
      </c>
      <c r="F3114" s="4" t="s">
        <v>14</v>
      </c>
      <c r="G3114" s="4" t="s">
        <v>41</v>
      </c>
      <c r="H3114" s="4">
        <v>5</v>
      </c>
      <c r="I3114" s="4">
        <v>2</v>
      </c>
      <c r="J3114" s="5">
        <v>45709</v>
      </c>
      <c r="K3114" s="6">
        <v>0.50334490740740745</v>
      </c>
    </row>
    <row r="3115" spans="1:11" x14ac:dyDescent="0.25">
      <c r="A3115" s="4">
        <v>12</v>
      </c>
      <c r="B3115" s="4" t="s">
        <v>11</v>
      </c>
      <c r="C3115" s="7">
        <v>25.96</v>
      </c>
      <c r="D3115" s="4" t="s">
        <v>18</v>
      </c>
      <c r="E3115" s="4" t="s">
        <v>17</v>
      </c>
      <c r="F3115" s="4" t="s">
        <v>14</v>
      </c>
      <c r="G3115" s="4" t="s">
        <v>41</v>
      </c>
      <c r="H3115" s="4">
        <v>5</v>
      </c>
      <c r="I3115" s="4">
        <v>2</v>
      </c>
      <c r="J3115" s="5">
        <v>45709</v>
      </c>
      <c r="K3115" s="6">
        <v>0.50534722222222217</v>
      </c>
    </row>
    <row r="3116" spans="1:11" x14ac:dyDescent="0.25">
      <c r="A3116" s="4">
        <v>12</v>
      </c>
      <c r="B3116" s="4" t="s">
        <v>11</v>
      </c>
      <c r="C3116" s="7">
        <v>25.96</v>
      </c>
      <c r="D3116" s="4" t="s">
        <v>18</v>
      </c>
      <c r="E3116" s="4" t="s">
        <v>17</v>
      </c>
      <c r="F3116" s="4" t="s">
        <v>14</v>
      </c>
      <c r="G3116" s="4" t="s">
        <v>41</v>
      </c>
      <c r="H3116" s="4">
        <v>5</v>
      </c>
      <c r="I3116" s="4">
        <v>2</v>
      </c>
      <c r="J3116" s="5">
        <v>45709</v>
      </c>
      <c r="K3116" s="6">
        <v>0.53908564814814819</v>
      </c>
    </row>
    <row r="3117" spans="1:11" x14ac:dyDescent="0.25">
      <c r="A3117" s="4">
        <v>12</v>
      </c>
      <c r="B3117" s="4" t="s">
        <v>11</v>
      </c>
      <c r="C3117" s="7">
        <v>25.96</v>
      </c>
      <c r="D3117" s="4" t="s">
        <v>18</v>
      </c>
      <c r="E3117" s="4" t="s">
        <v>17</v>
      </c>
      <c r="F3117" s="4" t="s">
        <v>14</v>
      </c>
      <c r="G3117" s="4" t="s">
        <v>41</v>
      </c>
      <c r="H3117" s="4">
        <v>5</v>
      </c>
      <c r="I3117" s="4">
        <v>2</v>
      </c>
      <c r="J3117" s="5">
        <v>45709</v>
      </c>
      <c r="K3117" s="6">
        <v>0.53960648148148149</v>
      </c>
    </row>
    <row r="3118" spans="1:11" x14ac:dyDescent="0.25">
      <c r="A3118" s="4">
        <v>13</v>
      </c>
      <c r="B3118" s="4" t="s">
        <v>11</v>
      </c>
      <c r="C3118" s="7">
        <v>25.96</v>
      </c>
      <c r="D3118" s="4" t="s">
        <v>18</v>
      </c>
      <c r="E3118" s="4" t="s">
        <v>17</v>
      </c>
      <c r="F3118" s="4" t="s">
        <v>14</v>
      </c>
      <c r="G3118" s="4" t="s">
        <v>41</v>
      </c>
      <c r="H3118" s="4">
        <v>5</v>
      </c>
      <c r="I3118" s="4">
        <v>2</v>
      </c>
      <c r="J3118" s="5">
        <v>45709</v>
      </c>
      <c r="K3118" s="6">
        <v>0.54631944444444447</v>
      </c>
    </row>
    <row r="3119" spans="1:11" x14ac:dyDescent="0.25">
      <c r="A3119" s="4">
        <v>14</v>
      </c>
      <c r="B3119" s="4" t="s">
        <v>11</v>
      </c>
      <c r="C3119" s="7">
        <v>25.96</v>
      </c>
      <c r="D3119" s="4" t="s">
        <v>18</v>
      </c>
      <c r="E3119" s="4" t="s">
        <v>17</v>
      </c>
      <c r="F3119" s="4" t="s">
        <v>14</v>
      </c>
      <c r="G3119" s="4" t="s">
        <v>41</v>
      </c>
      <c r="H3119" s="4">
        <v>5</v>
      </c>
      <c r="I3119" s="4">
        <v>2</v>
      </c>
      <c r="J3119" s="5">
        <v>45709</v>
      </c>
      <c r="K3119" s="6">
        <v>0.59576388888888887</v>
      </c>
    </row>
    <row r="3120" spans="1:11" x14ac:dyDescent="0.25">
      <c r="A3120" s="4">
        <v>15</v>
      </c>
      <c r="B3120" s="4" t="s">
        <v>11</v>
      </c>
      <c r="C3120" s="7">
        <v>35.76</v>
      </c>
      <c r="D3120" s="4" t="s">
        <v>29</v>
      </c>
      <c r="E3120" s="4" t="s">
        <v>17</v>
      </c>
      <c r="F3120" s="4" t="s">
        <v>14</v>
      </c>
      <c r="G3120" s="4" t="s">
        <v>41</v>
      </c>
      <c r="H3120" s="4">
        <v>5</v>
      </c>
      <c r="I3120" s="4">
        <v>2</v>
      </c>
      <c r="J3120" s="5">
        <v>45709</v>
      </c>
      <c r="K3120" s="6">
        <v>0.63785879629629627</v>
      </c>
    </row>
    <row r="3121" spans="1:11" x14ac:dyDescent="0.25">
      <c r="A3121" s="4">
        <v>15</v>
      </c>
      <c r="B3121" s="4" t="s">
        <v>11</v>
      </c>
      <c r="C3121" s="7">
        <v>25.96</v>
      </c>
      <c r="D3121" s="4" t="s">
        <v>18</v>
      </c>
      <c r="E3121" s="4" t="s">
        <v>17</v>
      </c>
      <c r="F3121" s="4" t="s">
        <v>14</v>
      </c>
      <c r="G3121" s="4" t="s">
        <v>41</v>
      </c>
      <c r="H3121" s="4">
        <v>5</v>
      </c>
      <c r="I3121" s="4">
        <v>2</v>
      </c>
      <c r="J3121" s="5">
        <v>45709</v>
      </c>
      <c r="K3121" s="6">
        <v>0.65687499999999999</v>
      </c>
    </row>
    <row r="3122" spans="1:11" x14ac:dyDescent="0.25">
      <c r="A3122" s="4">
        <v>15</v>
      </c>
      <c r="B3122" s="4" t="s">
        <v>11</v>
      </c>
      <c r="C3122" s="7">
        <v>25.96</v>
      </c>
      <c r="D3122" s="4" t="s">
        <v>18</v>
      </c>
      <c r="E3122" s="4" t="s">
        <v>17</v>
      </c>
      <c r="F3122" s="4" t="s">
        <v>14</v>
      </c>
      <c r="G3122" s="4" t="s">
        <v>41</v>
      </c>
      <c r="H3122" s="4">
        <v>5</v>
      </c>
      <c r="I3122" s="4">
        <v>2</v>
      </c>
      <c r="J3122" s="5">
        <v>45709</v>
      </c>
      <c r="K3122" s="6">
        <v>0.65749999999999997</v>
      </c>
    </row>
    <row r="3123" spans="1:11" x14ac:dyDescent="0.25">
      <c r="A3123" s="4">
        <v>15</v>
      </c>
      <c r="B3123" s="4" t="s">
        <v>11</v>
      </c>
      <c r="C3123" s="7">
        <v>25.96</v>
      </c>
      <c r="D3123" s="4" t="s">
        <v>18</v>
      </c>
      <c r="E3123" s="4" t="s">
        <v>17</v>
      </c>
      <c r="F3123" s="4" t="s">
        <v>14</v>
      </c>
      <c r="G3123" s="4" t="s">
        <v>41</v>
      </c>
      <c r="H3123" s="4">
        <v>5</v>
      </c>
      <c r="I3123" s="4">
        <v>2</v>
      </c>
      <c r="J3123" s="5">
        <v>45709</v>
      </c>
      <c r="K3123" s="6">
        <v>0.66166666666666663</v>
      </c>
    </row>
    <row r="3124" spans="1:11" x14ac:dyDescent="0.25">
      <c r="A3124" s="4">
        <v>16</v>
      </c>
      <c r="B3124" s="4" t="s">
        <v>11</v>
      </c>
      <c r="C3124" s="7">
        <v>35.76</v>
      </c>
      <c r="D3124" s="4" t="s">
        <v>21</v>
      </c>
      <c r="E3124" s="4" t="s">
        <v>17</v>
      </c>
      <c r="F3124" s="4" t="s">
        <v>14</v>
      </c>
      <c r="G3124" s="4" t="s">
        <v>41</v>
      </c>
      <c r="H3124" s="4">
        <v>5</v>
      </c>
      <c r="I3124" s="4">
        <v>2</v>
      </c>
      <c r="J3124" s="5">
        <v>45709</v>
      </c>
      <c r="K3124" s="6">
        <v>0.6736805555555555</v>
      </c>
    </row>
    <row r="3125" spans="1:11" x14ac:dyDescent="0.25">
      <c r="A3125" s="4">
        <v>16</v>
      </c>
      <c r="B3125" s="4" t="s">
        <v>11</v>
      </c>
      <c r="C3125" s="7">
        <v>35.76</v>
      </c>
      <c r="D3125" s="4" t="s">
        <v>12</v>
      </c>
      <c r="E3125" s="4" t="s">
        <v>17</v>
      </c>
      <c r="F3125" s="4" t="s">
        <v>14</v>
      </c>
      <c r="G3125" s="4" t="s">
        <v>41</v>
      </c>
      <c r="H3125" s="4">
        <v>5</v>
      </c>
      <c r="I3125" s="4">
        <v>2</v>
      </c>
      <c r="J3125" s="5">
        <v>45709</v>
      </c>
      <c r="K3125" s="6">
        <v>0.69928240740740744</v>
      </c>
    </row>
    <row r="3126" spans="1:11" x14ac:dyDescent="0.25">
      <c r="A3126" s="4">
        <v>16</v>
      </c>
      <c r="B3126" s="4" t="s">
        <v>11</v>
      </c>
      <c r="C3126" s="7">
        <v>35.76</v>
      </c>
      <c r="D3126" s="4" t="s">
        <v>16</v>
      </c>
      <c r="E3126" s="4" t="s">
        <v>17</v>
      </c>
      <c r="F3126" s="4" t="s">
        <v>14</v>
      </c>
      <c r="G3126" s="4" t="s">
        <v>41</v>
      </c>
      <c r="H3126" s="4">
        <v>5</v>
      </c>
      <c r="I3126" s="4">
        <v>2</v>
      </c>
      <c r="J3126" s="5">
        <v>45709</v>
      </c>
      <c r="K3126" s="6">
        <v>0.70067129629629632</v>
      </c>
    </row>
    <row r="3127" spans="1:11" x14ac:dyDescent="0.25">
      <c r="A3127" s="4">
        <v>16</v>
      </c>
      <c r="B3127" s="4" t="s">
        <v>11</v>
      </c>
      <c r="C3127" s="7">
        <v>35.76</v>
      </c>
      <c r="D3127" s="4" t="s">
        <v>12</v>
      </c>
      <c r="E3127" s="4" t="s">
        <v>17</v>
      </c>
      <c r="F3127" s="4" t="s">
        <v>14</v>
      </c>
      <c r="G3127" s="4" t="s">
        <v>41</v>
      </c>
      <c r="H3127" s="4">
        <v>5</v>
      </c>
      <c r="I3127" s="4">
        <v>2</v>
      </c>
      <c r="J3127" s="5">
        <v>45709</v>
      </c>
      <c r="K3127" s="6">
        <v>0.7015393518518519</v>
      </c>
    </row>
    <row r="3128" spans="1:11" x14ac:dyDescent="0.25">
      <c r="A3128" s="4">
        <v>19</v>
      </c>
      <c r="B3128" s="4" t="s">
        <v>11</v>
      </c>
      <c r="C3128" s="7">
        <v>35.76</v>
      </c>
      <c r="D3128" s="4" t="s">
        <v>21</v>
      </c>
      <c r="E3128" s="4" t="s">
        <v>20</v>
      </c>
      <c r="F3128" s="4" t="s">
        <v>14</v>
      </c>
      <c r="G3128" s="4" t="s">
        <v>41</v>
      </c>
      <c r="H3128" s="4">
        <v>5</v>
      </c>
      <c r="I3128" s="4">
        <v>2</v>
      </c>
      <c r="J3128" s="5">
        <v>45709</v>
      </c>
      <c r="K3128" s="6">
        <v>0.79743055555555553</v>
      </c>
    </row>
    <row r="3129" spans="1:11" x14ac:dyDescent="0.25">
      <c r="A3129" s="4">
        <v>19</v>
      </c>
      <c r="B3129" s="4" t="s">
        <v>11</v>
      </c>
      <c r="C3129" s="7">
        <v>35.76</v>
      </c>
      <c r="D3129" s="4" t="s">
        <v>21</v>
      </c>
      <c r="E3129" s="4" t="s">
        <v>20</v>
      </c>
      <c r="F3129" s="4" t="s">
        <v>14</v>
      </c>
      <c r="G3129" s="4" t="s">
        <v>41</v>
      </c>
      <c r="H3129" s="4">
        <v>5</v>
      </c>
      <c r="I3129" s="4">
        <v>2</v>
      </c>
      <c r="J3129" s="5">
        <v>45709</v>
      </c>
      <c r="K3129" s="6">
        <v>0.79802083333333329</v>
      </c>
    </row>
    <row r="3130" spans="1:11" x14ac:dyDescent="0.25">
      <c r="A3130" s="4">
        <v>19</v>
      </c>
      <c r="B3130" s="4" t="s">
        <v>11</v>
      </c>
      <c r="C3130" s="7">
        <v>35.76</v>
      </c>
      <c r="D3130" s="4" t="s">
        <v>29</v>
      </c>
      <c r="E3130" s="4" t="s">
        <v>20</v>
      </c>
      <c r="F3130" s="4" t="s">
        <v>14</v>
      </c>
      <c r="G3130" s="4" t="s">
        <v>41</v>
      </c>
      <c r="H3130" s="4">
        <v>5</v>
      </c>
      <c r="I3130" s="4">
        <v>2</v>
      </c>
      <c r="J3130" s="5">
        <v>45709</v>
      </c>
      <c r="K3130" s="6">
        <v>0.83291666666666664</v>
      </c>
    </row>
    <row r="3131" spans="1:11" x14ac:dyDescent="0.25">
      <c r="A3131" s="4">
        <v>10</v>
      </c>
      <c r="B3131" s="4" t="s">
        <v>11</v>
      </c>
      <c r="C3131" s="7">
        <v>35.76</v>
      </c>
      <c r="D3131" s="4" t="s">
        <v>16</v>
      </c>
      <c r="E3131" s="4" t="s">
        <v>13</v>
      </c>
      <c r="F3131" s="4" t="s">
        <v>22</v>
      </c>
      <c r="G3131" s="4" t="s">
        <v>41</v>
      </c>
      <c r="H3131" s="4">
        <v>6</v>
      </c>
      <c r="I3131" s="4">
        <v>2</v>
      </c>
      <c r="J3131" s="5">
        <v>45710</v>
      </c>
      <c r="K3131" s="6">
        <v>0.45298611111111109</v>
      </c>
    </row>
    <row r="3132" spans="1:11" x14ac:dyDescent="0.25">
      <c r="A3132" s="4">
        <v>11</v>
      </c>
      <c r="B3132" s="4" t="s">
        <v>11</v>
      </c>
      <c r="C3132" s="7">
        <v>25.96</v>
      </c>
      <c r="D3132" s="4" t="s">
        <v>18</v>
      </c>
      <c r="E3132" s="4" t="s">
        <v>13</v>
      </c>
      <c r="F3132" s="4" t="s">
        <v>22</v>
      </c>
      <c r="G3132" s="4" t="s">
        <v>41</v>
      </c>
      <c r="H3132" s="4">
        <v>6</v>
      </c>
      <c r="I3132" s="4">
        <v>2</v>
      </c>
      <c r="J3132" s="5">
        <v>45710</v>
      </c>
      <c r="K3132" s="6">
        <v>0.47812500000000002</v>
      </c>
    </row>
    <row r="3133" spans="1:11" x14ac:dyDescent="0.25">
      <c r="A3133" s="4">
        <v>11</v>
      </c>
      <c r="B3133" s="4" t="s">
        <v>11</v>
      </c>
      <c r="C3133" s="7">
        <v>25.96</v>
      </c>
      <c r="D3133" s="4" t="s">
        <v>18</v>
      </c>
      <c r="E3133" s="4" t="s">
        <v>13</v>
      </c>
      <c r="F3133" s="4" t="s">
        <v>22</v>
      </c>
      <c r="G3133" s="4" t="s">
        <v>41</v>
      </c>
      <c r="H3133" s="4">
        <v>6</v>
      </c>
      <c r="I3133" s="4">
        <v>2</v>
      </c>
      <c r="J3133" s="5">
        <v>45710</v>
      </c>
      <c r="K3133" s="6">
        <v>0.48694444444444446</v>
      </c>
    </row>
    <row r="3134" spans="1:11" x14ac:dyDescent="0.25">
      <c r="A3134" s="4">
        <v>12</v>
      </c>
      <c r="B3134" s="4" t="s">
        <v>11</v>
      </c>
      <c r="C3134" s="7">
        <v>21.06</v>
      </c>
      <c r="D3134" s="4" t="s">
        <v>26</v>
      </c>
      <c r="E3134" s="4" t="s">
        <v>17</v>
      </c>
      <c r="F3134" s="4" t="s">
        <v>22</v>
      </c>
      <c r="G3134" s="4" t="s">
        <v>41</v>
      </c>
      <c r="H3134" s="4">
        <v>6</v>
      </c>
      <c r="I3134" s="4">
        <v>2</v>
      </c>
      <c r="J3134" s="5">
        <v>45710</v>
      </c>
      <c r="K3134" s="6">
        <v>0.54144675925925922</v>
      </c>
    </row>
    <row r="3135" spans="1:11" x14ac:dyDescent="0.25">
      <c r="A3135" s="4">
        <v>15</v>
      </c>
      <c r="B3135" s="4" t="s">
        <v>11</v>
      </c>
      <c r="C3135" s="7">
        <v>30.86</v>
      </c>
      <c r="D3135" s="4" t="s">
        <v>19</v>
      </c>
      <c r="E3135" s="4" t="s">
        <v>17</v>
      </c>
      <c r="F3135" s="4" t="s">
        <v>22</v>
      </c>
      <c r="G3135" s="4" t="s">
        <v>41</v>
      </c>
      <c r="H3135" s="4">
        <v>6</v>
      </c>
      <c r="I3135" s="4">
        <v>2</v>
      </c>
      <c r="J3135" s="5">
        <v>45710</v>
      </c>
      <c r="K3135" s="6">
        <v>0.62711805555555555</v>
      </c>
    </row>
    <row r="3136" spans="1:11" x14ac:dyDescent="0.25">
      <c r="A3136" s="4">
        <v>10</v>
      </c>
      <c r="B3136" s="4" t="s">
        <v>11</v>
      </c>
      <c r="C3136" s="7">
        <v>30.86</v>
      </c>
      <c r="D3136" s="4" t="s">
        <v>19</v>
      </c>
      <c r="E3136" s="4" t="s">
        <v>13</v>
      </c>
      <c r="F3136" s="4" t="s">
        <v>23</v>
      </c>
      <c r="G3136" s="4" t="s">
        <v>41</v>
      </c>
      <c r="H3136" s="4">
        <v>7</v>
      </c>
      <c r="I3136" s="4">
        <v>2</v>
      </c>
      <c r="J3136" s="5">
        <v>45711</v>
      </c>
      <c r="K3136" s="6">
        <v>0.43971064814814814</v>
      </c>
    </row>
    <row r="3137" spans="1:11" x14ac:dyDescent="0.25">
      <c r="A3137" s="4">
        <v>12</v>
      </c>
      <c r="B3137" s="4" t="s">
        <v>11</v>
      </c>
      <c r="C3137" s="7">
        <v>30.86</v>
      </c>
      <c r="D3137" s="4" t="s">
        <v>19</v>
      </c>
      <c r="E3137" s="4" t="s">
        <v>17</v>
      </c>
      <c r="F3137" s="4" t="s">
        <v>23</v>
      </c>
      <c r="G3137" s="4" t="s">
        <v>41</v>
      </c>
      <c r="H3137" s="4">
        <v>7</v>
      </c>
      <c r="I3137" s="4">
        <v>2</v>
      </c>
      <c r="J3137" s="5">
        <v>45711</v>
      </c>
      <c r="K3137" s="6">
        <v>0.53641203703703699</v>
      </c>
    </row>
    <row r="3138" spans="1:11" x14ac:dyDescent="0.25">
      <c r="A3138" s="4">
        <v>12</v>
      </c>
      <c r="B3138" s="4" t="s">
        <v>11</v>
      </c>
      <c r="C3138" s="7">
        <v>30.86</v>
      </c>
      <c r="D3138" s="4" t="s">
        <v>19</v>
      </c>
      <c r="E3138" s="4" t="s">
        <v>17</v>
      </c>
      <c r="F3138" s="4" t="s">
        <v>23</v>
      </c>
      <c r="G3138" s="4" t="s">
        <v>41</v>
      </c>
      <c r="H3138" s="4">
        <v>7</v>
      </c>
      <c r="I3138" s="4">
        <v>2</v>
      </c>
      <c r="J3138" s="5">
        <v>45711</v>
      </c>
      <c r="K3138" s="6">
        <v>0.53756944444444443</v>
      </c>
    </row>
    <row r="3139" spans="1:11" x14ac:dyDescent="0.25">
      <c r="A3139" s="4">
        <v>13</v>
      </c>
      <c r="B3139" s="4" t="s">
        <v>11</v>
      </c>
      <c r="C3139" s="7">
        <v>35.76</v>
      </c>
      <c r="D3139" s="4" t="s">
        <v>29</v>
      </c>
      <c r="E3139" s="4" t="s">
        <v>17</v>
      </c>
      <c r="F3139" s="4" t="s">
        <v>23</v>
      </c>
      <c r="G3139" s="4" t="s">
        <v>41</v>
      </c>
      <c r="H3139" s="4">
        <v>7</v>
      </c>
      <c r="I3139" s="4">
        <v>2</v>
      </c>
      <c r="J3139" s="5">
        <v>45711</v>
      </c>
      <c r="K3139" s="6">
        <v>0.57663194444444443</v>
      </c>
    </row>
    <row r="3140" spans="1:11" x14ac:dyDescent="0.25">
      <c r="A3140" s="4">
        <v>14</v>
      </c>
      <c r="B3140" s="4" t="s">
        <v>11</v>
      </c>
      <c r="C3140" s="7">
        <v>35.76</v>
      </c>
      <c r="D3140" s="4" t="s">
        <v>21</v>
      </c>
      <c r="E3140" s="4" t="s">
        <v>17</v>
      </c>
      <c r="F3140" s="4" t="s">
        <v>23</v>
      </c>
      <c r="G3140" s="4" t="s">
        <v>41</v>
      </c>
      <c r="H3140" s="4">
        <v>7</v>
      </c>
      <c r="I3140" s="4">
        <v>2</v>
      </c>
      <c r="J3140" s="5">
        <v>45711</v>
      </c>
      <c r="K3140" s="6">
        <v>0.58475694444444448</v>
      </c>
    </row>
    <row r="3141" spans="1:11" x14ac:dyDescent="0.25">
      <c r="A3141" s="4">
        <v>17</v>
      </c>
      <c r="B3141" s="4" t="s">
        <v>11</v>
      </c>
      <c r="C3141" s="7">
        <v>25.96</v>
      </c>
      <c r="D3141" s="4" t="s">
        <v>18</v>
      </c>
      <c r="E3141" s="4" t="s">
        <v>20</v>
      </c>
      <c r="F3141" s="4" t="s">
        <v>23</v>
      </c>
      <c r="G3141" s="4" t="s">
        <v>41</v>
      </c>
      <c r="H3141" s="4">
        <v>7</v>
      </c>
      <c r="I3141" s="4">
        <v>2</v>
      </c>
      <c r="J3141" s="5">
        <v>45711</v>
      </c>
      <c r="K3141" s="6">
        <v>0.72759259259259257</v>
      </c>
    </row>
    <row r="3142" spans="1:11" x14ac:dyDescent="0.25">
      <c r="A3142" s="4">
        <v>9</v>
      </c>
      <c r="B3142" s="4" t="s">
        <v>11</v>
      </c>
      <c r="C3142" s="7">
        <v>30.86</v>
      </c>
      <c r="D3142" s="4" t="s">
        <v>19</v>
      </c>
      <c r="E3142" s="4" t="s">
        <v>13</v>
      </c>
      <c r="F3142" s="4" t="s">
        <v>25</v>
      </c>
      <c r="G3142" s="4" t="s">
        <v>41</v>
      </c>
      <c r="H3142" s="4">
        <v>1</v>
      </c>
      <c r="I3142" s="4">
        <v>2</v>
      </c>
      <c r="J3142" s="5">
        <v>45712</v>
      </c>
      <c r="K3142" s="6">
        <v>0.38533564814814814</v>
      </c>
    </row>
    <row r="3143" spans="1:11" x14ac:dyDescent="0.25">
      <c r="A3143" s="4">
        <v>9</v>
      </c>
      <c r="B3143" s="4" t="s">
        <v>11</v>
      </c>
      <c r="C3143" s="7">
        <v>35.76</v>
      </c>
      <c r="D3143" s="4" t="s">
        <v>12</v>
      </c>
      <c r="E3143" s="4" t="s">
        <v>13</v>
      </c>
      <c r="F3143" s="4" t="s">
        <v>25</v>
      </c>
      <c r="G3143" s="4" t="s">
        <v>41</v>
      </c>
      <c r="H3143" s="4">
        <v>1</v>
      </c>
      <c r="I3143" s="4">
        <v>2</v>
      </c>
      <c r="J3143" s="5">
        <v>45712</v>
      </c>
      <c r="K3143" s="6">
        <v>0.40636574074074072</v>
      </c>
    </row>
    <row r="3144" spans="1:11" x14ac:dyDescent="0.25">
      <c r="A3144" s="4">
        <v>10</v>
      </c>
      <c r="B3144" s="4" t="s">
        <v>11</v>
      </c>
      <c r="C3144" s="7">
        <v>25.96</v>
      </c>
      <c r="D3144" s="4" t="s">
        <v>18</v>
      </c>
      <c r="E3144" s="4" t="s">
        <v>13</v>
      </c>
      <c r="F3144" s="4" t="s">
        <v>25</v>
      </c>
      <c r="G3144" s="4" t="s">
        <v>41</v>
      </c>
      <c r="H3144" s="4">
        <v>1</v>
      </c>
      <c r="I3144" s="4">
        <v>2</v>
      </c>
      <c r="J3144" s="5">
        <v>45712</v>
      </c>
      <c r="K3144" s="6">
        <v>0.4186111111111111</v>
      </c>
    </row>
    <row r="3145" spans="1:11" x14ac:dyDescent="0.25">
      <c r="A3145" s="4">
        <v>10</v>
      </c>
      <c r="B3145" s="4" t="s">
        <v>11</v>
      </c>
      <c r="C3145" s="7">
        <v>30.86</v>
      </c>
      <c r="D3145" s="4" t="s">
        <v>19</v>
      </c>
      <c r="E3145" s="4" t="s">
        <v>13</v>
      </c>
      <c r="F3145" s="4" t="s">
        <v>25</v>
      </c>
      <c r="G3145" s="4" t="s">
        <v>41</v>
      </c>
      <c r="H3145" s="4">
        <v>1</v>
      </c>
      <c r="I3145" s="4">
        <v>2</v>
      </c>
      <c r="J3145" s="5">
        <v>45712</v>
      </c>
      <c r="K3145" s="6">
        <v>0.42305555555555557</v>
      </c>
    </row>
    <row r="3146" spans="1:11" x14ac:dyDescent="0.25">
      <c r="A3146" s="4">
        <v>10</v>
      </c>
      <c r="B3146" s="4" t="s">
        <v>11</v>
      </c>
      <c r="C3146" s="7">
        <v>30.86</v>
      </c>
      <c r="D3146" s="4" t="s">
        <v>19</v>
      </c>
      <c r="E3146" s="4" t="s">
        <v>13</v>
      </c>
      <c r="F3146" s="4" t="s">
        <v>25</v>
      </c>
      <c r="G3146" s="4" t="s">
        <v>41</v>
      </c>
      <c r="H3146" s="4">
        <v>1</v>
      </c>
      <c r="I3146" s="4">
        <v>2</v>
      </c>
      <c r="J3146" s="5">
        <v>45712</v>
      </c>
      <c r="K3146" s="6">
        <v>0.42385416666666664</v>
      </c>
    </row>
    <row r="3147" spans="1:11" x14ac:dyDescent="0.25">
      <c r="A3147" s="4">
        <v>10</v>
      </c>
      <c r="B3147" s="4" t="s">
        <v>11</v>
      </c>
      <c r="C3147" s="7">
        <v>35.76</v>
      </c>
      <c r="D3147" s="4" t="s">
        <v>21</v>
      </c>
      <c r="E3147" s="4" t="s">
        <v>13</v>
      </c>
      <c r="F3147" s="4" t="s">
        <v>25</v>
      </c>
      <c r="G3147" s="4" t="s">
        <v>41</v>
      </c>
      <c r="H3147" s="4">
        <v>1</v>
      </c>
      <c r="I3147" s="4">
        <v>2</v>
      </c>
      <c r="J3147" s="5">
        <v>45712</v>
      </c>
      <c r="K3147" s="6">
        <v>0.44984953703703706</v>
      </c>
    </row>
    <row r="3148" spans="1:11" x14ac:dyDescent="0.25">
      <c r="A3148" s="4">
        <v>12</v>
      </c>
      <c r="B3148" s="4" t="s">
        <v>11</v>
      </c>
      <c r="C3148" s="7">
        <v>35.76</v>
      </c>
      <c r="D3148" s="4" t="s">
        <v>12</v>
      </c>
      <c r="E3148" s="4" t="s">
        <v>17</v>
      </c>
      <c r="F3148" s="4" t="s">
        <v>25</v>
      </c>
      <c r="G3148" s="4" t="s">
        <v>41</v>
      </c>
      <c r="H3148" s="4">
        <v>1</v>
      </c>
      <c r="I3148" s="4">
        <v>2</v>
      </c>
      <c r="J3148" s="5">
        <v>45712</v>
      </c>
      <c r="K3148" s="6">
        <v>0.54075231481481478</v>
      </c>
    </row>
    <row r="3149" spans="1:11" x14ac:dyDescent="0.25">
      <c r="A3149" s="4">
        <v>13</v>
      </c>
      <c r="B3149" s="4" t="s">
        <v>11</v>
      </c>
      <c r="C3149" s="7">
        <v>35.76</v>
      </c>
      <c r="D3149" s="4" t="s">
        <v>21</v>
      </c>
      <c r="E3149" s="4" t="s">
        <v>17</v>
      </c>
      <c r="F3149" s="4" t="s">
        <v>25</v>
      </c>
      <c r="G3149" s="4" t="s">
        <v>41</v>
      </c>
      <c r="H3149" s="4">
        <v>1</v>
      </c>
      <c r="I3149" s="4">
        <v>2</v>
      </c>
      <c r="J3149" s="5">
        <v>45712</v>
      </c>
      <c r="K3149" s="6">
        <v>0.54167824074074078</v>
      </c>
    </row>
    <row r="3150" spans="1:11" x14ac:dyDescent="0.25">
      <c r="A3150" s="4">
        <v>15</v>
      </c>
      <c r="B3150" s="4" t="s">
        <v>11</v>
      </c>
      <c r="C3150" s="7">
        <v>30.86</v>
      </c>
      <c r="D3150" s="4" t="s">
        <v>19</v>
      </c>
      <c r="E3150" s="4" t="s">
        <v>17</v>
      </c>
      <c r="F3150" s="4" t="s">
        <v>25</v>
      </c>
      <c r="G3150" s="4" t="s">
        <v>41</v>
      </c>
      <c r="H3150" s="4">
        <v>1</v>
      </c>
      <c r="I3150" s="4">
        <v>2</v>
      </c>
      <c r="J3150" s="5">
        <v>45712</v>
      </c>
      <c r="K3150" s="6">
        <v>0.65278935185185183</v>
      </c>
    </row>
    <row r="3151" spans="1:11" x14ac:dyDescent="0.25">
      <c r="A3151" s="4">
        <v>16</v>
      </c>
      <c r="B3151" s="4" t="s">
        <v>11</v>
      </c>
      <c r="C3151" s="7">
        <v>35.76</v>
      </c>
      <c r="D3151" s="4" t="s">
        <v>21</v>
      </c>
      <c r="E3151" s="4" t="s">
        <v>17</v>
      </c>
      <c r="F3151" s="4" t="s">
        <v>25</v>
      </c>
      <c r="G3151" s="4" t="s">
        <v>41</v>
      </c>
      <c r="H3151" s="4">
        <v>1</v>
      </c>
      <c r="I3151" s="4">
        <v>2</v>
      </c>
      <c r="J3151" s="5">
        <v>45712</v>
      </c>
      <c r="K3151" s="6">
        <v>0.66673611111111108</v>
      </c>
    </row>
    <row r="3152" spans="1:11" x14ac:dyDescent="0.25">
      <c r="A3152" s="4">
        <v>16</v>
      </c>
      <c r="B3152" s="4" t="s">
        <v>11</v>
      </c>
      <c r="C3152" s="7">
        <v>35.76</v>
      </c>
      <c r="D3152" s="4" t="s">
        <v>29</v>
      </c>
      <c r="E3152" s="4" t="s">
        <v>17</v>
      </c>
      <c r="F3152" s="4" t="s">
        <v>25</v>
      </c>
      <c r="G3152" s="4" t="s">
        <v>41</v>
      </c>
      <c r="H3152" s="4">
        <v>1</v>
      </c>
      <c r="I3152" s="4">
        <v>2</v>
      </c>
      <c r="J3152" s="5">
        <v>45712</v>
      </c>
      <c r="K3152" s="6">
        <v>0.67387731481481483</v>
      </c>
    </row>
    <row r="3153" spans="1:11" x14ac:dyDescent="0.25">
      <c r="A3153" s="4">
        <v>16</v>
      </c>
      <c r="B3153" s="4" t="s">
        <v>11</v>
      </c>
      <c r="C3153" s="7">
        <v>35.76</v>
      </c>
      <c r="D3153" s="4" t="s">
        <v>12</v>
      </c>
      <c r="E3153" s="4" t="s">
        <v>17</v>
      </c>
      <c r="F3153" s="4" t="s">
        <v>25</v>
      </c>
      <c r="G3153" s="4" t="s">
        <v>41</v>
      </c>
      <c r="H3153" s="4">
        <v>1</v>
      </c>
      <c r="I3153" s="4">
        <v>2</v>
      </c>
      <c r="J3153" s="5">
        <v>45712</v>
      </c>
      <c r="K3153" s="6">
        <v>0.68671296296296291</v>
      </c>
    </row>
    <row r="3154" spans="1:11" x14ac:dyDescent="0.25">
      <c r="A3154" s="4">
        <v>16</v>
      </c>
      <c r="B3154" s="4" t="s">
        <v>11</v>
      </c>
      <c r="C3154" s="7">
        <v>25.96</v>
      </c>
      <c r="D3154" s="4" t="s">
        <v>18</v>
      </c>
      <c r="E3154" s="4" t="s">
        <v>17</v>
      </c>
      <c r="F3154" s="4" t="s">
        <v>25</v>
      </c>
      <c r="G3154" s="4" t="s">
        <v>41</v>
      </c>
      <c r="H3154" s="4">
        <v>1</v>
      </c>
      <c r="I3154" s="4">
        <v>2</v>
      </c>
      <c r="J3154" s="5">
        <v>45712</v>
      </c>
      <c r="K3154" s="6">
        <v>0.70807870370370374</v>
      </c>
    </row>
    <row r="3155" spans="1:11" x14ac:dyDescent="0.25">
      <c r="A3155" s="4">
        <v>17</v>
      </c>
      <c r="B3155" s="4" t="s">
        <v>11</v>
      </c>
      <c r="C3155" s="7">
        <v>25.96</v>
      </c>
      <c r="D3155" s="4" t="s">
        <v>18</v>
      </c>
      <c r="E3155" s="4" t="s">
        <v>20</v>
      </c>
      <c r="F3155" s="4" t="s">
        <v>25</v>
      </c>
      <c r="G3155" s="4" t="s">
        <v>41</v>
      </c>
      <c r="H3155" s="4">
        <v>1</v>
      </c>
      <c r="I3155" s="4">
        <v>2</v>
      </c>
      <c r="J3155" s="5">
        <v>45712</v>
      </c>
      <c r="K3155" s="6">
        <v>0.70884259259259264</v>
      </c>
    </row>
    <row r="3156" spans="1:11" x14ac:dyDescent="0.25">
      <c r="A3156" s="4">
        <v>17</v>
      </c>
      <c r="B3156" s="4" t="s">
        <v>11</v>
      </c>
      <c r="C3156" s="7">
        <v>30.86</v>
      </c>
      <c r="D3156" s="4" t="s">
        <v>19</v>
      </c>
      <c r="E3156" s="4" t="s">
        <v>20</v>
      </c>
      <c r="F3156" s="4" t="s">
        <v>25</v>
      </c>
      <c r="G3156" s="4" t="s">
        <v>41</v>
      </c>
      <c r="H3156" s="4">
        <v>1</v>
      </c>
      <c r="I3156" s="4">
        <v>2</v>
      </c>
      <c r="J3156" s="5">
        <v>45712</v>
      </c>
      <c r="K3156" s="6">
        <v>0.73446759259259264</v>
      </c>
    </row>
    <row r="3157" spans="1:11" x14ac:dyDescent="0.25">
      <c r="A3157" s="4">
        <v>18</v>
      </c>
      <c r="B3157" s="4" t="s">
        <v>11</v>
      </c>
      <c r="C3157" s="7">
        <v>30.86</v>
      </c>
      <c r="D3157" s="4" t="s">
        <v>19</v>
      </c>
      <c r="E3157" s="4" t="s">
        <v>20</v>
      </c>
      <c r="F3157" s="4" t="s">
        <v>25</v>
      </c>
      <c r="G3157" s="4" t="s">
        <v>41</v>
      </c>
      <c r="H3157" s="4">
        <v>1</v>
      </c>
      <c r="I3157" s="4">
        <v>2</v>
      </c>
      <c r="J3157" s="5">
        <v>45712</v>
      </c>
      <c r="K3157" s="6">
        <v>0.75487268518518513</v>
      </c>
    </row>
    <row r="3158" spans="1:11" x14ac:dyDescent="0.25">
      <c r="A3158" s="4">
        <v>18</v>
      </c>
      <c r="B3158" s="4" t="s">
        <v>11</v>
      </c>
      <c r="C3158" s="7">
        <v>35.76</v>
      </c>
      <c r="D3158" s="4" t="s">
        <v>12</v>
      </c>
      <c r="E3158" s="4" t="s">
        <v>20</v>
      </c>
      <c r="F3158" s="4" t="s">
        <v>25</v>
      </c>
      <c r="G3158" s="4" t="s">
        <v>41</v>
      </c>
      <c r="H3158" s="4">
        <v>1</v>
      </c>
      <c r="I3158" s="4">
        <v>2</v>
      </c>
      <c r="J3158" s="5">
        <v>45712</v>
      </c>
      <c r="K3158" s="6">
        <v>0.76524305555555561</v>
      </c>
    </row>
    <row r="3159" spans="1:11" x14ac:dyDescent="0.25">
      <c r="A3159" s="4">
        <v>19</v>
      </c>
      <c r="B3159" s="4" t="s">
        <v>11</v>
      </c>
      <c r="C3159" s="7">
        <v>30.86</v>
      </c>
      <c r="D3159" s="4" t="s">
        <v>19</v>
      </c>
      <c r="E3159" s="4" t="s">
        <v>20</v>
      </c>
      <c r="F3159" s="4" t="s">
        <v>25</v>
      </c>
      <c r="G3159" s="4" t="s">
        <v>41</v>
      </c>
      <c r="H3159" s="4">
        <v>1</v>
      </c>
      <c r="I3159" s="4">
        <v>2</v>
      </c>
      <c r="J3159" s="5">
        <v>45712</v>
      </c>
      <c r="K3159" s="6">
        <v>0.79483796296296294</v>
      </c>
    </row>
    <row r="3160" spans="1:11" x14ac:dyDescent="0.25">
      <c r="A3160" s="4">
        <v>19</v>
      </c>
      <c r="B3160" s="4" t="s">
        <v>11</v>
      </c>
      <c r="C3160" s="7">
        <v>35.76</v>
      </c>
      <c r="D3160" s="4" t="s">
        <v>16</v>
      </c>
      <c r="E3160" s="4" t="s">
        <v>20</v>
      </c>
      <c r="F3160" s="4" t="s">
        <v>25</v>
      </c>
      <c r="G3160" s="4" t="s">
        <v>41</v>
      </c>
      <c r="H3160" s="4">
        <v>1</v>
      </c>
      <c r="I3160" s="4">
        <v>2</v>
      </c>
      <c r="J3160" s="5">
        <v>45712</v>
      </c>
      <c r="K3160" s="6">
        <v>0.80844907407407407</v>
      </c>
    </row>
    <row r="3161" spans="1:11" x14ac:dyDescent="0.25">
      <c r="A3161" s="4">
        <v>19</v>
      </c>
      <c r="B3161" s="4" t="s">
        <v>11</v>
      </c>
      <c r="C3161" s="7">
        <v>35.76</v>
      </c>
      <c r="D3161" s="4" t="s">
        <v>12</v>
      </c>
      <c r="E3161" s="4" t="s">
        <v>20</v>
      </c>
      <c r="F3161" s="4" t="s">
        <v>25</v>
      </c>
      <c r="G3161" s="4" t="s">
        <v>41</v>
      </c>
      <c r="H3161" s="4">
        <v>1</v>
      </c>
      <c r="I3161" s="4">
        <v>2</v>
      </c>
      <c r="J3161" s="5">
        <v>45712</v>
      </c>
      <c r="K3161" s="6">
        <v>0.80895833333333333</v>
      </c>
    </row>
    <row r="3162" spans="1:11" x14ac:dyDescent="0.25">
      <c r="A3162" s="4">
        <v>19</v>
      </c>
      <c r="B3162" s="4" t="s">
        <v>11</v>
      </c>
      <c r="C3162" s="7">
        <v>35.76</v>
      </c>
      <c r="D3162" s="4" t="s">
        <v>21</v>
      </c>
      <c r="E3162" s="4" t="s">
        <v>20</v>
      </c>
      <c r="F3162" s="4" t="s">
        <v>25</v>
      </c>
      <c r="G3162" s="4" t="s">
        <v>41</v>
      </c>
      <c r="H3162" s="4">
        <v>1</v>
      </c>
      <c r="I3162" s="4">
        <v>2</v>
      </c>
      <c r="J3162" s="5">
        <v>45712</v>
      </c>
      <c r="K3162" s="6">
        <v>0.80988425925925922</v>
      </c>
    </row>
    <row r="3163" spans="1:11" x14ac:dyDescent="0.25">
      <c r="A3163" s="4">
        <v>20</v>
      </c>
      <c r="B3163" s="4" t="s">
        <v>11</v>
      </c>
      <c r="C3163" s="7">
        <v>35.76</v>
      </c>
      <c r="D3163" s="4" t="s">
        <v>21</v>
      </c>
      <c r="E3163" s="4" t="s">
        <v>20</v>
      </c>
      <c r="F3163" s="4" t="s">
        <v>25</v>
      </c>
      <c r="G3163" s="4" t="s">
        <v>41</v>
      </c>
      <c r="H3163" s="4">
        <v>1</v>
      </c>
      <c r="I3163" s="4">
        <v>2</v>
      </c>
      <c r="J3163" s="5">
        <v>45712</v>
      </c>
      <c r="K3163" s="6">
        <v>0.84364583333333332</v>
      </c>
    </row>
    <row r="3164" spans="1:11" x14ac:dyDescent="0.25">
      <c r="A3164" s="4">
        <v>8</v>
      </c>
      <c r="B3164" s="4" t="s">
        <v>11</v>
      </c>
      <c r="C3164" s="7">
        <v>30.86</v>
      </c>
      <c r="D3164" s="4" t="s">
        <v>19</v>
      </c>
      <c r="E3164" s="4" t="s">
        <v>13</v>
      </c>
      <c r="F3164" s="4" t="s">
        <v>27</v>
      </c>
      <c r="G3164" s="4" t="s">
        <v>41</v>
      </c>
      <c r="H3164" s="4">
        <v>2</v>
      </c>
      <c r="I3164" s="4">
        <v>2</v>
      </c>
      <c r="J3164" s="5">
        <v>45713</v>
      </c>
      <c r="K3164" s="6">
        <v>0.33378472222222222</v>
      </c>
    </row>
    <row r="3165" spans="1:11" x14ac:dyDescent="0.25">
      <c r="A3165" s="4">
        <v>8</v>
      </c>
      <c r="B3165" s="4" t="s">
        <v>11</v>
      </c>
      <c r="C3165" s="7">
        <v>25.96</v>
      </c>
      <c r="D3165" s="4" t="s">
        <v>18</v>
      </c>
      <c r="E3165" s="4" t="s">
        <v>13</v>
      </c>
      <c r="F3165" s="4" t="s">
        <v>27</v>
      </c>
      <c r="G3165" s="4" t="s">
        <v>41</v>
      </c>
      <c r="H3165" s="4">
        <v>2</v>
      </c>
      <c r="I3165" s="4">
        <v>2</v>
      </c>
      <c r="J3165" s="5">
        <v>45713</v>
      </c>
      <c r="K3165" s="6">
        <v>0.36760416666666668</v>
      </c>
    </row>
    <row r="3166" spans="1:11" x14ac:dyDescent="0.25">
      <c r="A3166" s="4">
        <v>8</v>
      </c>
      <c r="B3166" s="4" t="s">
        <v>11</v>
      </c>
      <c r="C3166" s="7">
        <v>30.86</v>
      </c>
      <c r="D3166" s="4" t="s">
        <v>19</v>
      </c>
      <c r="E3166" s="4" t="s">
        <v>13</v>
      </c>
      <c r="F3166" s="4" t="s">
        <v>27</v>
      </c>
      <c r="G3166" s="4" t="s">
        <v>41</v>
      </c>
      <c r="H3166" s="4">
        <v>2</v>
      </c>
      <c r="I3166" s="4">
        <v>2</v>
      </c>
      <c r="J3166" s="5">
        <v>45713</v>
      </c>
      <c r="K3166" s="6">
        <v>0.36821759259259257</v>
      </c>
    </row>
    <row r="3167" spans="1:11" x14ac:dyDescent="0.25">
      <c r="A3167" s="4">
        <v>10</v>
      </c>
      <c r="B3167" s="4" t="s">
        <v>11</v>
      </c>
      <c r="C3167" s="7">
        <v>21.06</v>
      </c>
      <c r="D3167" s="4" t="s">
        <v>26</v>
      </c>
      <c r="E3167" s="4" t="s">
        <v>13</v>
      </c>
      <c r="F3167" s="4" t="s">
        <v>27</v>
      </c>
      <c r="G3167" s="4" t="s">
        <v>41</v>
      </c>
      <c r="H3167" s="4">
        <v>2</v>
      </c>
      <c r="I3167" s="4">
        <v>2</v>
      </c>
      <c r="J3167" s="5">
        <v>45713</v>
      </c>
      <c r="K3167" s="6">
        <v>0.41856481481481483</v>
      </c>
    </row>
    <row r="3168" spans="1:11" x14ac:dyDescent="0.25">
      <c r="A3168" s="4">
        <v>11</v>
      </c>
      <c r="B3168" s="4" t="s">
        <v>11</v>
      </c>
      <c r="C3168" s="7">
        <v>25.96</v>
      </c>
      <c r="D3168" s="4" t="s">
        <v>18</v>
      </c>
      <c r="E3168" s="4" t="s">
        <v>13</v>
      </c>
      <c r="F3168" s="4" t="s">
        <v>27</v>
      </c>
      <c r="G3168" s="4" t="s">
        <v>41</v>
      </c>
      <c r="H3168" s="4">
        <v>2</v>
      </c>
      <c r="I3168" s="4">
        <v>2</v>
      </c>
      <c r="J3168" s="5">
        <v>45713</v>
      </c>
      <c r="K3168" s="6">
        <v>0.46079861111111109</v>
      </c>
    </row>
    <row r="3169" spans="1:11" x14ac:dyDescent="0.25">
      <c r="A3169" s="4">
        <v>11</v>
      </c>
      <c r="B3169" s="4" t="s">
        <v>11</v>
      </c>
      <c r="C3169" s="7">
        <v>25.96</v>
      </c>
      <c r="D3169" s="4" t="s">
        <v>18</v>
      </c>
      <c r="E3169" s="4" t="s">
        <v>13</v>
      </c>
      <c r="F3169" s="4" t="s">
        <v>27</v>
      </c>
      <c r="G3169" s="4" t="s">
        <v>41</v>
      </c>
      <c r="H3169" s="4">
        <v>2</v>
      </c>
      <c r="I3169" s="4">
        <v>2</v>
      </c>
      <c r="J3169" s="5">
        <v>45713</v>
      </c>
      <c r="K3169" s="6">
        <v>0.46141203703703704</v>
      </c>
    </row>
    <row r="3170" spans="1:11" x14ac:dyDescent="0.25">
      <c r="A3170" s="4">
        <v>12</v>
      </c>
      <c r="B3170" s="4" t="s">
        <v>11</v>
      </c>
      <c r="C3170" s="7">
        <v>35.76</v>
      </c>
      <c r="D3170" s="4" t="s">
        <v>29</v>
      </c>
      <c r="E3170" s="4" t="s">
        <v>17</v>
      </c>
      <c r="F3170" s="4" t="s">
        <v>27</v>
      </c>
      <c r="G3170" s="4" t="s">
        <v>41</v>
      </c>
      <c r="H3170" s="4">
        <v>2</v>
      </c>
      <c r="I3170" s="4">
        <v>2</v>
      </c>
      <c r="J3170" s="5">
        <v>45713</v>
      </c>
      <c r="K3170" s="6">
        <v>0.51436342592592588</v>
      </c>
    </row>
    <row r="3171" spans="1:11" x14ac:dyDescent="0.25">
      <c r="A3171" s="4">
        <v>14</v>
      </c>
      <c r="B3171" s="4" t="s">
        <v>11</v>
      </c>
      <c r="C3171" s="7">
        <v>35.76</v>
      </c>
      <c r="D3171" s="4" t="s">
        <v>29</v>
      </c>
      <c r="E3171" s="4" t="s">
        <v>17</v>
      </c>
      <c r="F3171" s="4" t="s">
        <v>27</v>
      </c>
      <c r="G3171" s="4" t="s">
        <v>41</v>
      </c>
      <c r="H3171" s="4">
        <v>2</v>
      </c>
      <c r="I3171" s="4">
        <v>2</v>
      </c>
      <c r="J3171" s="5">
        <v>45713</v>
      </c>
      <c r="K3171" s="6">
        <v>0.59326388888888892</v>
      </c>
    </row>
    <row r="3172" spans="1:11" x14ac:dyDescent="0.25">
      <c r="A3172" s="4">
        <v>16</v>
      </c>
      <c r="B3172" s="4" t="s">
        <v>11</v>
      </c>
      <c r="C3172" s="7">
        <v>25.96</v>
      </c>
      <c r="D3172" s="4" t="s">
        <v>18</v>
      </c>
      <c r="E3172" s="4" t="s">
        <v>17</v>
      </c>
      <c r="F3172" s="4" t="s">
        <v>27</v>
      </c>
      <c r="G3172" s="4" t="s">
        <v>41</v>
      </c>
      <c r="H3172" s="4">
        <v>2</v>
      </c>
      <c r="I3172" s="4">
        <v>2</v>
      </c>
      <c r="J3172" s="5">
        <v>45713</v>
      </c>
      <c r="K3172" s="6">
        <v>0.70112268518518517</v>
      </c>
    </row>
    <row r="3173" spans="1:11" x14ac:dyDescent="0.25">
      <c r="A3173" s="4">
        <v>16</v>
      </c>
      <c r="B3173" s="4" t="s">
        <v>11</v>
      </c>
      <c r="C3173" s="7">
        <v>25.96</v>
      </c>
      <c r="D3173" s="4" t="s">
        <v>18</v>
      </c>
      <c r="E3173" s="4" t="s">
        <v>17</v>
      </c>
      <c r="F3173" s="4" t="s">
        <v>27</v>
      </c>
      <c r="G3173" s="4" t="s">
        <v>41</v>
      </c>
      <c r="H3173" s="4">
        <v>2</v>
      </c>
      <c r="I3173" s="4">
        <v>2</v>
      </c>
      <c r="J3173" s="5">
        <v>45713</v>
      </c>
      <c r="K3173" s="6">
        <v>0.70179398148148153</v>
      </c>
    </row>
    <row r="3174" spans="1:11" x14ac:dyDescent="0.25">
      <c r="A3174" s="4">
        <v>18</v>
      </c>
      <c r="B3174" s="4" t="s">
        <v>11</v>
      </c>
      <c r="C3174" s="7">
        <v>35.76</v>
      </c>
      <c r="D3174" s="4" t="s">
        <v>21</v>
      </c>
      <c r="E3174" s="4" t="s">
        <v>20</v>
      </c>
      <c r="F3174" s="4" t="s">
        <v>27</v>
      </c>
      <c r="G3174" s="4" t="s">
        <v>41</v>
      </c>
      <c r="H3174" s="4">
        <v>2</v>
      </c>
      <c r="I3174" s="4">
        <v>2</v>
      </c>
      <c r="J3174" s="5">
        <v>45713</v>
      </c>
      <c r="K3174" s="6">
        <v>0.76329861111111108</v>
      </c>
    </row>
    <row r="3175" spans="1:11" x14ac:dyDescent="0.25">
      <c r="A3175" s="4">
        <v>19</v>
      </c>
      <c r="B3175" s="4" t="s">
        <v>11</v>
      </c>
      <c r="C3175" s="7">
        <v>35.76</v>
      </c>
      <c r="D3175" s="4" t="s">
        <v>29</v>
      </c>
      <c r="E3175" s="4" t="s">
        <v>20</v>
      </c>
      <c r="F3175" s="4" t="s">
        <v>27</v>
      </c>
      <c r="G3175" s="4" t="s">
        <v>41</v>
      </c>
      <c r="H3175" s="4">
        <v>2</v>
      </c>
      <c r="I3175" s="4">
        <v>2</v>
      </c>
      <c r="J3175" s="5">
        <v>45713</v>
      </c>
      <c r="K3175" s="6">
        <v>0.81435185185185188</v>
      </c>
    </row>
    <row r="3176" spans="1:11" x14ac:dyDescent="0.25">
      <c r="A3176" s="4">
        <v>8</v>
      </c>
      <c r="B3176" s="4" t="s">
        <v>11</v>
      </c>
      <c r="C3176" s="7">
        <v>25.96</v>
      </c>
      <c r="D3176" s="4" t="s">
        <v>18</v>
      </c>
      <c r="E3176" s="4" t="s">
        <v>13</v>
      </c>
      <c r="F3176" s="4" t="s">
        <v>28</v>
      </c>
      <c r="G3176" s="4" t="s">
        <v>41</v>
      </c>
      <c r="H3176" s="4">
        <v>3</v>
      </c>
      <c r="I3176" s="4">
        <v>2</v>
      </c>
      <c r="J3176" s="5">
        <v>45714</v>
      </c>
      <c r="K3176" s="6">
        <v>0.37334490740740739</v>
      </c>
    </row>
    <row r="3177" spans="1:11" x14ac:dyDescent="0.25">
      <c r="A3177" s="4">
        <v>10</v>
      </c>
      <c r="B3177" s="4" t="s">
        <v>11</v>
      </c>
      <c r="C3177" s="7">
        <v>30.86</v>
      </c>
      <c r="D3177" s="4" t="s">
        <v>19</v>
      </c>
      <c r="E3177" s="4" t="s">
        <v>13</v>
      </c>
      <c r="F3177" s="4" t="s">
        <v>28</v>
      </c>
      <c r="G3177" s="4" t="s">
        <v>41</v>
      </c>
      <c r="H3177" s="4">
        <v>3</v>
      </c>
      <c r="I3177" s="4">
        <v>2</v>
      </c>
      <c r="J3177" s="5">
        <v>45714</v>
      </c>
      <c r="K3177" s="6">
        <v>0.42461805555555554</v>
      </c>
    </row>
    <row r="3178" spans="1:11" x14ac:dyDescent="0.25">
      <c r="A3178" s="4">
        <v>10</v>
      </c>
      <c r="B3178" s="4" t="s">
        <v>11</v>
      </c>
      <c r="C3178" s="7">
        <v>30.86</v>
      </c>
      <c r="D3178" s="4" t="s">
        <v>19</v>
      </c>
      <c r="E3178" s="4" t="s">
        <v>13</v>
      </c>
      <c r="F3178" s="4" t="s">
        <v>28</v>
      </c>
      <c r="G3178" s="4" t="s">
        <v>41</v>
      </c>
      <c r="H3178" s="4">
        <v>3</v>
      </c>
      <c r="I3178" s="4">
        <v>2</v>
      </c>
      <c r="J3178" s="5">
        <v>45714</v>
      </c>
      <c r="K3178" s="6">
        <v>0.42528935185185185</v>
      </c>
    </row>
    <row r="3179" spans="1:11" x14ac:dyDescent="0.25">
      <c r="A3179" s="4">
        <v>10</v>
      </c>
      <c r="B3179" s="4" t="s">
        <v>11</v>
      </c>
      <c r="C3179" s="7">
        <v>35.76</v>
      </c>
      <c r="D3179" s="4" t="s">
        <v>16</v>
      </c>
      <c r="E3179" s="4" t="s">
        <v>13</v>
      </c>
      <c r="F3179" s="4" t="s">
        <v>28</v>
      </c>
      <c r="G3179" s="4" t="s">
        <v>41</v>
      </c>
      <c r="H3179" s="4">
        <v>3</v>
      </c>
      <c r="I3179" s="4">
        <v>2</v>
      </c>
      <c r="J3179" s="5">
        <v>45714</v>
      </c>
      <c r="K3179" s="6">
        <v>0.42843750000000003</v>
      </c>
    </row>
    <row r="3180" spans="1:11" x14ac:dyDescent="0.25">
      <c r="A3180" s="4">
        <v>13</v>
      </c>
      <c r="B3180" s="4" t="s">
        <v>11</v>
      </c>
      <c r="C3180" s="7">
        <v>35.76</v>
      </c>
      <c r="D3180" s="4" t="s">
        <v>21</v>
      </c>
      <c r="E3180" s="4" t="s">
        <v>17</v>
      </c>
      <c r="F3180" s="4" t="s">
        <v>28</v>
      </c>
      <c r="G3180" s="4" t="s">
        <v>41</v>
      </c>
      <c r="H3180" s="4">
        <v>3</v>
      </c>
      <c r="I3180" s="4">
        <v>2</v>
      </c>
      <c r="J3180" s="5">
        <v>45714</v>
      </c>
      <c r="K3180" s="6">
        <v>0.55099537037037039</v>
      </c>
    </row>
    <row r="3181" spans="1:11" x14ac:dyDescent="0.25">
      <c r="A3181" s="4">
        <v>13</v>
      </c>
      <c r="B3181" s="4" t="s">
        <v>11</v>
      </c>
      <c r="C3181" s="7">
        <v>35.76</v>
      </c>
      <c r="D3181" s="4" t="s">
        <v>12</v>
      </c>
      <c r="E3181" s="4" t="s">
        <v>17</v>
      </c>
      <c r="F3181" s="4" t="s">
        <v>28</v>
      </c>
      <c r="G3181" s="4" t="s">
        <v>41</v>
      </c>
      <c r="H3181" s="4">
        <v>3</v>
      </c>
      <c r="I3181" s="4">
        <v>2</v>
      </c>
      <c r="J3181" s="5">
        <v>45714</v>
      </c>
      <c r="K3181" s="6">
        <v>0.56346064814814811</v>
      </c>
    </row>
    <row r="3182" spans="1:11" x14ac:dyDescent="0.25">
      <c r="A3182" s="4">
        <v>15</v>
      </c>
      <c r="B3182" s="4" t="s">
        <v>11</v>
      </c>
      <c r="C3182" s="7">
        <v>25.96</v>
      </c>
      <c r="D3182" s="4" t="s">
        <v>18</v>
      </c>
      <c r="E3182" s="4" t="s">
        <v>17</v>
      </c>
      <c r="F3182" s="4" t="s">
        <v>28</v>
      </c>
      <c r="G3182" s="4" t="s">
        <v>41</v>
      </c>
      <c r="H3182" s="4">
        <v>3</v>
      </c>
      <c r="I3182" s="4">
        <v>2</v>
      </c>
      <c r="J3182" s="5">
        <v>45714</v>
      </c>
      <c r="K3182" s="6">
        <v>0.6263657407407407</v>
      </c>
    </row>
    <row r="3183" spans="1:11" x14ac:dyDescent="0.25">
      <c r="A3183" s="4">
        <v>15</v>
      </c>
      <c r="B3183" s="4" t="s">
        <v>11</v>
      </c>
      <c r="C3183" s="7">
        <v>25.96</v>
      </c>
      <c r="D3183" s="4" t="s">
        <v>18</v>
      </c>
      <c r="E3183" s="4" t="s">
        <v>17</v>
      </c>
      <c r="F3183" s="4" t="s">
        <v>28</v>
      </c>
      <c r="G3183" s="4" t="s">
        <v>41</v>
      </c>
      <c r="H3183" s="4">
        <v>3</v>
      </c>
      <c r="I3183" s="4">
        <v>2</v>
      </c>
      <c r="J3183" s="5">
        <v>45714</v>
      </c>
      <c r="K3183" s="6">
        <v>0.63526620370370368</v>
      </c>
    </row>
    <row r="3184" spans="1:11" x14ac:dyDescent="0.25">
      <c r="A3184" s="4">
        <v>15</v>
      </c>
      <c r="B3184" s="4" t="s">
        <v>11</v>
      </c>
      <c r="C3184" s="7">
        <v>25.96</v>
      </c>
      <c r="D3184" s="4" t="s">
        <v>24</v>
      </c>
      <c r="E3184" s="4" t="s">
        <v>17</v>
      </c>
      <c r="F3184" s="4" t="s">
        <v>28</v>
      </c>
      <c r="G3184" s="4" t="s">
        <v>41</v>
      </c>
      <c r="H3184" s="4">
        <v>3</v>
      </c>
      <c r="I3184" s="4">
        <v>2</v>
      </c>
      <c r="J3184" s="5">
        <v>45714</v>
      </c>
      <c r="K3184" s="6">
        <v>0.63708333333333333</v>
      </c>
    </row>
    <row r="3185" spans="1:11" x14ac:dyDescent="0.25">
      <c r="A3185" s="4">
        <v>15</v>
      </c>
      <c r="B3185" s="4" t="s">
        <v>11</v>
      </c>
      <c r="C3185" s="7">
        <v>35.76</v>
      </c>
      <c r="D3185" s="4" t="s">
        <v>16</v>
      </c>
      <c r="E3185" s="4" t="s">
        <v>17</v>
      </c>
      <c r="F3185" s="4" t="s">
        <v>28</v>
      </c>
      <c r="G3185" s="4" t="s">
        <v>41</v>
      </c>
      <c r="H3185" s="4">
        <v>3</v>
      </c>
      <c r="I3185" s="4">
        <v>2</v>
      </c>
      <c r="J3185" s="5">
        <v>45714</v>
      </c>
      <c r="K3185" s="6">
        <v>0.63891203703703703</v>
      </c>
    </row>
    <row r="3186" spans="1:11" x14ac:dyDescent="0.25">
      <c r="A3186" s="4">
        <v>15</v>
      </c>
      <c r="B3186" s="4" t="s">
        <v>11</v>
      </c>
      <c r="C3186" s="7">
        <v>25.96</v>
      </c>
      <c r="D3186" s="4" t="s">
        <v>18</v>
      </c>
      <c r="E3186" s="4" t="s">
        <v>17</v>
      </c>
      <c r="F3186" s="4" t="s">
        <v>28</v>
      </c>
      <c r="G3186" s="4" t="s">
        <v>41</v>
      </c>
      <c r="H3186" s="4">
        <v>3</v>
      </c>
      <c r="I3186" s="4">
        <v>2</v>
      </c>
      <c r="J3186" s="5">
        <v>45714</v>
      </c>
      <c r="K3186" s="6">
        <v>0.63944444444444448</v>
      </c>
    </row>
    <row r="3187" spans="1:11" x14ac:dyDescent="0.25">
      <c r="A3187" s="4">
        <v>15</v>
      </c>
      <c r="B3187" s="4" t="s">
        <v>11</v>
      </c>
      <c r="C3187" s="7">
        <v>25.96</v>
      </c>
      <c r="D3187" s="4" t="s">
        <v>18</v>
      </c>
      <c r="E3187" s="4" t="s">
        <v>17</v>
      </c>
      <c r="F3187" s="4" t="s">
        <v>28</v>
      </c>
      <c r="G3187" s="4" t="s">
        <v>41</v>
      </c>
      <c r="H3187" s="4">
        <v>3</v>
      </c>
      <c r="I3187" s="4">
        <v>2</v>
      </c>
      <c r="J3187" s="5">
        <v>45714</v>
      </c>
      <c r="K3187" s="6">
        <v>0.64496527777777779</v>
      </c>
    </row>
    <row r="3188" spans="1:11" x14ac:dyDescent="0.25">
      <c r="A3188" s="4">
        <v>16</v>
      </c>
      <c r="B3188" s="4" t="s">
        <v>11</v>
      </c>
      <c r="C3188" s="7">
        <v>35.76</v>
      </c>
      <c r="D3188" s="4" t="s">
        <v>12</v>
      </c>
      <c r="E3188" s="4" t="s">
        <v>17</v>
      </c>
      <c r="F3188" s="4" t="s">
        <v>28</v>
      </c>
      <c r="G3188" s="4" t="s">
        <v>41</v>
      </c>
      <c r="H3188" s="4">
        <v>3</v>
      </c>
      <c r="I3188" s="4">
        <v>2</v>
      </c>
      <c r="J3188" s="5">
        <v>45714</v>
      </c>
      <c r="K3188" s="6">
        <v>0.68108796296296292</v>
      </c>
    </row>
    <row r="3189" spans="1:11" x14ac:dyDescent="0.25">
      <c r="A3189" s="4">
        <v>16</v>
      </c>
      <c r="B3189" s="4" t="s">
        <v>11</v>
      </c>
      <c r="C3189" s="7">
        <v>35.76</v>
      </c>
      <c r="D3189" s="4" t="s">
        <v>16</v>
      </c>
      <c r="E3189" s="4" t="s">
        <v>17</v>
      </c>
      <c r="F3189" s="4" t="s">
        <v>28</v>
      </c>
      <c r="G3189" s="4" t="s">
        <v>41</v>
      </c>
      <c r="H3189" s="4">
        <v>3</v>
      </c>
      <c r="I3189" s="4">
        <v>2</v>
      </c>
      <c r="J3189" s="5">
        <v>45714</v>
      </c>
      <c r="K3189" s="6">
        <v>0.70501157407407411</v>
      </c>
    </row>
    <row r="3190" spans="1:11" x14ac:dyDescent="0.25">
      <c r="A3190" s="4">
        <v>16</v>
      </c>
      <c r="B3190" s="4" t="s">
        <v>11</v>
      </c>
      <c r="C3190" s="7">
        <v>35.76</v>
      </c>
      <c r="D3190" s="4" t="s">
        <v>12</v>
      </c>
      <c r="E3190" s="4" t="s">
        <v>17</v>
      </c>
      <c r="F3190" s="4" t="s">
        <v>28</v>
      </c>
      <c r="G3190" s="4" t="s">
        <v>41</v>
      </c>
      <c r="H3190" s="4">
        <v>3</v>
      </c>
      <c r="I3190" s="4">
        <v>2</v>
      </c>
      <c r="J3190" s="5">
        <v>45714</v>
      </c>
      <c r="K3190" s="6">
        <v>0.70554398148148145</v>
      </c>
    </row>
    <row r="3191" spans="1:11" x14ac:dyDescent="0.25">
      <c r="A3191" s="4">
        <v>17</v>
      </c>
      <c r="B3191" s="4" t="s">
        <v>11</v>
      </c>
      <c r="C3191" s="7">
        <v>30.86</v>
      </c>
      <c r="D3191" s="4" t="s">
        <v>19</v>
      </c>
      <c r="E3191" s="4" t="s">
        <v>20</v>
      </c>
      <c r="F3191" s="4" t="s">
        <v>28</v>
      </c>
      <c r="G3191" s="4" t="s">
        <v>41</v>
      </c>
      <c r="H3191" s="4">
        <v>3</v>
      </c>
      <c r="I3191" s="4">
        <v>2</v>
      </c>
      <c r="J3191" s="5">
        <v>45714</v>
      </c>
      <c r="K3191" s="6">
        <v>0.72412037037037036</v>
      </c>
    </row>
    <row r="3192" spans="1:11" x14ac:dyDescent="0.25">
      <c r="A3192" s="4">
        <v>18</v>
      </c>
      <c r="B3192" s="4" t="s">
        <v>11</v>
      </c>
      <c r="C3192" s="7">
        <v>35.76</v>
      </c>
      <c r="D3192" s="4" t="s">
        <v>12</v>
      </c>
      <c r="E3192" s="4" t="s">
        <v>20</v>
      </c>
      <c r="F3192" s="4" t="s">
        <v>28</v>
      </c>
      <c r="G3192" s="4" t="s">
        <v>41</v>
      </c>
      <c r="H3192" s="4">
        <v>3</v>
      </c>
      <c r="I3192" s="4">
        <v>2</v>
      </c>
      <c r="J3192" s="5">
        <v>45714</v>
      </c>
      <c r="K3192" s="6">
        <v>0.75791666666666668</v>
      </c>
    </row>
    <row r="3193" spans="1:11" x14ac:dyDescent="0.25">
      <c r="A3193" s="4">
        <v>18</v>
      </c>
      <c r="B3193" s="4" t="s">
        <v>11</v>
      </c>
      <c r="C3193" s="7">
        <v>35.76</v>
      </c>
      <c r="D3193" s="4" t="s">
        <v>29</v>
      </c>
      <c r="E3193" s="4" t="s">
        <v>20</v>
      </c>
      <c r="F3193" s="4" t="s">
        <v>28</v>
      </c>
      <c r="G3193" s="4" t="s">
        <v>41</v>
      </c>
      <c r="H3193" s="4">
        <v>3</v>
      </c>
      <c r="I3193" s="4">
        <v>2</v>
      </c>
      <c r="J3193" s="5">
        <v>45714</v>
      </c>
      <c r="K3193" s="6">
        <v>0.75960648148148147</v>
      </c>
    </row>
    <row r="3194" spans="1:11" x14ac:dyDescent="0.25">
      <c r="A3194" s="4">
        <v>7</v>
      </c>
      <c r="B3194" s="4" t="s">
        <v>11</v>
      </c>
      <c r="C3194" s="7">
        <v>35.76</v>
      </c>
      <c r="D3194" s="4" t="s">
        <v>29</v>
      </c>
      <c r="E3194" s="4" t="s">
        <v>13</v>
      </c>
      <c r="F3194" s="4" t="s">
        <v>30</v>
      </c>
      <c r="G3194" s="4" t="s">
        <v>41</v>
      </c>
      <c r="H3194" s="4">
        <v>4</v>
      </c>
      <c r="I3194" s="4">
        <v>2</v>
      </c>
      <c r="J3194" s="5">
        <v>45715</v>
      </c>
      <c r="K3194" s="6">
        <v>0.30486111111111114</v>
      </c>
    </row>
    <row r="3195" spans="1:11" x14ac:dyDescent="0.25">
      <c r="A3195" s="4">
        <v>7</v>
      </c>
      <c r="B3195" s="4" t="s">
        <v>11</v>
      </c>
      <c r="C3195" s="7">
        <v>35.76</v>
      </c>
      <c r="D3195" s="4" t="s">
        <v>29</v>
      </c>
      <c r="E3195" s="4" t="s">
        <v>13</v>
      </c>
      <c r="F3195" s="4" t="s">
        <v>30</v>
      </c>
      <c r="G3195" s="4" t="s">
        <v>41</v>
      </c>
      <c r="H3195" s="4">
        <v>4</v>
      </c>
      <c r="I3195" s="4">
        <v>2</v>
      </c>
      <c r="J3195" s="5">
        <v>45715</v>
      </c>
      <c r="K3195" s="6">
        <v>0.30625000000000002</v>
      </c>
    </row>
    <row r="3196" spans="1:11" x14ac:dyDescent="0.25">
      <c r="A3196" s="4">
        <v>10</v>
      </c>
      <c r="B3196" s="4" t="s">
        <v>11</v>
      </c>
      <c r="C3196" s="7">
        <v>21.06</v>
      </c>
      <c r="D3196" s="4" t="s">
        <v>26</v>
      </c>
      <c r="E3196" s="4" t="s">
        <v>13</v>
      </c>
      <c r="F3196" s="4" t="s">
        <v>30</v>
      </c>
      <c r="G3196" s="4" t="s">
        <v>41</v>
      </c>
      <c r="H3196" s="4">
        <v>4</v>
      </c>
      <c r="I3196" s="4">
        <v>2</v>
      </c>
      <c r="J3196" s="5">
        <v>45715</v>
      </c>
      <c r="K3196" s="6">
        <v>0.45311342592592591</v>
      </c>
    </row>
    <row r="3197" spans="1:11" x14ac:dyDescent="0.25">
      <c r="A3197" s="4">
        <v>11</v>
      </c>
      <c r="B3197" s="4" t="s">
        <v>11</v>
      </c>
      <c r="C3197" s="7">
        <v>35.76</v>
      </c>
      <c r="D3197" s="4" t="s">
        <v>21</v>
      </c>
      <c r="E3197" s="4" t="s">
        <v>13</v>
      </c>
      <c r="F3197" s="4" t="s">
        <v>30</v>
      </c>
      <c r="G3197" s="4" t="s">
        <v>41</v>
      </c>
      <c r="H3197" s="4">
        <v>4</v>
      </c>
      <c r="I3197" s="4">
        <v>2</v>
      </c>
      <c r="J3197" s="5">
        <v>45715</v>
      </c>
      <c r="K3197" s="6">
        <v>0.46407407407407408</v>
      </c>
    </row>
    <row r="3198" spans="1:11" x14ac:dyDescent="0.25">
      <c r="A3198" s="4">
        <v>12</v>
      </c>
      <c r="B3198" s="4" t="s">
        <v>11</v>
      </c>
      <c r="C3198" s="7">
        <v>35.76</v>
      </c>
      <c r="D3198" s="4" t="s">
        <v>21</v>
      </c>
      <c r="E3198" s="4" t="s">
        <v>17</v>
      </c>
      <c r="F3198" s="4" t="s">
        <v>30</v>
      </c>
      <c r="G3198" s="4" t="s">
        <v>41</v>
      </c>
      <c r="H3198" s="4">
        <v>4</v>
      </c>
      <c r="I3198" s="4">
        <v>2</v>
      </c>
      <c r="J3198" s="5">
        <v>45715</v>
      </c>
      <c r="K3198" s="6">
        <v>0.53350694444444446</v>
      </c>
    </row>
    <row r="3199" spans="1:11" x14ac:dyDescent="0.25">
      <c r="A3199" s="4">
        <v>13</v>
      </c>
      <c r="B3199" s="4" t="s">
        <v>11</v>
      </c>
      <c r="C3199" s="7">
        <v>30.86</v>
      </c>
      <c r="D3199" s="4" t="s">
        <v>19</v>
      </c>
      <c r="E3199" s="4" t="s">
        <v>17</v>
      </c>
      <c r="F3199" s="4" t="s">
        <v>30</v>
      </c>
      <c r="G3199" s="4" t="s">
        <v>41</v>
      </c>
      <c r="H3199" s="4">
        <v>4</v>
      </c>
      <c r="I3199" s="4">
        <v>2</v>
      </c>
      <c r="J3199" s="5">
        <v>45715</v>
      </c>
      <c r="K3199" s="6">
        <v>0.56236111111111109</v>
      </c>
    </row>
    <row r="3200" spans="1:11" x14ac:dyDescent="0.25">
      <c r="A3200" s="4">
        <v>14</v>
      </c>
      <c r="B3200" s="4" t="s">
        <v>11</v>
      </c>
      <c r="C3200" s="7">
        <v>25.96</v>
      </c>
      <c r="D3200" s="4" t="s">
        <v>18</v>
      </c>
      <c r="E3200" s="4" t="s">
        <v>17</v>
      </c>
      <c r="F3200" s="4" t="s">
        <v>30</v>
      </c>
      <c r="G3200" s="4" t="s">
        <v>41</v>
      </c>
      <c r="H3200" s="4">
        <v>4</v>
      </c>
      <c r="I3200" s="4">
        <v>2</v>
      </c>
      <c r="J3200" s="5">
        <v>45715</v>
      </c>
      <c r="K3200" s="6">
        <v>0.59949074074074071</v>
      </c>
    </row>
    <row r="3201" spans="1:11" x14ac:dyDescent="0.25">
      <c r="A3201" s="4">
        <v>14</v>
      </c>
      <c r="B3201" s="4" t="s">
        <v>11</v>
      </c>
      <c r="C3201" s="7">
        <v>35.76</v>
      </c>
      <c r="D3201" s="4" t="s">
        <v>12</v>
      </c>
      <c r="E3201" s="4" t="s">
        <v>17</v>
      </c>
      <c r="F3201" s="4" t="s">
        <v>30</v>
      </c>
      <c r="G3201" s="4" t="s">
        <v>41</v>
      </c>
      <c r="H3201" s="4">
        <v>4</v>
      </c>
      <c r="I3201" s="4">
        <v>2</v>
      </c>
      <c r="J3201" s="5">
        <v>45715</v>
      </c>
      <c r="K3201" s="6">
        <v>0.61341435185185189</v>
      </c>
    </row>
    <row r="3202" spans="1:11" x14ac:dyDescent="0.25">
      <c r="A3202" s="4">
        <v>15</v>
      </c>
      <c r="B3202" s="4" t="s">
        <v>11</v>
      </c>
      <c r="C3202" s="7">
        <v>25.96</v>
      </c>
      <c r="D3202" s="4" t="s">
        <v>18</v>
      </c>
      <c r="E3202" s="4" t="s">
        <v>17</v>
      </c>
      <c r="F3202" s="4" t="s">
        <v>30</v>
      </c>
      <c r="G3202" s="4" t="s">
        <v>41</v>
      </c>
      <c r="H3202" s="4">
        <v>4</v>
      </c>
      <c r="I3202" s="4">
        <v>2</v>
      </c>
      <c r="J3202" s="5">
        <v>45715</v>
      </c>
      <c r="K3202" s="6">
        <v>0.6582175925925926</v>
      </c>
    </row>
    <row r="3203" spans="1:11" x14ac:dyDescent="0.25">
      <c r="A3203" s="4">
        <v>16</v>
      </c>
      <c r="B3203" s="4" t="s">
        <v>11</v>
      </c>
      <c r="C3203" s="7">
        <v>25.96</v>
      </c>
      <c r="D3203" s="4" t="s">
        <v>18</v>
      </c>
      <c r="E3203" s="4" t="s">
        <v>17</v>
      </c>
      <c r="F3203" s="4" t="s">
        <v>30</v>
      </c>
      <c r="G3203" s="4" t="s">
        <v>41</v>
      </c>
      <c r="H3203" s="4">
        <v>4</v>
      </c>
      <c r="I3203" s="4">
        <v>2</v>
      </c>
      <c r="J3203" s="5">
        <v>45715</v>
      </c>
      <c r="K3203" s="6">
        <v>0.6864351851851852</v>
      </c>
    </row>
    <row r="3204" spans="1:11" x14ac:dyDescent="0.25">
      <c r="A3204" s="4">
        <v>17</v>
      </c>
      <c r="B3204" s="4" t="s">
        <v>11</v>
      </c>
      <c r="C3204" s="7">
        <v>25.96</v>
      </c>
      <c r="D3204" s="4" t="s">
        <v>18</v>
      </c>
      <c r="E3204" s="4" t="s">
        <v>20</v>
      </c>
      <c r="F3204" s="4" t="s">
        <v>30</v>
      </c>
      <c r="G3204" s="4" t="s">
        <v>41</v>
      </c>
      <c r="H3204" s="4">
        <v>4</v>
      </c>
      <c r="I3204" s="4">
        <v>2</v>
      </c>
      <c r="J3204" s="5">
        <v>45715</v>
      </c>
      <c r="K3204" s="6">
        <v>0.7173032407407407</v>
      </c>
    </row>
    <row r="3205" spans="1:11" x14ac:dyDescent="0.25">
      <c r="A3205" s="4">
        <v>17</v>
      </c>
      <c r="B3205" s="4" t="s">
        <v>11</v>
      </c>
      <c r="C3205" s="7">
        <v>25.96</v>
      </c>
      <c r="D3205" s="4" t="s">
        <v>18</v>
      </c>
      <c r="E3205" s="4" t="s">
        <v>20</v>
      </c>
      <c r="F3205" s="4" t="s">
        <v>30</v>
      </c>
      <c r="G3205" s="4" t="s">
        <v>41</v>
      </c>
      <c r="H3205" s="4">
        <v>4</v>
      </c>
      <c r="I3205" s="4">
        <v>2</v>
      </c>
      <c r="J3205" s="5">
        <v>45715</v>
      </c>
      <c r="K3205" s="6">
        <v>0.72442129629629626</v>
      </c>
    </row>
    <row r="3206" spans="1:11" x14ac:dyDescent="0.25">
      <c r="A3206" s="4">
        <v>17</v>
      </c>
      <c r="B3206" s="4" t="s">
        <v>11</v>
      </c>
      <c r="C3206" s="7">
        <v>35.76</v>
      </c>
      <c r="D3206" s="4" t="s">
        <v>12</v>
      </c>
      <c r="E3206" s="4" t="s">
        <v>20</v>
      </c>
      <c r="F3206" s="4" t="s">
        <v>30</v>
      </c>
      <c r="G3206" s="4" t="s">
        <v>41</v>
      </c>
      <c r="H3206" s="4">
        <v>4</v>
      </c>
      <c r="I3206" s="4">
        <v>2</v>
      </c>
      <c r="J3206" s="5">
        <v>45715</v>
      </c>
      <c r="K3206" s="6">
        <v>0.74528935185185186</v>
      </c>
    </row>
    <row r="3207" spans="1:11" x14ac:dyDescent="0.25">
      <c r="A3207" s="4">
        <v>18</v>
      </c>
      <c r="B3207" s="4" t="s">
        <v>11</v>
      </c>
      <c r="C3207" s="7">
        <v>35.76</v>
      </c>
      <c r="D3207" s="4" t="s">
        <v>12</v>
      </c>
      <c r="E3207" s="4" t="s">
        <v>20</v>
      </c>
      <c r="F3207" s="4" t="s">
        <v>30</v>
      </c>
      <c r="G3207" s="4" t="s">
        <v>41</v>
      </c>
      <c r="H3207" s="4">
        <v>4</v>
      </c>
      <c r="I3207" s="4">
        <v>2</v>
      </c>
      <c r="J3207" s="5">
        <v>45715</v>
      </c>
      <c r="K3207" s="6">
        <v>0.7621296296296296</v>
      </c>
    </row>
    <row r="3208" spans="1:11" x14ac:dyDescent="0.25">
      <c r="A3208" s="4">
        <v>18</v>
      </c>
      <c r="B3208" s="4" t="s">
        <v>11</v>
      </c>
      <c r="C3208" s="7">
        <v>35.76</v>
      </c>
      <c r="D3208" s="4" t="s">
        <v>29</v>
      </c>
      <c r="E3208" s="4" t="s">
        <v>20</v>
      </c>
      <c r="F3208" s="4" t="s">
        <v>30</v>
      </c>
      <c r="G3208" s="4" t="s">
        <v>41</v>
      </c>
      <c r="H3208" s="4">
        <v>4</v>
      </c>
      <c r="I3208" s="4">
        <v>2</v>
      </c>
      <c r="J3208" s="5">
        <v>45715</v>
      </c>
      <c r="K3208" s="6">
        <v>0.7768518518518519</v>
      </c>
    </row>
    <row r="3209" spans="1:11" x14ac:dyDescent="0.25">
      <c r="A3209" s="4">
        <v>18</v>
      </c>
      <c r="B3209" s="4" t="s">
        <v>11</v>
      </c>
      <c r="C3209" s="7">
        <v>35.76</v>
      </c>
      <c r="D3209" s="4" t="s">
        <v>21</v>
      </c>
      <c r="E3209" s="4" t="s">
        <v>20</v>
      </c>
      <c r="F3209" s="4" t="s">
        <v>30</v>
      </c>
      <c r="G3209" s="4" t="s">
        <v>41</v>
      </c>
      <c r="H3209" s="4">
        <v>4</v>
      </c>
      <c r="I3209" s="4">
        <v>2</v>
      </c>
      <c r="J3209" s="5">
        <v>45715</v>
      </c>
      <c r="K3209" s="6">
        <v>0.77778935185185183</v>
      </c>
    </row>
    <row r="3210" spans="1:11" x14ac:dyDescent="0.25">
      <c r="A3210" s="4">
        <v>18</v>
      </c>
      <c r="B3210" s="4" t="s">
        <v>11</v>
      </c>
      <c r="C3210" s="7">
        <v>35.76</v>
      </c>
      <c r="D3210" s="4" t="s">
        <v>21</v>
      </c>
      <c r="E3210" s="4" t="s">
        <v>20</v>
      </c>
      <c r="F3210" s="4" t="s">
        <v>30</v>
      </c>
      <c r="G3210" s="4" t="s">
        <v>41</v>
      </c>
      <c r="H3210" s="4">
        <v>4</v>
      </c>
      <c r="I3210" s="4">
        <v>2</v>
      </c>
      <c r="J3210" s="5">
        <v>45715</v>
      </c>
      <c r="K3210" s="6">
        <v>0.77837962962962959</v>
      </c>
    </row>
    <row r="3211" spans="1:11" x14ac:dyDescent="0.25">
      <c r="A3211" s="4">
        <v>19</v>
      </c>
      <c r="B3211" s="4" t="s">
        <v>11</v>
      </c>
      <c r="C3211" s="7">
        <v>35.76</v>
      </c>
      <c r="D3211" s="4" t="s">
        <v>12</v>
      </c>
      <c r="E3211" s="4" t="s">
        <v>20</v>
      </c>
      <c r="F3211" s="4" t="s">
        <v>30</v>
      </c>
      <c r="G3211" s="4" t="s">
        <v>41</v>
      </c>
      <c r="H3211" s="4">
        <v>4</v>
      </c>
      <c r="I3211" s="4">
        <v>2</v>
      </c>
      <c r="J3211" s="5">
        <v>45715</v>
      </c>
      <c r="K3211" s="6">
        <v>0.80156249999999996</v>
      </c>
    </row>
    <row r="3212" spans="1:11" x14ac:dyDescent="0.25">
      <c r="A3212" s="4">
        <v>20</v>
      </c>
      <c r="B3212" s="4" t="s">
        <v>11</v>
      </c>
      <c r="C3212" s="7">
        <v>35.76</v>
      </c>
      <c r="D3212" s="4" t="s">
        <v>29</v>
      </c>
      <c r="E3212" s="4" t="s">
        <v>20</v>
      </c>
      <c r="F3212" s="4" t="s">
        <v>30</v>
      </c>
      <c r="G3212" s="4" t="s">
        <v>41</v>
      </c>
      <c r="H3212" s="4">
        <v>4</v>
      </c>
      <c r="I3212" s="4">
        <v>2</v>
      </c>
      <c r="J3212" s="5">
        <v>45715</v>
      </c>
      <c r="K3212" s="6">
        <v>0.83480324074074075</v>
      </c>
    </row>
    <row r="3213" spans="1:11" x14ac:dyDescent="0.25">
      <c r="A3213" s="4">
        <v>6</v>
      </c>
      <c r="B3213" s="4" t="s">
        <v>11</v>
      </c>
      <c r="C3213" s="7">
        <v>30.86</v>
      </c>
      <c r="D3213" s="4" t="s">
        <v>19</v>
      </c>
      <c r="E3213" s="4" t="s">
        <v>13</v>
      </c>
      <c r="F3213" s="4" t="s">
        <v>14</v>
      </c>
      <c r="G3213" s="4" t="s">
        <v>41</v>
      </c>
      <c r="H3213" s="4">
        <v>5</v>
      </c>
      <c r="I3213" s="4">
        <v>2</v>
      </c>
      <c r="J3213" s="5">
        <v>45716</v>
      </c>
      <c r="K3213" s="6">
        <v>0.28663194444444445</v>
      </c>
    </row>
    <row r="3214" spans="1:11" x14ac:dyDescent="0.25">
      <c r="A3214" s="4">
        <v>6</v>
      </c>
      <c r="B3214" s="4" t="s">
        <v>11</v>
      </c>
      <c r="C3214" s="7">
        <v>30.86</v>
      </c>
      <c r="D3214" s="4" t="s">
        <v>19</v>
      </c>
      <c r="E3214" s="4" t="s">
        <v>13</v>
      </c>
      <c r="F3214" s="4" t="s">
        <v>14</v>
      </c>
      <c r="G3214" s="4" t="s">
        <v>41</v>
      </c>
      <c r="H3214" s="4">
        <v>5</v>
      </c>
      <c r="I3214" s="4">
        <v>2</v>
      </c>
      <c r="J3214" s="5">
        <v>45716</v>
      </c>
      <c r="K3214" s="6">
        <v>0.28818287037037038</v>
      </c>
    </row>
    <row r="3215" spans="1:11" x14ac:dyDescent="0.25">
      <c r="A3215" s="4">
        <v>7</v>
      </c>
      <c r="B3215" s="4" t="s">
        <v>11</v>
      </c>
      <c r="C3215" s="7">
        <v>35.76</v>
      </c>
      <c r="D3215" s="4" t="s">
        <v>29</v>
      </c>
      <c r="E3215" s="4" t="s">
        <v>13</v>
      </c>
      <c r="F3215" s="4" t="s">
        <v>14</v>
      </c>
      <c r="G3215" s="4" t="s">
        <v>41</v>
      </c>
      <c r="H3215" s="4">
        <v>5</v>
      </c>
      <c r="I3215" s="4">
        <v>2</v>
      </c>
      <c r="J3215" s="5">
        <v>45716</v>
      </c>
      <c r="K3215" s="6">
        <v>0.30458333333333332</v>
      </c>
    </row>
    <row r="3216" spans="1:11" x14ac:dyDescent="0.25">
      <c r="A3216" s="4">
        <v>8</v>
      </c>
      <c r="B3216" s="4" t="s">
        <v>11</v>
      </c>
      <c r="C3216" s="7">
        <v>21.06</v>
      </c>
      <c r="D3216" s="4" t="s">
        <v>26</v>
      </c>
      <c r="E3216" s="4" t="s">
        <v>13</v>
      </c>
      <c r="F3216" s="4" t="s">
        <v>14</v>
      </c>
      <c r="G3216" s="4" t="s">
        <v>41</v>
      </c>
      <c r="H3216" s="4">
        <v>5</v>
      </c>
      <c r="I3216" s="4">
        <v>2</v>
      </c>
      <c r="J3216" s="5">
        <v>45716</v>
      </c>
      <c r="K3216" s="6">
        <v>0.34024305555555556</v>
      </c>
    </row>
    <row r="3217" spans="1:11" x14ac:dyDescent="0.25">
      <c r="A3217" s="4">
        <v>9</v>
      </c>
      <c r="B3217" s="4" t="s">
        <v>11</v>
      </c>
      <c r="C3217" s="7">
        <v>30.86</v>
      </c>
      <c r="D3217" s="4" t="s">
        <v>19</v>
      </c>
      <c r="E3217" s="4" t="s">
        <v>13</v>
      </c>
      <c r="F3217" s="4" t="s">
        <v>14</v>
      </c>
      <c r="G3217" s="4" t="s">
        <v>41</v>
      </c>
      <c r="H3217" s="4">
        <v>5</v>
      </c>
      <c r="I3217" s="4">
        <v>2</v>
      </c>
      <c r="J3217" s="5">
        <v>45716</v>
      </c>
      <c r="K3217" s="6">
        <v>0.37682870370370369</v>
      </c>
    </row>
    <row r="3218" spans="1:11" x14ac:dyDescent="0.25">
      <c r="A3218" s="4">
        <v>14</v>
      </c>
      <c r="B3218" s="4" t="s">
        <v>11</v>
      </c>
      <c r="C3218" s="7">
        <v>25.96</v>
      </c>
      <c r="D3218" s="4" t="s">
        <v>18</v>
      </c>
      <c r="E3218" s="4" t="s">
        <v>17</v>
      </c>
      <c r="F3218" s="4" t="s">
        <v>14</v>
      </c>
      <c r="G3218" s="4" t="s">
        <v>41</v>
      </c>
      <c r="H3218" s="4">
        <v>5</v>
      </c>
      <c r="I3218" s="4">
        <v>2</v>
      </c>
      <c r="J3218" s="5">
        <v>45716</v>
      </c>
      <c r="K3218" s="6">
        <v>0.61421296296296302</v>
      </c>
    </row>
    <row r="3219" spans="1:11" x14ac:dyDescent="0.25">
      <c r="A3219" s="4">
        <v>14</v>
      </c>
      <c r="B3219" s="4" t="s">
        <v>11</v>
      </c>
      <c r="C3219" s="7">
        <v>25.96</v>
      </c>
      <c r="D3219" s="4" t="s">
        <v>18</v>
      </c>
      <c r="E3219" s="4" t="s">
        <v>17</v>
      </c>
      <c r="F3219" s="4" t="s">
        <v>14</v>
      </c>
      <c r="G3219" s="4" t="s">
        <v>41</v>
      </c>
      <c r="H3219" s="4">
        <v>5</v>
      </c>
      <c r="I3219" s="4">
        <v>2</v>
      </c>
      <c r="J3219" s="5">
        <v>45716</v>
      </c>
      <c r="K3219" s="6">
        <v>0.614837962962963</v>
      </c>
    </row>
    <row r="3220" spans="1:11" x14ac:dyDescent="0.25">
      <c r="A3220" s="4">
        <v>14</v>
      </c>
      <c r="B3220" s="4" t="s">
        <v>11</v>
      </c>
      <c r="C3220" s="7">
        <v>25.96</v>
      </c>
      <c r="D3220" s="4" t="s">
        <v>18</v>
      </c>
      <c r="E3220" s="4" t="s">
        <v>17</v>
      </c>
      <c r="F3220" s="4" t="s">
        <v>14</v>
      </c>
      <c r="G3220" s="4" t="s">
        <v>41</v>
      </c>
      <c r="H3220" s="4">
        <v>5</v>
      </c>
      <c r="I3220" s="4">
        <v>2</v>
      </c>
      <c r="J3220" s="5">
        <v>45716</v>
      </c>
      <c r="K3220" s="6">
        <v>0.61657407407407405</v>
      </c>
    </row>
    <row r="3221" spans="1:11" x14ac:dyDescent="0.25">
      <c r="A3221" s="4">
        <v>14</v>
      </c>
      <c r="B3221" s="4" t="s">
        <v>11</v>
      </c>
      <c r="C3221" s="7">
        <v>35.76</v>
      </c>
      <c r="D3221" s="4" t="s">
        <v>12</v>
      </c>
      <c r="E3221" s="4" t="s">
        <v>17</v>
      </c>
      <c r="F3221" s="4" t="s">
        <v>14</v>
      </c>
      <c r="G3221" s="4" t="s">
        <v>41</v>
      </c>
      <c r="H3221" s="4">
        <v>5</v>
      </c>
      <c r="I3221" s="4">
        <v>2</v>
      </c>
      <c r="J3221" s="5">
        <v>45716</v>
      </c>
      <c r="K3221" s="6">
        <v>0.61946759259259254</v>
      </c>
    </row>
    <row r="3222" spans="1:11" x14ac:dyDescent="0.25">
      <c r="A3222" s="4">
        <v>15</v>
      </c>
      <c r="B3222" s="4" t="s">
        <v>11</v>
      </c>
      <c r="C3222" s="7">
        <v>25.96</v>
      </c>
      <c r="D3222" s="4" t="s">
        <v>18</v>
      </c>
      <c r="E3222" s="4" t="s">
        <v>17</v>
      </c>
      <c r="F3222" s="4" t="s">
        <v>14</v>
      </c>
      <c r="G3222" s="4" t="s">
        <v>41</v>
      </c>
      <c r="H3222" s="4">
        <v>5</v>
      </c>
      <c r="I3222" s="4">
        <v>2</v>
      </c>
      <c r="J3222" s="5">
        <v>45716</v>
      </c>
      <c r="K3222" s="6">
        <v>0.63840277777777776</v>
      </c>
    </row>
    <row r="3223" spans="1:11" x14ac:dyDescent="0.25">
      <c r="A3223" s="4">
        <v>16</v>
      </c>
      <c r="B3223" s="4" t="s">
        <v>11</v>
      </c>
      <c r="C3223" s="7">
        <v>35.76</v>
      </c>
      <c r="D3223" s="4" t="s">
        <v>21</v>
      </c>
      <c r="E3223" s="4" t="s">
        <v>17</v>
      </c>
      <c r="F3223" s="4" t="s">
        <v>14</v>
      </c>
      <c r="G3223" s="4" t="s">
        <v>41</v>
      </c>
      <c r="H3223" s="4">
        <v>5</v>
      </c>
      <c r="I3223" s="4">
        <v>2</v>
      </c>
      <c r="J3223" s="5">
        <v>45716</v>
      </c>
      <c r="K3223" s="6">
        <v>0.6822569444444444</v>
      </c>
    </row>
    <row r="3224" spans="1:11" x14ac:dyDescent="0.25">
      <c r="A3224" s="4">
        <v>16</v>
      </c>
      <c r="B3224" s="4" t="s">
        <v>11</v>
      </c>
      <c r="C3224" s="7">
        <v>25.96</v>
      </c>
      <c r="D3224" s="4" t="s">
        <v>18</v>
      </c>
      <c r="E3224" s="4" t="s">
        <v>17</v>
      </c>
      <c r="F3224" s="4" t="s">
        <v>14</v>
      </c>
      <c r="G3224" s="4" t="s">
        <v>41</v>
      </c>
      <c r="H3224" s="4">
        <v>5</v>
      </c>
      <c r="I3224" s="4">
        <v>2</v>
      </c>
      <c r="J3224" s="5">
        <v>45716</v>
      </c>
      <c r="K3224" s="6">
        <v>0.68756944444444446</v>
      </c>
    </row>
    <row r="3225" spans="1:11" x14ac:dyDescent="0.25">
      <c r="A3225" s="4">
        <v>17</v>
      </c>
      <c r="B3225" s="4" t="s">
        <v>11</v>
      </c>
      <c r="C3225" s="7">
        <v>35.76</v>
      </c>
      <c r="D3225" s="4" t="s">
        <v>12</v>
      </c>
      <c r="E3225" s="4" t="s">
        <v>20</v>
      </c>
      <c r="F3225" s="4" t="s">
        <v>14</v>
      </c>
      <c r="G3225" s="4" t="s">
        <v>41</v>
      </c>
      <c r="H3225" s="4">
        <v>5</v>
      </c>
      <c r="I3225" s="4">
        <v>2</v>
      </c>
      <c r="J3225" s="5">
        <v>45716</v>
      </c>
      <c r="K3225" s="6">
        <v>0.72291666666666665</v>
      </c>
    </row>
    <row r="3226" spans="1:11" x14ac:dyDescent="0.25">
      <c r="A3226" s="4">
        <v>17</v>
      </c>
      <c r="B3226" s="4" t="s">
        <v>11</v>
      </c>
      <c r="C3226" s="7">
        <v>30.86</v>
      </c>
      <c r="D3226" s="4" t="s">
        <v>19</v>
      </c>
      <c r="E3226" s="4" t="s">
        <v>20</v>
      </c>
      <c r="F3226" s="4" t="s">
        <v>14</v>
      </c>
      <c r="G3226" s="4" t="s">
        <v>41</v>
      </c>
      <c r="H3226" s="4">
        <v>5</v>
      </c>
      <c r="I3226" s="4">
        <v>2</v>
      </c>
      <c r="J3226" s="5">
        <v>45716</v>
      </c>
      <c r="K3226" s="6">
        <v>0.72990740740740745</v>
      </c>
    </row>
    <row r="3227" spans="1:11" x14ac:dyDescent="0.25">
      <c r="A3227" s="4">
        <v>17</v>
      </c>
      <c r="B3227" s="4" t="s">
        <v>11</v>
      </c>
      <c r="C3227" s="7">
        <v>25.96</v>
      </c>
      <c r="D3227" s="4" t="s">
        <v>18</v>
      </c>
      <c r="E3227" s="4" t="s">
        <v>20</v>
      </c>
      <c r="F3227" s="4" t="s">
        <v>14</v>
      </c>
      <c r="G3227" s="4" t="s">
        <v>41</v>
      </c>
      <c r="H3227" s="4">
        <v>5</v>
      </c>
      <c r="I3227" s="4">
        <v>2</v>
      </c>
      <c r="J3227" s="5">
        <v>45716</v>
      </c>
      <c r="K3227" s="6">
        <v>0.73074074074074069</v>
      </c>
    </row>
    <row r="3228" spans="1:11" x14ac:dyDescent="0.25">
      <c r="A3228" s="4">
        <v>17</v>
      </c>
      <c r="B3228" s="4" t="s">
        <v>11</v>
      </c>
      <c r="C3228" s="7">
        <v>25.96</v>
      </c>
      <c r="D3228" s="4" t="s">
        <v>18</v>
      </c>
      <c r="E3228" s="4" t="s">
        <v>20</v>
      </c>
      <c r="F3228" s="4" t="s">
        <v>14</v>
      </c>
      <c r="G3228" s="4" t="s">
        <v>41</v>
      </c>
      <c r="H3228" s="4">
        <v>5</v>
      </c>
      <c r="I3228" s="4">
        <v>2</v>
      </c>
      <c r="J3228" s="5">
        <v>45716</v>
      </c>
      <c r="K3228" s="6">
        <v>0.73181712962962964</v>
      </c>
    </row>
    <row r="3229" spans="1:11" x14ac:dyDescent="0.25">
      <c r="A3229" s="4">
        <v>18</v>
      </c>
      <c r="B3229" s="4" t="s">
        <v>11</v>
      </c>
      <c r="C3229" s="7">
        <v>35.76</v>
      </c>
      <c r="D3229" s="4" t="s">
        <v>12</v>
      </c>
      <c r="E3229" s="4" t="s">
        <v>20</v>
      </c>
      <c r="F3229" s="4" t="s">
        <v>14</v>
      </c>
      <c r="G3229" s="4" t="s">
        <v>41</v>
      </c>
      <c r="H3229" s="4">
        <v>5</v>
      </c>
      <c r="I3229" s="4">
        <v>2</v>
      </c>
      <c r="J3229" s="5">
        <v>45716</v>
      </c>
      <c r="K3229" s="6">
        <v>0.78737268518518522</v>
      </c>
    </row>
    <row r="3230" spans="1:11" x14ac:dyDescent="0.25">
      <c r="A3230" s="4">
        <v>10</v>
      </c>
      <c r="B3230" s="4" t="s">
        <v>11</v>
      </c>
      <c r="C3230" s="7">
        <v>35.76</v>
      </c>
      <c r="D3230" s="4" t="s">
        <v>29</v>
      </c>
      <c r="E3230" s="4" t="s">
        <v>13</v>
      </c>
      <c r="F3230" s="4" t="s">
        <v>22</v>
      </c>
      <c r="G3230" s="4" t="s">
        <v>15</v>
      </c>
      <c r="H3230" s="4">
        <v>6</v>
      </c>
      <c r="I3230" s="4">
        <v>3</v>
      </c>
      <c r="J3230" s="5">
        <v>45717</v>
      </c>
      <c r="K3230" s="6">
        <v>0.4387152777777778</v>
      </c>
    </row>
    <row r="3231" spans="1:11" x14ac:dyDescent="0.25">
      <c r="A3231" s="4">
        <v>11</v>
      </c>
      <c r="B3231" s="4" t="s">
        <v>11</v>
      </c>
      <c r="C3231" s="7">
        <v>25.96</v>
      </c>
      <c r="D3231" s="4" t="s">
        <v>18</v>
      </c>
      <c r="E3231" s="4" t="s">
        <v>13</v>
      </c>
      <c r="F3231" s="4" t="s">
        <v>22</v>
      </c>
      <c r="G3231" s="4" t="s">
        <v>15</v>
      </c>
      <c r="H3231" s="4">
        <v>6</v>
      </c>
      <c r="I3231" s="4">
        <v>3</v>
      </c>
      <c r="J3231" s="5">
        <v>45717</v>
      </c>
      <c r="K3231" s="6">
        <v>0.4750462962962963</v>
      </c>
    </row>
    <row r="3232" spans="1:11" x14ac:dyDescent="0.25">
      <c r="A3232" s="4">
        <v>11</v>
      </c>
      <c r="B3232" s="4" t="s">
        <v>11</v>
      </c>
      <c r="C3232" s="7">
        <v>25.96</v>
      </c>
      <c r="D3232" s="4" t="s">
        <v>18</v>
      </c>
      <c r="E3232" s="4" t="s">
        <v>13</v>
      </c>
      <c r="F3232" s="4" t="s">
        <v>22</v>
      </c>
      <c r="G3232" s="4" t="s">
        <v>15</v>
      </c>
      <c r="H3232" s="4">
        <v>6</v>
      </c>
      <c r="I3232" s="4">
        <v>3</v>
      </c>
      <c r="J3232" s="5">
        <v>45717</v>
      </c>
      <c r="K3232" s="6">
        <v>0.47775462962962961</v>
      </c>
    </row>
    <row r="3233" spans="1:11" x14ac:dyDescent="0.25">
      <c r="A3233" s="4">
        <v>14</v>
      </c>
      <c r="B3233" s="4" t="s">
        <v>11</v>
      </c>
      <c r="C3233" s="7">
        <v>35.76</v>
      </c>
      <c r="D3233" s="4" t="s">
        <v>12</v>
      </c>
      <c r="E3233" s="4" t="s">
        <v>17</v>
      </c>
      <c r="F3233" s="4" t="s">
        <v>22</v>
      </c>
      <c r="G3233" s="4" t="s">
        <v>15</v>
      </c>
      <c r="H3233" s="4">
        <v>6</v>
      </c>
      <c r="I3233" s="4">
        <v>3</v>
      </c>
      <c r="J3233" s="5">
        <v>45717</v>
      </c>
      <c r="K3233" s="6">
        <v>0.61346064814814816</v>
      </c>
    </row>
    <row r="3234" spans="1:11" x14ac:dyDescent="0.25">
      <c r="A3234" s="4">
        <v>15</v>
      </c>
      <c r="B3234" s="4" t="s">
        <v>11</v>
      </c>
      <c r="C3234" s="7">
        <v>25.96</v>
      </c>
      <c r="D3234" s="4" t="s">
        <v>18</v>
      </c>
      <c r="E3234" s="4" t="s">
        <v>17</v>
      </c>
      <c r="F3234" s="4" t="s">
        <v>22</v>
      </c>
      <c r="G3234" s="4" t="s">
        <v>15</v>
      </c>
      <c r="H3234" s="4">
        <v>6</v>
      </c>
      <c r="I3234" s="4">
        <v>3</v>
      </c>
      <c r="J3234" s="5">
        <v>45717</v>
      </c>
      <c r="K3234" s="6">
        <v>0.6267476851851852</v>
      </c>
    </row>
    <row r="3235" spans="1:11" x14ac:dyDescent="0.25">
      <c r="A3235" s="4">
        <v>15</v>
      </c>
      <c r="B3235" s="4" t="s">
        <v>11</v>
      </c>
      <c r="C3235" s="7">
        <v>30.86</v>
      </c>
      <c r="D3235" s="4" t="s">
        <v>19</v>
      </c>
      <c r="E3235" s="4" t="s">
        <v>17</v>
      </c>
      <c r="F3235" s="4" t="s">
        <v>22</v>
      </c>
      <c r="G3235" s="4" t="s">
        <v>15</v>
      </c>
      <c r="H3235" s="4">
        <v>6</v>
      </c>
      <c r="I3235" s="4">
        <v>3</v>
      </c>
      <c r="J3235" s="5">
        <v>45717</v>
      </c>
      <c r="K3235" s="6">
        <v>0.63078703703703709</v>
      </c>
    </row>
    <row r="3236" spans="1:11" x14ac:dyDescent="0.25">
      <c r="A3236" s="4">
        <v>16</v>
      </c>
      <c r="B3236" s="4" t="s">
        <v>11</v>
      </c>
      <c r="C3236" s="7">
        <v>35.76</v>
      </c>
      <c r="D3236" s="4" t="s">
        <v>29</v>
      </c>
      <c r="E3236" s="4" t="s">
        <v>17</v>
      </c>
      <c r="F3236" s="4" t="s">
        <v>22</v>
      </c>
      <c r="G3236" s="4" t="s">
        <v>15</v>
      </c>
      <c r="H3236" s="4">
        <v>6</v>
      </c>
      <c r="I3236" s="4">
        <v>3</v>
      </c>
      <c r="J3236" s="5">
        <v>45717</v>
      </c>
      <c r="K3236" s="6">
        <v>0.69598379629629625</v>
      </c>
    </row>
    <row r="3237" spans="1:11" x14ac:dyDescent="0.25">
      <c r="A3237" s="4">
        <v>17</v>
      </c>
      <c r="B3237" s="4" t="s">
        <v>11</v>
      </c>
      <c r="C3237" s="7">
        <v>25.96</v>
      </c>
      <c r="D3237" s="4" t="s">
        <v>18</v>
      </c>
      <c r="E3237" s="4" t="s">
        <v>20</v>
      </c>
      <c r="F3237" s="4" t="s">
        <v>22</v>
      </c>
      <c r="G3237" s="4" t="s">
        <v>15</v>
      </c>
      <c r="H3237" s="4">
        <v>6</v>
      </c>
      <c r="I3237" s="4">
        <v>3</v>
      </c>
      <c r="J3237" s="5">
        <v>45717</v>
      </c>
      <c r="K3237" s="6">
        <v>0.7142708333333333</v>
      </c>
    </row>
    <row r="3238" spans="1:11" x14ac:dyDescent="0.25">
      <c r="A3238" s="4">
        <v>9</v>
      </c>
      <c r="B3238" s="4" t="s">
        <v>11</v>
      </c>
      <c r="C3238" s="7">
        <v>35.76</v>
      </c>
      <c r="D3238" s="4" t="s">
        <v>21</v>
      </c>
      <c r="E3238" s="4" t="s">
        <v>13</v>
      </c>
      <c r="F3238" s="4" t="s">
        <v>23</v>
      </c>
      <c r="G3238" s="4" t="s">
        <v>15</v>
      </c>
      <c r="H3238" s="4">
        <v>7</v>
      </c>
      <c r="I3238" s="4">
        <v>3</v>
      </c>
      <c r="J3238" s="5">
        <v>45718</v>
      </c>
      <c r="K3238" s="6">
        <v>0.41545138888888888</v>
      </c>
    </row>
    <row r="3239" spans="1:11" x14ac:dyDescent="0.25">
      <c r="A3239" s="4">
        <v>12</v>
      </c>
      <c r="B3239" s="4" t="s">
        <v>11</v>
      </c>
      <c r="C3239" s="7">
        <v>35.76</v>
      </c>
      <c r="D3239" s="4" t="s">
        <v>12</v>
      </c>
      <c r="E3239" s="4" t="s">
        <v>17</v>
      </c>
      <c r="F3239" s="4" t="s">
        <v>23</v>
      </c>
      <c r="G3239" s="4" t="s">
        <v>15</v>
      </c>
      <c r="H3239" s="4">
        <v>7</v>
      </c>
      <c r="I3239" s="4">
        <v>3</v>
      </c>
      <c r="J3239" s="5">
        <v>45718</v>
      </c>
      <c r="K3239" s="6">
        <v>0.51222222222222225</v>
      </c>
    </row>
    <row r="3240" spans="1:11" x14ac:dyDescent="0.25">
      <c r="A3240" s="4">
        <v>13</v>
      </c>
      <c r="B3240" s="4" t="s">
        <v>11</v>
      </c>
      <c r="C3240" s="7">
        <v>30.86</v>
      </c>
      <c r="D3240" s="4" t="s">
        <v>19</v>
      </c>
      <c r="E3240" s="4" t="s">
        <v>17</v>
      </c>
      <c r="F3240" s="4" t="s">
        <v>23</v>
      </c>
      <c r="G3240" s="4" t="s">
        <v>15</v>
      </c>
      <c r="H3240" s="4">
        <v>7</v>
      </c>
      <c r="I3240" s="4">
        <v>3</v>
      </c>
      <c r="J3240" s="5">
        <v>45718</v>
      </c>
      <c r="K3240" s="6">
        <v>0.56688657407407406</v>
      </c>
    </row>
    <row r="3241" spans="1:11" x14ac:dyDescent="0.25">
      <c r="A3241" s="4">
        <v>15</v>
      </c>
      <c r="B3241" s="4" t="s">
        <v>11</v>
      </c>
      <c r="C3241" s="7">
        <v>30.86</v>
      </c>
      <c r="D3241" s="4" t="s">
        <v>19</v>
      </c>
      <c r="E3241" s="4" t="s">
        <v>17</v>
      </c>
      <c r="F3241" s="4" t="s">
        <v>23</v>
      </c>
      <c r="G3241" s="4" t="s">
        <v>15</v>
      </c>
      <c r="H3241" s="4">
        <v>7</v>
      </c>
      <c r="I3241" s="4">
        <v>3</v>
      </c>
      <c r="J3241" s="5">
        <v>45718</v>
      </c>
      <c r="K3241" s="6">
        <v>0.64047453703703705</v>
      </c>
    </row>
    <row r="3242" spans="1:11" x14ac:dyDescent="0.25">
      <c r="A3242" s="4">
        <v>15</v>
      </c>
      <c r="B3242" s="4" t="s">
        <v>11</v>
      </c>
      <c r="C3242" s="7">
        <v>25.96</v>
      </c>
      <c r="D3242" s="4" t="s">
        <v>18</v>
      </c>
      <c r="E3242" s="4" t="s">
        <v>17</v>
      </c>
      <c r="F3242" s="4" t="s">
        <v>23</v>
      </c>
      <c r="G3242" s="4" t="s">
        <v>15</v>
      </c>
      <c r="H3242" s="4">
        <v>7</v>
      </c>
      <c r="I3242" s="4">
        <v>3</v>
      </c>
      <c r="J3242" s="5">
        <v>45718</v>
      </c>
      <c r="K3242" s="6">
        <v>0.6411458333333333</v>
      </c>
    </row>
    <row r="3243" spans="1:11" x14ac:dyDescent="0.25">
      <c r="A3243" s="4">
        <v>15</v>
      </c>
      <c r="B3243" s="4" t="s">
        <v>11</v>
      </c>
      <c r="C3243" s="7">
        <v>25.96</v>
      </c>
      <c r="D3243" s="4" t="s">
        <v>18</v>
      </c>
      <c r="E3243" s="4" t="s">
        <v>17</v>
      </c>
      <c r="F3243" s="4" t="s">
        <v>23</v>
      </c>
      <c r="G3243" s="4" t="s">
        <v>15</v>
      </c>
      <c r="H3243" s="4">
        <v>7</v>
      </c>
      <c r="I3243" s="4">
        <v>3</v>
      </c>
      <c r="J3243" s="5">
        <v>45718</v>
      </c>
      <c r="K3243" s="6">
        <v>0.64218750000000002</v>
      </c>
    </row>
    <row r="3244" spans="1:11" x14ac:dyDescent="0.25">
      <c r="A3244" s="4">
        <v>8</v>
      </c>
      <c r="B3244" s="4" t="s">
        <v>11</v>
      </c>
      <c r="C3244" s="7">
        <v>35.76</v>
      </c>
      <c r="D3244" s="4" t="s">
        <v>29</v>
      </c>
      <c r="E3244" s="4" t="s">
        <v>13</v>
      </c>
      <c r="F3244" s="4" t="s">
        <v>25</v>
      </c>
      <c r="G3244" s="4" t="s">
        <v>15</v>
      </c>
      <c r="H3244" s="4">
        <v>1</v>
      </c>
      <c r="I3244" s="4">
        <v>3</v>
      </c>
      <c r="J3244" s="5">
        <v>45719</v>
      </c>
      <c r="K3244" s="6">
        <v>0.35001157407407407</v>
      </c>
    </row>
    <row r="3245" spans="1:11" x14ac:dyDescent="0.25">
      <c r="A3245" s="4">
        <v>9</v>
      </c>
      <c r="B3245" s="4" t="s">
        <v>11</v>
      </c>
      <c r="C3245" s="7">
        <v>35.76</v>
      </c>
      <c r="D3245" s="4" t="s">
        <v>21</v>
      </c>
      <c r="E3245" s="4" t="s">
        <v>13</v>
      </c>
      <c r="F3245" s="4" t="s">
        <v>25</v>
      </c>
      <c r="G3245" s="4" t="s">
        <v>15</v>
      </c>
      <c r="H3245" s="4">
        <v>1</v>
      </c>
      <c r="I3245" s="4">
        <v>3</v>
      </c>
      <c r="J3245" s="5">
        <v>45719</v>
      </c>
      <c r="K3245" s="6">
        <v>0.4075347222222222</v>
      </c>
    </row>
    <row r="3246" spans="1:11" x14ac:dyDescent="0.25">
      <c r="A3246" s="4">
        <v>9</v>
      </c>
      <c r="B3246" s="4" t="s">
        <v>11</v>
      </c>
      <c r="C3246" s="7">
        <v>35.76</v>
      </c>
      <c r="D3246" s="4" t="s">
        <v>12</v>
      </c>
      <c r="E3246" s="4" t="s">
        <v>13</v>
      </c>
      <c r="F3246" s="4" t="s">
        <v>25</v>
      </c>
      <c r="G3246" s="4" t="s">
        <v>15</v>
      </c>
      <c r="H3246" s="4">
        <v>1</v>
      </c>
      <c r="I3246" s="4">
        <v>3</v>
      </c>
      <c r="J3246" s="5">
        <v>45719</v>
      </c>
      <c r="K3246" s="6">
        <v>0.40878472222222223</v>
      </c>
    </row>
    <row r="3247" spans="1:11" x14ac:dyDescent="0.25">
      <c r="A3247" s="4">
        <v>10</v>
      </c>
      <c r="B3247" s="4" t="s">
        <v>11</v>
      </c>
      <c r="C3247" s="7">
        <v>35.76</v>
      </c>
      <c r="D3247" s="4" t="s">
        <v>16</v>
      </c>
      <c r="E3247" s="4" t="s">
        <v>13</v>
      </c>
      <c r="F3247" s="4" t="s">
        <v>25</v>
      </c>
      <c r="G3247" s="4" t="s">
        <v>15</v>
      </c>
      <c r="H3247" s="4">
        <v>1</v>
      </c>
      <c r="I3247" s="4">
        <v>3</v>
      </c>
      <c r="J3247" s="5">
        <v>45719</v>
      </c>
      <c r="K3247" s="6">
        <v>0.43152777777777779</v>
      </c>
    </row>
    <row r="3248" spans="1:11" x14ac:dyDescent="0.25">
      <c r="A3248" s="4">
        <v>10</v>
      </c>
      <c r="B3248" s="4" t="s">
        <v>11</v>
      </c>
      <c r="C3248" s="7">
        <v>35.76</v>
      </c>
      <c r="D3248" s="4" t="s">
        <v>16</v>
      </c>
      <c r="E3248" s="4" t="s">
        <v>13</v>
      </c>
      <c r="F3248" s="4" t="s">
        <v>25</v>
      </c>
      <c r="G3248" s="4" t="s">
        <v>15</v>
      </c>
      <c r="H3248" s="4">
        <v>1</v>
      </c>
      <c r="I3248" s="4">
        <v>3</v>
      </c>
      <c r="J3248" s="5">
        <v>45719</v>
      </c>
      <c r="K3248" s="6">
        <v>0.43386574074074075</v>
      </c>
    </row>
    <row r="3249" spans="1:11" x14ac:dyDescent="0.25">
      <c r="A3249" s="4">
        <v>12</v>
      </c>
      <c r="B3249" s="4" t="s">
        <v>11</v>
      </c>
      <c r="C3249" s="7">
        <v>35.76</v>
      </c>
      <c r="D3249" s="4" t="s">
        <v>29</v>
      </c>
      <c r="E3249" s="4" t="s">
        <v>17</v>
      </c>
      <c r="F3249" s="4" t="s">
        <v>25</v>
      </c>
      <c r="G3249" s="4" t="s">
        <v>15</v>
      </c>
      <c r="H3249" s="4">
        <v>1</v>
      </c>
      <c r="I3249" s="4">
        <v>3</v>
      </c>
      <c r="J3249" s="5">
        <v>45719</v>
      </c>
      <c r="K3249" s="6">
        <v>0.54037037037037039</v>
      </c>
    </row>
    <row r="3250" spans="1:11" x14ac:dyDescent="0.25">
      <c r="A3250" s="4">
        <v>15</v>
      </c>
      <c r="B3250" s="4" t="s">
        <v>11</v>
      </c>
      <c r="C3250" s="7">
        <v>35.76</v>
      </c>
      <c r="D3250" s="4" t="s">
        <v>12</v>
      </c>
      <c r="E3250" s="4" t="s">
        <v>17</v>
      </c>
      <c r="F3250" s="4" t="s">
        <v>25</v>
      </c>
      <c r="G3250" s="4" t="s">
        <v>15</v>
      </c>
      <c r="H3250" s="4">
        <v>1</v>
      </c>
      <c r="I3250" s="4">
        <v>3</v>
      </c>
      <c r="J3250" s="5">
        <v>45719</v>
      </c>
      <c r="K3250" s="6">
        <v>0.63265046296296301</v>
      </c>
    </row>
    <row r="3251" spans="1:11" x14ac:dyDescent="0.25">
      <c r="A3251" s="4">
        <v>15</v>
      </c>
      <c r="B3251" s="4" t="s">
        <v>11</v>
      </c>
      <c r="C3251" s="7">
        <v>25.96</v>
      </c>
      <c r="D3251" s="4" t="s">
        <v>18</v>
      </c>
      <c r="E3251" s="4" t="s">
        <v>17</v>
      </c>
      <c r="F3251" s="4" t="s">
        <v>25</v>
      </c>
      <c r="G3251" s="4" t="s">
        <v>15</v>
      </c>
      <c r="H3251" s="4">
        <v>1</v>
      </c>
      <c r="I3251" s="4">
        <v>3</v>
      </c>
      <c r="J3251" s="5">
        <v>45719</v>
      </c>
      <c r="K3251" s="6">
        <v>0.65831018518518514</v>
      </c>
    </row>
    <row r="3252" spans="1:11" x14ac:dyDescent="0.25">
      <c r="A3252" s="4">
        <v>16</v>
      </c>
      <c r="B3252" s="4" t="s">
        <v>11</v>
      </c>
      <c r="C3252" s="7">
        <v>35.76</v>
      </c>
      <c r="D3252" s="4" t="s">
        <v>21</v>
      </c>
      <c r="E3252" s="4" t="s">
        <v>17</v>
      </c>
      <c r="F3252" s="4" t="s">
        <v>25</v>
      </c>
      <c r="G3252" s="4" t="s">
        <v>15</v>
      </c>
      <c r="H3252" s="4">
        <v>1</v>
      </c>
      <c r="I3252" s="4">
        <v>3</v>
      </c>
      <c r="J3252" s="5">
        <v>45719</v>
      </c>
      <c r="K3252" s="6">
        <v>0.67696759259259254</v>
      </c>
    </row>
    <row r="3253" spans="1:11" x14ac:dyDescent="0.25">
      <c r="A3253" s="4">
        <v>16</v>
      </c>
      <c r="B3253" s="4" t="s">
        <v>11</v>
      </c>
      <c r="C3253" s="7">
        <v>35.76</v>
      </c>
      <c r="D3253" s="4" t="s">
        <v>12</v>
      </c>
      <c r="E3253" s="4" t="s">
        <v>17</v>
      </c>
      <c r="F3253" s="4" t="s">
        <v>25</v>
      </c>
      <c r="G3253" s="4" t="s">
        <v>15</v>
      </c>
      <c r="H3253" s="4">
        <v>1</v>
      </c>
      <c r="I3253" s="4">
        <v>3</v>
      </c>
      <c r="J3253" s="5">
        <v>45719</v>
      </c>
      <c r="K3253" s="6">
        <v>0.67818287037037039</v>
      </c>
    </row>
    <row r="3254" spans="1:11" x14ac:dyDescent="0.25">
      <c r="A3254" s="4">
        <v>16</v>
      </c>
      <c r="B3254" s="4" t="s">
        <v>11</v>
      </c>
      <c r="C3254" s="7">
        <v>35.76</v>
      </c>
      <c r="D3254" s="4" t="s">
        <v>12</v>
      </c>
      <c r="E3254" s="4" t="s">
        <v>17</v>
      </c>
      <c r="F3254" s="4" t="s">
        <v>25</v>
      </c>
      <c r="G3254" s="4" t="s">
        <v>15</v>
      </c>
      <c r="H3254" s="4">
        <v>1</v>
      </c>
      <c r="I3254" s="4">
        <v>3</v>
      </c>
      <c r="J3254" s="5">
        <v>45719</v>
      </c>
      <c r="K3254" s="6">
        <v>0.67947916666666663</v>
      </c>
    </row>
    <row r="3255" spans="1:11" x14ac:dyDescent="0.25">
      <c r="A3255" s="4">
        <v>16</v>
      </c>
      <c r="B3255" s="4" t="s">
        <v>11</v>
      </c>
      <c r="C3255" s="7">
        <v>35.76</v>
      </c>
      <c r="D3255" s="4" t="s">
        <v>29</v>
      </c>
      <c r="E3255" s="4" t="s">
        <v>17</v>
      </c>
      <c r="F3255" s="4" t="s">
        <v>25</v>
      </c>
      <c r="G3255" s="4" t="s">
        <v>15</v>
      </c>
      <c r="H3255" s="4">
        <v>1</v>
      </c>
      <c r="I3255" s="4">
        <v>3</v>
      </c>
      <c r="J3255" s="5">
        <v>45719</v>
      </c>
      <c r="K3255" s="6">
        <v>0.69478009259259255</v>
      </c>
    </row>
    <row r="3256" spans="1:11" x14ac:dyDescent="0.25">
      <c r="A3256" s="4">
        <v>16</v>
      </c>
      <c r="B3256" s="4" t="s">
        <v>11</v>
      </c>
      <c r="C3256" s="7">
        <v>35.76</v>
      </c>
      <c r="D3256" s="4" t="s">
        <v>29</v>
      </c>
      <c r="E3256" s="4" t="s">
        <v>17</v>
      </c>
      <c r="F3256" s="4" t="s">
        <v>25</v>
      </c>
      <c r="G3256" s="4" t="s">
        <v>15</v>
      </c>
      <c r="H3256" s="4">
        <v>1</v>
      </c>
      <c r="I3256" s="4">
        <v>3</v>
      </c>
      <c r="J3256" s="5">
        <v>45719</v>
      </c>
      <c r="K3256" s="6">
        <v>0.69608796296296294</v>
      </c>
    </row>
    <row r="3257" spans="1:11" x14ac:dyDescent="0.25">
      <c r="A3257" s="4">
        <v>16</v>
      </c>
      <c r="B3257" s="4" t="s">
        <v>11</v>
      </c>
      <c r="C3257" s="7">
        <v>25.96</v>
      </c>
      <c r="D3257" s="4" t="s">
        <v>18</v>
      </c>
      <c r="E3257" s="4" t="s">
        <v>17</v>
      </c>
      <c r="F3257" s="4" t="s">
        <v>25</v>
      </c>
      <c r="G3257" s="4" t="s">
        <v>15</v>
      </c>
      <c r="H3257" s="4">
        <v>1</v>
      </c>
      <c r="I3257" s="4">
        <v>3</v>
      </c>
      <c r="J3257" s="5">
        <v>45719</v>
      </c>
      <c r="K3257" s="6">
        <v>0.7029050925925926</v>
      </c>
    </row>
    <row r="3258" spans="1:11" x14ac:dyDescent="0.25">
      <c r="A3258" s="4">
        <v>17</v>
      </c>
      <c r="B3258" s="4" t="s">
        <v>11</v>
      </c>
      <c r="C3258" s="7">
        <v>30.86</v>
      </c>
      <c r="D3258" s="4" t="s">
        <v>19</v>
      </c>
      <c r="E3258" s="4" t="s">
        <v>20</v>
      </c>
      <c r="F3258" s="4" t="s">
        <v>25</v>
      </c>
      <c r="G3258" s="4" t="s">
        <v>15</v>
      </c>
      <c r="H3258" s="4">
        <v>1</v>
      </c>
      <c r="I3258" s="4">
        <v>3</v>
      </c>
      <c r="J3258" s="5">
        <v>45719</v>
      </c>
      <c r="K3258" s="6">
        <v>0.72826388888888893</v>
      </c>
    </row>
    <row r="3259" spans="1:11" x14ac:dyDescent="0.25">
      <c r="A3259" s="4">
        <v>17</v>
      </c>
      <c r="B3259" s="4" t="s">
        <v>11</v>
      </c>
      <c r="C3259" s="7">
        <v>25.96</v>
      </c>
      <c r="D3259" s="4" t="s">
        <v>18</v>
      </c>
      <c r="E3259" s="4" t="s">
        <v>20</v>
      </c>
      <c r="F3259" s="4" t="s">
        <v>25</v>
      </c>
      <c r="G3259" s="4" t="s">
        <v>15</v>
      </c>
      <c r="H3259" s="4">
        <v>1</v>
      </c>
      <c r="I3259" s="4">
        <v>3</v>
      </c>
      <c r="J3259" s="5">
        <v>45719</v>
      </c>
      <c r="K3259" s="6">
        <v>0.7301157407407407</v>
      </c>
    </row>
    <row r="3260" spans="1:11" x14ac:dyDescent="0.25">
      <c r="A3260" s="4">
        <v>17</v>
      </c>
      <c r="B3260" s="4" t="s">
        <v>11</v>
      </c>
      <c r="C3260" s="7">
        <v>35.76</v>
      </c>
      <c r="D3260" s="4" t="s">
        <v>16</v>
      </c>
      <c r="E3260" s="4" t="s">
        <v>20</v>
      </c>
      <c r="F3260" s="4" t="s">
        <v>25</v>
      </c>
      <c r="G3260" s="4" t="s">
        <v>15</v>
      </c>
      <c r="H3260" s="4">
        <v>1</v>
      </c>
      <c r="I3260" s="4">
        <v>3</v>
      </c>
      <c r="J3260" s="5">
        <v>45719</v>
      </c>
      <c r="K3260" s="6">
        <v>0.73076388888888888</v>
      </c>
    </row>
    <row r="3261" spans="1:11" x14ac:dyDescent="0.25">
      <c r="A3261" s="4">
        <v>17</v>
      </c>
      <c r="B3261" s="4" t="s">
        <v>11</v>
      </c>
      <c r="C3261" s="7">
        <v>25.96</v>
      </c>
      <c r="D3261" s="4" t="s">
        <v>18</v>
      </c>
      <c r="E3261" s="4" t="s">
        <v>20</v>
      </c>
      <c r="F3261" s="4" t="s">
        <v>25</v>
      </c>
      <c r="G3261" s="4" t="s">
        <v>15</v>
      </c>
      <c r="H3261" s="4">
        <v>1</v>
      </c>
      <c r="I3261" s="4">
        <v>3</v>
      </c>
      <c r="J3261" s="5">
        <v>45719</v>
      </c>
      <c r="K3261" s="6">
        <v>0.73122685185185188</v>
      </c>
    </row>
    <row r="3262" spans="1:11" x14ac:dyDescent="0.25">
      <c r="A3262" s="4">
        <v>17</v>
      </c>
      <c r="B3262" s="4" t="s">
        <v>11</v>
      </c>
      <c r="C3262" s="7">
        <v>35.76</v>
      </c>
      <c r="D3262" s="4" t="s">
        <v>16</v>
      </c>
      <c r="E3262" s="4" t="s">
        <v>20</v>
      </c>
      <c r="F3262" s="4" t="s">
        <v>25</v>
      </c>
      <c r="G3262" s="4" t="s">
        <v>15</v>
      </c>
      <c r="H3262" s="4">
        <v>1</v>
      </c>
      <c r="I3262" s="4">
        <v>3</v>
      </c>
      <c r="J3262" s="5">
        <v>45719</v>
      </c>
      <c r="K3262" s="6">
        <v>0.74828703703703703</v>
      </c>
    </row>
    <row r="3263" spans="1:11" x14ac:dyDescent="0.25">
      <c r="A3263" s="4">
        <v>17</v>
      </c>
      <c r="B3263" s="4" t="s">
        <v>11</v>
      </c>
      <c r="C3263" s="7">
        <v>35.76</v>
      </c>
      <c r="D3263" s="4" t="s">
        <v>16</v>
      </c>
      <c r="E3263" s="4" t="s">
        <v>20</v>
      </c>
      <c r="F3263" s="4" t="s">
        <v>25</v>
      </c>
      <c r="G3263" s="4" t="s">
        <v>15</v>
      </c>
      <c r="H3263" s="4">
        <v>1</v>
      </c>
      <c r="I3263" s="4">
        <v>3</v>
      </c>
      <c r="J3263" s="5">
        <v>45719</v>
      </c>
      <c r="K3263" s="6">
        <v>0.74892361111111116</v>
      </c>
    </row>
    <row r="3264" spans="1:11" x14ac:dyDescent="0.25">
      <c r="A3264" s="4">
        <v>18</v>
      </c>
      <c r="B3264" s="4" t="s">
        <v>11</v>
      </c>
      <c r="C3264" s="7">
        <v>30.86</v>
      </c>
      <c r="D3264" s="4" t="s">
        <v>19</v>
      </c>
      <c r="E3264" s="4" t="s">
        <v>20</v>
      </c>
      <c r="F3264" s="4" t="s">
        <v>25</v>
      </c>
      <c r="G3264" s="4" t="s">
        <v>15</v>
      </c>
      <c r="H3264" s="4">
        <v>1</v>
      </c>
      <c r="I3264" s="4">
        <v>3</v>
      </c>
      <c r="J3264" s="5">
        <v>45719</v>
      </c>
      <c r="K3264" s="6">
        <v>0.75214120370370374</v>
      </c>
    </row>
    <row r="3265" spans="1:11" x14ac:dyDescent="0.25">
      <c r="A3265" s="4">
        <v>18</v>
      </c>
      <c r="B3265" s="4" t="s">
        <v>11</v>
      </c>
      <c r="C3265" s="7">
        <v>35.76</v>
      </c>
      <c r="D3265" s="4" t="s">
        <v>12</v>
      </c>
      <c r="E3265" s="4" t="s">
        <v>20</v>
      </c>
      <c r="F3265" s="4" t="s">
        <v>25</v>
      </c>
      <c r="G3265" s="4" t="s">
        <v>15</v>
      </c>
      <c r="H3265" s="4">
        <v>1</v>
      </c>
      <c r="I3265" s="4">
        <v>3</v>
      </c>
      <c r="J3265" s="5">
        <v>45719</v>
      </c>
      <c r="K3265" s="6">
        <v>0.78254629629629635</v>
      </c>
    </row>
    <row r="3266" spans="1:11" x14ac:dyDescent="0.25">
      <c r="A3266" s="4">
        <v>7</v>
      </c>
      <c r="B3266" s="4" t="s">
        <v>11</v>
      </c>
      <c r="C3266" s="7">
        <v>35.76</v>
      </c>
      <c r="D3266" s="4" t="s">
        <v>29</v>
      </c>
      <c r="E3266" s="4" t="s">
        <v>13</v>
      </c>
      <c r="F3266" s="4" t="s">
        <v>27</v>
      </c>
      <c r="G3266" s="4" t="s">
        <v>15</v>
      </c>
      <c r="H3266" s="4">
        <v>2</v>
      </c>
      <c r="I3266" s="4">
        <v>3</v>
      </c>
      <c r="J3266" s="5">
        <v>45720</v>
      </c>
      <c r="K3266" s="6">
        <v>0.30510416666666668</v>
      </c>
    </row>
    <row r="3267" spans="1:11" x14ac:dyDescent="0.25">
      <c r="A3267" s="4">
        <v>7</v>
      </c>
      <c r="B3267" s="4" t="s">
        <v>11</v>
      </c>
      <c r="C3267" s="7">
        <v>25.96</v>
      </c>
      <c r="D3267" s="4" t="s">
        <v>18</v>
      </c>
      <c r="E3267" s="4" t="s">
        <v>13</v>
      </c>
      <c r="F3267" s="4" t="s">
        <v>27</v>
      </c>
      <c r="G3267" s="4" t="s">
        <v>15</v>
      </c>
      <c r="H3267" s="4">
        <v>2</v>
      </c>
      <c r="I3267" s="4">
        <v>3</v>
      </c>
      <c r="J3267" s="5">
        <v>45720</v>
      </c>
      <c r="K3267" s="6">
        <v>0.31383101851851852</v>
      </c>
    </row>
    <row r="3268" spans="1:11" x14ac:dyDescent="0.25">
      <c r="A3268" s="4">
        <v>8</v>
      </c>
      <c r="B3268" s="4" t="s">
        <v>11</v>
      </c>
      <c r="C3268" s="7">
        <v>30.86</v>
      </c>
      <c r="D3268" s="4" t="s">
        <v>19</v>
      </c>
      <c r="E3268" s="4" t="s">
        <v>13</v>
      </c>
      <c r="F3268" s="4" t="s">
        <v>27</v>
      </c>
      <c r="G3268" s="4" t="s">
        <v>15</v>
      </c>
      <c r="H3268" s="4">
        <v>2</v>
      </c>
      <c r="I3268" s="4">
        <v>3</v>
      </c>
      <c r="J3268" s="5">
        <v>45720</v>
      </c>
      <c r="K3268" s="6">
        <v>0.36927083333333333</v>
      </c>
    </row>
    <row r="3269" spans="1:11" x14ac:dyDescent="0.25">
      <c r="A3269" s="4">
        <v>9</v>
      </c>
      <c r="B3269" s="4" t="s">
        <v>11</v>
      </c>
      <c r="C3269" s="7">
        <v>25.96</v>
      </c>
      <c r="D3269" s="4" t="s">
        <v>18</v>
      </c>
      <c r="E3269" s="4" t="s">
        <v>13</v>
      </c>
      <c r="F3269" s="4" t="s">
        <v>27</v>
      </c>
      <c r="G3269" s="4" t="s">
        <v>15</v>
      </c>
      <c r="H3269" s="4">
        <v>2</v>
      </c>
      <c r="I3269" s="4">
        <v>3</v>
      </c>
      <c r="J3269" s="5">
        <v>45720</v>
      </c>
      <c r="K3269" s="6">
        <v>0.38160879629629629</v>
      </c>
    </row>
    <row r="3270" spans="1:11" x14ac:dyDescent="0.25">
      <c r="A3270" s="4">
        <v>9</v>
      </c>
      <c r="B3270" s="4" t="s">
        <v>11</v>
      </c>
      <c r="C3270" s="7">
        <v>25.96</v>
      </c>
      <c r="D3270" s="4" t="s">
        <v>18</v>
      </c>
      <c r="E3270" s="4" t="s">
        <v>13</v>
      </c>
      <c r="F3270" s="4" t="s">
        <v>27</v>
      </c>
      <c r="G3270" s="4" t="s">
        <v>15</v>
      </c>
      <c r="H3270" s="4">
        <v>2</v>
      </c>
      <c r="I3270" s="4">
        <v>3</v>
      </c>
      <c r="J3270" s="5">
        <v>45720</v>
      </c>
      <c r="K3270" s="6">
        <v>0.38219907407407405</v>
      </c>
    </row>
    <row r="3271" spans="1:11" x14ac:dyDescent="0.25">
      <c r="A3271" s="4">
        <v>9</v>
      </c>
      <c r="B3271" s="4" t="s">
        <v>11</v>
      </c>
      <c r="C3271" s="7">
        <v>25.96</v>
      </c>
      <c r="D3271" s="4" t="s">
        <v>18</v>
      </c>
      <c r="E3271" s="4" t="s">
        <v>13</v>
      </c>
      <c r="F3271" s="4" t="s">
        <v>27</v>
      </c>
      <c r="G3271" s="4" t="s">
        <v>15</v>
      </c>
      <c r="H3271" s="4">
        <v>2</v>
      </c>
      <c r="I3271" s="4">
        <v>3</v>
      </c>
      <c r="J3271" s="5">
        <v>45720</v>
      </c>
      <c r="K3271" s="6">
        <v>0.41570601851851852</v>
      </c>
    </row>
    <row r="3272" spans="1:11" x14ac:dyDescent="0.25">
      <c r="A3272" s="4">
        <v>11</v>
      </c>
      <c r="B3272" s="4" t="s">
        <v>11</v>
      </c>
      <c r="C3272" s="7">
        <v>30.86</v>
      </c>
      <c r="D3272" s="4" t="s">
        <v>19</v>
      </c>
      <c r="E3272" s="4" t="s">
        <v>13</v>
      </c>
      <c r="F3272" s="4" t="s">
        <v>27</v>
      </c>
      <c r="G3272" s="4" t="s">
        <v>15</v>
      </c>
      <c r="H3272" s="4">
        <v>2</v>
      </c>
      <c r="I3272" s="4">
        <v>3</v>
      </c>
      <c r="J3272" s="5">
        <v>45720</v>
      </c>
      <c r="K3272" s="6">
        <v>0.46112268518518518</v>
      </c>
    </row>
    <row r="3273" spans="1:11" x14ac:dyDescent="0.25">
      <c r="A3273" s="4">
        <v>11</v>
      </c>
      <c r="B3273" s="4" t="s">
        <v>11</v>
      </c>
      <c r="C3273" s="7">
        <v>25.96</v>
      </c>
      <c r="D3273" s="4" t="s">
        <v>18</v>
      </c>
      <c r="E3273" s="4" t="s">
        <v>13</v>
      </c>
      <c r="F3273" s="4" t="s">
        <v>27</v>
      </c>
      <c r="G3273" s="4" t="s">
        <v>15</v>
      </c>
      <c r="H3273" s="4">
        <v>2</v>
      </c>
      <c r="I3273" s="4">
        <v>3</v>
      </c>
      <c r="J3273" s="5">
        <v>45720</v>
      </c>
      <c r="K3273" s="6">
        <v>0.46187499999999998</v>
      </c>
    </row>
    <row r="3274" spans="1:11" x14ac:dyDescent="0.25">
      <c r="A3274" s="4">
        <v>11</v>
      </c>
      <c r="B3274" s="4" t="s">
        <v>11</v>
      </c>
      <c r="C3274" s="7">
        <v>25.96</v>
      </c>
      <c r="D3274" s="4" t="s">
        <v>18</v>
      </c>
      <c r="E3274" s="4" t="s">
        <v>13</v>
      </c>
      <c r="F3274" s="4" t="s">
        <v>27</v>
      </c>
      <c r="G3274" s="4" t="s">
        <v>15</v>
      </c>
      <c r="H3274" s="4">
        <v>2</v>
      </c>
      <c r="I3274" s="4">
        <v>3</v>
      </c>
      <c r="J3274" s="5">
        <v>45720</v>
      </c>
      <c r="K3274" s="6">
        <v>0.49075231481481479</v>
      </c>
    </row>
    <row r="3275" spans="1:11" x14ac:dyDescent="0.25">
      <c r="A3275" s="4">
        <v>11</v>
      </c>
      <c r="B3275" s="4" t="s">
        <v>11</v>
      </c>
      <c r="C3275" s="7">
        <v>25.96</v>
      </c>
      <c r="D3275" s="4" t="s">
        <v>18</v>
      </c>
      <c r="E3275" s="4" t="s">
        <v>13</v>
      </c>
      <c r="F3275" s="4" t="s">
        <v>27</v>
      </c>
      <c r="G3275" s="4" t="s">
        <v>15</v>
      </c>
      <c r="H3275" s="4">
        <v>2</v>
      </c>
      <c r="I3275" s="4">
        <v>3</v>
      </c>
      <c r="J3275" s="5">
        <v>45720</v>
      </c>
      <c r="K3275" s="6">
        <v>0.49125000000000002</v>
      </c>
    </row>
    <row r="3276" spans="1:11" x14ac:dyDescent="0.25">
      <c r="A3276" s="4">
        <v>11</v>
      </c>
      <c r="B3276" s="4" t="s">
        <v>11</v>
      </c>
      <c r="C3276" s="7">
        <v>25.96</v>
      </c>
      <c r="D3276" s="4" t="s">
        <v>18</v>
      </c>
      <c r="E3276" s="4" t="s">
        <v>13</v>
      </c>
      <c r="F3276" s="4" t="s">
        <v>27</v>
      </c>
      <c r="G3276" s="4" t="s">
        <v>15</v>
      </c>
      <c r="H3276" s="4">
        <v>2</v>
      </c>
      <c r="I3276" s="4">
        <v>3</v>
      </c>
      <c r="J3276" s="5">
        <v>45720</v>
      </c>
      <c r="K3276" s="6">
        <v>0.49414351851851851</v>
      </c>
    </row>
    <row r="3277" spans="1:11" x14ac:dyDescent="0.25">
      <c r="A3277" s="4">
        <v>12</v>
      </c>
      <c r="B3277" s="4" t="s">
        <v>11</v>
      </c>
      <c r="C3277" s="7">
        <v>35.76</v>
      </c>
      <c r="D3277" s="4" t="s">
        <v>21</v>
      </c>
      <c r="E3277" s="4" t="s">
        <v>17</v>
      </c>
      <c r="F3277" s="4" t="s">
        <v>27</v>
      </c>
      <c r="G3277" s="4" t="s">
        <v>15</v>
      </c>
      <c r="H3277" s="4">
        <v>2</v>
      </c>
      <c r="I3277" s="4">
        <v>3</v>
      </c>
      <c r="J3277" s="5">
        <v>45720</v>
      </c>
      <c r="K3277" s="6">
        <v>0.51804398148148145</v>
      </c>
    </row>
    <row r="3278" spans="1:11" x14ac:dyDescent="0.25">
      <c r="A3278" s="4">
        <v>16</v>
      </c>
      <c r="B3278" s="4" t="s">
        <v>11</v>
      </c>
      <c r="C3278" s="7">
        <v>25.96</v>
      </c>
      <c r="D3278" s="4" t="s">
        <v>18</v>
      </c>
      <c r="E3278" s="4" t="s">
        <v>17</v>
      </c>
      <c r="F3278" s="4" t="s">
        <v>27</v>
      </c>
      <c r="G3278" s="4" t="s">
        <v>15</v>
      </c>
      <c r="H3278" s="4">
        <v>2</v>
      </c>
      <c r="I3278" s="4">
        <v>3</v>
      </c>
      <c r="J3278" s="5">
        <v>45720</v>
      </c>
      <c r="K3278" s="6">
        <v>0.70067129629629632</v>
      </c>
    </row>
    <row r="3279" spans="1:11" x14ac:dyDescent="0.25">
      <c r="A3279" s="4">
        <v>18</v>
      </c>
      <c r="B3279" s="4" t="s">
        <v>11</v>
      </c>
      <c r="C3279" s="7">
        <v>35.76</v>
      </c>
      <c r="D3279" s="4" t="s">
        <v>21</v>
      </c>
      <c r="E3279" s="4" t="s">
        <v>20</v>
      </c>
      <c r="F3279" s="4" t="s">
        <v>27</v>
      </c>
      <c r="G3279" s="4" t="s">
        <v>15</v>
      </c>
      <c r="H3279" s="4">
        <v>2</v>
      </c>
      <c r="I3279" s="4">
        <v>3</v>
      </c>
      <c r="J3279" s="5">
        <v>45720</v>
      </c>
      <c r="K3279" s="6">
        <v>0.78010416666666671</v>
      </c>
    </row>
    <row r="3280" spans="1:11" x14ac:dyDescent="0.25">
      <c r="A3280" s="4">
        <v>19</v>
      </c>
      <c r="B3280" s="4" t="s">
        <v>11</v>
      </c>
      <c r="C3280" s="7">
        <v>35.76</v>
      </c>
      <c r="D3280" s="4" t="s">
        <v>12</v>
      </c>
      <c r="E3280" s="4" t="s">
        <v>20</v>
      </c>
      <c r="F3280" s="4" t="s">
        <v>27</v>
      </c>
      <c r="G3280" s="4" t="s">
        <v>15</v>
      </c>
      <c r="H3280" s="4">
        <v>2</v>
      </c>
      <c r="I3280" s="4">
        <v>3</v>
      </c>
      <c r="J3280" s="5">
        <v>45720</v>
      </c>
      <c r="K3280" s="6">
        <v>0.79871527777777773</v>
      </c>
    </row>
    <row r="3281" spans="1:11" x14ac:dyDescent="0.25">
      <c r="A3281" s="4">
        <v>20</v>
      </c>
      <c r="B3281" s="4" t="s">
        <v>11</v>
      </c>
      <c r="C3281" s="7">
        <v>35.76</v>
      </c>
      <c r="D3281" s="4" t="s">
        <v>12</v>
      </c>
      <c r="E3281" s="4" t="s">
        <v>20</v>
      </c>
      <c r="F3281" s="4" t="s">
        <v>27</v>
      </c>
      <c r="G3281" s="4" t="s">
        <v>15</v>
      </c>
      <c r="H3281" s="4">
        <v>2</v>
      </c>
      <c r="I3281" s="4">
        <v>3</v>
      </c>
      <c r="J3281" s="5">
        <v>45720</v>
      </c>
      <c r="K3281" s="6">
        <v>0.83958333333333335</v>
      </c>
    </row>
    <row r="3282" spans="1:11" x14ac:dyDescent="0.25">
      <c r="A3282" s="4">
        <v>8</v>
      </c>
      <c r="B3282" s="4" t="s">
        <v>11</v>
      </c>
      <c r="C3282" s="7">
        <v>30.86</v>
      </c>
      <c r="D3282" s="4" t="s">
        <v>19</v>
      </c>
      <c r="E3282" s="4" t="s">
        <v>13</v>
      </c>
      <c r="F3282" s="4" t="s">
        <v>28</v>
      </c>
      <c r="G3282" s="4" t="s">
        <v>15</v>
      </c>
      <c r="H3282" s="4">
        <v>3</v>
      </c>
      <c r="I3282" s="4">
        <v>3</v>
      </c>
      <c r="J3282" s="5">
        <v>45721</v>
      </c>
      <c r="K3282" s="6">
        <v>0.36100694444444442</v>
      </c>
    </row>
    <row r="3283" spans="1:11" x14ac:dyDescent="0.25">
      <c r="A3283" s="4">
        <v>9</v>
      </c>
      <c r="B3283" s="4" t="s">
        <v>11</v>
      </c>
      <c r="C3283" s="7">
        <v>25.96</v>
      </c>
      <c r="D3283" s="4" t="s">
        <v>18</v>
      </c>
      <c r="E3283" s="4" t="s">
        <v>13</v>
      </c>
      <c r="F3283" s="4" t="s">
        <v>28</v>
      </c>
      <c r="G3283" s="4" t="s">
        <v>15</v>
      </c>
      <c r="H3283" s="4">
        <v>3</v>
      </c>
      <c r="I3283" s="4">
        <v>3</v>
      </c>
      <c r="J3283" s="5">
        <v>45721</v>
      </c>
      <c r="K3283" s="6">
        <v>0.40166666666666667</v>
      </c>
    </row>
    <row r="3284" spans="1:11" x14ac:dyDescent="0.25">
      <c r="A3284" s="4">
        <v>10</v>
      </c>
      <c r="B3284" s="4" t="s">
        <v>11</v>
      </c>
      <c r="C3284" s="7">
        <v>25.96</v>
      </c>
      <c r="D3284" s="4" t="s">
        <v>18</v>
      </c>
      <c r="E3284" s="4" t="s">
        <v>13</v>
      </c>
      <c r="F3284" s="4" t="s">
        <v>28</v>
      </c>
      <c r="G3284" s="4" t="s">
        <v>15</v>
      </c>
      <c r="H3284" s="4">
        <v>3</v>
      </c>
      <c r="I3284" s="4">
        <v>3</v>
      </c>
      <c r="J3284" s="5">
        <v>45721</v>
      </c>
      <c r="K3284" s="6">
        <v>0.41752314814814817</v>
      </c>
    </row>
    <row r="3285" spans="1:11" x14ac:dyDescent="0.25">
      <c r="A3285" s="4">
        <v>10</v>
      </c>
      <c r="B3285" s="4" t="s">
        <v>11</v>
      </c>
      <c r="C3285" s="7">
        <v>25.96</v>
      </c>
      <c r="D3285" s="4" t="s">
        <v>18</v>
      </c>
      <c r="E3285" s="4" t="s">
        <v>13</v>
      </c>
      <c r="F3285" s="4" t="s">
        <v>28</v>
      </c>
      <c r="G3285" s="4" t="s">
        <v>15</v>
      </c>
      <c r="H3285" s="4">
        <v>3</v>
      </c>
      <c r="I3285" s="4">
        <v>3</v>
      </c>
      <c r="J3285" s="5">
        <v>45721</v>
      </c>
      <c r="K3285" s="6">
        <v>0.41810185185185184</v>
      </c>
    </row>
    <row r="3286" spans="1:11" x14ac:dyDescent="0.25">
      <c r="A3286" s="4">
        <v>10</v>
      </c>
      <c r="B3286" s="4" t="s">
        <v>11</v>
      </c>
      <c r="C3286" s="7">
        <v>35.76</v>
      </c>
      <c r="D3286" s="4" t="s">
        <v>29</v>
      </c>
      <c r="E3286" s="4" t="s">
        <v>13</v>
      </c>
      <c r="F3286" s="4" t="s">
        <v>28</v>
      </c>
      <c r="G3286" s="4" t="s">
        <v>15</v>
      </c>
      <c r="H3286" s="4">
        <v>3</v>
      </c>
      <c r="I3286" s="4">
        <v>3</v>
      </c>
      <c r="J3286" s="5">
        <v>45721</v>
      </c>
      <c r="K3286" s="6">
        <v>0.42418981481481483</v>
      </c>
    </row>
    <row r="3287" spans="1:11" x14ac:dyDescent="0.25">
      <c r="A3287" s="4">
        <v>10</v>
      </c>
      <c r="B3287" s="4" t="s">
        <v>11</v>
      </c>
      <c r="C3287" s="7">
        <v>30.86</v>
      </c>
      <c r="D3287" s="4" t="s">
        <v>19</v>
      </c>
      <c r="E3287" s="4" t="s">
        <v>13</v>
      </c>
      <c r="F3287" s="4" t="s">
        <v>28</v>
      </c>
      <c r="G3287" s="4" t="s">
        <v>15</v>
      </c>
      <c r="H3287" s="4">
        <v>3</v>
      </c>
      <c r="I3287" s="4">
        <v>3</v>
      </c>
      <c r="J3287" s="5">
        <v>45721</v>
      </c>
      <c r="K3287" s="6">
        <v>0.44483796296296296</v>
      </c>
    </row>
    <row r="3288" spans="1:11" x14ac:dyDescent="0.25">
      <c r="A3288" s="4">
        <v>11</v>
      </c>
      <c r="B3288" s="4" t="s">
        <v>11</v>
      </c>
      <c r="C3288" s="7">
        <v>35.76</v>
      </c>
      <c r="D3288" s="4" t="s">
        <v>29</v>
      </c>
      <c r="E3288" s="4" t="s">
        <v>13</v>
      </c>
      <c r="F3288" s="4" t="s">
        <v>28</v>
      </c>
      <c r="G3288" s="4" t="s">
        <v>15</v>
      </c>
      <c r="H3288" s="4">
        <v>3</v>
      </c>
      <c r="I3288" s="4">
        <v>3</v>
      </c>
      <c r="J3288" s="5">
        <v>45721</v>
      </c>
      <c r="K3288" s="6">
        <v>0.46424768518518517</v>
      </c>
    </row>
    <row r="3289" spans="1:11" x14ac:dyDescent="0.25">
      <c r="A3289" s="4">
        <v>11</v>
      </c>
      <c r="B3289" s="4" t="s">
        <v>11</v>
      </c>
      <c r="C3289" s="7">
        <v>35.76</v>
      </c>
      <c r="D3289" s="4" t="s">
        <v>21</v>
      </c>
      <c r="E3289" s="4" t="s">
        <v>13</v>
      </c>
      <c r="F3289" s="4" t="s">
        <v>28</v>
      </c>
      <c r="G3289" s="4" t="s">
        <v>15</v>
      </c>
      <c r="H3289" s="4">
        <v>3</v>
      </c>
      <c r="I3289" s="4">
        <v>3</v>
      </c>
      <c r="J3289" s="5">
        <v>45721</v>
      </c>
      <c r="K3289" s="6">
        <v>0.46590277777777778</v>
      </c>
    </row>
    <row r="3290" spans="1:11" x14ac:dyDescent="0.25">
      <c r="A3290" s="4">
        <v>11</v>
      </c>
      <c r="B3290" s="4" t="s">
        <v>11</v>
      </c>
      <c r="C3290" s="7">
        <v>25.96</v>
      </c>
      <c r="D3290" s="4" t="s">
        <v>18</v>
      </c>
      <c r="E3290" s="4" t="s">
        <v>13</v>
      </c>
      <c r="F3290" s="4" t="s">
        <v>28</v>
      </c>
      <c r="G3290" s="4" t="s">
        <v>15</v>
      </c>
      <c r="H3290" s="4">
        <v>3</v>
      </c>
      <c r="I3290" s="4">
        <v>3</v>
      </c>
      <c r="J3290" s="5">
        <v>45721</v>
      </c>
      <c r="K3290" s="6">
        <v>0.48531249999999998</v>
      </c>
    </row>
    <row r="3291" spans="1:11" x14ac:dyDescent="0.25">
      <c r="A3291" s="4">
        <v>11</v>
      </c>
      <c r="B3291" s="4" t="s">
        <v>11</v>
      </c>
      <c r="C3291" s="7">
        <v>25.96</v>
      </c>
      <c r="D3291" s="4" t="s">
        <v>18</v>
      </c>
      <c r="E3291" s="4" t="s">
        <v>13</v>
      </c>
      <c r="F3291" s="4" t="s">
        <v>28</v>
      </c>
      <c r="G3291" s="4" t="s">
        <v>15</v>
      </c>
      <c r="H3291" s="4">
        <v>3</v>
      </c>
      <c r="I3291" s="4">
        <v>3</v>
      </c>
      <c r="J3291" s="5">
        <v>45721</v>
      </c>
      <c r="K3291" s="6">
        <v>0.48706018518518518</v>
      </c>
    </row>
    <row r="3292" spans="1:11" x14ac:dyDescent="0.25">
      <c r="A3292" s="4">
        <v>12</v>
      </c>
      <c r="B3292" s="4" t="s">
        <v>11</v>
      </c>
      <c r="C3292" s="7">
        <v>25.96</v>
      </c>
      <c r="D3292" s="4" t="s">
        <v>18</v>
      </c>
      <c r="E3292" s="4" t="s">
        <v>17</v>
      </c>
      <c r="F3292" s="4" t="s">
        <v>28</v>
      </c>
      <c r="G3292" s="4" t="s">
        <v>15</v>
      </c>
      <c r="H3292" s="4">
        <v>3</v>
      </c>
      <c r="I3292" s="4">
        <v>3</v>
      </c>
      <c r="J3292" s="5">
        <v>45721</v>
      </c>
      <c r="K3292" s="6">
        <v>0.50898148148148148</v>
      </c>
    </row>
    <row r="3293" spans="1:11" x14ac:dyDescent="0.25">
      <c r="A3293" s="4">
        <v>15</v>
      </c>
      <c r="B3293" s="4" t="s">
        <v>11</v>
      </c>
      <c r="C3293" s="7">
        <v>35.76</v>
      </c>
      <c r="D3293" s="4" t="s">
        <v>12</v>
      </c>
      <c r="E3293" s="4" t="s">
        <v>17</v>
      </c>
      <c r="F3293" s="4" t="s">
        <v>28</v>
      </c>
      <c r="G3293" s="4" t="s">
        <v>15</v>
      </c>
      <c r="H3293" s="4">
        <v>3</v>
      </c>
      <c r="I3293" s="4">
        <v>3</v>
      </c>
      <c r="J3293" s="5">
        <v>45721</v>
      </c>
      <c r="K3293" s="6">
        <v>0.63043981481481481</v>
      </c>
    </row>
    <row r="3294" spans="1:11" x14ac:dyDescent="0.25">
      <c r="A3294" s="4">
        <v>15</v>
      </c>
      <c r="B3294" s="4" t="s">
        <v>11</v>
      </c>
      <c r="C3294" s="7">
        <v>35.76</v>
      </c>
      <c r="D3294" s="4" t="s">
        <v>12</v>
      </c>
      <c r="E3294" s="4" t="s">
        <v>17</v>
      </c>
      <c r="F3294" s="4" t="s">
        <v>28</v>
      </c>
      <c r="G3294" s="4" t="s">
        <v>15</v>
      </c>
      <c r="H3294" s="4">
        <v>3</v>
      </c>
      <c r="I3294" s="4">
        <v>3</v>
      </c>
      <c r="J3294" s="5">
        <v>45721</v>
      </c>
      <c r="K3294" s="6">
        <v>0.63998842592592597</v>
      </c>
    </row>
    <row r="3295" spans="1:11" x14ac:dyDescent="0.25">
      <c r="A3295" s="4">
        <v>15</v>
      </c>
      <c r="B3295" s="4" t="s">
        <v>11</v>
      </c>
      <c r="C3295" s="7">
        <v>35.76</v>
      </c>
      <c r="D3295" s="4" t="s">
        <v>16</v>
      </c>
      <c r="E3295" s="4" t="s">
        <v>17</v>
      </c>
      <c r="F3295" s="4" t="s">
        <v>28</v>
      </c>
      <c r="G3295" s="4" t="s">
        <v>15</v>
      </c>
      <c r="H3295" s="4">
        <v>3</v>
      </c>
      <c r="I3295" s="4">
        <v>3</v>
      </c>
      <c r="J3295" s="5">
        <v>45721</v>
      </c>
      <c r="K3295" s="6">
        <v>0.64248842592592592</v>
      </c>
    </row>
    <row r="3296" spans="1:11" x14ac:dyDescent="0.25">
      <c r="A3296" s="4">
        <v>17</v>
      </c>
      <c r="B3296" s="4" t="s">
        <v>11</v>
      </c>
      <c r="C3296" s="7">
        <v>30.86</v>
      </c>
      <c r="D3296" s="4" t="s">
        <v>19</v>
      </c>
      <c r="E3296" s="4" t="s">
        <v>20</v>
      </c>
      <c r="F3296" s="4" t="s">
        <v>28</v>
      </c>
      <c r="G3296" s="4" t="s">
        <v>15</v>
      </c>
      <c r="H3296" s="4">
        <v>3</v>
      </c>
      <c r="I3296" s="4">
        <v>3</v>
      </c>
      <c r="J3296" s="5">
        <v>45721</v>
      </c>
      <c r="K3296" s="6">
        <v>0.71523148148148152</v>
      </c>
    </row>
    <row r="3297" spans="1:11" x14ac:dyDescent="0.25">
      <c r="A3297" s="4">
        <v>17</v>
      </c>
      <c r="B3297" s="4" t="s">
        <v>11</v>
      </c>
      <c r="C3297" s="7">
        <v>21.06</v>
      </c>
      <c r="D3297" s="4" t="s">
        <v>26</v>
      </c>
      <c r="E3297" s="4" t="s">
        <v>20</v>
      </c>
      <c r="F3297" s="4" t="s">
        <v>28</v>
      </c>
      <c r="G3297" s="4" t="s">
        <v>15</v>
      </c>
      <c r="H3297" s="4">
        <v>3</v>
      </c>
      <c r="I3297" s="4">
        <v>3</v>
      </c>
      <c r="J3297" s="5">
        <v>45721</v>
      </c>
      <c r="K3297" s="6">
        <v>0.71971064814814811</v>
      </c>
    </row>
    <row r="3298" spans="1:11" x14ac:dyDescent="0.25">
      <c r="A3298" s="4">
        <v>17</v>
      </c>
      <c r="B3298" s="4" t="s">
        <v>11</v>
      </c>
      <c r="C3298" s="7">
        <v>35.76</v>
      </c>
      <c r="D3298" s="4" t="s">
        <v>12</v>
      </c>
      <c r="E3298" s="4" t="s">
        <v>20</v>
      </c>
      <c r="F3298" s="4" t="s">
        <v>28</v>
      </c>
      <c r="G3298" s="4" t="s">
        <v>15</v>
      </c>
      <c r="H3298" s="4">
        <v>3</v>
      </c>
      <c r="I3298" s="4">
        <v>3</v>
      </c>
      <c r="J3298" s="5">
        <v>45721</v>
      </c>
      <c r="K3298" s="6">
        <v>0.73032407407407407</v>
      </c>
    </row>
    <row r="3299" spans="1:11" x14ac:dyDescent="0.25">
      <c r="A3299" s="4">
        <v>18</v>
      </c>
      <c r="B3299" s="4" t="s">
        <v>11</v>
      </c>
      <c r="C3299" s="7">
        <v>35.76</v>
      </c>
      <c r="D3299" s="4" t="s">
        <v>29</v>
      </c>
      <c r="E3299" s="4" t="s">
        <v>20</v>
      </c>
      <c r="F3299" s="4" t="s">
        <v>28</v>
      </c>
      <c r="G3299" s="4" t="s">
        <v>15</v>
      </c>
      <c r="H3299" s="4">
        <v>3</v>
      </c>
      <c r="I3299" s="4">
        <v>3</v>
      </c>
      <c r="J3299" s="5">
        <v>45721</v>
      </c>
      <c r="K3299" s="6">
        <v>0.75932870370370376</v>
      </c>
    </row>
    <row r="3300" spans="1:11" x14ac:dyDescent="0.25">
      <c r="A3300" s="4">
        <v>19</v>
      </c>
      <c r="B3300" s="4" t="s">
        <v>11</v>
      </c>
      <c r="C3300" s="7">
        <v>35.76</v>
      </c>
      <c r="D3300" s="4" t="s">
        <v>21</v>
      </c>
      <c r="E3300" s="4" t="s">
        <v>20</v>
      </c>
      <c r="F3300" s="4" t="s">
        <v>28</v>
      </c>
      <c r="G3300" s="4" t="s">
        <v>15</v>
      </c>
      <c r="H3300" s="4">
        <v>3</v>
      </c>
      <c r="I3300" s="4">
        <v>3</v>
      </c>
      <c r="J3300" s="5">
        <v>45721</v>
      </c>
      <c r="K3300" s="6">
        <v>0.79370370370370369</v>
      </c>
    </row>
    <row r="3301" spans="1:11" x14ac:dyDescent="0.25">
      <c r="A3301" s="4">
        <v>9</v>
      </c>
      <c r="B3301" s="4" t="s">
        <v>11</v>
      </c>
      <c r="C3301" s="7">
        <v>35.76</v>
      </c>
      <c r="D3301" s="4" t="s">
        <v>16</v>
      </c>
      <c r="E3301" s="4" t="s">
        <v>13</v>
      </c>
      <c r="F3301" s="4" t="s">
        <v>30</v>
      </c>
      <c r="G3301" s="4" t="s">
        <v>15</v>
      </c>
      <c r="H3301" s="4">
        <v>4</v>
      </c>
      <c r="I3301" s="4">
        <v>3</v>
      </c>
      <c r="J3301" s="5">
        <v>45722</v>
      </c>
      <c r="K3301" s="6">
        <v>0.39836805555555554</v>
      </c>
    </row>
    <row r="3302" spans="1:11" x14ac:dyDescent="0.25">
      <c r="A3302" s="4">
        <v>9</v>
      </c>
      <c r="B3302" s="4" t="s">
        <v>11</v>
      </c>
      <c r="C3302" s="7">
        <v>21.06</v>
      </c>
      <c r="D3302" s="4" t="s">
        <v>26</v>
      </c>
      <c r="E3302" s="4" t="s">
        <v>13</v>
      </c>
      <c r="F3302" s="4" t="s">
        <v>30</v>
      </c>
      <c r="G3302" s="4" t="s">
        <v>15</v>
      </c>
      <c r="H3302" s="4">
        <v>4</v>
      </c>
      <c r="I3302" s="4">
        <v>3</v>
      </c>
      <c r="J3302" s="5">
        <v>45722</v>
      </c>
      <c r="K3302" s="6">
        <v>0.39990740740740743</v>
      </c>
    </row>
    <row r="3303" spans="1:11" x14ac:dyDescent="0.25">
      <c r="A3303" s="4">
        <v>10</v>
      </c>
      <c r="B3303" s="4" t="s">
        <v>11</v>
      </c>
      <c r="C3303" s="7">
        <v>30.86</v>
      </c>
      <c r="D3303" s="4" t="s">
        <v>19</v>
      </c>
      <c r="E3303" s="4" t="s">
        <v>13</v>
      </c>
      <c r="F3303" s="4" t="s">
        <v>30</v>
      </c>
      <c r="G3303" s="4" t="s">
        <v>15</v>
      </c>
      <c r="H3303" s="4">
        <v>4</v>
      </c>
      <c r="I3303" s="4">
        <v>3</v>
      </c>
      <c r="J3303" s="5">
        <v>45722</v>
      </c>
      <c r="K3303" s="6">
        <v>0.45004629629629628</v>
      </c>
    </row>
    <row r="3304" spans="1:11" x14ac:dyDescent="0.25">
      <c r="A3304" s="4">
        <v>10</v>
      </c>
      <c r="B3304" s="4" t="s">
        <v>11</v>
      </c>
      <c r="C3304" s="7">
        <v>25.96</v>
      </c>
      <c r="D3304" s="4" t="s">
        <v>18</v>
      </c>
      <c r="E3304" s="4" t="s">
        <v>13</v>
      </c>
      <c r="F3304" s="4" t="s">
        <v>30</v>
      </c>
      <c r="G3304" s="4" t="s">
        <v>15</v>
      </c>
      <c r="H3304" s="4">
        <v>4</v>
      </c>
      <c r="I3304" s="4">
        <v>3</v>
      </c>
      <c r="J3304" s="5">
        <v>45722</v>
      </c>
      <c r="K3304" s="6">
        <v>0.45609953703703704</v>
      </c>
    </row>
    <row r="3305" spans="1:11" x14ac:dyDescent="0.25">
      <c r="A3305" s="4">
        <v>10</v>
      </c>
      <c r="B3305" s="4" t="s">
        <v>11</v>
      </c>
      <c r="C3305" s="7">
        <v>25.96</v>
      </c>
      <c r="D3305" s="4" t="s">
        <v>18</v>
      </c>
      <c r="E3305" s="4" t="s">
        <v>13</v>
      </c>
      <c r="F3305" s="4" t="s">
        <v>30</v>
      </c>
      <c r="G3305" s="4" t="s">
        <v>15</v>
      </c>
      <c r="H3305" s="4">
        <v>4</v>
      </c>
      <c r="I3305" s="4">
        <v>3</v>
      </c>
      <c r="J3305" s="5">
        <v>45722</v>
      </c>
      <c r="K3305" s="6">
        <v>0.45665509259259257</v>
      </c>
    </row>
    <row r="3306" spans="1:11" x14ac:dyDescent="0.25">
      <c r="A3306" s="4">
        <v>11</v>
      </c>
      <c r="B3306" s="4" t="s">
        <v>11</v>
      </c>
      <c r="C3306" s="7">
        <v>25.96</v>
      </c>
      <c r="D3306" s="4" t="s">
        <v>18</v>
      </c>
      <c r="E3306" s="4" t="s">
        <v>13</v>
      </c>
      <c r="F3306" s="4" t="s">
        <v>30</v>
      </c>
      <c r="G3306" s="4" t="s">
        <v>15</v>
      </c>
      <c r="H3306" s="4">
        <v>4</v>
      </c>
      <c r="I3306" s="4">
        <v>3</v>
      </c>
      <c r="J3306" s="5">
        <v>45722</v>
      </c>
      <c r="K3306" s="6">
        <v>0.46230324074074075</v>
      </c>
    </row>
    <row r="3307" spans="1:11" x14ac:dyDescent="0.25">
      <c r="A3307" s="4">
        <v>11</v>
      </c>
      <c r="B3307" s="4" t="s">
        <v>11</v>
      </c>
      <c r="C3307" s="7">
        <v>35.76</v>
      </c>
      <c r="D3307" s="4" t="s">
        <v>29</v>
      </c>
      <c r="E3307" s="4" t="s">
        <v>13</v>
      </c>
      <c r="F3307" s="4" t="s">
        <v>30</v>
      </c>
      <c r="G3307" s="4" t="s">
        <v>15</v>
      </c>
      <c r="H3307" s="4">
        <v>4</v>
      </c>
      <c r="I3307" s="4">
        <v>3</v>
      </c>
      <c r="J3307" s="5">
        <v>45722</v>
      </c>
      <c r="K3307" s="6">
        <v>0.47057870370370369</v>
      </c>
    </row>
    <row r="3308" spans="1:11" x14ac:dyDescent="0.25">
      <c r="A3308" s="4">
        <v>13</v>
      </c>
      <c r="B3308" s="4" t="s">
        <v>11</v>
      </c>
      <c r="C3308" s="7">
        <v>35.76</v>
      </c>
      <c r="D3308" s="4" t="s">
        <v>12</v>
      </c>
      <c r="E3308" s="4" t="s">
        <v>17</v>
      </c>
      <c r="F3308" s="4" t="s">
        <v>30</v>
      </c>
      <c r="G3308" s="4" t="s">
        <v>15</v>
      </c>
      <c r="H3308" s="4">
        <v>4</v>
      </c>
      <c r="I3308" s="4">
        <v>3</v>
      </c>
      <c r="J3308" s="5">
        <v>45722</v>
      </c>
      <c r="K3308" s="6">
        <v>0.57746527777777779</v>
      </c>
    </row>
    <row r="3309" spans="1:11" x14ac:dyDescent="0.25">
      <c r="A3309" s="4">
        <v>16</v>
      </c>
      <c r="B3309" s="4" t="s">
        <v>11</v>
      </c>
      <c r="C3309" s="7">
        <v>30.86</v>
      </c>
      <c r="D3309" s="4" t="s">
        <v>19</v>
      </c>
      <c r="E3309" s="4" t="s">
        <v>17</v>
      </c>
      <c r="F3309" s="4" t="s">
        <v>30</v>
      </c>
      <c r="G3309" s="4" t="s">
        <v>15</v>
      </c>
      <c r="H3309" s="4">
        <v>4</v>
      </c>
      <c r="I3309" s="4">
        <v>3</v>
      </c>
      <c r="J3309" s="5">
        <v>45722</v>
      </c>
      <c r="K3309" s="6">
        <v>0.67137731481481477</v>
      </c>
    </row>
    <row r="3310" spans="1:11" x14ac:dyDescent="0.25">
      <c r="A3310" s="4">
        <v>17</v>
      </c>
      <c r="B3310" s="4" t="s">
        <v>11</v>
      </c>
      <c r="C3310" s="7">
        <v>35.76</v>
      </c>
      <c r="D3310" s="4" t="s">
        <v>21</v>
      </c>
      <c r="E3310" s="4" t="s">
        <v>20</v>
      </c>
      <c r="F3310" s="4" t="s">
        <v>30</v>
      </c>
      <c r="G3310" s="4" t="s">
        <v>15</v>
      </c>
      <c r="H3310" s="4">
        <v>4</v>
      </c>
      <c r="I3310" s="4">
        <v>3</v>
      </c>
      <c r="J3310" s="5">
        <v>45722</v>
      </c>
      <c r="K3310" s="6">
        <v>0.7424884259259259</v>
      </c>
    </row>
    <row r="3311" spans="1:11" x14ac:dyDescent="0.25">
      <c r="A3311" s="4">
        <v>18</v>
      </c>
      <c r="B3311" s="4" t="s">
        <v>11</v>
      </c>
      <c r="C3311" s="7">
        <v>35.76</v>
      </c>
      <c r="D3311" s="4" t="s">
        <v>29</v>
      </c>
      <c r="E3311" s="4" t="s">
        <v>20</v>
      </c>
      <c r="F3311" s="4" t="s">
        <v>30</v>
      </c>
      <c r="G3311" s="4" t="s">
        <v>15</v>
      </c>
      <c r="H3311" s="4">
        <v>4</v>
      </c>
      <c r="I3311" s="4">
        <v>3</v>
      </c>
      <c r="J3311" s="5">
        <v>45722</v>
      </c>
      <c r="K3311" s="6">
        <v>0.76887731481481481</v>
      </c>
    </row>
    <row r="3312" spans="1:11" x14ac:dyDescent="0.25">
      <c r="A3312" s="4">
        <v>19</v>
      </c>
      <c r="B3312" s="4" t="s">
        <v>11</v>
      </c>
      <c r="C3312" s="7">
        <v>30.86</v>
      </c>
      <c r="D3312" s="4" t="s">
        <v>19</v>
      </c>
      <c r="E3312" s="4" t="s">
        <v>20</v>
      </c>
      <c r="F3312" s="4" t="s">
        <v>30</v>
      </c>
      <c r="G3312" s="4" t="s">
        <v>15</v>
      </c>
      <c r="H3312" s="4">
        <v>4</v>
      </c>
      <c r="I3312" s="4">
        <v>3</v>
      </c>
      <c r="J3312" s="5">
        <v>45722</v>
      </c>
      <c r="K3312" s="6">
        <v>0.80706018518518519</v>
      </c>
    </row>
    <row r="3313" spans="1:11" x14ac:dyDescent="0.25">
      <c r="A3313" s="4">
        <v>7</v>
      </c>
      <c r="B3313" s="4" t="s">
        <v>11</v>
      </c>
      <c r="C3313" s="7">
        <v>35.76</v>
      </c>
      <c r="D3313" s="4" t="s">
        <v>29</v>
      </c>
      <c r="E3313" s="4" t="s">
        <v>13</v>
      </c>
      <c r="F3313" s="4" t="s">
        <v>14</v>
      </c>
      <c r="G3313" s="4" t="s">
        <v>15</v>
      </c>
      <c r="H3313" s="4">
        <v>5</v>
      </c>
      <c r="I3313" s="4">
        <v>3</v>
      </c>
      <c r="J3313" s="5">
        <v>45723</v>
      </c>
      <c r="K3313" s="6">
        <v>0.29562500000000003</v>
      </c>
    </row>
    <row r="3314" spans="1:11" x14ac:dyDescent="0.25">
      <c r="A3314" s="4">
        <v>8</v>
      </c>
      <c r="B3314" s="4" t="s">
        <v>11</v>
      </c>
      <c r="C3314" s="7">
        <v>25.96</v>
      </c>
      <c r="D3314" s="4" t="s">
        <v>18</v>
      </c>
      <c r="E3314" s="4" t="s">
        <v>13</v>
      </c>
      <c r="F3314" s="4" t="s">
        <v>14</v>
      </c>
      <c r="G3314" s="4" t="s">
        <v>15</v>
      </c>
      <c r="H3314" s="4">
        <v>5</v>
      </c>
      <c r="I3314" s="4">
        <v>3</v>
      </c>
      <c r="J3314" s="5">
        <v>45723</v>
      </c>
      <c r="K3314" s="6">
        <v>0.36469907407407409</v>
      </c>
    </row>
    <row r="3315" spans="1:11" x14ac:dyDescent="0.25">
      <c r="A3315" s="4">
        <v>8</v>
      </c>
      <c r="B3315" s="4" t="s">
        <v>11</v>
      </c>
      <c r="C3315" s="7">
        <v>25.96</v>
      </c>
      <c r="D3315" s="4" t="s">
        <v>18</v>
      </c>
      <c r="E3315" s="4" t="s">
        <v>13</v>
      </c>
      <c r="F3315" s="4" t="s">
        <v>14</v>
      </c>
      <c r="G3315" s="4" t="s">
        <v>15</v>
      </c>
      <c r="H3315" s="4">
        <v>5</v>
      </c>
      <c r="I3315" s="4">
        <v>3</v>
      </c>
      <c r="J3315" s="5">
        <v>45723</v>
      </c>
      <c r="K3315" s="6">
        <v>0.36531249999999998</v>
      </c>
    </row>
    <row r="3316" spans="1:11" x14ac:dyDescent="0.25">
      <c r="A3316" s="4">
        <v>9</v>
      </c>
      <c r="B3316" s="4" t="s">
        <v>11</v>
      </c>
      <c r="C3316" s="7">
        <v>25.96</v>
      </c>
      <c r="D3316" s="4" t="s">
        <v>18</v>
      </c>
      <c r="E3316" s="4" t="s">
        <v>13</v>
      </c>
      <c r="F3316" s="4" t="s">
        <v>14</v>
      </c>
      <c r="G3316" s="4" t="s">
        <v>15</v>
      </c>
      <c r="H3316" s="4">
        <v>5</v>
      </c>
      <c r="I3316" s="4">
        <v>3</v>
      </c>
      <c r="J3316" s="5">
        <v>45723</v>
      </c>
      <c r="K3316" s="6">
        <v>0.37685185185185183</v>
      </c>
    </row>
    <row r="3317" spans="1:11" x14ac:dyDescent="0.25">
      <c r="A3317" s="4">
        <v>10</v>
      </c>
      <c r="B3317" s="4" t="s">
        <v>11</v>
      </c>
      <c r="C3317" s="7">
        <v>35.76</v>
      </c>
      <c r="D3317" s="4" t="s">
        <v>16</v>
      </c>
      <c r="E3317" s="4" t="s">
        <v>13</v>
      </c>
      <c r="F3317" s="4" t="s">
        <v>14</v>
      </c>
      <c r="G3317" s="4" t="s">
        <v>15</v>
      </c>
      <c r="H3317" s="4">
        <v>5</v>
      </c>
      <c r="I3317" s="4">
        <v>3</v>
      </c>
      <c r="J3317" s="5">
        <v>45723</v>
      </c>
      <c r="K3317" s="6">
        <v>0.42357638888888888</v>
      </c>
    </row>
    <row r="3318" spans="1:11" x14ac:dyDescent="0.25">
      <c r="A3318" s="4">
        <v>10</v>
      </c>
      <c r="B3318" s="4" t="s">
        <v>11</v>
      </c>
      <c r="C3318" s="7">
        <v>30.86</v>
      </c>
      <c r="D3318" s="4" t="s">
        <v>19</v>
      </c>
      <c r="E3318" s="4" t="s">
        <v>13</v>
      </c>
      <c r="F3318" s="4" t="s">
        <v>14</v>
      </c>
      <c r="G3318" s="4" t="s">
        <v>15</v>
      </c>
      <c r="H3318" s="4">
        <v>5</v>
      </c>
      <c r="I3318" s="4">
        <v>3</v>
      </c>
      <c r="J3318" s="5">
        <v>45723</v>
      </c>
      <c r="K3318" s="6">
        <v>0.43511574074074072</v>
      </c>
    </row>
    <row r="3319" spans="1:11" x14ac:dyDescent="0.25">
      <c r="A3319" s="4">
        <v>10</v>
      </c>
      <c r="B3319" s="4" t="s">
        <v>11</v>
      </c>
      <c r="C3319" s="7">
        <v>30.86</v>
      </c>
      <c r="D3319" s="4" t="s">
        <v>19</v>
      </c>
      <c r="E3319" s="4" t="s">
        <v>13</v>
      </c>
      <c r="F3319" s="4" t="s">
        <v>14</v>
      </c>
      <c r="G3319" s="4" t="s">
        <v>15</v>
      </c>
      <c r="H3319" s="4">
        <v>5</v>
      </c>
      <c r="I3319" s="4">
        <v>3</v>
      </c>
      <c r="J3319" s="5">
        <v>45723</v>
      </c>
      <c r="K3319" s="6">
        <v>0.43578703703703703</v>
      </c>
    </row>
    <row r="3320" spans="1:11" x14ac:dyDescent="0.25">
      <c r="A3320" s="4">
        <v>10</v>
      </c>
      <c r="B3320" s="4" t="s">
        <v>11</v>
      </c>
      <c r="C3320" s="7">
        <v>35.76</v>
      </c>
      <c r="D3320" s="4" t="s">
        <v>21</v>
      </c>
      <c r="E3320" s="4" t="s">
        <v>13</v>
      </c>
      <c r="F3320" s="4" t="s">
        <v>14</v>
      </c>
      <c r="G3320" s="4" t="s">
        <v>15</v>
      </c>
      <c r="H3320" s="4">
        <v>5</v>
      </c>
      <c r="I3320" s="4">
        <v>3</v>
      </c>
      <c r="J3320" s="5">
        <v>45723</v>
      </c>
      <c r="K3320" s="6">
        <v>0.44565972222222222</v>
      </c>
    </row>
    <row r="3321" spans="1:11" x14ac:dyDescent="0.25">
      <c r="A3321" s="4">
        <v>11</v>
      </c>
      <c r="B3321" s="4" t="s">
        <v>11</v>
      </c>
      <c r="C3321" s="7">
        <v>35.76</v>
      </c>
      <c r="D3321" s="4" t="s">
        <v>21</v>
      </c>
      <c r="E3321" s="4" t="s">
        <v>13</v>
      </c>
      <c r="F3321" s="4" t="s">
        <v>14</v>
      </c>
      <c r="G3321" s="4" t="s">
        <v>15</v>
      </c>
      <c r="H3321" s="4">
        <v>5</v>
      </c>
      <c r="I3321" s="4">
        <v>3</v>
      </c>
      <c r="J3321" s="5">
        <v>45723</v>
      </c>
      <c r="K3321" s="6">
        <v>0.49373842592592593</v>
      </c>
    </row>
    <row r="3322" spans="1:11" x14ac:dyDescent="0.25">
      <c r="A3322" s="4">
        <v>12</v>
      </c>
      <c r="B3322" s="4" t="s">
        <v>11</v>
      </c>
      <c r="C3322" s="7">
        <v>30.86</v>
      </c>
      <c r="D3322" s="4" t="s">
        <v>19</v>
      </c>
      <c r="E3322" s="4" t="s">
        <v>17</v>
      </c>
      <c r="F3322" s="4" t="s">
        <v>14</v>
      </c>
      <c r="G3322" s="4" t="s">
        <v>15</v>
      </c>
      <c r="H3322" s="4">
        <v>5</v>
      </c>
      <c r="I3322" s="4">
        <v>3</v>
      </c>
      <c r="J3322" s="5">
        <v>45723</v>
      </c>
      <c r="K3322" s="6">
        <v>0.50261574074074078</v>
      </c>
    </row>
    <row r="3323" spans="1:11" x14ac:dyDescent="0.25">
      <c r="A3323" s="4">
        <v>13</v>
      </c>
      <c r="B3323" s="4" t="s">
        <v>11</v>
      </c>
      <c r="C3323" s="7">
        <v>35.76</v>
      </c>
      <c r="D3323" s="4" t="s">
        <v>16</v>
      </c>
      <c r="E3323" s="4" t="s">
        <v>17</v>
      </c>
      <c r="F3323" s="4" t="s">
        <v>14</v>
      </c>
      <c r="G3323" s="4" t="s">
        <v>15</v>
      </c>
      <c r="H3323" s="4">
        <v>5</v>
      </c>
      <c r="I3323" s="4">
        <v>3</v>
      </c>
      <c r="J3323" s="5">
        <v>45723</v>
      </c>
      <c r="K3323" s="6">
        <v>0.57208333333333339</v>
      </c>
    </row>
    <row r="3324" spans="1:11" x14ac:dyDescent="0.25">
      <c r="A3324" s="4">
        <v>13</v>
      </c>
      <c r="B3324" s="4" t="s">
        <v>11</v>
      </c>
      <c r="C3324" s="7">
        <v>25.96</v>
      </c>
      <c r="D3324" s="4" t="s">
        <v>18</v>
      </c>
      <c r="E3324" s="4" t="s">
        <v>17</v>
      </c>
      <c r="F3324" s="4" t="s">
        <v>14</v>
      </c>
      <c r="G3324" s="4" t="s">
        <v>15</v>
      </c>
      <c r="H3324" s="4">
        <v>5</v>
      </c>
      <c r="I3324" s="4">
        <v>3</v>
      </c>
      <c r="J3324" s="5">
        <v>45723</v>
      </c>
      <c r="K3324" s="6">
        <v>0.58021990740740736</v>
      </c>
    </row>
    <row r="3325" spans="1:11" x14ac:dyDescent="0.25">
      <c r="A3325" s="4">
        <v>14</v>
      </c>
      <c r="B3325" s="4" t="s">
        <v>11</v>
      </c>
      <c r="C3325" s="7">
        <v>35.76</v>
      </c>
      <c r="D3325" s="4" t="s">
        <v>29</v>
      </c>
      <c r="E3325" s="4" t="s">
        <v>17</v>
      </c>
      <c r="F3325" s="4" t="s">
        <v>14</v>
      </c>
      <c r="G3325" s="4" t="s">
        <v>15</v>
      </c>
      <c r="H3325" s="4">
        <v>5</v>
      </c>
      <c r="I3325" s="4">
        <v>3</v>
      </c>
      <c r="J3325" s="5">
        <v>45723</v>
      </c>
      <c r="K3325" s="6">
        <v>0.62048611111111107</v>
      </c>
    </row>
    <row r="3326" spans="1:11" x14ac:dyDescent="0.25">
      <c r="A3326" s="4">
        <v>15</v>
      </c>
      <c r="B3326" s="4" t="s">
        <v>11</v>
      </c>
      <c r="C3326" s="7">
        <v>35.76</v>
      </c>
      <c r="D3326" s="4" t="s">
        <v>12</v>
      </c>
      <c r="E3326" s="4" t="s">
        <v>17</v>
      </c>
      <c r="F3326" s="4" t="s">
        <v>14</v>
      </c>
      <c r="G3326" s="4" t="s">
        <v>15</v>
      </c>
      <c r="H3326" s="4">
        <v>5</v>
      </c>
      <c r="I3326" s="4">
        <v>3</v>
      </c>
      <c r="J3326" s="5">
        <v>45723</v>
      </c>
      <c r="K3326" s="6">
        <v>0.63129629629629624</v>
      </c>
    </row>
    <row r="3327" spans="1:11" x14ac:dyDescent="0.25">
      <c r="A3327" s="4">
        <v>15</v>
      </c>
      <c r="B3327" s="4" t="s">
        <v>11</v>
      </c>
      <c r="C3327" s="7">
        <v>35.76</v>
      </c>
      <c r="D3327" s="4" t="s">
        <v>12</v>
      </c>
      <c r="E3327" s="4" t="s">
        <v>17</v>
      </c>
      <c r="F3327" s="4" t="s">
        <v>14</v>
      </c>
      <c r="G3327" s="4" t="s">
        <v>15</v>
      </c>
      <c r="H3327" s="4">
        <v>5</v>
      </c>
      <c r="I3327" s="4">
        <v>3</v>
      </c>
      <c r="J3327" s="5">
        <v>45723</v>
      </c>
      <c r="K3327" s="6">
        <v>0.661712962962963</v>
      </c>
    </row>
    <row r="3328" spans="1:11" x14ac:dyDescent="0.25">
      <c r="A3328" s="4">
        <v>17</v>
      </c>
      <c r="B3328" s="4" t="s">
        <v>11</v>
      </c>
      <c r="C3328" s="7">
        <v>35.76</v>
      </c>
      <c r="D3328" s="4" t="s">
        <v>12</v>
      </c>
      <c r="E3328" s="4" t="s">
        <v>20</v>
      </c>
      <c r="F3328" s="4" t="s">
        <v>14</v>
      </c>
      <c r="G3328" s="4" t="s">
        <v>15</v>
      </c>
      <c r="H3328" s="4">
        <v>5</v>
      </c>
      <c r="I3328" s="4">
        <v>3</v>
      </c>
      <c r="J3328" s="5">
        <v>45723</v>
      </c>
      <c r="K3328" s="6">
        <v>0.71561342592592592</v>
      </c>
    </row>
    <row r="3329" spans="1:11" x14ac:dyDescent="0.25">
      <c r="A3329" s="4">
        <v>17</v>
      </c>
      <c r="B3329" s="4" t="s">
        <v>11</v>
      </c>
      <c r="C3329" s="7">
        <v>35.76</v>
      </c>
      <c r="D3329" s="4" t="s">
        <v>16</v>
      </c>
      <c r="E3329" s="4" t="s">
        <v>20</v>
      </c>
      <c r="F3329" s="4" t="s">
        <v>14</v>
      </c>
      <c r="G3329" s="4" t="s">
        <v>15</v>
      </c>
      <c r="H3329" s="4">
        <v>5</v>
      </c>
      <c r="I3329" s="4">
        <v>3</v>
      </c>
      <c r="J3329" s="5">
        <v>45723</v>
      </c>
      <c r="K3329" s="6">
        <v>0.71693287037037035</v>
      </c>
    </row>
    <row r="3330" spans="1:11" x14ac:dyDescent="0.25">
      <c r="A3330" s="4">
        <v>9</v>
      </c>
      <c r="B3330" s="4" t="s">
        <v>11</v>
      </c>
      <c r="C3330" s="7">
        <v>30.86</v>
      </c>
      <c r="D3330" s="4" t="s">
        <v>19</v>
      </c>
      <c r="E3330" s="4" t="s">
        <v>13</v>
      </c>
      <c r="F3330" s="4" t="s">
        <v>22</v>
      </c>
      <c r="G3330" s="4" t="s">
        <v>15</v>
      </c>
      <c r="H3330" s="4">
        <v>6</v>
      </c>
      <c r="I3330" s="4">
        <v>3</v>
      </c>
      <c r="J3330" s="5">
        <v>45724</v>
      </c>
      <c r="K3330" s="6">
        <v>0.39148148148148149</v>
      </c>
    </row>
    <row r="3331" spans="1:11" x14ac:dyDescent="0.25">
      <c r="A3331" s="4">
        <v>9</v>
      </c>
      <c r="B3331" s="4" t="s">
        <v>11</v>
      </c>
      <c r="C3331" s="7">
        <v>30.86</v>
      </c>
      <c r="D3331" s="4" t="s">
        <v>19</v>
      </c>
      <c r="E3331" s="4" t="s">
        <v>13</v>
      </c>
      <c r="F3331" s="4" t="s">
        <v>22</v>
      </c>
      <c r="G3331" s="4" t="s">
        <v>15</v>
      </c>
      <c r="H3331" s="4">
        <v>6</v>
      </c>
      <c r="I3331" s="4">
        <v>3</v>
      </c>
      <c r="J3331" s="5">
        <v>45724</v>
      </c>
      <c r="K3331" s="6">
        <v>0.40407407407407409</v>
      </c>
    </row>
    <row r="3332" spans="1:11" x14ac:dyDescent="0.25">
      <c r="A3332" s="4">
        <v>10</v>
      </c>
      <c r="B3332" s="4" t="s">
        <v>11</v>
      </c>
      <c r="C3332" s="7">
        <v>25.96</v>
      </c>
      <c r="D3332" s="4" t="s">
        <v>18</v>
      </c>
      <c r="E3332" s="4" t="s">
        <v>13</v>
      </c>
      <c r="F3332" s="4" t="s">
        <v>22</v>
      </c>
      <c r="G3332" s="4" t="s">
        <v>15</v>
      </c>
      <c r="H3332" s="4">
        <v>6</v>
      </c>
      <c r="I3332" s="4">
        <v>3</v>
      </c>
      <c r="J3332" s="5">
        <v>45724</v>
      </c>
      <c r="K3332" s="6">
        <v>0.45431712962962961</v>
      </c>
    </row>
    <row r="3333" spans="1:11" x14ac:dyDescent="0.25">
      <c r="A3333" s="4">
        <v>11</v>
      </c>
      <c r="B3333" s="4" t="s">
        <v>11</v>
      </c>
      <c r="C3333" s="7">
        <v>25.96</v>
      </c>
      <c r="D3333" s="4" t="s">
        <v>18</v>
      </c>
      <c r="E3333" s="4" t="s">
        <v>13</v>
      </c>
      <c r="F3333" s="4" t="s">
        <v>22</v>
      </c>
      <c r="G3333" s="4" t="s">
        <v>15</v>
      </c>
      <c r="H3333" s="4">
        <v>6</v>
      </c>
      <c r="I3333" s="4">
        <v>3</v>
      </c>
      <c r="J3333" s="5">
        <v>45724</v>
      </c>
      <c r="K3333" s="6">
        <v>0.47204861111111113</v>
      </c>
    </row>
    <row r="3334" spans="1:11" x14ac:dyDescent="0.25">
      <c r="A3334" s="4">
        <v>11</v>
      </c>
      <c r="B3334" s="4" t="s">
        <v>11</v>
      </c>
      <c r="C3334" s="7">
        <v>25.96</v>
      </c>
      <c r="D3334" s="4" t="s">
        <v>18</v>
      </c>
      <c r="E3334" s="4" t="s">
        <v>13</v>
      </c>
      <c r="F3334" s="4" t="s">
        <v>22</v>
      </c>
      <c r="G3334" s="4" t="s">
        <v>15</v>
      </c>
      <c r="H3334" s="4">
        <v>6</v>
      </c>
      <c r="I3334" s="4">
        <v>3</v>
      </c>
      <c r="J3334" s="5">
        <v>45724</v>
      </c>
      <c r="K3334" s="6">
        <v>0.47259259259259262</v>
      </c>
    </row>
    <row r="3335" spans="1:11" x14ac:dyDescent="0.25">
      <c r="A3335" s="4">
        <v>12</v>
      </c>
      <c r="B3335" s="4" t="s">
        <v>11</v>
      </c>
      <c r="C3335" s="7">
        <v>30.86</v>
      </c>
      <c r="D3335" s="4" t="s">
        <v>19</v>
      </c>
      <c r="E3335" s="4" t="s">
        <v>17</v>
      </c>
      <c r="F3335" s="4" t="s">
        <v>22</v>
      </c>
      <c r="G3335" s="4" t="s">
        <v>15</v>
      </c>
      <c r="H3335" s="4">
        <v>6</v>
      </c>
      <c r="I3335" s="4">
        <v>3</v>
      </c>
      <c r="J3335" s="5">
        <v>45724</v>
      </c>
      <c r="K3335" s="6">
        <v>0.52869212962962964</v>
      </c>
    </row>
    <row r="3336" spans="1:11" x14ac:dyDescent="0.25">
      <c r="A3336" s="4">
        <v>12</v>
      </c>
      <c r="B3336" s="4" t="s">
        <v>11</v>
      </c>
      <c r="C3336" s="7">
        <v>25.96</v>
      </c>
      <c r="D3336" s="4" t="s">
        <v>18</v>
      </c>
      <c r="E3336" s="4" t="s">
        <v>17</v>
      </c>
      <c r="F3336" s="4" t="s">
        <v>22</v>
      </c>
      <c r="G3336" s="4" t="s">
        <v>15</v>
      </c>
      <c r="H3336" s="4">
        <v>6</v>
      </c>
      <c r="I3336" s="4">
        <v>3</v>
      </c>
      <c r="J3336" s="5">
        <v>45724</v>
      </c>
      <c r="K3336" s="6">
        <v>0.53130787037037042</v>
      </c>
    </row>
    <row r="3337" spans="1:11" x14ac:dyDescent="0.25">
      <c r="A3337" s="4">
        <v>13</v>
      </c>
      <c r="B3337" s="4" t="s">
        <v>11</v>
      </c>
      <c r="C3337" s="7">
        <v>35.76</v>
      </c>
      <c r="D3337" s="4" t="s">
        <v>29</v>
      </c>
      <c r="E3337" s="4" t="s">
        <v>17</v>
      </c>
      <c r="F3337" s="4" t="s">
        <v>22</v>
      </c>
      <c r="G3337" s="4" t="s">
        <v>15</v>
      </c>
      <c r="H3337" s="4">
        <v>6</v>
      </c>
      <c r="I3337" s="4">
        <v>3</v>
      </c>
      <c r="J3337" s="5">
        <v>45724</v>
      </c>
      <c r="K3337" s="6">
        <v>0.56951388888888888</v>
      </c>
    </row>
    <row r="3338" spans="1:11" x14ac:dyDescent="0.25">
      <c r="A3338" s="4">
        <v>9</v>
      </c>
      <c r="B3338" s="4" t="s">
        <v>11</v>
      </c>
      <c r="C3338" s="7">
        <v>21.06</v>
      </c>
      <c r="D3338" s="4" t="s">
        <v>26</v>
      </c>
      <c r="E3338" s="4" t="s">
        <v>13</v>
      </c>
      <c r="F3338" s="4" t="s">
        <v>23</v>
      </c>
      <c r="G3338" s="4" t="s">
        <v>15</v>
      </c>
      <c r="H3338" s="4">
        <v>7</v>
      </c>
      <c r="I3338" s="4">
        <v>3</v>
      </c>
      <c r="J3338" s="5">
        <v>45725</v>
      </c>
      <c r="K3338" s="6">
        <v>0.4042013888888889</v>
      </c>
    </row>
    <row r="3339" spans="1:11" x14ac:dyDescent="0.25">
      <c r="A3339" s="4">
        <v>11</v>
      </c>
      <c r="B3339" s="4" t="s">
        <v>11</v>
      </c>
      <c r="C3339" s="7">
        <v>30.86</v>
      </c>
      <c r="D3339" s="4" t="s">
        <v>19</v>
      </c>
      <c r="E3339" s="4" t="s">
        <v>13</v>
      </c>
      <c r="F3339" s="4" t="s">
        <v>23</v>
      </c>
      <c r="G3339" s="4" t="s">
        <v>15</v>
      </c>
      <c r="H3339" s="4">
        <v>7</v>
      </c>
      <c r="I3339" s="4">
        <v>3</v>
      </c>
      <c r="J3339" s="5">
        <v>45725</v>
      </c>
      <c r="K3339" s="6">
        <v>0.47630787037037037</v>
      </c>
    </row>
    <row r="3340" spans="1:11" x14ac:dyDescent="0.25">
      <c r="A3340" s="4">
        <v>13</v>
      </c>
      <c r="B3340" s="4" t="s">
        <v>11</v>
      </c>
      <c r="C3340" s="7">
        <v>35.76</v>
      </c>
      <c r="D3340" s="4" t="s">
        <v>29</v>
      </c>
      <c r="E3340" s="4" t="s">
        <v>17</v>
      </c>
      <c r="F3340" s="4" t="s">
        <v>23</v>
      </c>
      <c r="G3340" s="4" t="s">
        <v>15</v>
      </c>
      <c r="H3340" s="4">
        <v>7</v>
      </c>
      <c r="I3340" s="4">
        <v>3</v>
      </c>
      <c r="J3340" s="5">
        <v>45725</v>
      </c>
      <c r="K3340" s="6">
        <v>0.57773148148148146</v>
      </c>
    </row>
    <row r="3341" spans="1:11" x14ac:dyDescent="0.25">
      <c r="A3341" s="4">
        <v>14</v>
      </c>
      <c r="B3341" s="4" t="s">
        <v>11</v>
      </c>
      <c r="C3341" s="7">
        <v>25.96</v>
      </c>
      <c r="D3341" s="4" t="s">
        <v>18</v>
      </c>
      <c r="E3341" s="4" t="s">
        <v>17</v>
      </c>
      <c r="F3341" s="4" t="s">
        <v>23</v>
      </c>
      <c r="G3341" s="4" t="s">
        <v>15</v>
      </c>
      <c r="H3341" s="4">
        <v>7</v>
      </c>
      <c r="I3341" s="4">
        <v>3</v>
      </c>
      <c r="J3341" s="5">
        <v>45725</v>
      </c>
      <c r="K3341" s="6">
        <v>0.5961805555555556</v>
      </c>
    </row>
    <row r="3342" spans="1:11" x14ac:dyDescent="0.25">
      <c r="A3342" s="4">
        <v>15</v>
      </c>
      <c r="B3342" s="4" t="s">
        <v>11</v>
      </c>
      <c r="C3342" s="7">
        <v>35.76</v>
      </c>
      <c r="D3342" s="4" t="s">
        <v>29</v>
      </c>
      <c r="E3342" s="4" t="s">
        <v>17</v>
      </c>
      <c r="F3342" s="4" t="s">
        <v>23</v>
      </c>
      <c r="G3342" s="4" t="s">
        <v>15</v>
      </c>
      <c r="H3342" s="4">
        <v>7</v>
      </c>
      <c r="I3342" s="4">
        <v>3</v>
      </c>
      <c r="J3342" s="5">
        <v>45725</v>
      </c>
      <c r="K3342" s="6">
        <v>0.63380787037037034</v>
      </c>
    </row>
    <row r="3343" spans="1:11" x14ac:dyDescent="0.25">
      <c r="A3343" s="4">
        <v>15</v>
      </c>
      <c r="B3343" s="4" t="s">
        <v>11</v>
      </c>
      <c r="C3343" s="7">
        <v>25.96</v>
      </c>
      <c r="D3343" s="4" t="s">
        <v>18</v>
      </c>
      <c r="E3343" s="4" t="s">
        <v>17</v>
      </c>
      <c r="F3343" s="4" t="s">
        <v>23</v>
      </c>
      <c r="G3343" s="4" t="s">
        <v>15</v>
      </c>
      <c r="H3343" s="4">
        <v>7</v>
      </c>
      <c r="I3343" s="4">
        <v>3</v>
      </c>
      <c r="J3343" s="5">
        <v>45725</v>
      </c>
      <c r="K3343" s="6">
        <v>0.65216435185185184</v>
      </c>
    </row>
    <row r="3344" spans="1:11" x14ac:dyDescent="0.25">
      <c r="A3344" s="4">
        <v>15</v>
      </c>
      <c r="B3344" s="4" t="s">
        <v>11</v>
      </c>
      <c r="C3344" s="7">
        <v>30.86</v>
      </c>
      <c r="D3344" s="4" t="s">
        <v>19</v>
      </c>
      <c r="E3344" s="4" t="s">
        <v>17</v>
      </c>
      <c r="F3344" s="4" t="s">
        <v>23</v>
      </c>
      <c r="G3344" s="4" t="s">
        <v>15</v>
      </c>
      <c r="H3344" s="4">
        <v>7</v>
      </c>
      <c r="I3344" s="4">
        <v>3</v>
      </c>
      <c r="J3344" s="5">
        <v>45725</v>
      </c>
      <c r="K3344" s="6">
        <v>0.66156250000000005</v>
      </c>
    </row>
    <row r="3345" spans="1:11" x14ac:dyDescent="0.25">
      <c r="A3345" s="4">
        <v>15</v>
      </c>
      <c r="B3345" s="4" t="s">
        <v>11</v>
      </c>
      <c r="C3345" s="7">
        <v>35.76</v>
      </c>
      <c r="D3345" s="4" t="s">
        <v>21</v>
      </c>
      <c r="E3345" s="4" t="s">
        <v>17</v>
      </c>
      <c r="F3345" s="4" t="s">
        <v>23</v>
      </c>
      <c r="G3345" s="4" t="s">
        <v>15</v>
      </c>
      <c r="H3345" s="4">
        <v>7</v>
      </c>
      <c r="I3345" s="4">
        <v>3</v>
      </c>
      <c r="J3345" s="5">
        <v>45725</v>
      </c>
      <c r="K3345" s="6">
        <v>0.66226851851851853</v>
      </c>
    </row>
    <row r="3346" spans="1:11" x14ac:dyDescent="0.25">
      <c r="A3346" s="4">
        <v>8</v>
      </c>
      <c r="B3346" s="4" t="s">
        <v>11</v>
      </c>
      <c r="C3346" s="7">
        <v>25.96</v>
      </c>
      <c r="D3346" s="4" t="s">
        <v>18</v>
      </c>
      <c r="E3346" s="4" t="s">
        <v>13</v>
      </c>
      <c r="F3346" s="4" t="s">
        <v>25</v>
      </c>
      <c r="G3346" s="4" t="s">
        <v>15</v>
      </c>
      <c r="H3346" s="4">
        <v>1</v>
      </c>
      <c r="I3346" s="4">
        <v>3</v>
      </c>
      <c r="J3346" s="5">
        <v>45726</v>
      </c>
      <c r="K3346" s="6">
        <v>0.35744212962962962</v>
      </c>
    </row>
    <row r="3347" spans="1:11" x14ac:dyDescent="0.25">
      <c r="A3347" s="4">
        <v>8</v>
      </c>
      <c r="B3347" s="4" t="s">
        <v>11</v>
      </c>
      <c r="C3347" s="7">
        <v>35.76</v>
      </c>
      <c r="D3347" s="4" t="s">
        <v>12</v>
      </c>
      <c r="E3347" s="4" t="s">
        <v>13</v>
      </c>
      <c r="F3347" s="4" t="s">
        <v>25</v>
      </c>
      <c r="G3347" s="4" t="s">
        <v>15</v>
      </c>
      <c r="H3347" s="4">
        <v>1</v>
      </c>
      <c r="I3347" s="4">
        <v>3</v>
      </c>
      <c r="J3347" s="5">
        <v>45726</v>
      </c>
      <c r="K3347" s="6">
        <v>0.35810185185185184</v>
      </c>
    </row>
    <row r="3348" spans="1:11" x14ac:dyDescent="0.25">
      <c r="A3348" s="4">
        <v>9</v>
      </c>
      <c r="B3348" s="4" t="s">
        <v>11</v>
      </c>
      <c r="C3348" s="7">
        <v>30.86</v>
      </c>
      <c r="D3348" s="4" t="s">
        <v>19</v>
      </c>
      <c r="E3348" s="4" t="s">
        <v>13</v>
      </c>
      <c r="F3348" s="4" t="s">
        <v>25</v>
      </c>
      <c r="G3348" s="4" t="s">
        <v>15</v>
      </c>
      <c r="H3348" s="4">
        <v>1</v>
      </c>
      <c r="I3348" s="4">
        <v>3</v>
      </c>
      <c r="J3348" s="5">
        <v>45726</v>
      </c>
      <c r="K3348" s="6">
        <v>0.37947916666666665</v>
      </c>
    </row>
    <row r="3349" spans="1:11" x14ac:dyDescent="0.25">
      <c r="A3349" s="4">
        <v>9</v>
      </c>
      <c r="B3349" s="4" t="s">
        <v>11</v>
      </c>
      <c r="C3349" s="7">
        <v>35.76</v>
      </c>
      <c r="D3349" s="4" t="s">
        <v>16</v>
      </c>
      <c r="E3349" s="4" t="s">
        <v>13</v>
      </c>
      <c r="F3349" s="4" t="s">
        <v>25</v>
      </c>
      <c r="G3349" s="4" t="s">
        <v>15</v>
      </c>
      <c r="H3349" s="4">
        <v>1</v>
      </c>
      <c r="I3349" s="4">
        <v>3</v>
      </c>
      <c r="J3349" s="5">
        <v>45726</v>
      </c>
      <c r="K3349" s="6">
        <v>0.38851851851851854</v>
      </c>
    </row>
    <row r="3350" spans="1:11" x14ac:dyDescent="0.25">
      <c r="A3350" s="4">
        <v>9</v>
      </c>
      <c r="B3350" s="4" t="s">
        <v>11</v>
      </c>
      <c r="C3350" s="7">
        <v>35.76</v>
      </c>
      <c r="D3350" s="4" t="s">
        <v>21</v>
      </c>
      <c r="E3350" s="4" t="s">
        <v>13</v>
      </c>
      <c r="F3350" s="4" t="s">
        <v>25</v>
      </c>
      <c r="G3350" s="4" t="s">
        <v>15</v>
      </c>
      <c r="H3350" s="4">
        <v>1</v>
      </c>
      <c r="I3350" s="4">
        <v>3</v>
      </c>
      <c r="J3350" s="5">
        <v>45726</v>
      </c>
      <c r="K3350" s="6">
        <v>0.4103472222222222</v>
      </c>
    </row>
    <row r="3351" spans="1:11" x14ac:dyDescent="0.25">
      <c r="A3351" s="4">
        <v>10</v>
      </c>
      <c r="B3351" s="4" t="s">
        <v>11</v>
      </c>
      <c r="C3351" s="7">
        <v>35.76</v>
      </c>
      <c r="D3351" s="4" t="s">
        <v>16</v>
      </c>
      <c r="E3351" s="4" t="s">
        <v>13</v>
      </c>
      <c r="F3351" s="4" t="s">
        <v>25</v>
      </c>
      <c r="G3351" s="4" t="s">
        <v>15</v>
      </c>
      <c r="H3351" s="4">
        <v>1</v>
      </c>
      <c r="I3351" s="4">
        <v>3</v>
      </c>
      <c r="J3351" s="5">
        <v>45726</v>
      </c>
      <c r="K3351" s="6">
        <v>0.42982638888888891</v>
      </c>
    </row>
    <row r="3352" spans="1:11" x14ac:dyDescent="0.25">
      <c r="A3352" s="4">
        <v>12</v>
      </c>
      <c r="B3352" s="4" t="s">
        <v>11</v>
      </c>
      <c r="C3352" s="7">
        <v>25.96</v>
      </c>
      <c r="D3352" s="4" t="s">
        <v>18</v>
      </c>
      <c r="E3352" s="4" t="s">
        <v>17</v>
      </c>
      <c r="F3352" s="4" t="s">
        <v>25</v>
      </c>
      <c r="G3352" s="4" t="s">
        <v>15</v>
      </c>
      <c r="H3352" s="4">
        <v>1</v>
      </c>
      <c r="I3352" s="4">
        <v>3</v>
      </c>
      <c r="J3352" s="5">
        <v>45726</v>
      </c>
      <c r="K3352" s="6">
        <v>0.52516203703703701</v>
      </c>
    </row>
    <row r="3353" spans="1:11" x14ac:dyDescent="0.25">
      <c r="A3353" s="4">
        <v>15</v>
      </c>
      <c r="B3353" s="4" t="s">
        <v>11</v>
      </c>
      <c r="C3353" s="7">
        <v>25.96</v>
      </c>
      <c r="D3353" s="4" t="s">
        <v>18</v>
      </c>
      <c r="E3353" s="4" t="s">
        <v>17</v>
      </c>
      <c r="F3353" s="4" t="s">
        <v>25</v>
      </c>
      <c r="G3353" s="4" t="s">
        <v>15</v>
      </c>
      <c r="H3353" s="4">
        <v>1</v>
      </c>
      <c r="I3353" s="4">
        <v>3</v>
      </c>
      <c r="J3353" s="5">
        <v>45726</v>
      </c>
      <c r="K3353" s="6">
        <v>0.64732638888888894</v>
      </c>
    </row>
    <row r="3354" spans="1:11" x14ac:dyDescent="0.25">
      <c r="A3354" s="4">
        <v>15</v>
      </c>
      <c r="B3354" s="4" t="s">
        <v>11</v>
      </c>
      <c r="C3354" s="7">
        <v>35.76</v>
      </c>
      <c r="D3354" s="4" t="s">
        <v>16</v>
      </c>
      <c r="E3354" s="4" t="s">
        <v>17</v>
      </c>
      <c r="F3354" s="4" t="s">
        <v>25</v>
      </c>
      <c r="G3354" s="4" t="s">
        <v>15</v>
      </c>
      <c r="H3354" s="4">
        <v>1</v>
      </c>
      <c r="I3354" s="4">
        <v>3</v>
      </c>
      <c r="J3354" s="5">
        <v>45726</v>
      </c>
      <c r="K3354" s="6">
        <v>0.65413194444444445</v>
      </c>
    </row>
    <row r="3355" spans="1:11" x14ac:dyDescent="0.25">
      <c r="A3355" s="4">
        <v>16</v>
      </c>
      <c r="B3355" s="4" t="s">
        <v>11</v>
      </c>
      <c r="C3355" s="7">
        <v>35.76</v>
      </c>
      <c r="D3355" s="4" t="s">
        <v>12</v>
      </c>
      <c r="E3355" s="4" t="s">
        <v>17</v>
      </c>
      <c r="F3355" s="4" t="s">
        <v>25</v>
      </c>
      <c r="G3355" s="4" t="s">
        <v>15</v>
      </c>
      <c r="H3355" s="4">
        <v>1</v>
      </c>
      <c r="I3355" s="4">
        <v>3</v>
      </c>
      <c r="J3355" s="5">
        <v>45726</v>
      </c>
      <c r="K3355" s="6">
        <v>0.6791666666666667</v>
      </c>
    </row>
    <row r="3356" spans="1:11" x14ac:dyDescent="0.25">
      <c r="A3356" s="4">
        <v>16</v>
      </c>
      <c r="B3356" s="4" t="s">
        <v>11</v>
      </c>
      <c r="C3356" s="7">
        <v>35.76</v>
      </c>
      <c r="D3356" s="4" t="s">
        <v>12</v>
      </c>
      <c r="E3356" s="4" t="s">
        <v>17</v>
      </c>
      <c r="F3356" s="4" t="s">
        <v>25</v>
      </c>
      <c r="G3356" s="4" t="s">
        <v>15</v>
      </c>
      <c r="H3356" s="4">
        <v>1</v>
      </c>
      <c r="I3356" s="4">
        <v>3</v>
      </c>
      <c r="J3356" s="5">
        <v>45726</v>
      </c>
      <c r="K3356" s="6">
        <v>0.67979166666666668</v>
      </c>
    </row>
    <row r="3357" spans="1:11" x14ac:dyDescent="0.25">
      <c r="A3357" s="4">
        <v>16</v>
      </c>
      <c r="B3357" s="4" t="s">
        <v>11</v>
      </c>
      <c r="C3357" s="7">
        <v>35.76</v>
      </c>
      <c r="D3357" s="4" t="s">
        <v>29</v>
      </c>
      <c r="E3357" s="4" t="s">
        <v>17</v>
      </c>
      <c r="F3357" s="4" t="s">
        <v>25</v>
      </c>
      <c r="G3357" s="4" t="s">
        <v>15</v>
      </c>
      <c r="H3357" s="4">
        <v>1</v>
      </c>
      <c r="I3357" s="4">
        <v>3</v>
      </c>
      <c r="J3357" s="5">
        <v>45726</v>
      </c>
      <c r="K3357" s="6">
        <v>0.68362268518518521</v>
      </c>
    </row>
    <row r="3358" spans="1:11" x14ac:dyDescent="0.25">
      <c r="A3358" s="4">
        <v>16</v>
      </c>
      <c r="B3358" s="4" t="s">
        <v>11</v>
      </c>
      <c r="C3358" s="7">
        <v>30.86</v>
      </c>
      <c r="D3358" s="4" t="s">
        <v>19</v>
      </c>
      <c r="E3358" s="4" t="s">
        <v>17</v>
      </c>
      <c r="F3358" s="4" t="s">
        <v>25</v>
      </c>
      <c r="G3358" s="4" t="s">
        <v>15</v>
      </c>
      <c r="H3358" s="4">
        <v>1</v>
      </c>
      <c r="I3358" s="4">
        <v>3</v>
      </c>
      <c r="J3358" s="5">
        <v>45726</v>
      </c>
      <c r="K3358" s="6">
        <v>0.68439814814814814</v>
      </c>
    </row>
    <row r="3359" spans="1:11" x14ac:dyDescent="0.25">
      <c r="A3359" s="4">
        <v>18</v>
      </c>
      <c r="B3359" s="4" t="s">
        <v>11</v>
      </c>
      <c r="C3359" s="7">
        <v>25.96</v>
      </c>
      <c r="D3359" s="4" t="s">
        <v>18</v>
      </c>
      <c r="E3359" s="4" t="s">
        <v>20</v>
      </c>
      <c r="F3359" s="4" t="s">
        <v>25</v>
      </c>
      <c r="G3359" s="4" t="s">
        <v>15</v>
      </c>
      <c r="H3359" s="4">
        <v>1</v>
      </c>
      <c r="I3359" s="4">
        <v>3</v>
      </c>
      <c r="J3359" s="5">
        <v>45726</v>
      </c>
      <c r="K3359" s="6">
        <v>0.76104166666666662</v>
      </c>
    </row>
    <row r="3360" spans="1:11" x14ac:dyDescent="0.25">
      <c r="A3360" s="4">
        <v>18</v>
      </c>
      <c r="B3360" s="4" t="s">
        <v>11</v>
      </c>
      <c r="C3360" s="7">
        <v>35.76</v>
      </c>
      <c r="D3360" s="4" t="s">
        <v>12</v>
      </c>
      <c r="E3360" s="4" t="s">
        <v>20</v>
      </c>
      <c r="F3360" s="4" t="s">
        <v>25</v>
      </c>
      <c r="G3360" s="4" t="s">
        <v>15</v>
      </c>
      <c r="H3360" s="4">
        <v>1</v>
      </c>
      <c r="I3360" s="4">
        <v>3</v>
      </c>
      <c r="J3360" s="5">
        <v>45726</v>
      </c>
      <c r="K3360" s="6">
        <v>0.7836805555555556</v>
      </c>
    </row>
    <row r="3361" spans="1:11" x14ac:dyDescent="0.25">
      <c r="A3361" s="4">
        <v>18</v>
      </c>
      <c r="B3361" s="4" t="s">
        <v>11</v>
      </c>
      <c r="C3361" s="7">
        <v>35.76</v>
      </c>
      <c r="D3361" s="4" t="s">
        <v>12</v>
      </c>
      <c r="E3361" s="4" t="s">
        <v>20</v>
      </c>
      <c r="F3361" s="4" t="s">
        <v>25</v>
      </c>
      <c r="G3361" s="4" t="s">
        <v>15</v>
      </c>
      <c r="H3361" s="4">
        <v>1</v>
      </c>
      <c r="I3361" s="4">
        <v>3</v>
      </c>
      <c r="J3361" s="5">
        <v>45726</v>
      </c>
      <c r="K3361" s="6">
        <v>0.7842824074074074</v>
      </c>
    </row>
    <row r="3362" spans="1:11" x14ac:dyDescent="0.25">
      <c r="A3362" s="4">
        <v>19</v>
      </c>
      <c r="B3362" s="4" t="s">
        <v>11</v>
      </c>
      <c r="C3362" s="7">
        <v>30.86</v>
      </c>
      <c r="D3362" s="4" t="s">
        <v>19</v>
      </c>
      <c r="E3362" s="4" t="s">
        <v>20</v>
      </c>
      <c r="F3362" s="4" t="s">
        <v>25</v>
      </c>
      <c r="G3362" s="4" t="s">
        <v>15</v>
      </c>
      <c r="H3362" s="4">
        <v>1</v>
      </c>
      <c r="I3362" s="4">
        <v>3</v>
      </c>
      <c r="J3362" s="5">
        <v>45726</v>
      </c>
      <c r="K3362" s="6">
        <v>0.81020833333333331</v>
      </c>
    </row>
    <row r="3363" spans="1:11" x14ac:dyDescent="0.25">
      <c r="A3363" s="4">
        <v>8</v>
      </c>
      <c r="B3363" s="4" t="s">
        <v>11</v>
      </c>
      <c r="C3363" s="7">
        <v>25.96</v>
      </c>
      <c r="D3363" s="4" t="s">
        <v>18</v>
      </c>
      <c r="E3363" s="4" t="s">
        <v>13</v>
      </c>
      <c r="F3363" s="4" t="s">
        <v>27</v>
      </c>
      <c r="G3363" s="4" t="s">
        <v>15</v>
      </c>
      <c r="H3363" s="4">
        <v>2</v>
      </c>
      <c r="I3363" s="4">
        <v>3</v>
      </c>
      <c r="J3363" s="5">
        <v>45727</v>
      </c>
      <c r="K3363" s="6">
        <v>0.36556712962962962</v>
      </c>
    </row>
    <row r="3364" spans="1:11" x14ac:dyDescent="0.25">
      <c r="A3364" s="4">
        <v>9</v>
      </c>
      <c r="B3364" s="4" t="s">
        <v>11</v>
      </c>
      <c r="C3364" s="7">
        <v>35.76</v>
      </c>
      <c r="D3364" s="4" t="s">
        <v>29</v>
      </c>
      <c r="E3364" s="4" t="s">
        <v>13</v>
      </c>
      <c r="F3364" s="4" t="s">
        <v>27</v>
      </c>
      <c r="G3364" s="4" t="s">
        <v>15</v>
      </c>
      <c r="H3364" s="4">
        <v>2</v>
      </c>
      <c r="I3364" s="4">
        <v>3</v>
      </c>
      <c r="J3364" s="5">
        <v>45727</v>
      </c>
      <c r="K3364" s="6">
        <v>0.38364583333333335</v>
      </c>
    </row>
    <row r="3365" spans="1:11" x14ac:dyDescent="0.25">
      <c r="A3365" s="4">
        <v>9</v>
      </c>
      <c r="B3365" s="4" t="s">
        <v>11</v>
      </c>
      <c r="C3365" s="7">
        <v>35.76</v>
      </c>
      <c r="D3365" s="4" t="s">
        <v>12</v>
      </c>
      <c r="E3365" s="4" t="s">
        <v>13</v>
      </c>
      <c r="F3365" s="4" t="s">
        <v>27</v>
      </c>
      <c r="G3365" s="4" t="s">
        <v>15</v>
      </c>
      <c r="H3365" s="4">
        <v>2</v>
      </c>
      <c r="I3365" s="4">
        <v>3</v>
      </c>
      <c r="J3365" s="5">
        <v>45727</v>
      </c>
      <c r="K3365" s="6">
        <v>0.39379629629629631</v>
      </c>
    </row>
    <row r="3366" spans="1:11" x14ac:dyDescent="0.25">
      <c r="A3366" s="4">
        <v>10</v>
      </c>
      <c r="B3366" s="4" t="s">
        <v>11</v>
      </c>
      <c r="C3366" s="7">
        <v>25.96</v>
      </c>
      <c r="D3366" s="4" t="s">
        <v>18</v>
      </c>
      <c r="E3366" s="4" t="s">
        <v>13</v>
      </c>
      <c r="F3366" s="4" t="s">
        <v>27</v>
      </c>
      <c r="G3366" s="4" t="s">
        <v>15</v>
      </c>
      <c r="H3366" s="4">
        <v>2</v>
      </c>
      <c r="I3366" s="4">
        <v>3</v>
      </c>
      <c r="J3366" s="5">
        <v>45727</v>
      </c>
      <c r="K3366" s="6">
        <v>0.43538194444444445</v>
      </c>
    </row>
    <row r="3367" spans="1:11" x14ac:dyDescent="0.25">
      <c r="A3367" s="4">
        <v>12</v>
      </c>
      <c r="B3367" s="4" t="s">
        <v>11</v>
      </c>
      <c r="C3367" s="7">
        <v>25.96</v>
      </c>
      <c r="D3367" s="4" t="s">
        <v>18</v>
      </c>
      <c r="E3367" s="4" t="s">
        <v>17</v>
      </c>
      <c r="F3367" s="4" t="s">
        <v>27</v>
      </c>
      <c r="G3367" s="4" t="s">
        <v>15</v>
      </c>
      <c r="H3367" s="4">
        <v>2</v>
      </c>
      <c r="I3367" s="4">
        <v>3</v>
      </c>
      <c r="J3367" s="5">
        <v>45727</v>
      </c>
      <c r="K3367" s="6">
        <v>0.52314814814814814</v>
      </c>
    </row>
    <row r="3368" spans="1:11" x14ac:dyDescent="0.25">
      <c r="A3368" s="4">
        <v>13</v>
      </c>
      <c r="B3368" s="4" t="s">
        <v>11</v>
      </c>
      <c r="C3368" s="7">
        <v>25.96</v>
      </c>
      <c r="D3368" s="4" t="s">
        <v>18</v>
      </c>
      <c r="E3368" s="4" t="s">
        <v>17</v>
      </c>
      <c r="F3368" s="4" t="s">
        <v>27</v>
      </c>
      <c r="G3368" s="4" t="s">
        <v>15</v>
      </c>
      <c r="H3368" s="4">
        <v>2</v>
      </c>
      <c r="I3368" s="4">
        <v>3</v>
      </c>
      <c r="J3368" s="5">
        <v>45727</v>
      </c>
      <c r="K3368" s="6">
        <v>0.5534027777777778</v>
      </c>
    </row>
    <row r="3369" spans="1:11" x14ac:dyDescent="0.25">
      <c r="A3369" s="4">
        <v>16</v>
      </c>
      <c r="B3369" s="4" t="s">
        <v>11</v>
      </c>
      <c r="C3369" s="7">
        <v>35.76</v>
      </c>
      <c r="D3369" s="4" t="s">
        <v>16</v>
      </c>
      <c r="E3369" s="4" t="s">
        <v>17</v>
      </c>
      <c r="F3369" s="4" t="s">
        <v>27</v>
      </c>
      <c r="G3369" s="4" t="s">
        <v>15</v>
      </c>
      <c r="H3369" s="4">
        <v>2</v>
      </c>
      <c r="I3369" s="4">
        <v>3</v>
      </c>
      <c r="J3369" s="5">
        <v>45727</v>
      </c>
      <c r="K3369" s="6">
        <v>0.68716435185185187</v>
      </c>
    </row>
    <row r="3370" spans="1:11" x14ac:dyDescent="0.25">
      <c r="A3370" s="4">
        <v>16</v>
      </c>
      <c r="B3370" s="4" t="s">
        <v>11</v>
      </c>
      <c r="C3370" s="7">
        <v>35.76</v>
      </c>
      <c r="D3370" s="4" t="s">
        <v>21</v>
      </c>
      <c r="E3370" s="4" t="s">
        <v>17</v>
      </c>
      <c r="F3370" s="4" t="s">
        <v>27</v>
      </c>
      <c r="G3370" s="4" t="s">
        <v>15</v>
      </c>
      <c r="H3370" s="4">
        <v>2</v>
      </c>
      <c r="I3370" s="4">
        <v>3</v>
      </c>
      <c r="J3370" s="5">
        <v>45727</v>
      </c>
      <c r="K3370" s="6">
        <v>0.68768518518518518</v>
      </c>
    </row>
    <row r="3371" spans="1:11" x14ac:dyDescent="0.25">
      <c r="A3371" s="4">
        <v>16</v>
      </c>
      <c r="B3371" s="4" t="s">
        <v>11</v>
      </c>
      <c r="C3371" s="7">
        <v>35.76</v>
      </c>
      <c r="D3371" s="4" t="s">
        <v>16</v>
      </c>
      <c r="E3371" s="4" t="s">
        <v>17</v>
      </c>
      <c r="F3371" s="4" t="s">
        <v>27</v>
      </c>
      <c r="G3371" s="4" t="s">
        <v>15</v>
      </c>
      <c r="H3371" s="4">
        <v>2</v>
      </c>
      <c r="I3371" s="4">
        <v>3</v>
      </c>
      <c r="J3371" s="5">
        <v>45727</v>
      </c>
      <c r="K3371" s="6">
        <v>0.7011574074074074</v>
      </c>
    </row>
    <row r="3372" spans="1:11" x14ac:dyDescent="0.25">
      <c r="A3372" s="4">
        <v>17</v>
      </c>
      <c r="B3372" s="4" t="s">
        <v>11</v>
      </c>
      <c r="C3372" s="7">
        <v>35.76</v>
      </c>
      <c r="D3372" s="4" t="s">
        <v>29</v>
      </c>
      <c r="E3372" s="4" t="s">
        <v>20</v>
      </c>
      <c r="F3372" s="4" t="s">
        <v>27</v>
      </c>
      <c r="G3372" s="4" t="s">
        <v>15</v>
      </c>
      <c r="H3372" s="4">
        <v>2</v>
      </c>
      <c r="I3372" s="4">
        <v>3</v>
      </c>
      <c r="J3372" s="5">
        <v>45727</v>
      </c>
      <c r="K3372" s="6">
        <v>0.74085648148148153</v>
      </c>
    </row>
    <row r="3373" spans="1:11" x14ac:dyDescent="0.25">
      <c r="A3373" s="4">
        <v>18</v>
      </c>
      <c r="B3373" s="4" t="s">
        <v>11</v>
      </c>
      <c r="C3373" s="7">
        <v>30.86</v>
      </c>
      <c r="D3373" s="4" t="s">
        <v>19</v>
      </c>
      <c r="E3373" s="4" t="s">
        <v>20</v>
      </c>
      <c r="F3373" s="4" t="s">
        <v>27</v>
      </c>
      <c r="G3373" s="4" t="s">
        <v>15</v>
      </c>
      <c r="H3373" s="4">
        <v>2</v>
      </c>
      <c r="I3373" s="4">
        <v>3</v>
      </c>
      <c r="J3373" s="5">
        <v>45727</v>
      </c>
      <c r="K3373" s="6">
        <v>0.78949074074074077</v>
      </c>
    </row>
    <row r="3374" spans="1:11" x14ac:dyDescent="0.25">
      <c r="A3374" s="4">
        <v>19</v>
      </c>
      <c r="B3374" s="4" t="s">
        <v>11</v>
      </c>
      <c r="C3374" s="7">
        <v>35.76</v>
      </c>
      <c r="D3374" s="4" t="s">
        <v>12</v>
      </c>
      <c r="E3374" s="4" t="s">
        <v>20</v>
      </c>
      <c r="F3374" s="4" t="s">
        <v>27</v>
      </c>
      <c r="G3374" s="4" t="s">
        <v>15</v>
      </c>
      <c r="H3374" s="4">
        <v>2</v>
      </c>
      <c r="I3374" s="4">
        <v>3</v>
      </c>
      <c r="J3374" s="5">
        <v>45727</v>
      </c>
      <c r="K3374" s="6">
        <v>0.79668981481481482</v>
      </c>
    </row>
    <row r="3375" spans="1:11" x14ac:dyDescent="0.25">
      <c r="A3375" s="4">
        <v>20</v>
      </c>
      <c r="B3375" s="4" t="s">
        <v>11</v>
      </c>
      <c r="C3375" s="7">
        <v>35.76</v>
      </c>
      <c r="D3375" s="4" t="s">
        <v>21</v>
      </c>
      <c r="E3375" s="4" t="s">
        <v>20</v>
      </c>
      <c r="F3375" s="4" t="s">
        <v>27</v>
      </c>
      <c r="G3375" s="4" t="s">
        <v>15</v>
      </c>
      <c r="H3375" s="4">
        <v>2</v>
      </c>
      <c r="I3375" s="4">
        <v>3</v>
      </c>
      <c r="J3375" s="5">
        <v>45727</v>
      </c>
      <c r="K3375" s="6">
        <v>0.83953703703703708</v>
      </c>
    </row>
    <row r="3376" spans="1:11" x14ac:dyDescent="0.25">
      <c r="A3376" s="4">
        <v>11</v>
      </c>
      <c r="B3376" s="4" t="s">
        <v>11</v>
      </c>
      <c r="C3376" s="7">
        <v>35.76</v>
      </c>
      <c r="D3376" s="4" t="s">
        <v>21</v>
      </c>
      <c r="E3376" s="4" t="s">
        <v>13</v>
      </c>
      <c r="F3376" s="4" t="s">
        <v>28</v>
      </c>
      <c r="G3376" s="4" t="s">
        <v>15</v>
      </c>
      <c r="H3376" s="4">
        <v>3</v>
      </c>
      <c r="I3376" s="4">
        <v>3</v>
      </c>
      <c r="J3376" s="5">
        <v>45728</v>
      </c>
      <c r="K3376" s="6">
        <v>0.46642361111111114</v>
      </c>
    </row>
    <row r="3377" spans="1:11" x14ac:dyDescent="0.25">
      <c r="A3377" s="4">
        <v>11</v>
      </c>
      <c r="B3377" s="4" t="s">
        <v>11</v>
      </c>
      <c r="C3377" s="7">
        <v>30.86</v>
      </c>
      <c r="D3377" s="4" t="s">
        <v>19</v>
      </c>
      <c r="E3377" s="4" t="s">
        <v>13</v>
      </c>
      <c r="F3377" s="4" t="s">
        <v>28</v>
      </c>
      <c r="G3377" s="4" t="s">
        <v>15</v>
      </c>
      <c r="H3377" s="4">
        <v>3</v>
      </c>
      <c r="I3377" s="4">
        <v>3</v>
      </c>
      <c r="J3377" s="5">
        <v>45728</v>
      </c>
      <c r="K3377" s="6">
        <v>0.49136574074074074</v>
      </c>
    </row>
    <row r="3378" spans="1:11" x14ac:dyDescent="0.25">
      <c r="A3378" s="4">
        <v>11</v>
      </c>
      <c r="B3378" s="4" t="s">
        <v>11</v>
      </c>
      <c r="C3378" s="7">
        <v>35.76</v>
      </c>
      <c r="D3378" s="4" t="s">
        <v>29</v>
      </c>
      <c r="E3378" s="4" t="s">
        <v>13</v>
      </c>
      <c r="F3378" s="4" t="s">
        <v>28</v>
      </c>
      <c r="G3378" s="4" t="s">
        <v>15</v>
      </c>
      <c r="H3378" s="4">
        <v>3</v>
      </c>
      <c r="I3378" s="4">
        <v>3</v>
      </c>
      <c r="J3378" s="5">
        <v>45728</v>
      </c>
      <c r="K3378" s="6">
        <v>0.49322916666666666</v>
      </c>
    </row>
    <row r="3379" spans="1:11" x14ac:dyDescent="0.25">
      <c r="A3379" s="4">
        <v>11</v>
      </c>
      <c r="B3379" s="4" t="s">
        <v>11</v>
      </c>
      <c r="C3379" s="7">
        <v>25.96</v>
      </c>
      <c r="D3379" s="4" t="s">
        <v>18</v>
      </c>
      <c r="E3379" s="4" t="s">
        <v>13</v>
      </c>
      <c r="F3379" s="4" t="s">
        <v>28</v>
      </c>
      <c r="G3379" s="4" t="s">
        <v>15</v>
      </c>
      <c r="H3379" s="4">
        <v>3</v>
      </c>
      <c r="I3379" s="4">
        <v>3</v>
      </c>
      <c r="J3379" s="5">
        <v>45728</v>
      </c>
      <c r="K3379" s="6">
        <v>0.49716435185185187</v>
      </c>
    </row>
    <row r="3380" spans="1:11" x14ac:dyDescent="0.25">
      <c r="A3380" s="4">
        <v>11</v>
      </c>
      <c r="B3380" s="4" t="s">
        <v>11</v>
      </c>
      <c r="C3380" s="7">
        <v>25.96</v>
      </c>
      <c r="D3380" s="4" t="s">
        <v>18</v>
      </c>
      <c r="E3380" s="4" t="s">
        <v>13</v>
      </c>
      <c r="F3380" s="4" t="s">
        <v>28</v>
      </c>
      <c r="G3380" s="4" t="s">
        <v>15</v>
      </c>
      <c r="H3380" s="4">
        <v>3</v>
      </c>
      <c r="I3380" s="4">
        <v>3</v>
      </c>
      <c r="J3380" s="5">
        <v>45728</v>
      </c>
      <c r="K3380" s="6">
        <v>0.49777777777777776</v>
      </c>
    </row>
    <row r="3381" spans="1:11" x14ac:dyDescent="0.25">
      <c r="A3381" s="4">
        <v>12</v>
      </c>
      <c r="B3381" s="4" t="s">
        <v>11</v>
      </c>
      <c r="C3381" s="7">
        <v>25.96</v>
      </c>
      <c r="D3381" s="4" t="s">
        <v>18</v>
      </c>
      <c r="E3381" s="4" t="s">
        <v>17</v>
      </c>
      <c r="F3381" s="4" t="s">
        <v>28</v>
      </c>
      <c r="G3381" s="4" t="s">
        <v>15</v>
      </c>
      <c r="H3381" s="4">
        <v>3</v>
      </c>
      <c r="I3381" s="4">
        <v>3</v>
      </c>
      <c r="J3381" s="5">
        <v>45728</v>
      </c>
      <c r="K3381" s="6">
        <v>0.50429398148148152</v>
      </c>
    </row>
    <row r="3382" spans="1:11" x14ac:dyDescent="0.25">
      <c r="A3382" s="4">
        <v>12</v>
      </c>
      <c r="B3382" s="4" t="s">
        <v>11</v>
      </c>
      <c r="C3382" s="7">
        <v>35.76</v>
      </c>
      <c r="D3382" s="4" t="s">
        <v>16</v>
      </c>
      <c r="E3382" s="4" t="s">
        <v>17</v>
      </c>
      <c r="F3382" s="4" t="s">
        <v>28</v>
      </c>
      <c r="G3382" s="4" t="s">
        <v>15</v>
      </c>
      <c r="H3382" s="4">
        <v>3</v>
      </c>
      <c r="I3382" s="4">
        <v>3</v>
      </c>
      <c r="J3382" s="5">
        <v>45728</v>
      </c>
      <c r="K3382" s="6">
        <v>0.53863425925925923</v>
      </c>
    </row>
    <row r="3383" spans="1:11" x14ac:dyDescent="0.25">
      <c r="A3383" s="4">
        <v>13</v>
      </c>
      <c r="B3383" s="4" t="s">
        <v>11</v>
      </c>
      <c r="C3383" s="7">
        <v>35.76</v>
      </c>
      <c r="D3383" s="4" t="s">
        <v>12</v>
      </c>
      <c r="E3383" s="4" t="s">
        <v>17</v>
      </c>
      <c r="F3383" s="4" t="s">
        <v>28</v>
      </c>
      <c r="G3383" s="4" t="s">
        <v>15</v>
      </c>
      <c r="H3383" s="4">
        <v>3</v>
      </c>
      <c r="I3383" s="4">
        <v>3</v>
      </c>
      <c r="J3383" s="5">
        <v>45728</v>
      </c>
      <c r="K3383" s="6">
        <v>0.54292824074074075</v>
      </c>
    </row>
    <row r="3384" spans="1:11" x14ac:dyDescent="0.25">
      <c r="A3384" s="4">
        <v>13</v>
      </c>
      <c r="B3384" s="4" t="s">
        <v>11</v>
      </c>
      <c r="C3384" s="7">
        <v>35.76</v>
      </c>
      <c r="D3384" s="4" t="s">
        <v>12</v>
      </c>
      <c r="E3384" s="4" t="s">
        <v>17</v>
      </c>
      <c r="F3384" s="4" t="s">
        <v>28</v>
      </c>
      <c r="G3384" s="4" t="s">
        <v>15</v>
      </c>
      <c r="H3384" s="4">
        <v>3</v>
      </c>
      <c r="I3384" s="4">
        <v>3</v>
      </c>
      <c r="J3384" s="5">
        <v>45728</v>
      </c>
      <c r="K3384" s="6">
        <v>0.58082175925925927</v>
      </c>
    </row>
    <row r="3385" spans="1:11" x14ac:dyDescent="0.25">
      <c r="A3385" s="4">
        <v>16</v>
      </c>
      <c r="B3385" s="4" t="s">
        <v>11</v>
      </c>
      <c r="C3385" s="7">
        <v>35.76</v>
      </c>
      <c r="D3385" s="4" t="s">
        <v>29</v>
      </c>
      <c r="E3385" s="4" t="s">
        <v>17</v>
      </c>
      <c r="F3385" s="4" t="s">
        <v>28</v>
      </c>
      <c r="G3385" s="4" t="s">
        <v>15</v>
      </c>
      <c r="H3385" s="4">
        <v>3</v>
      </c>
      <c r="I3385" s="4">
        <v>3</v>
      </c>
      <c r="J3385" s="5">
        <v>45728</v>
      </c>
      <c r="K3385" s="6">
        <v>0.68584490740740744</v>
      </c>
    </row>
    <row r="3386" spans="1:11" x14ac:dyDescent="0.25">
      <c r="A3386" s="4">
        <v>16</v>
      </c>
      <c r="B3386" s="4" t="s">
        <v>11</v>
      </c>
      <c r="C3386" s="7">
        <v>35.76</v>
      </c>
      <c r="D3386" s="4" t="s">
        <v>12</v>
      </c>
      <c r="E3386" s="4" t="s">
        <v>17</v>
      </c>
      <c r="F3386" s="4" t="s">
        <v>28</v>
      </c>
      <c r="G3386" s="4" t="s">
        <v>15</v>
      </c>
      <c r="H3386" s="4">
        <v>3</v>
      </c>
      <c r="I3386" s="4">
        <v>3</v>
      </c>
      <c r="J3386" s="5">
        <v>45728</v>
      </c>
      <c r="K3386" s="6">
        <v>0.69100694444444444</v>
      </c>
    </row>
    <row r="3387" spans="1:11" x14ac:dyDescent="0.25">
      <c r="A3387" s="4">
        <v>16</v>
      </c>
      <c r="B3387" s="4" t="s">
        <v>11</v>
      </c>
      <c r="C3387" s="7">
        <v>35.76</v>
      </c>
      <c r="D3387" s="4" t="s">
        <v>12</v>
      </c>
      <c r="E3387" s="4" t="s">
        <v>17</v>
      </c>
      <c r="F3387" s="4" t="s">
        <v>28</v>
      </c>
      <c r="G3387" s="4" t="s">
        <v>15</v>
      </c>
      <c r="H3387" s="4">
        <v>3</v>
      </c>
      <c r="I3387" s="4">
        <v>3</v>
      </c>
      <c r="J3387" s="5">
        <v>45728</v>
      </c>
      <c r="K3387" s="6">
        <v>0.69166666666666665</v>
      </c>
    </row>
    <row r="3388" spans="1:11" x14ac:dyDescent="0.25">
      <c r="A3388" s="4">
        <v>18</v>
      </c>
      <c r="B3388" s="4" t="s">
        <v>11</v>
      </c>
      <c r="C3388" s="7">
        <v>25.96</v>
      </c>
      <c r="D3388" s="4" t="s">
        <v>18</v>
      </c>
      <c r="E3388" s="4" t="s">
        <v>20</v>
      </c>
      <c r="F3388" s="4" t="s">
        <v>28</v>
      </c>
      <c r="G3388" s="4" t="s">
        <v>15</v>
      </c>
      <c r="H3388" s="4">
        <v>3</v>
      </c>
      <c r="I3388" s="4">
        <v>3</v>
      </c>
      <c r="J3388" s="5">
        <v>45728</v>
      </c>
      <c r="K3388" s="6">
        <v>0.75733796296296296</v>
      </c>
    </row>
    <row r="3389" spans="1:11" x14ac:dyDescent="0.25">
      <c r="A3389" s="4">
        <v>18</v>
      </c>
      <c r="B3389" s="4" t="s">
        <v>11</v>
      </c>
      <c r="C3389" s="7">
        <v>35.76</v>
      </c>
      <c r="D3389" s="4" t="s">
        <v>21</v>
      </c>
      <c r="E3389" s="4" t="s">
        <v>20</v>
      </c>
      <c r="F3389" s="4" t="s">
        <v>28</v>
      </c>
      <c r="G3389" s="4" t="s">
        <v>15</v>
      </c>
      <c r="H3389" s="4">
        <v>3</v>
      </c>
      <c r="I3389" s="4">
        <v>3</v>
      </c>
      <c r="J3389" s="5">
        <v>45728</v>
      </c>
      <c r="K3389" s="6">
        <v>0.76200231481481484</v>
      </c>
    </row>
    <row r="3390" spans="1:11" x14ac:dyDescent="0.25">
      <c r="A3390" s="4">
        <v>18</v>
      </c>
      <c r="B3390" s="4" t="s">
        <v>11</v>
      </c>
      <c r="C3390" s="7">
        <v>25.96</v>
      </c>
      <c r="D3390" s="4" t="s">
        <v>18</v>
      </c>
      <c r="E3390" s="4" t="s">
        <v>20</v>
      </c>
      <c r="F3390" s="4" t="s">
        <v>28</v>
      </c>
      <c r="G3390" s="4" t="s">
        <v>15</v>
      </c>
      <c r="H3390" s="4">
        <v>3</v>
      </c>
      <c r="I3390" s="4">
        <v>3</v>
      </c>
      <c r="J3390" s="5">
        <v>45728</v>
      </c>
      <c r="K3390" s="6">
        <v>0.76712962962962961</v>
      </c>
    </row>
    <row r="3391" spans="1:11" x14ac:dyDescent="0.25">
      <c r="A3391" s="4">
        <v>18</v>
      </c>
      <c r="B3391" s="4" t="s">
        <v>11</v>
      </c>
      <c r="C3391" s="7">
        <v>35.76</v>
      </c>
      <c r="D3391" s="4" t="s">
        <v>29</v>
      </c>
      <c r="E3391" s="4" t="s">
        <v>20</v>
      </c>
      <c r="F3391" s="4" t="s">
        <v>28</v>
      </c>
      <c r="G3391" s="4" t="s">
        <v>15</v>
      </c>
      <c r="H3391" s="4">
        <v>3</v>
      </c>
      <c r="I3391" s="4">
        <v>3</v>
      </c>
      <c r="J3391" s="5">
        <v>45728</v>
      </c>
      <c r="K3391" s="6">
        <v>0.77703703703703708</v>
      </c>
    </row>
    <row r="3392" spans="1:11" x14ac:dyDescent="0.25">
      <c r="A3392" s="4">
        <v>18</v>
      </c>
      <c r="B3392" s="4" t="s">
        <v>11</v>
      </c>
      <c r="C3392" s="7">
        <v>25.96</v>
      </c>
      <c r="D3392" s="4" t="s">
        <v>18</v>
      </c>
      <c r="E3392" s="4" t="s">
        <v>20</v>
      </c>
      <c r="F3392" s="4" t="s">
        <v>28</v>
      </c>
      <c r="G3392" s="4" t="s">
        <v>15</v>
      </c>
      <c r="H3392" s="4">
        <v>3</v>
      </c>
      <c r="I3392" s="4">
        <v>3</v>
      </c>
      <c r="J3392" s="5">
        <v>45728</v>
      </c>
      <c r="K3392" s="6">
        <v>0.77931712962962962</v>
      </c>
    </row>
    <row r="3393" spans="1:11" x14ac:dyDescent="0.25">
      <c r="A3393" s="4">
        <v>7</v>
      </c>
      <c r="B3393" s="4" t="s">
        <v>11</v>
      </c>
      <c r="C3393" s="7">
        <v>35.76</v>
      </c>
      <c r="D3393" s="4" t="s">
        <v>29</v>
      </c>
      <c r="E3393" s="4" t="s">
        <v>13</v>
      </c>
      <c r="F3393" s="4" t="s">
        <v>30</v>
      </c>
      <c r="G3393" s="4" t="s">
        <v>15</v>
      </c>
      <c r="H3393" s="4">
        <v>4</v>
      </c>
      <c r="I3393" s="4">
        <v>3</v>
      </c>
      <c r="J3393" s="5">
        <v>45729</v>
      </c>
      <c r="K3393" s="6">
        <v>0.2927777777777778</v>
      </c>
    </row>
    <row r="3394" spans="1:11" x14ac:dyDescent="0.25">
      <c r="A3394" s="4">
        <v>8</v>
      </c>
      <c r="B3394" s="4" t="s">
        <v>11</v>
      </c>
      <c r="C3394" s="7">
        <v>30.86</v>
      </c>
      <c r="D3394" s="4" t="s">
        <v>19</v>
      </c>
      <c r="E3394" s="4" t="s">
        <v>13</v>
      </c>
      <c r="F3394" s="4" t="s">
        <v>30</v>
      </c>
      <c r="G3394" s="4" t="s">
        <v>15</v>
      </c>
      <c r="H3394" s="4">
        <v>4</v>
      </c>
      <c r="I3394" s="4">
        <v>3</v>
      </c>
      <c r="J3394" s="5">
        <v>45729</v>
      </c>
      <c r="K3394" s="6">
        <v>0.34950231481481481</v>
      </c>
    </row>
    <row r="3395" spans="1:11" x14ac:dyDescent="0.25">
      <c r="A3395" s="4">
        <v>9</v>
      </c>
      <c r="B3395" s="4" t="s">
        <v>11</v>
      </c>
      <c r="C3395" s="7">
        <v>30.86</v>
      </c>
      <c r="D3395" s="4" t="s">
        <v>19</v>
      </c>
      <c r="E3395" s="4" t="s">
        <v>13</v>
      </c>
      <c r="F3395" s="4" t="s">
        <v>30</v>
      </c>
      <c r="G3395" s="4" t="s">
        <v>15</v>
      </c>
      <c r="H3395" s="4">
        <v>4</v>
      </c>
      <c r="I3395" s="4">
        <v>3</v>
      </c>
      <c r="J3395" s="5">
        <v>45729</v>
      </c>
      <c r="K3395" s="6">
        <v>0.37832175925925926</v>
      </c>
    </row>
    <row r="3396" spans="1:11" x14ac:dyDescent="0.25">
      <c r="A3396" s="4">
        <v>9</v>
      </c>
      <c r="B3396" s="4" t="s">
        <v>11</v>
      </c>
      <c r="C3396" s="7">
        <v>35.76</v>
      </c>
      <c r="D3396" s="4" t="s">
        <v>12</v>
      </c>
      <c r="E3396" s="4" t="s">
        <v>13</v>
      </c>
      <c r="F3396" s="4" t="s">
        <v>30</v>
      </c>
      <c r="G3396" s="4" t="s">
        <v>15</v>
      </c>
      <c r="H3396" s="4">
        <v>4</v>
      </c>
      <c r="I3396" s="4">
        <v>3</v>
      </c>
      <c r="J3396" s="5">
        <v>45729</v>
      </c>
      <c r="K3396" s="6">
        <v>0.38899305555555558</v>
      </c>
    </row>
    <row r="3397" spans="1:11" x14ac:dyDescent="0.25">
      <c r="A3397" s="4">
        <v>9</v>
      </c>
      <c r="B3397" s="4" t="s">
        <v>11</v>
      </c>
      <c r="C3397" s="7">
        <v>21.06</v>
      </c>
      <c r="D3397" s="4" t="s">
        <v>26</v>
      </c>
      <c r="E3397" s="4" t="s">
        <v>13</v>
      </c>
      <c r="F3397" s="4" t="s">
        <v>30</v>
      </c>
      <c r="G3397" s="4" t="s">
        <v>15</v>
      </c>
      <c r="H3397" s="4">
        <v>4</v>
      </c>
      <c r="I3397" s="4">
        <v>3</v>
      </c>
      <c r="J3397" s="5">
        <v>45729</v>
      </c>
      <c r="K3397" s="6">
        <v>0.3903240740740741</v>
      </c>
    </row>
    <row r="3398" spans="1:11" x14ac:dyDescent="0.25">
      <c r="A3398" s="4">
        <v>9</v>
      </c>
      <c r="B3398" s="4" t="s">
        <v>11</v>
      </c>
      <c r="C3398" s="7">
        <v>25.96</v>
      </c>
      <c r="D3398" s="4" t="s">
        <v>18</v>
      </c>
      <c r="E3398" s="4" t="s">
        <v>13</v>
      </c>
      <c r="F3398" s="4" t="s">
        <v>30</v>
      </c>
      <c r="G3398" s="4" t="s">
        <v>15</v>
      </c>
      <c r="H3398" s="4">
        <v>4</v>
      </c>
      <c r="I3398" s="4">
        <v>3</v>
      </c>
      <c r="J3398" s="5">
        <v>45729</v>
      </c>
      <c r="K3398" s="6">
        <v>0.40160879629629631</v>
      </c>
    </row>
    <row r="3399" spans="1:11" x14ac:dyDescent="0.25">
      <c r="A3399" s="4">
        <v>9</v>
      </c>
      <c r="B3399" s="4" t="s">
        <v>11</v>
      </c>
      <c r="C3399" s="7">
        <v>30.86</v>
      </c>
      <c r="D3399" s="4" t="s">
        <v>19</v>
      </c>
      <c r="E3399" s="4" t="s">
        <v>13</v>
      </c>
      <c r="F3399" s="4" t="s">
        <v>30</v>
      </c>
      <c r="G3399" s="4" t="s">
        <v>15</v>
      </c>
      <c r="H3399" s="4">
        <v>4</v>
      </c>
      <c r="I3399" s="4">
        <v>3</v>
      </c>
      <c r="J3399" s="5">
        <v>45729</v>
      </c>
      <c r="K3399" s="6">
        <v>0.40224537037037039</v>
      </c>
    </row>
    <row r="3400" spans="1:11" x14ac:dyDescent="0.25">
      <c r="A3400" s="4">
        <v>11</v>
      </c>
      <c r="B3400" s="4" t="s">
        <v>11</v>
      </c>
      <c r="C3400" s="7">
        <v>25.96</v>
      </c>
      <c r="D3400" s="4" t="s">
        <v>18</v>
      </c>
      <c r="E3400" s="4" t="s">
        <v>13</v>
      </c>
      <c r="F3400" s="4" t="s">
        <v>30</v>
      </c>
      <c r="G3400" s="4" t="s">
        <v>15</v>
      </c>
      <c r="H3400" s="4">
        <v>4</v>
      </c>
      <c r="I3400" s="4">
        <v>3</v>
      </c>
      <c r="J3400" s="5">
        <v>45729</v>
      </c>
      <c r="K3400" s="6">
        <v>0.47085648148148146</v>
      </c>
    </row>
    <row r="3401" spans="1:11" x14ac:dyDescent="0.25">
      <c r="A3401" s="4">
        <v>12</v>
      </c>
      <c r="B3401" s="4" t="s">
        <v>11</v>
      </c>
      <c r="C3401" s="7">
        <v>35.76</v>
      </c>
      <c r="D3401" s="4" t="s">
        <v>12</v>
      </c>
      <c r="E3401" s="4" t="s">
        <v>17</v>
      </c>
      <c r="F3401" s="4" t="s">
        <v>30</v>
      </c>
      <c r="G3401" s="4" t="s">
        <v>15</v>
      </c>
      <c r="H3401" s="4">
        <v>4</v>
      </c>
      <c r="I3401" s="4">
        <v>3</v>
      </c>
      <c r="J3401" s="5">
        <v>45729</v>
      </c>
      <c r="K3401" s="6">
        <v>0.50945601851851852</v>
      </c>
    </row>
    <row r="3402" spans="1:11" x14ac:dyDescent="0.25">
      <c r="A3402" s="4">
        <v>14</v>
      </c>
      <c r="B3402" s="4" t="s">
        <v>11</v>
      </c>
      <c r="C3402" s="7">
        <v>30.86</v>
      </c>
      <c r="D3402" s="4" t="s">
        <v>19</v>
      </c>
      <c r="E3402" s="4" t="s">
        <v>17</v>
      </c>
      <c r="F3402" s="4" t="s">
        <v>30</v>
      </c>
      <c r="G3402" s="4" t="s">
        <v>15</v>
      </c>
      <c r="H3402" s="4">
        <v>4</v>
      </c>
      <c r="I3402" s="4">
        <v>3</v>
      </c>
      <c r="J3402" s="5">
        <v>45729</v>
      </c>
      <c r="K3402" s="6">
        <v>0.62071759259259263</v>
      </c>
    </row>
    <row r="3403" spans="1:11" x14ac:dyDescent="0.25">
      <c r="A3403" s="4">
        <v>14</v>
      </c>
      <c r="B3403" s="4" t="s">
        <v>11</v>
      </c>
      <c r="C3403" s="7">
        <v>25.96</v>
      </c>
      <c r="D3403" s="4" t="s">
        <v>18</v>
      </c>
      <c r="E3403" s="4" t="s">
        <v>17</v>
      </c>
      <c r="F3403" s="4" t="s">
        <v>30</v>
      </c>
      <c r="G3403" s="4" t="s">
        <v>15</v>
      </c>
      <c r="H3403" s="4">
        <v>4</v>
      </c>
      <c r="I3403" s="4">
        <v>3</v>
      </c>
      <c r="J3403" s="5">
        <v>45729</v>
      </c>
      <c r="K3403" s="6">
        <v>0.62188657407407411</v>
      </c>
    </row>
    <row r="3404" spans="1:11" x14ac:dyDescent="0.25">
      <c r="A3404" s="4">
        <v>18</v>
      </c>
      <c r="B3404" s="4" t="s">
        <v>11</v>
      </c>
      <c r="C3404" s="7">
        <v>35.76</v>
      </c>
      <c r="D3404" s="4" t="s">
        <v>29</v>
      </c>
      <c r="E3404" s="4" t="s">
        <v>20</v>
      </c>
      <c r="F3404" s="4" t="s">
        <v>30</v>
      </c>
      <c r="G3404" s="4" t="s">
        <v>15</v>
      </c>
      <c r="H3404" s="4">
        <v>4</v>
      </c>
      <c r="I3404" s="4">
        <v>3</v>
      </c>
      <c r="J3404" s="5">
        <v>45729</v>
      </c>
      <c r="K3404" s="6">
        <v>0.78313657407407411</v>
      </c>
    </row>
    <row r="3405" spans="1:11" x14ac:dyDescent="0.25">
      <c r="A3405" s="4">
        <v>7</v>
      </c>
      <c r="B3405" s="4" t="s">
        <v>11</v>
      </c>
      <c r="C3405" s="7">
        <v>25.96</v>
      </c>
      <c r="D3405" s="4" t="s">
        <v>18</v>
      </c>
      <c r="E3405" s="4" t="s">
        <v>13</v>
      </c>
      <c r="F3405" s="4" t="s">
        <v>14</v>
      </c>
      <c r="G3405" s="4" t="s">
        <v>15</v>
      </c>
      <c r="H3405" s="4">
        <v>5</v>
      </c>
      <c r="I3405" s="4">
        <v>3</v>
      </c>
      <c r="J3405" s="5">
        <v>45730</v>
      </c>
      <c r="K3405" s="6">
        <v>0.32991898148148147</v>
      </c>
    </row>
    <row r="3406" spans="1:11" x14ac:dyDescent="0.25">
      <c r="A3406" s="4">
        <v>8</v>
      </c>
      <c r="B3406" s="4" t="s">
        <v>11</v>
      </c>
      <c r="C3406" s="7">
        <v>30.86</v>
      </c>
      <c r="D3406" s="4" t="s">
        <v>19</v>
      </c>
      <c r="E3406" s="4" t="s">
        <v>13</v>
      </c>
      <c r="F3406" s="4" t="s">
        <v>14</v>
      </c>
      <c r="G3406" s="4" t="s">
        <v>15</v>
      </c>
      <c r="H3406" s="4">
        <v>5</v>
      </c>
      <c r="I3406" s="4">
        <v>3</v>
      </c>
      <c r="J3406" s="5">
        <v>45730</v>
      </c>
      <c r="K3406" s="6">
        <v>0.34282407407407406</v>
      </c>
    </row>
    <row r="3407" spans="1:11" x14ac:dyDescent="0.25">
      <c r="A3407" s="4">
        <v>8</v>
      </c>
      <c r="B3407" s="4" t="s">
        <v>11</v>
      </c>
      <c r="C3407" s="7">
        <v>25.96</v>
      </c>
      <c r="D3407" s="4" t="s">
        <v>18</v>
      </c>
      <c r="E3407" s="4" t="s">
        <v>13</v>
      </c>
      <c r="F3407" s="4" t="s">
        <v>14</v>
      </c>
      <c r="G3407" s="4" t="s">
        <v>15</v>
      </c>
      <c r="H3407" s="4">
        <v>5</v>
      </c>
      <c r="I3407" s="4">
        <v>3</v>
      </c>
      <c r="J3407" s="5">
        <v>45730</v>
      </c>
      <c r="K3407" s="6">
        <v>0.37460648148148146</v>
      </c>
    </row>
    <row r="3408" spans="1:11" x14ac:dyDescent="0.25">
      <c r="A3408" s="4">
        <v>9</v>
      </c>
      <c r="B3408" s="4" t="s">
        <v>11</v>
      </c>
      <c r="C3408" s="7">
        <v>35.76</v>
      </c>
      <c r="D3408" s="4" t="s">
        <v>12</v>
      </c>
      <c r="E3408" s="4" t="s">
        <v>13</v>
      </c>
      <c r="F3408" s="4" t="s">
        <v>14</v>
      </c>
      <c r="G3408" s="4" t="s">
        <v>15</v>
      </c>
      <c r="H3408" s="4">
        <v>5</v>
      </c>
      <c r="I3408" s="4">
        <v>3</v>
      </c>
      <c r="J3408" s="5">
        <v>45730</v>
      </c>
      <c r="K3408" s="6">
        <v>0.37533564814814813</v>
      </c>
    </row>
    <row r="3409" spans="1:11" x14ac:dyDescent="0.25">
      <c r="A3409" s="4">
        <v>9</v>
      </c>
      <c r="B3409" s="4" t="s">
        <v>11</v>
      </c>
      <c r="C3409" s="7">
        <v>21.06</v>
      </c>
      <c r="D3409" s="4" t="s">
        <v>26</v>
      </c>
      <c r="E3409" s="4" t="s">
        <v>13</v>
      </c>
      <c r="F3409" s="4" t="s">
        <v>14</v>
      </c>
      <c r="G3409" s="4" t="s">
        <v>15</v>
      </c>
      <c r="H3409" s="4">
        <v>5</v>
      </c>
      <c r="I3409" s="4">
        <v>3</v>
      </c>
      <c r="J3409" s="5">
        <v>45730</v>
      </c>
      <c r="K3409" s="6">
        <v>0.3931365740740741</v>
      </c>
    </row>
    <row r="3410" spans="1:11" x14ac:dyDescent="0.25">
      <c r="A3410" s="4">
        <v>9</v>
      </c>
      <c r="B3410" s="4" t="s">
        <v>11</v>
      </c>
      <c r="C3410" s="7">
        <v>25.96</v>
      </c>
      <c r="D3410" s="4" t="s">
        <v>18</v>
      </c>
      <c r="E3410" s="4" t="s">
        <v>13</v>
      </c>
      <c r="F3410" s="4" t="s">
        <v>14</v>
      </c>
      <c r="G3410" s="4" t="s">
        <v>15</v>
      </c>
      <c r="H3410" s="4">
        <v>5</v>
      </c>
      <c r="I3410" s="4">
        <v>3</v>
      </c>
      <c r="J3410" s="5">
        <v>45730</v>
      </c>
      <c r="K3410" s="6">
        <v>0.3948726851851852</v>
      </c>
    </row>
    <row r="3411" spans="1:11" x14ac:dyDescent="0.25">
      <c r="A3411" s="4">
        <v>10</v>
      </c>
      <c r="B3411" s="4" t="s">
        <v>11</v>
      </c>
      <c r="C3411" s="7">
        <v>25.96</v>
      </c>
      <c r="D3411" s="4" t="s">
        <v>18</v>
      </c>
      <c r="E3411" s="4" t="s">
        <v>13</v>
      </c>
      <c r="F3411" s="4" t="s">
        <v>14</v>
      </c>
      <c r="G3411" s="4" t="s">
        <v>15</v>
      </c>
      <c r="H3411" s="4">
        <v>5</v>
      </c>
      <c r="I3411" s="4">
        <v>3</v>
      </c>
      <c r="J3411" s="5">
        <v>45730</v>
      </c>
      <c r="K3411" s="6">
        <v>0.43114583333333334</v>
      </c>
    </row>
    <row r="3412" spans="1:11" x14ac:dyDescent="0.25">
      <c r="A3412" s="4">
        <v>10</v>
      </c>
      <c r="B3412" s="4" t="s">
        <v>11</v>
      </c>
      <c r="C3412" s="7">
        <v>35.76</v>
      </c>
      <c r="D3412" s="4" t="s">
        <v>12</v>
      </c>
      <c r="E3412" s="4" t="s">
        <v>13</v>
      </c>
      <c r="F3412" s="4" t="s">
        <v>14</v>
      </c>
      <c r="G3412" s="4" t="s">
        <v>15</v>
      </c>
      <c r="H3412" s="4">
        <v>5</v>
      </c>
      <c r="I3412" s="4">
        <v>3</v>
      </c>
      <c r="J3412" s="5">
        <v>45730</v>
      </c>
      <c r="K3412" s="6">
        <v>0.45025462962962964</v>
      </c>
    </row>
    <row r="3413" spans="1:11" x14ac:dyDescent="0.25">
      <c r="A3413" s="4">
        <v>10</v>
      </c>
      <c r="B3413" s="4" t="s">
        <v>11</v>
      </c>
      <c r="C3413" s="7">
        <v>35.76</v>
      </c>
      <c r="D3413" s="4" t="s">
        <v>29</v>
      </c>
      <c r="E3413" s="4" t="s">
        <v>13</v>
      </c>
      <c r="F3413" s="4" t="s">
        <v>14</v>
      </c>
      <c r="G3413" s="4" t="s">
        <v>15</v>
      </c>
      <c r="H3413" s="4">
        <v>5</v>
      </c>
      <c r="I3413" s="4">
        <v>3</v>
      </c>
      <c r="J3413" s="5">
        <v>45730</v>
      </c>
      <c r="K3413" s="6">
        <v>0.45100694444444445</v>
      </c>
    </row>
    <row r="3414" spans="1:11" x14ac:dyDescent="0.25">
      <c r="A3414" s="4">
        <v>14</v>
      </c>
      <c r="B3414" s="4" t="s">
        <v>11</v>
      </c>
      <c r="C3414" s="7">
        <v>25.96</v>
      </c>
      <c r="D3414" s="4" t="s">
        <v>18</v>
      </c>
      <c r="E3414" s="4" t="s">
        <v>17</v>
      </c>
      <c r="F3414" s="4" t="s">
        <v>14</v>
      </c>
      <c r="G3414" s="4" t="s">
        <v>15</v>
      </c>
      <c r="H3414" s="4">
        <v>5</v>
      </c>
      <c r="I3414" s="4">
        <v>3</v>
      </c>
      <c r="J3414" s="5">
        <v>45730</v>
      </c>
      <c r="K3414" s="6">
        <v>0.60783564814814817</v>
      </c>
    </row>
    <row r="3415" spans="1:11" x14ac:dyDescent="0.25">
      <c r="A3415" s="4">
        <v>14</v>
      </c>
      <c r="B3415" s="4" t="s">
        <v>11</v>
      </c>
      <c r="C3415" s="7">
        <v>35.76</v>
      </c>
      <c r="D3415" s="4" t="s">
        <v>12</v>
      </c>
      <c r="E3415" s="4" t="s">
        <v>17</v>
      </c>
      <c r="F3415" s="4" t="s">
        <v>14</v>
      </c>
      <c r="G3415" s="4" t="s">
        <v>15</v>
      </c>
      <c r="H3415" s="4">
        <v>5</v>
      </c>
      <c r="I3415" s="4">
        <v>3</v>
      </c>
      <c r="J3415" s="5">
        <v>45730</v>
      </c>
      <c r="K3415" s="6">
        <v>0.60857638888888888</v>
      </c>
    </row>
    <row r="3416" spans="1:11" x14ac:dyDescent="0.25">
      <c r="A3416" s="4">
        <v>15</v>
      </c>
      <c r="B3416" s="4" t="s">
        <v>11</v>
      </c>
      <c r="C3416" s="7">
        <v>35.76</v>
      </c>
      <c r="D3416" s="4" t="s">
        <v>12</v>
      </c>
      <c r="E3416" s="4" t="s">
        <v>17</v>
      </c>
      <c r="F3416" s="4" t="s">
        <v>14</v>
      </c>
      <c r="G3416" s="4" t="s">
        <v>15</v>
      </c>
      <c r="H3416" s="4">
        <v>5</v>
      </c>
      <c r="I3416" s="4">
        <v>3</v>
      </c>
      <c r="J3416" s="5">
        <v>45730</v>
      </c>
      <c r="K3416" s="6">
        <v>0.66273148148148153</v>
      </c>
    </row>
    <row r="3417" spans="1:11" x14ac:dyDescent="0.25">
      <c r="A3417" s="4">
        <v>15</v>
      </c>
      <c r="B3417" s="4" t="s">
        <v>11</v>
      </c>
      <c r="C3417" s="7">
        <v>35.76</v>
      </c>
      <c r="D3417" s="4" t="s">
        <v>12</v>
      </c>
      <c r="E3417" s="4" t="s">
        <v>17</v>
      </c>
      <c r="F3417" s="4" t="s">
        <v>14</v>
      </c>
      <c r="G3417" s="4" t="s">
        <v>15</v>
      </c>
      <c r="H3417" s="4">
        <v>5</v>
      </c>
      <c r="I3417" s="4">
        <v>3</v>
      </c>
      <c r="J3417" s="5">
        <v>45730</v>
      </c>
      <c r="K3417" s="6">
        <v>0.66365740740740742</v>
      </c>
    </row>
    <row r="3418" spans="1:11" x14ac:dyDescent="0.25">
      <c r="A3418" s="4">
        <v>16</v>
      </c>
      <c r="B3418" s="4" t="s">
        <v>11</v>
      </c>
      <c r="C3418" s="7">
        <v>25.96</v>
      </c>
      <c r="D3418" s="4" t="s">
        <v>18</v>
      </c>
      <c r="E3418" s="4" t="s">
        <v>17</v>
      </c>
      <c r="F3418" s="4" t="s">
        <v>14</v>
      </c>
      <c r="G3418" s="4" t="s">
        <v>15</v>
      </c>
      <c r="H3418" s="4">
        <v>5</v>
      </c>
      <c r="I3418" s="4">
        <v>3</v>
      </c>
      <c r="J3418" s="5">
        <v>45730</v>
      </c>
      <c r="K3418" s="6">
        <v>0.68546296296296294</v>
      </c>
    </row>
    <row r="3419" spans="1:11" x14ac:dyDescent="0.25">
      <c r="A3419" s="4">
        <v>16</v>
      </c>
      <c r="B3419" s="4" t="s">
        <v>11</v>
      </c>
      <c r="C3419" s="7">
        <v>35.76</v>
      </c>
      <c r="D3419" s="4" t="s">
        <v>21</v>
      </c>
      <c r="E3419" s="4" t="s">
        <v>17</v>
      </c>
      <c r="F3419" s="4" t="s">
        <v>14</v>
      </c>
      <c r="G3419" s="4" t="s">
        <v>15</v>
      </c>
      <c r="H3419" s="4">
        <v>5</v>
      </c>
      <c r="I3419" s="4">
        <v>3</v>
      </c>
      <c r="J3419" s="5">
        <v>45730</v>
      </c>
      <c r="K3419" s="6">
        <v>0.68819444444444444</v>
      </c>
    </row>
    <row r="3420" spans="1:11" x14ac:dyDescent="0.25">
      <c r="A3420" s="4">
        <v>16</v>
      </c>
      <c r="B3420" s="4" t="s">
        <v>11</v>
      </c>
      <c r="C3420" s="7">
        <v>35.76</v>
      </c>
      <c r="D3420" s="4" t="s">
        <v>21</v>
      </c>
      <c r="E3420" s="4" t="s">
        <v>17</v>
      </c>
      <c r="F3420" s="4" t="s">
        <v>14</v>
      </c>
      <c r="G3420" s="4" t="s">
        <v>15</v>
      </c>
      <c r="H3420" s="4">
        <v>5</v>
      </c>
      <c r="I3420" s="4">
        <v>3</v>
      </c>
      <c r="J3420" s="5">
        <v>45730</v>
      </c>
      <c r="K3420" s="6">
        <v>0.68883101851851847</v>
      </c>
    </row>
    <row r="3421" spans="1:11" x14ac:dyDescent="0.25">
      <c r="A3421" s="4">
        <v>16</v>
      </c>
      <c r="B3421" s="4" t="s">
        <v>11</v>
      </c>
      <c r="C3421" s="7">
        <v>35.76</v>
      </c>
      <c r="D3421" s="4" t="s">
        <v>21</v>
      </c>
      <c r="E3421" s="4" t="s">
        <v>17</v>
      </c>
      <c r="F3421" s="4" t="s">
        <v>14</v>
      </c>
      <c r="G3421" s="4" t="s">
        <v>15</v>
      </c>
      <c r="H3421" s="4">
        <v>5</v>
      </c>
      <c r="I3421" s="4">
        <v>3</v>
      </c>
      <c r="J3421" s="5">
        <v>45730</v>
      </c>
      <c r="K3421" s="6">
        <v>0.68935185185185188</v>
      </c>
    </row>
    <row r="3422" spans="1:11" x14ac:dyDescent="0.25">
      <c r="A3422" s="4">
        <v>17</v>
      </c>
      <c r="B3422" s="4" t="s">
        <v>11</v>
      </c>
      <c r="C3422" s="7">
        <v>25.96</v>
      </c>
      <c r="D3422" s="4" t="s">
        <v>18</v>
      </c>
      <c r="E3422" s="4" t="s">
        <v>20</v>
      </c>
      <c r="F3422" s="4" t="s">
        <v>14</v>
      </c>
      <c r="G3422" s="4" t="s">
        <v>15</v>
      </c>
      <c r="H3422" s="4">
        <v>5</v>
      </c>
      <c r="I3422" s="4">
        <v>3</v>
      </c>
      <c r="J3422" s="5">
        <v>45730</v>
      </c>
      <c r="K3422" s="6">
        <v>0.71208333333333329</v>
      </c>
    </row>
    <row r="3423" spans="1:11" x14ac:dyDescent="0.25">
      <c r="A3423" s="4">
        <v>17</v>
      </c>
      <c r="B3423" s="4" t="s">
        <v>11</v>
      </c>
      <c r="C3423" s="7">
        <v>25.96</v>
      </c>
      <c r="D3423" s="4" t="s">
        <v>18</v>
      </c>
      <c r="E3423" s="4" t="s">
        <v>20</v>
      </c>
      <c r="F3423" s="4" t="s">
        <v>14</v>
      </c>
      <c r="G3423" s="4" t="s">
        <v>15</v>
      </c>
      <c r="H3423" s="4">
        <v>5</v>
      </c>
      <c r="I3423" s="4">
        <v>3</v>
      </c>
      <c r="J3423" s="5">
        <v>45730</v>
      </c>
      <c r="K3423" s="6">
        <v>0.72377314814814819</v>
      </c>
    </row>
    <row r="3424" spans="1:11" x14ac:dyDescent="0.25">
      <c r="A3424" s="4">
        <v>17</v>
      </c>
      <c r="B3424" s="4" t="s">
        <v>11</v>
      </c>
      <c r="C3424" s="7">
        <v>35.76</v>
      </c>
      <c r="D3424" s="4" t="s">
        <v>12</v>
      </c>
      <c r="E3424" s="4" t="s">
        <v>20</v>
      </c>
      <c r="F3424" s="4" t="s">
        <v>14</v>
      </c>
      <c r="G3424" s="4" t="s">
        <v>15</v>
      </c>
      <c r="H3424" s="4">
        <v>5</v>
      </c>
      <c r="I3424" s="4">
        <v>3</v>
      </c>
      <c r="J3424" s="5">
        <v>45730</v>
      </c>
      <c r="K3424" s="6">
        <v>0.72725694444444444</v>
      </c>
    </row>
    <row r="3425" spans="1:11" x14ac:dyDescent="0.25">
      <c r="A3425" s="4">
        <v>17</v>
      </c>
      <c r="B3425" s="4" t="s">
        <v>11</v>
      </c>
      <c r="C3425" s="7">
        <v>35.76</v>
      </c>
      <c r="D3425" s="4" t="s">
        <v>12</v>
      </c>
      <c r="E3425" s="4" t="s">
        <v>20</v>
      </c>
      <c r="F3425" s="4" t="s">
        <v>14</v>
      </c>
      <c r="G3425" s="4" t="s">
        <v>15</v>
      </c>
      <c r="H3425" s="4">
        <v>5</v>
      </c>
      <c r="I3425" s="4">
        <v>3</v>
      </c>
      <c r="J3425" s="5">
        <v>45730</v>
      </c>
      <c r="K3425" s="6">
        <v>0.72821759259259256</v>
      </c>
    </row>
    <row r="3426" spans="1:11" x14ac:dyDescent="0.25">
      <c r="A3426" s="4">
        <v>20</v>
      </c>
      <c r="B3426" s="4" t="s">
        <v>11</v>
      </c>
      <c r="C3426" s="7">
        <v>25.96</v>
      </c>
      <c r="D3426" s="4" t="s">
        <v>18</v>
      </c>
      <c r="E3426" s="4" t="s">
        <v>20</v>
      </c>
      <c r="F3426" s="4" t="s">
        <v>14</v>
      </c>
      <c r="G3426" s="4" t="s">
        <v>15</v>
      </c>
      <c r="H3426" s="4">
        <v>5</v>
      </c>
      <c r="I3426" s="4">
        <v>3</v>
      </c>
      <c r="J3426" s="5">
        <v>45730</v>
      </c>
      <c r="K3426" s="6">
        <v>0.84747685185185184</v>
      </c>
    </row>
    <row r="3427" spans="1:11" x14ac:dyDescent="0.25">
      <c r="A3427" s="4">
        <v>21</v>
      </c>
      <c r="B3427" s="4" t="s">
        <v>11</v>
      </c>
      <c r="C3427" s="7">
        <v>25.96</v>
      </c>
      <c r="D3427" s="4" t="s">
        <v>18</v>
      </c>
      <c r="E3427" s="4" t="s">
        <v>20</v>
      </c>
      <c r="F3427" s="4" t="s">
        <v>14</v>
      </c>
      <c r="G3427" s="4" t="s">
        <v>15</v>
      </c>
      <c r="H3427" s="4">
        <v>5</v>
      </c>
      <c r="I3427" s="4">
        <v>3</v>
      </c>
      <c r="J3427" s="5">
        <v>45730</v>
      </c>
      <c r="K3427" s="6">
        <v>0.90327546296296302</v>
      </c>
    </row>
    <row r="3428" spans="1:11" x14ac:dyDescent="0.25">
      <c r="A3428" s="4">
        <v>9</v>
      </c>
      <c r="B3428" s="4" t="s">
        <v>11</v>
      </c>
      <c r="C3428" s="7">
        <v>30.86</v>
      </c>
      <c r="D3428" s="4" t="s">
        <v>19</v>
      </c>
      <c r="E3428" s="4" t="s">
        <v>13</v>
      </c>
      <c r="F3428" s="4" t="s">
        <v>22</v>
      </c>
      <c r="G3428" s="4" t="s">
        <v>15</v>
      </c>
      <c r="H3428" s="4">
        <v>6</v>
      </c>
      <c r="I3428" s="4">
        <v>3</v>
      </c>
      <c r="J3428" s="5">
        <v>45731</v>
      </c>
      <c r="K3428" s="6">
        <v>0.41206018518518517</v>
      </c>
    </row>
    <row r="3429" spans="1:11" x14ac:dyDescent="0.25">
      <c r="A3429" s="4">
        <v>10</v>
      </c>
      <c r="B3429" s="4" t="s">
        <v>11</v>
      </c>
      <c r="C3429" s="7">
        <v>35.76</v>
      </c>
      <c r="D3429" s="4" t="s">
        <v>29</v>
      </c>
      <c r="E3429" s="4" t="s">
        <v>13</v>
      </c>
      <c r="F3429" s="4" t="s">
        <v>22</v>
      </c>
      <c r="G3429" s="4" t="s">
        <v>15</v>
      </c>
      <c r="H3429" s="4">
        <v>6</v>
      </c>
      <c r="I3429" s="4">
        <v>3</v>
      </c>
      <c r="J3429" s="5">
        <v>45731</v>
      </c>
      <c r="K3429" s="6">
        <v>0.41900462962962964</v>
      </c>
    </row>
    <row r="3430" spans="1:11" x14ac:dyDescent="0.25">
      <c r="A3430" s="4">
        <v>13</v>
      </c>
      <c r="B3430" s="4" t="s">
        <v>11</v>
      </c>
      <c r="C3430" s="7">
        <v>25.96</v>
      </c>
      <c r="D3430" s="4" t="s">
        <v>18</v>
      </c>
      <c r="E3430" s="4" t="s">
        <v>17</v>
      </c>
      <c r="F3430" s="4" t="s">
        <v>22</v>
      </c>
      <c r="G3430" s="4" t="s">
        <v>15</v>
      </c>
      <c r="H3430" s="4">
        <v>6</v>
      </c>
      <c r="I3430" s="4">
        <v>3</v>
      </c>
      <c r="J3430" s="5">
        <v>45731</v>
      </c>
      <c r="K3430" s="6">
        <v>0.5803356481481482</v>
      </c>
    </row>
    <row r="3431" spans="1:11" x14ac:dyDescent="0.25">
      <c r="A3431" s="4">
        <v>17</v>
      </c>
      <c r="B3431" s="4" t="s">
        <v>11</v>
      </c>
      <c r="C3431" s="7">
        <v>35.76</v>
      </c>
      <c r="D3431" s="4" t="s">
        <v>29</v>
      </c>
      <c r="E3431" s="4" t="s">
        <v>20</v>
      </c>
      <c r="F3431" s="4" t="s">
        <v>22</v>
      </c>
      <c r="G3431" s="4" t="s">
        <v>15</v>
      </c>
      <c r="H3431" s="4">
        <v>6</v>
      </c>
      <c r="I3431" s="4">
        <v>3</v>
      </c>
      <c r="J3431" s="5">
        <v>45731</v>
      </c>
      <c r="K3431" s="6">
        <v>0.71554398148148146</v>
      </c>
    </row>
    <row r="3432" spans="1:11" x14ac:dyDescent="0.25">
      <c r="A3432" s="4">
        <v>17</v>
      </c>
      <c r="B3432" s="4" t="s">
        <v>11</v>
      </c>
      <c r="C3432" s="7">
        <v>30.86</v>
      </c>
      <c r="D3432" s="4" t="s">
        <v>19</v>
      </c>
      <c r="E3432" s="4" t="s">
        <v>20</v>
      </c>
      <c r="F3432" s="4" t="s">
        <v>22</v>
      </c>
      <c r="G3432" s="4" t="s">
        <v>15</v>
      </c>
      <c r="H3432" s="4">
        <v>6</v>
      </c>
      <c r="I3432" s="4">
        <v>3</v>
      </c>
      <c r="J3432" s="5">
        <v>45731</v>
      </c>
      <c r="K3432" s="6">
        <v>0.71675925925925921</v>
      </c>
    </row>
    <row r="3433" spans="1:11" x14ac:dyDescent="0.25">
      <c r="A3433" s="4">
        <v>19</v>
      </c>
      <c r="B3433" s="4" t="s">
        <v>11</v>
      </c>
      <c r="C3433" s="7">
        <v>30.86</v>
      </c>
      <c r="D3433" s="4" t="s">
        <v>19</v>
      </c>
      <c r="E3433" s="4" t="s">
        <v>20</v>
      </c>
      <c r="F3433" s="4" t="s">
        <v>22</v>
      </c>
      <c r="G3433" s="4" t="s">
        <v>15</v>
      </c>
      <c r="H3433" s="4">
        <v>6</v>
      </c>
      <c r="I3433" s="4">
        <v>3</v>
      </c>
      <c r="J3433" s="5">
        <v>45731</v>
      </c>
      <c r="K3433" s="6">
        <v>0.81291666666666662</v>
      </c>
    </row>
    <row r="3434" spans="1:11" x14ac:dyDescent="0.25">
      <c r="A3434" s="4">
        <v>19</v>
      </c>
      <c r="B3434" s="4" t="s">
        <v>11</v>
      </c>
      <c r="C3434" s="7">
        <v>35.76</v>
      </c>
      <c r="D3434" s="4" t="s">
        <v>29</v>
      </c>
      <c r="E3434" s="4" t="s">
        <v>20</v>
      </c>
      <c r="F3434" s="4" t="s">
        <v>22</v>
      </c>
      <c r="G3434" s="4" t="s">
        <v>15</v>
      </c>
      <c r="H3434" s="4">
        <v>6</v>
      </c>
      <c r="I3434" s="4">
        <v>3</v>
      </c>
      <c r="J3434" s="5">
        <v>45731</v>
      </c>
      <c r="K3434" s="6">
        <v>0.82739583333333333</v>
      </c>
    </row>
    <row r="3435" spans="1:11" x14ac:dyDescent="0.25">
      <c r="A3435" s="4">
        <v>9</v>
      </c>
      <c r="B3435" s="4" t="s">
        <v>11</v>
      </c>
      <c r="C3435" s="7">
        <v>35.76</v>
      </c>
      <c r="D3435" s="4" t="s">
        <v>29</v>
      </c>
      <c r="E3435" s="4" t="s">
        <v>13</v>
      </c>
      <c r="F3435" s="4" t="s">
        <v>23</v>
      </c>
      <c r="G3435" s="4" t="s">
        <v>15</v>
      </c>
      <c r="H3435" s="4">
        <v>7</v>
      </c>
      <c r="I3435" s="4">
        <v>3</v>
      </c>
      <c r="J3435" s="5">
        <v>45732</v>
      </c>
      <c r="K3435" s="6">
        <v>0.39741898148148147</v>
      </c>
    </row>
    <row r="3436" spans="1:11" x14ac:dyDescent="0.25">
      <c r="A3436" s="4">
        <v>9</v>
      </c>
      <c r="B3436" s="4" t="s">
        <v>11</v>
      </c>
      <c r="C3436" s="7">
        <v>30.86</v>
      </c>
      <c r="D3436" s="4" t="s">
        <v>19</v>
      </c>
      <c r="E3436" s="4" t="s">
        <v>13</v>
      </c>
      <c r="F3436" s="4" t="s">
        <v>23</v>
      </c>
      <c r="G3436" s="4" t="s">
        <v>15</v>
      </c>
      <c r="H3436" s="4">
        <v>7</v>
      </c>
      <c r="I3436" s="4">
        <v>3</v>
      </c>
      <c r="J3436" s="5">
        <v>45732</v>
      </c>
      <c r="K3436" s="6">
        <v>0.40026620370370369</v>
      </c>
    </row>
    <row r="3437" spans="1:11" x14ac:dyDescent="0.25">
      <c r="A3437" s="4">
        <v>10</v>
      </c>
      <c r="B3437" s="4" t="s">
        <v>11</v>
      </c>
      <c r="C3437" s="7">
        <v>35.76</v>
      </c>
      <c r="D3437" s="4" t="s">
        <v>12</v>
      </c>
      <c r="E3437" s="4" t="s">
        <v>13</v>
      </c>
      <c r="F3437" s="4" t="s">
        <v>23</v>
      </c>
      <c r="G3437" s="4" t="s">
        <v>15</v>
      </c>
      <c r="H3437" s="4">
        <v>7</v>
      </c>
      <c r="I3437" s="4">
        <v>3</v>
      </c>
      <c r="J3437" s="5">
        <v>45732</v>
      </c>
      <c r="K3437" s="6">
        <v>0.45149305555555558</v>
      </c>
    </row>
    <row r="3438" spans="1:11" x14ac:dyDescent="0.25">
      <c r="A3438" s="4">
        <v>12</v>
      </c>
      <c r="B3438" s="4" t="s">
        <v>11</v>
      </c>
      <c r="C3438" s="7">
        <v>35.76</v>
      </c>
      <c r="D3438" s="4" t="s">
        <v>16</v>
      </c>
      <c r="E3438" s="4" t="s">
        <v>17</v>
      </c>
      <c r="F3438" s="4" t="s">
        <v>23</v>
      </c>
      <c r="G3438" s="4" t="s">
        <v>15</v>
      </c>
      <c r="H3438" s="4">
        <v>7</v>
      </c>
      <c r="I3438" s="4">
        <v>3</v>
      </c>
      <c r="J3438" s="5">
        <v>45732</v>
      </c>
      <c r="K3438" s="6">
        <v>0.50054398148148149</v>
      </c>
    </row>
    <row r="3439" spans="1:11" x14ac:dyDescent="0.25">
      <c r="A3439" s="4">
        <v>14</v>
      </c>
      <c r="B3439" s="4" t="s">
        <v>11</v>
      </c>
      <c r="C3439" s="7">
        <v>25.96</v>
      </c>
      <c r="D3439" s="4" t="s">
        <v>18</v>
      </c>
      <c r="E3439" s="4" t="s">
        <v>17</v>
      </c>
      <c r="F3439" s="4" t="s">
        <v>23</v>
      </c>
      <c r="G3439" s="4" t="s">
        <v>15</v>
      </c>
      <c r="H3439" s="4">
        <v>7</v>
      </c>
      <c r="I3439" s="4">
        <v>3</v>
      </c>
      <c r="J3439" s="5">
        <v>45732</v>
      </c>
      <c r="K3439" s="6">
        <v>0.59909722222222217</v>
      </c>
    </row>
    <row r="3440" spans="1:11" x14ac:dyDescent="0.25">
      <c r="A3440" s="4">
        <v>6</v>
      </c>
      <c r="B3440" s="4" t="s">
        <v>11</v>
      </c>
      <c r="C3440" s="7">
        <v>25.96</v>
      </c>
      <c r="D3440" s="4" t="s">
        <v>18</v>
      </c>
      <c r="E3440" s="4" t="s">
        <v>13</v>
      </c>
      <c r="F3440" s="4" t="s">
        <v>25</v>
      </c>
      <c r="G3440" s="4" t="s">
        <v>15</v>
      </c>
      <c r="H3440" s="4">
        <v>1</v>
      </c>
      <c r="I3440" s="4">
        <v>3</v>
      </c>
      <c r="J3440" s="5">
        <v>45733</v>
      </c>
      <c r="K3440" s="6">
        <v>0.28796296296296298</v>
      </c>
    </row>
    <row r="3441" spans="1:11" x14ac:dyDescent="0.25">
      <c r="A3441" s="4">
        <v>8</v>
      </c>
      <c r="B3441" s="4" t="s">
        <v>11</v>
      </c>
      <c r="C3441" s="7">
        <v>25.96</v>
      </c>
      <c r="D3441" s="4" t="s">
        <v>18</v>
      </c>
      <c r="E3441" s="4" t="s">
        <v>13</v>
      </c>
      <c r="F3441" s="4" t="s">
        <v>25</v>
      </c>
      <c r="G3441" s="4" t="s">
        <v>15</v>
      </c>
      <c r="H3441" s="4">
        <v>1</v>
      </c>
      <c r="I3441" s="4">
        <v>3</v>
      </c>
      <c r="J3441" s="5">
        <v>45733</v>
      </c>
      <c r="K3441" s="6">
        <v>0.34016203703703701</v>
      </c>
    </row>
    <row r="3442" spans="1:11" x14ac:dyDescent="0.25">
      <c r="A3442" s="4">
        <v>8</v>
      </c>
      <c r="B3442" s="4" t="s">
        <v>11</v>
      </c>
      <c r="C3442" s="7">
        <v>25.96</v>
      </c>
      <c r="D3442" s="4" t="s">
        <v>18</v>
      </c>
      <c r="E3442" s="4" t="s">
        <v>13</v>
      </c>
      <c r="F3442" s="4" t="s">
        <v>25</v>
      </c>
      <c r="G3442" s="4" t="s">
        <v>15</v>
      </c>
      <c r="H3442" s="4">
        <v>1</v>
      </c>
      <c r="I3442" s="4">
        <v>3</v>
      </c>
      <c r="J3442" s="5">
        <v>45733</v>
      </c>
      <c r="K3442" s="6">
        <v>0.34585648148148146</v>
      </c>
    </row>
    <row r="3443" spans="1:11" x14ac:dyDescent="0.25">
      <c r="A3443" s="4">
        <v>9</v>
      </c>
      <c r="B3443" s="4" t="s">
        <v>11</v>
      </c>
      <c r="C3443" s="7">
        <v>30.86</v>
      </c>
      <c r="D3443" s="4" t="s">
        <v>19</v>
      </c>
      <c r="E3443" s="4" t="s">
        <v>13</v>
      </c>
      <c r="F3443" s="4" t="s">
        <v>25</v>
      </c>
      <c r="G3443" s="4" t="s">
        <v>15</v>
      </c>
      <c r="H3443" s="4">
        <v>1</v>
      </c>
      <c r="I3443" s="4">
        <v>3</v>
      </c>
      <c r="J3443" s="5">
        <v>45733</v>
      </c>
      <c r="K3443" s="6">
        <v>0.37706018518518519</v>
      </c>
    </row>
    <row r="3444" spans="1:11" x14ac:dyDescent="0.25">
      <c r="A3444" s="4">
        <v>10</v>
      </c>
      <c r="B3444" s="4" t="s">
        <v>11</v>
      </c>
      <c r="C3444" s="7">
        <v>25.96</v>
      </c>
      <c r="D3444" s="4" t="s">
        <v>18</v>
      </c>
      <c r="E3444" s="4" t="s">
        <v>13</v>
      </c>
      <c r="F3444" s="4" t="s">
        <v>25</v>
      </c>
      <c r="G3444" s="4" t="s">
        <v>15</v>
      </c>
      <c r="H3444" s="4">
        <v>1</v>
      </c>
      <c r="I3444" s="4">
        <v>3</v>
      </c>
      <c r="J3444" s="5">
        <v>45733</v>
      </c>
      <c r="K3444" s="6">
        <v>0.43934027777777779</v>
      </c>
    </row>
    <row r="3445" spans="1:11" x14ac:dyDescent="0.25">
      <c r="A3445" s="4">
        <v>13</v>
      </c>
      <c r="B3445" s="4" t="s">
        <v>11</v>
      </c>
      <c r="C3445" s="7">
        <v>25.96</v>
      </c>
      <c r="D3445" s="4" t="s">
        <v>18</v>
      </c>
      <c r="E3445" s="4" t="s">
        <v>17</v>
      </c>
      <c r="F3445" s="4" t="s">
        <v>25</v>
      </c>
      <c r="G3445" s="4" t="s">
        <v>15</v>
      </c>
      <c r="H3445" s="4">
        <v>1</v>
      </c>
      <c r="I3445" s="4">
        <v>3</v>
      </c>
      <c r="J3445" s="5">
        <v>45733</v>
      </c>
      <c r="K3445" s="6">
        <v>0.58263888888888893</v>
      </c>
    </row>
    <row r="3446" spans="1:11" x14ac:dyDescent="0.25">
      <c r="A3446" s="4">
        <v>14</v>
      </c>
      <c r="B3446" s="4" t="s">
        <v>11</v>
      </c>
      <c r="C3446" s="7">
        <v>35.76</v>
      </c>
      <c r="D3446" s="4" t="s">
        <v>21</v>
      </c>
      <c r="E3446" s="4" t="s">
        <v>17</v>
      </c>
      <c r="F3446" s="4" t="s">
        <v>25</v>
      </c>
      <c r="G3446" s="4" t="s">
        <v>15</v>
      </c>
      <c r="H3446" s="4">
        <v>1</v>
      </c>
      <c r="I3446" s="4">
        <v>3</v>
      </c>
      <c r="J3446" s="5">
        <v>45733</v>
      </c>
      <c r="K3446" s="6">
        <v>0.59819444444444447</v>
      </c>
    </row>
    <row r="3447" spans="1:11" x14ac:dyDescent="0.25">
      <c r="A3447" s="4">
        <v>14</v>
      </c>
      <c r="B3447" s="4" t="s">
        <v>11</v>
      </c>
      <c r="C3447" s="7">
        <v>35.76</v>
      </c>
      <c r="D3447" s="4" t="s">
        <v>21</v>
      </c>
      <c r="E3447" s="4" t="s">
        <v>17</v>
      </c>
      <c r="F3447" s="4" t="s">
        <v>25</v>
      </c>
      <c r="G3447" s="4" t="s">
        <v>15</v>
      </c>
      <c r="H3447" s="4">
        <v>1</v>
      </c>
      <c r="I3447" s="4">
        <v>3</v>
      </c>
      <c r="J3447" s="5">
        <v>45733</v>
      </c>
      <c r="K3447" s="6">
        <v>0.5988310185185185</v>
      </c>
    </row>
    <row r="3448" spans="1:11" x14ac:dyDescent="0.25">
      <c r="A3448" s="4">
        <v>14</v>
      </c>
      <c r="B3448" s="4" t="s">
        <v>11</v>
      </c>
      <c r="C3448" s="7">
        <v>35.76</v>
      </c>
      <c r="D3448" s="4" t="s">
        <v>12</v>
      </c>
      <c r="E3448" s="4" t="s">
        <v>17</v>
      </c>
      <c r="F3448" s="4" t="s">
        <v>25</v>
      </c>
      <c r="G3448" s="4" t="s">
        <v>15</v>
      </c>
      <c r="H3448" s="4">
        <v>1</v>
      </c>
      <c r="I3448" s="4">
        <v>3</v>
      </c>
      <c r="J3448" s="5">
        <v>45733</v>
      </c>
      <c r="K3448" s="6">
        <v>0.61670138888888892</v>
      </c>
    </row>
    <row r="3449" spans="1:11" x14ac:dyDescent="0.25">
      <c r="A3449" s="4">
        <v>15</v>
      </c>
      <c r="B3449" s="4" t="s">
        <v>11</v>
      </c>
      <c r="C3449" s="7">
        <v>35.76</v>
      </c>
      <c r="D3449" s="4" t="s">
        <v>29</v>
      </c>
      <c r="E3449" s="4" t="s">
        <v>17</v>
      </c>
      <c r="F3449" s="4" t="s">
        <v>25</v>
      </c>
      <c r="G3449" s="4" t="s">
        <v>15</v>
      </c>
      <c r="H3449" s="4">
        <v>1</v>
      </c>
      <c r="I3449" s="4">
        <v>3</v>
      </c>
      <c r="J3449" s="5">
        <v>45733</v>
      </c>
      <c r="K3449" s="6">
        <v>0.63283564814814819</v>
      </c>
    </row>
    <row r="3450" spans="1:11" x14ac:dyDescent="0.25">
      <c r="A3450" s="4">
        <v>15</v>
      </c>
      <c r="B3450" s="4" t="s">
        <v>11</v>
      </c>
      <c r="C3450" s="7">
        <v>35.76</v>
      </c>
      <c r="D3450" s="4" t="s">
        <v>12</v>
      </c>
      <c r="E3450" s="4" t="s">
        <v>17</v>
      </c>
      <c r="F3450" s="4" t="s">
        <v>25</v>
      </c>
      <c r="G3450" s="4" t="s">
        <v>15</v>
      </c>
      <c r="H3450" s="4">
        <v>1</v>
      </c>
      <c r="I3450" s="4">
        <v>3</v>
      </c>
      <c r="J3450" s="5">
        <v>45733</v>
      </c>
      <c r="K3450" s="6">
        <v>0.65781250000000002</v>
      </c>
    </row>
    <row r="3451" spans="1:11" x14ac:dyDescent="0.25">
      <c r="A3451" s="4">
        <v>15</v>
      </c>
      <c r="B3451" s="4" t="s">
        <v>11</v>
      </c>
      <c r="C3451" s="7">
        <v>35.76</v>
      </c>
      <c r="D3451" s="4" t="s">
        <v>12</v>
      </c>
      <c r="E3451" s="4" t="s">
        <v>17</v>
      </c>
      <c r="F3451" s="4" t="s">
        <v>25</v>
      </c>
      <c r="G3451" s="4" t="s">
        <v>15</v>
      </c>
      <c r="H3451" s="4">
        <v>1</v>
      </c>
      <c r="I3451" s="4">
        <v>3</v>
      </c>
      <c r="J3451" s="5">
        <v>45733</v>
      </c>
      <c r="K3451" s="6">
        <v>0.65900462962962958</v>
      </c>
    </row>
    <row r="3452" spans="1:11" x14ac:dyDescent="0.25">
      <c r="A3452" s="4">
        <v>16</v>
      </c>
      <c r="B3452" s="4" t="s">
        <v>11</v>
      </c>
      <c r="C3452" s="7">
        <v>25.96</v>
      </c>
      <c r="D3452" s="4" t="s">
        <v>18</v>
      </c>
      <c r="E3452" s="4" t="s">
        <v>17</v>
      </c>
      <c r="F3452" s="4" t="s">
        <v>25</v>
      </c>
      <c r="G3452" s="4" t="s">
        <v>15</v>
      </c>
      <c r="H3452" s="4">
        <v>1</v>
      </c>
      <c r="I3452" s="4">
        <v>3</v>
      </c>
      <c r="J3452" s="5">
        <v>45733</v>
      </c>
      <c r="K3452" s="6">
        <v>0.69912037037037034</v>
      </c>
    </row>
    <row r="3453" spans="1:11" x14ac:dyDescent="0.25">
      <c r="A3453" s="4">
        <v>8</v>
      </c>
      <c r="B3453" s="4" t="s">
        <v>11</v>
      </c>
      <c r="C3453" s="7">
        <v>30.86</v>
      </c>
      <c r="D3453" s="4" t="s">
        <v>19</v>
      </c>
      <c r="E3453" s="4" t="s">
        <v>13</v>
      </c>
      <c r="F3453" s="4" t="s">
        <v>27</v>
      </c>
      <c r="G3453" s="4" t="s">
        <v>15</v>
      </c>
      <c r="H3453" s="4">
        <v>2</v>
      </c>
      <c r="I3453" s="4">
        <v>3</v>
      </c>
      <c r="J3453" s="5">
        <v>45734</v>
      </c>
      <c r="K3453" s="6">
        <v>0.34942129629629631</v>
      </c>
    </row>
    <row r="3454" spans="1:11" x14ac:dyDescent="0.25">
      <c r="A3454" s="4">
        <v>8</v>
      </c>
      <c r="B3454" s="4" t="s">
        <v>11</v>
      </c>
      <c r="C3454" s="7">
        <v>35.76</v>
      </c>
      <c r="D3454" s="4" t="s">
        <v>12</v>
      </c>
      <c r="E3454" s="4" t="s">
        <v>13</v>
      </c>
      <c r="F3454" s="4" t="s">
        <v>27</v>
      </c>
      <c r="G3454" s="4" t="s">
        <v>15</v>
      </c>
      <c r="H3454" s="4">
        <v>2</v>
      </c>
      <c r="I3454" s="4">
        <v>3</v>
      </c>
      <c r="J3454" s="5">
        <v>45734</v>
      </c>
      <c r="K3454" s="6">
        <v>0.35681712962962964</v>
      </c>
    </row>
    <row r="3455" spans="1:11" x14ac:dyDescent="0.25">
      <c r="A3455" s="4">
        <v>10</v>
      </c>
      <c r="B3455" s="4" t="s">
        <v>11</v>
      </c>
      <c r="C3455" s="7">
        <v>35.76</v>
      </c>
      <c r="D3455" s="4" t="s">
        <v>12</v>
      </c>
      <c r="E3455" s="4" t="s">
        <v>13</v>
      </c>
      <c r="F3455" s="4" t="s">
        <v>27</v>
      </c>
      <c r="G3455" s="4" t="s">
        <v>15</v>
      </c>
      <c r="H3455" s="4">
        <v>2</v>
      </c>
      <c r="I3455" s="4">
        <v>3</v>
      </c>
      <c r="J3455" s="5">
        <v>45734</v>
      </c>
      <c r="K3455" s="6">
        <v>0.45128472222222221</v>
      </c>
    </row>
    <row r="3456" spans="1:11" x14ac:dyDescent="0.25">
      <c r="A3456" s="4">
        <v>10</v>
      </c>
      <c r="B3456" s="4" t="s">
        <v>11</v>
      </c>
      <c r="C3456" s="7">
        <v>25.96</v>
      </c>
      <c r="D3456" s="4" t="s">
        <v>18</v>
      </c>
      <c r="E3456" s="4" t="s">
        <v>13</v>
      </c>
      <c r="F3456" s="4" t="s">
        <v>27</v>
      </c>
      <c r="G3456" s="4" t="s">
        <v>15</v>
      </c>
      <c r="H3456" s="4">
        <v>2</v>
      </c>
      <c r="I3456" s="4">
        <v>3</v>
      </c>
      <c r="J3456" s="5">
        <v>45734</v>
      </c>
      <c r="K3456" s="6">
        <v>0.45228009259259261</v>
      </c>
    </row>
    <row r="3457" spans="1:11" x14ac:dyDescent="0.25">
      <c r="A3457" s="4">
        <v>11</v>
      </c>
      <c r="B3457" s="4" t="s">
        <v>11</v>
      </c>
      <c r="C3457" s="7">
        <v>35.76</v>
      </c>
      <c r="D3457" s="4" t="s">
        <v>16</v>
      </c>
      <c r="E3457" s="4" t="s">
        <v>13</v>
      </c>
      <c r="F3457" s="4" t="s">
        <v>27</v>
      </c>
      <c r="G3457" s="4" t="s">
        <v>15</v>
      </c>
      <c r="H3457" s="4">
        <v>2</v>
      </c>
      <c r="I3457" s="4">
        <v>3</v>
      </c>
      <c r="J3457" s="5">
        <v>45734</v>
      </c>
      <c r="K3457" s="6">
        <v>0.4911921296296296</v>
      </c>
    </row>
    <row r="3458" spans="1:11" x14ac:dyDescent="0.25">
      <c r="A3458" s="4">
        <v>11</v>
      </c>
      <c r="B3458" s="4" t="s">
        <v>11</v>
      </c>
      <c r="C3458" s="7">
        <v>35.76</v>
      </c>
      <c r="D3458" s="4" t="s">
        <v>16</v>
      </c>
      <c r="E3458" s="4" t="s">
        <v>13</v>
      </c>
      <c r="F3458" s="4" t="s">
        <v>27</v>
      </c>
      <c r="G3458" s="4" t="s">
        <v>15</v>
      </c>
      <c r="H3458" s="4">
        <v>2</v>
      </c>
      <c r="I3458" s="4">
        <v>3</v>
      </c>
      <c r="J3458" s="5">
        <v>45734</v>
      </c>
      <c r="K3458" s="6">
        <v>0.49230324074074072</v>
      </c>
    </row>
    <row r="3459" spans="1:11" x14ac:dyDescent="0.25">
      <c r="A3459" s="4">
        <v>14</v>
      </c>
      <c r="B3459" s="4" t="s">
        <v>11</v>
      </c>
      <c r="C3459" s="7">
        <v>30.86</v>
      </c>
      <c r="D3459" s="4" t="s">
        <v>19</v>
      </c>
      <c r="E3459" s="4" t="s">
        <v>17</v>
      </c>
      <c r="F3459" s="4" t="s">
        <v>27</v>
      </c>
      <c r="G3459" s="4" t="s">
        <v>15</v>
      </c>
      <c r="H3459" s="4">
        <v>2</v>
      </c>
      <c r="I3459" s="4">
        <v>3</v>
      </c>
      <c r="J3459" s="5">
        <v>45734</v>
      </c>
      <c r="K3459" s="6">
        <v>0.61359953703703707</v>
      </c>
    </row>
    <row r="3460" spans="1:11" x14ac:dyDescent="0.25">
      <c r="A3460" s="4">
        <v>15</v>
      </c>
      <c r="B3460" s="4" t="s">
        <v>11</v>
      </c>
      <c r="C3460" s="7">
        <v>25.96</v>
      </c>
      <c r="D3460" s="4" t="s">
        <v>18</v>
      </c>
      <c r="E3460" s="4" t="s">
        <v>17</v>
      </c>
      <c r="F3460" s="4" t="s">
        <v>27</v>
      </c>
      <c r="G3460" s="4" t="s">
        <v>15</v>
      </c>
      <c r="H3460" s="4">
        <v>2</v>
      </c>
      <c r="I3460" s="4">
        <v>3</v>
      </c>
      <c r="J3460" s="5">
        <v>45734</v>
      </c>
      <c r="K3460" s="6">
        <v>0.62769675925925927</v>
      </c>
    </row>
    <row r="3461" spans="1:11" x14ac:dyDescent="0.25">
      <c r="A3461" s="4">
        <v>15</v>
      </c>
      <c r="B3461" s="4" t="s">
        <v>11</v>
      </c>
      <c r="C3461" s="7">
        <v>30.86</v>
      </c>
      <c r="D3461" s="4" t="s">
        <v>19</v>
      </c>
      <c r="E3461" s="4" t="s">
        <v>17</v>
      </c>
      <c r="F3461" s="4" t="s">
        <v>27</v>
      </c>
      <c r="G3461" s="4" t="s">
        <v>15</v>
      </c>
      <c r="H3461" s="4">
        <v>2</v>
      </c>
      <c r="I3461" s="4">
        <v>3</v>
      </c>
      <c r="J3461" s="5">
        <v>45734</v>
      </c>
      <c r="K3461" s="6">
        <v>0.63271990740740736</v>
      </c>
    </row>
    <row r="3462" spans="1:11" x14ac:dyDescent="0.25">
      <c r="A3462" s="4">
        <v>16</v>
      </c>
      <c r="B3462" s="4" t="s">
        <v>11</v>
      </c>
      <c r="C3462" s="7">
        <v>25.96</v>
      </c>
      <c r="D3462" s="4" t="s">
        <v>18</v>
      </c>
      <c r="E3462" s="4" t="s">
        <v>17</v>
      </c>
      <c r="F3462" s="4" t="s">
        <v>27</v>
      </c>
      <c r="G3462" s="4" t="s">
        <v>15</v>
      </c>
      <c r="H3462" s="4">
        <v>2</v>
      </c>
      <c r="I3462" s="4">
        <v>3</v>
      </c>
      <c r="J3462" s="5">
        <v>45734</v>
      </c>
      <c r="K3462" s="6">
        <v>0.67299768518518521</v>
      </c>
    </row>
    <row r="3463" spans="1:11" x14ac:dyDescent="0.25">
      <c r="A3463" s="4">
        <v>16</v>
      </c>
      <c r="B3463" s="4" t="s">
        <v>11</v>
      </c>
      <c r="C3463" s="7">
        <v>35.76</v>
      </c>
      <c r="D3463" s="4" t="s">
        <v>12</v>
      </c>
      <c r="E3463" s="4" t="s">
        <v>17</v>
      </c>
      <c r="F3463" s="4" t="s">
        <v>27</v>
      </c>
      <c r="G3463" s="4" t="s">
        <v>15</v>
      </c>
      <c r="H3463" s="4">
        <v>2</v>
      </c>
      <c r="I3463" s="4">
        <v>3</v>
      </c>
      <c r="J3463" s="5">
        <v>45734</v>
      </c>
      <c r="K3463" s="6">
        <v>0.67482638888888891</v>
      </c>
    </row>
    <row r="3464" spans="1:11" x14ac:dyDescent="0.25">
      <c r="A3464" s="4">
        <v>16</v>
      </c>
      <c r="B3464" s="4" t="s">
        <v>11</v>
      </c>
      <c r="C3464" s="7">
        <v>21.06</v>
      </c>
      <c r="D3464" s="4" t="s">
        <v>26</v>
      </c>
      <c r="E3464" s="4" t="s">
        <v>17</v>
      </c>
      <c r="F3464" s="4" t="s">
        <v>27</v>
      </c>
      <c r="G3464" s="4" t="s">
        <v>15</v>
      </c>
      <c r="H3464" s="4">
        <v>2</v>
      </c>
      <c r="I3464" s="4">
        <v>3</v>
      </c>
      <c r="J3464" s="5">
        <v>45734</v>
      </c>
      <c r="K3464" s="6">
        <v>0.68287037037037035</v>
      </c>
    </row>
    <row r="3465" spans="1:11" x14ac:dyDescent="0.25">
      <c r="A3465" s="4">
        <v>18</v>
      </c>
      <c r="B3465" s="4" t="s">
        <v>11</v>
      </c>
      <c r="C3465" s="7">
        <v>35.76</v>
      </c>
      <c r="D3465" s="4" t="s">
        <v>21</v>
      </c>
      <c r="E3465" s="4" t="s">
        <v>20</v>
      </c>
      <c r="F3465" s="4" t="s">
        <v>27</v>
      </c>
      <c r="G3465" s="4" t="s">
        <v>15</v>
      </c>
      <c r="H3465" s="4">
        <v>2</v>
      </c>
      <c r="I3465" s="4">
        <v>3</v>
      </c>
      <c r="J3465" s="5">
        <v>45734</v>
      </c>
      <c r="K3465" s="6">
        <v>0.77951388888888884</v>
      </c>
    </row>
    <row r="3466" spans="1:11" x14ac:dyDescent="0.25">
      <c r="A3466" s="4">
        <v>18</v>
      </c>
      <c r="B3466" s="4" t="s">
        <v>11</v>
      </c>
      <c r="C3466" s="7">
        <v>35.76</v>
      </c>
      <c r="D3466" s="4" t="s">
        <v>21</v>
      </c>
      <c r="E3466" s="4" t="s">
        <v>20</v>
      </c>
      <c r="F3466" s="4" t="s">
        <v>27</v>
      </c>
      <c r="G3466" s="4" t="s">
        <v>15</v>
      </c>
      <c r="H3466" s="4">
        <v>2</v>
      </c>
      <c r="I3466" s="4">
        <v>3</v>
      </c>
      <c r="J3466" s="5">
        <v>45734</v>
      </c>
      <c r="K3466" s="6">
        <v>0.78005787037037033</v>
      </c>
    </row>
    <row r="3467" spans="1:11" x14ac:dyDescent="0.25">
      <c r="A3467" s="4">
        <v>20</v>
      </c>
      <c r="B3467" s="4" t="s">
        <v>11</v>
      </c>
      <c r="C3467" s="7">
        <v>35.76</v>
      </c>
      <c r="D3467" s="4" t="s">
        <v>21</v>
      </c>
      <c r="E3467" s="4" t="s">
        <v>20</v>
      </c>
      <c r="F3467" s="4" t="s">
        <v>27</v>
      </c>
      <c r="G3467" s="4" t="s">
        <v>15</v>
      </c>
      <c r="H3467" s="4">
        <v>2</v>
      </c>
      <c r="I3467" s="4">
        <v>3</v>
      </c>
      <c r="J3467" s="5">
        <v>45734</v>
      </c>
      <c r="K3467" s="6">
        <v>0.8337268518518518</v>
      </c>
    </row>
    <row r="3468" spans="1:11" x14ac:dyDescent="0.25">
      <c r="A3468" s="4">
        <v>20</v>
      </c>
      <c r="B3468" s="4" t="s">
        <v>11</v>
      </c>
      <c r="C3468" s="7">
        <v>35.76</v>
      </c>
      <c r="D3468" s="4" t="s">
        <v>21</v>
      </c>
      <c r="E3468" s="4" t="s">
        <v>20</v>
      </c>
      <c r="F3468" s="4" t="s">
        <v>27</v>
      </c>
      <c r="G3468" s="4" t="s">
        <v>15</v>
      </c>
      <c r="H3468" s="4">
        <v>2</v>
      </c>
      <c r="I3468" s="4">
        <v>3</v>
      </c>
      <c r="J3468" s="5">
        <v>45734</v>
      </c>
      <c r="K3468" s="6">
        <v>0.83445601851851847</v>
      </c>
    </row>
    <row r="3469" spans="1:11" x14ac:dyDescent="0.25">
      <c r="A3469" s="4">
        <v>21</v>
      </c>
      <c r="B3469" s="4" t="s">
        <v>11</v>
      </c>
      <c r="C3469" s="7">
        <v>35.76</v>
      </c>
      <c r="D3469" s="4" t="s">
        <v>12</v>
      </c>
      <c r="E3469" s="4" t="s">
        <v>20</v>
      </c>
      <c r="F3469" s="4" t="s">
        <v>27</v>
      </c>
      <c r="G3469" s="4" t="s">
        <v>15</v>
      </c>
      <c r="H3469" s="4">
        <v>2</v>
      </c>
      <c r="I3469" s="4">
        <v>3</v>
      </c>
      <c r="J3469" s="5">
        <v>45734</v>
      </c>
      <c r="K3469" s="6">
        <v>0.88935185185185184</v>
      </c>
    </row>
    <row r="3470" spans="1:11" x14ac:dyDescent="0.25">
      <c r="A3470" s="4">
        <v>7</v>
      </c>
      <c r="B3470" s="4" t="s">
        <v>11</v>
      </c>
      <c r="C3470" s="7">
        <v>25.96</v>
      </c>
      <c r="D3470" s="4" t="s">
        <v>18</v>
      </c>
      <c r="E3470" s="4" t="s">
        <v>13</v>
      </c>
      <c r="F3470" s="4" t="s">
        <v>28</v>
      </c>
      <c r="G3470" s="4" t="s">
        <v>15</v>
      </c>
      <c r="H3470" s="4">
        <v>3</v>
      </c>
      <c r="I3470" s="4">
        <v>3</v>
      </c>
      <c r="J3470" s="5">
        <v>45735</v>
      </c>
      <c r="K3470" s="6">
        <v>0.29383101851851851</v>
      </c>
    </row>
    <row r="3471" spans="1:11" x14ac:dyDescent="0.25">
      <c r="A3471" s="4">
        <v>7</v>
      </c>
      <c r="B3471" s="4" t="s">
        <v>11</v>
      </c>
      <c r="C3471" s="7">
        <v>25.96</v>
      </c>
      <c r="D3471" s="4" t="s">
        <v>18</v>
      </c>
      <c r="E3471" s="4" t="s">
        <v>13</v>
      </c>
      <c r="F3471" s="4" t="s">
        <v>28</v>
      </c>
      <c r="G3471" s="4" t="s">
        <v>15</v>
      </c>
      <c r="H3471" s="4">
        <v>3</v>
      </c>
      <c r="I3471" s="4">
        <v>3</v>
      </c>
      <c r="J3471" s="5">
        <v>45735</v>
      </c>
      <c r="K3471" s="6">
        <v>0.29453703703703704</v>
      </c>
    </row>
    <row r="3472" spans="1:11" x14ac:dyDescent="0.25">
      <c r="A3472" s="4">
        <v>7</v>
      </c>
      <c r="B3472" s="4" t="s">
        <v>11</v>
      </c>
      <c r="C3472" s="7">
        <v>35.76</v>
      </c>
      <c r="D3472" s="4" t="s">
        <v>29</v>
      </c>
      <c r="E3472" s="4" t="s">
        <v>13</v>
      </c>
      <c r="F3472" s="4" t="s">
        <v>28</v>
      </c>
      <c r="G3472" s="4" t="s">
        <v>15</v>
      </c>
      <c r="H3472" s="4">
        <v>3</v>
      </c>
      <c r="I3472" s="4">
        <v>3</v>
      </c>
      <c r="J3472" s="5">
        <v>45735</v>
      </c>
      <c r="K3472" s="6">
        <v>0.29622685185185182</v>
      </c>
    </row>
    <row r="3473" spans="1:11" x14ac:dyDescent="0.25">
      <c r="A3473" s="4">
        <v>8</v>
      </c>
      <c r="B3473" s="4" t="s">
        <v>11</v>
      </c>
      <c r="C3473" s="7">
        <v>25.96</v>
      </c>
      <c r="D3473" s="4" t="s">
        <v>18</v>
      </c>
      <c r="E3473" s="4" t="s">
        <v>13</v>
      </c>
      <c r="F3473" s="4" t="s">
        <v>28</v>
      </c>
      <c r="G3473" s="4" t="s">
        <v>15</v>
      </c>
      <c r="H3473" s="4">
        <v>3</v>
      </c>
      <c r="I3473" s="4">
        <v>3</v>
      </c>
      <c r="J3473" s="5">
        <v>45735</v>
      </c>
      <c r="K3473" s="6">
        <v>0.33562500000000001</v>
      </c>
    </row>
    <row r="3474" spans="1:11" x14ac:dyDescent="0.25">
      <c r="A3474" s="4">
        <v>10</v>
      </c>
      <c r="B3474" s="4" t="s">
        <v>11</v>
      </c>
      <c r="C3474" s="7">
        <v>35.76</v>
      </c>
      <c r="D3474" s="4" t="s">
        <v>16</v>
      </c>
      <c r="E3474" s="4" t="s">
        <v>13</v>
      </c>
      <c r="F3474" s="4" t="s">
        <v>28</v>
      </c>
      <c r="G3474" s="4" t="s">
        <v>15</v>
      </c>
      <c r="H3474" s="4">
        <v>3</v>
      </c>
      <c r="I3474" s="4">
        <v>3</v>
      </c>
      <c r="J3474" s="5">
        <v>45735</v>
      </c>
      <c r="K3474" s="6">
        <v>0.42961805555555554</v>
      </c>
    </row>
    <row r="3475" spans="1:11" x14ac:dyDescent="0.25">
      <c r="A3475" s="4">
        <v>11</v>
      </c>
      <c r="B3475" s="4" t="s">
        <v>11</v>
      </c>
      <c r="C3475" s="7">
        <v>25.96</v>
      </c>
      <c r="D3475" s="4" t="s">
        <v>18</v>
      </c>
      <c r="E3475" s="4" t="s">
        <v>13</v>
      </c>
      <c r="F3475" s="4" t="s">
        <v>28</v>
      </c>
      <c r="G3475" s="4" t="s">
        <v>15</v>
      </c>
      <c r="H3475" s="4">
        <v>3</v>
      </c>
      <c r="I3475" s="4">
        <v>3</v>
      </c>
      <c r="J3475" s="5">
        <v>45735</v>
      </c>
      <c r="K3475" s="6">
        <v>0.49697916666666669</v>
      </c>
    </row>
    <row r="3476" spans="1:11" x14ac:dyDescent="0.25">
      <c r="A3476" s="4">
        <v>12</v>
      </c>
      <c r="B3476" s="4" t="s">
        <v>11</v>
      </c>
      <c r="C3476" s="7">
        <v>25.96</v>
      </c>
      <c r="D3476" s="4" t="s">
        <v>18</v>
      </c>
      <c r="E3476" s="4" t="s">
        <v>17</v>
      </c>
      <c r="F3476" s="4" t="s">
        <v>28</v>
      </c>
      <c r="G3476" s="4" t="s">
        <v>15</v>
      </c>
      <c r="H3476" s="4">
        <v>3</v>
      </c>
      <c r="I3476" s="4">
        <v>3</v>
      </c>
      <c r="J3476" s="5">
        <v>45735</v>
      </c>
      <c r="K3476" s="6">
        <v>0.54059027777777779</v>
      </c>
    </row>
    <row r="3477" spans="1:11" x14ac:dyDescent="0.25">
      <c r="A3477" s="4">
        <v>15</v>
      </c>
      <c r="B3477" s="4" t="s">
        <v>11</v>
      </c>
      <c r="C3477" s="7">
        <v>35.76</v>
      </c>
      <c r="D3477" s="4" t="s">
        <v>12</v>
      </c>
      <c r="E3477" s="4" t="s">
        <v>17</v>
      </c>
      <c r="F3477" s="4" t="s">
        <v>28</v>
      </c>
      <c r="G3477" s="4" t="s">
        <v>15</v>
      </c>
      <c r="H3477" s="4">
        <v>3</v>
      </c>
      <c r="I3477" s="4">
        <v>3</v>
      </c>
      <c r="J3477" s="5">
        <v>45735</v>
      </c>
      <c r="K3477" s="6">
        <v>0.63394675925925925</v>
      </c>
    </row>
    <row r="3478" spans="1:11" x14ac:dyDescent="0.25">
      <c r="A3478" s="4">
        <v>15</v>
      </c>
      <c r="B3478" s="4" t="s">
        <v>11</v>
      </c>
      <c r="C3478" s="7">
        <v>35.76</v>
      </c>
      <c r="D3478" s="4" t="s">
        <v>12</v>
      </c>
      <c r="E3478" s="4" t="s">
        <v>17</v>
      </c>
      <c r="F3478" s="4" t="s">
        <v>28</v>
      </c>
      <c r="G3478" s="4" t="s">
        <v>15</v>
      </c>
      <c r="H3478" s="4">
        <v>3</v>
      </c>
      <c r="I3478" s="4">
        <v>3</v>
      </c>
      <c r="J3478" s="5">
        <v>45735</v>
      </c>
      <c r="K3478" s="6">
        <v>0.63498842592592597</v>
      </c>
    </row>
    <row r="3479" spans="1:11" x14ac:dyDescent="0.25">
      <c r="A3479" s="4">
        <v>16</v>
      </c>
      <c r="B3479" s="4" t="s">
        <v>11</v>
      </c>
      <c r="C3479" s="7">
        <v>35.76</v>
      </c>
      <c r="D3479" s="4" t="s">
        <v>12</v>
      </c>
      <c r="E3479" s="4" t="s">
        <v>17</v>
      </c>
      <c r="F3479" s="4" t="s">
        <v>28</v>
      </c>
      <c r="G3479" s="4" t="s">
        <v>15</v>
      </c>
      <c r="H3479" s="4">
        <v>3</v>
      </c>
      <c r="I3479" s="4">
        <v>3</v>
      </c>
      <c r="J3479" s="5">
        <v>45735</v>
      </c>
      <c r="K3479" s="6">
        <v>0.68024305555555553</v>
      </c>
    </row>
    <row r="3480" spans="1:11" x14ac:dyDescent="0.25">
      <c r="A3480" s="4">
        <v>16</v>
      </c>
      <c r="B3480" s="4" t="s">
        <v>11</v>
      </c>
      <c r="C3480" s="7">
        <v>25.96</v>
      </c>
      <c r="D3480" s="4" t="s">
        <v>18</v>
      </c>
      <c r="E3480" s="4" t="s">
        <v>17</v>
      </c>
      <c r="F3480" s="4" t="s">
        <v>28</v>
      </c>
      <c r="G3480" s="4" t="s">
        <v>15</v>
      </c>
      <c r="H3480" s="4">
        <v>3</v>
      </c>
      <c r="I3480" s="4">
        <v>3</v>
      </c>
      <c r="J3480" s="5">
        <v>45735</v>
      </c>
      <c r="K3480" s="6">
        <v>0.68745370370370373</v>
      </c>
    </row>
    <row r="3481" spans="1:11" x14ac:dyDescent="0.25">
      <c r="A3481" s="4">
        <v>16</v>
      </c>
      <c r="B3481" s="4" t="s">
        <v>11</v>
      </c>
      <c r="C3481" s="7">
        <v>35.76</v>
      </c>
      <c r="D3481" s="4" t="s">
        <v>29</v>
      </c>
      <c r="E3481" s="4" t="s">
        <v>17</v>
      </c>
      <c r="F3481" s="4" t="s">
        <v>28</v>
      </c>
      <c r="G3481" s="4" t="s">
        <v>15</v>
      </c>
      <c r="H3481" s="4">
        <v>3</v>
      </c>
      <c r="I3481" s="4">
        <v>3</v>
      </c>
      <c r="J3481" s="5">
        <v>45735</v>
      </c>
      <c r="K3481" s="6">
        <v>0.69482638888888892</v>
      </c>
    </row>
    <row r="3482" spans="1:11" x14ac:dyDescent="0.25">
      <c r="A3482" s="4">
        <v>16</v>
      </c>
      <c r="B3482" s="4" t="s">
        <v>11</v>
      </c>
      <c r="C3482" s="7">
        <v>35.76</v>
      </c>
      <c r="D3482" s="4" t="s">
        <v>29</v>
      </c>
      <c r="E3482" s="4" t="s">
        <v>17</v>
      </c>
      <c r="F3482" s="4" t="s">
        <v>28</v>
      </c>
      <c r="G3482" s="4" t="s">
        <v>15</v>
      </c>
      <c r="H3482" s="4">
        <v>3</v>
      </c>
      <c r="I3482" s="4">
        <v>3</v>
      </c>
      <c r="J3482" s="5">
        <v>45735</v>
      </c>
      <c r="K3482" s="6">
        <v>0.69601851851851848</v>
      </c>
    </row>
    <row r="3483" spans="1:11" x14ac:dyDescent="0.25">
      <c r="A3483" s="4">
        <v>16</v>
      </c>
      <c r="B3483" s="4" t="s">
        <v>11</v>
      </c>
      <c r="C3483" s="7">
        <v>25.96</v>
      </c>
      <c r="D3483" s="4" t="s">
        <v>18</v>
      </c>
      <c r="E3483" s="4" t="s">
        <v>17</v>
      </c>
      <c r="F3483" s="4" t="s">
        <v>28</v>
      </c>
      <c r="G3483" s="4" t="s">
        <v>15</v>
      </c>
      <c r="H3483" s="4">
        <v>3</v>
      </c>
      <c r="I3483" s="4">
        <v>3</v>
      </c>
      <c r="J3483" s="5">
        <v>45735</v>
      </c>
      <c r="K3483" s="6">
        <v>0.70248842592592597</v>
      </c>
    </row>
    <row r="3484" spans="1:11" x14ac:dyDescent="0.25">
      <c r="A3484" s="4">
        <v>16</v>
      </c>
      <c r="B3484" s="4" t="s">
        <v>11</v>
      </c>
      <c r="C3484" s="7">
        <v>25.96</v>
      </c>
      <c r="D3484" s="4" t="s">
        <v>18</v>
      </c>
      <c r="E3484" s="4" t="s">
        <v>17</v>
      </c>
      <c r="F3484" s="4" t="s">
        <v>28</v>
      </c>
      <c r="G3484" s="4" t="s">
        <v>15</v>
      </c>
      <c r="H3484" s="4">
        <v>3</v>
      </c>
      <c r="I3484" s="4">
        <v>3</v>
      </c>
      <c r="J3484" s="5">
        <v>45735</v>
      </c>
      <c r="K3484" s="6">
        <v>0.70311342592592596</v>
      </c>
    </row>
    <row r="3485" spans="1:11" x14ac:dyDescent="0.25">
      <c r="A3485" s="4">
        <v>17</v>
      </c>
      <c r="B3485" s="4" t="s">
        <v>11</v>
      </c>
      <c r="C3485" s="7">
        <v>35.76</v>
      </c>
      <c r="D3485" s="4" t="s">
        <v>21</v>
      </c>
      <c r="E3485" s="4" t="s">
        <v>20</v>
      </c>
      <c r="F3485" s="4" t="s">
        <v>28</v>
      </c>
      <c r="G3485" s="4" t="s">
        <v>15</v>
      </c>
      <c r="H3485" s="4">
        <v>3</v>
      </c>
      <c r="I3485" s="4">
        <v>3</v>
      </c>
      <c r="J3485" s="5">
        <v>45735</v>
      </c>
      <c r="K3485" s="6">
        <v>0.70832175925925922</v>
      </c>
    </row>
    <row r="3486" spans="1:11" x14ac:dyDescent="0.25">
      <c r="A3486" s="4">
        <v>17</v>
      </c>
      <c r="B3486" s="4" t="s">
        <v>11</v>
      </c>
      <c r="C3486" s="7">
        <v>30.86</v>
      </c>
      <c r="D3486" s="4" t="s">
        <v>19</v>
      </c>
      <c r="E3486" s="4" t="s">
        <v>20</v>
      </c>
      <c r="F3486" s="4" t="s">
        <v>28</v>
      </c>
      <c r="G3486" s="4" t="s">
        <v>15</v>
      </c>
      <c r="H3486" s="4">
        <v>3</v>
      </c>
      <c r="I3486" s="4">
        <v>3</v>
      </c>
      <c r="J3486" s="5">
        <v>45735</v>
      </c>
      <c r="K3486" s="6">
        <v>0.71521990740740737</v>
      </c>
    </row>
    <row r="3487" spans="1:11" x14ac:dyDescent="0.25">
      <c r="A3487" s="4">
        <v>17</v>
      </c>
      <c r="B3487" s="4" t="s">
        <v>11</v>
      </c>
      <c r="C3487" s="7">
        <v>30.86</v>
      </c>
      <c r="D3487" s="4" t="s">
        <v>19</v>
      </c>
      <c r="E3487" s="4" t="s">
        <v>20</v>
      </c>
      <c r="F3487" s="4" t="s">
        <v>28</v>
      </c>
      <c r="G3487" s="4" t="s">
        <v>15</v>
      </c>
      <c r="H3487" s="4">
        <v>3</v>
      </c>
      <c r="I3487" s="4">
        <v>3</v>
      </c>
      <c r="J3487" s="5">
        <v>45735</v>
      </c>
      <c r="K3487" s="6">
        <v>0.72753472222222226</v>
      </c>
    </row>
    <row r="3488" spans="1:11" x14ac:dyDescent="0.25">
      <c r="A3488" s="4">
        <v>18</v>
      </c>
      <c r="B3488" s="4" t="s">
        <v>11</v>
      </c>
      <c r="C3488" s="7">
        <v>25.96</v>
      </c>
      <c r="D3488" s="4" t="s">
        <v>24</v>
      </c>
      <c r="E3488" s="4" t="s">
        <v>20</v>
      </c>
      <c r="F3488" s="4" t="s">
        <v>28</v>
      </c>
      <c r="G3488" s="4" t="s">
        <v>15</v>
      </c>
      <c r="H3488" s="4">
        <v>3</v>
      </c>
      <c r="I3488" s="4">
        <v>3</v>
      </c>
      <c r="J3488" s="5">
        <v>45735</v>
      </c>
      <c r="K3488" s="6">
        <v>0.77071759259259254</v>
      </c>
    </row>
    <row r="3489" spans="1:11" x14ac:dyDescent="0.25">
      <c r="A3489" s="4">
        <v>18</v>
      </c>
      <c r="B3489" s="4" t="s">
        <v>11</v>
      </c>
      <c r="C3489" s="7">
        <v>21.06</v>
      </c>
      <c r="D3489" s="4" t="s">
        <v>26</v>
      </c>
      <c r="E3489" s="4" t="s">
        <v>20</v>
      </c>
      <c r="F3489" s="4" t="s">
        <v>28</v>
      </c>
      <c r="G3489" s="4" t="s">
        <v>15</v>
      </c>
      <c r="H3489" s="4">
        <v>3</v>
      </c>
      <c r="I3489" s="4">
        <v>3</v>
      </c>
      <c r="J3489" s="5">
        <v>45735</v>
      </c>
      <c r="K3489" s="6">
        <v>0.77134259259259264</v>
      </c>
    </row>
    <row r="3490" spans="1:11" x14ac:dyDescent="0.25">
      <c r="A3490" s="4">
        <v>18</v>
      </c>
      <c r="B3490" s="4" t="s">
        <v>11</v>
      </c>
      <c r="C3490" s="7">
        <v>21.06</v>
      </c>
      <c r="D3490" s="4" t="s">
        <v>26</v>
      </c>
      <c r="E3490" s="4" t="s">
        <v>20</v>
      </c>
      <c r="F3490" s="4" t="s">
        <v>28</v>
      </c>
      <c r="G3490" s="4" t="s">
        <v>15</v>
      </c>
      <c r="H3490" s="4">
        <v>3</v>
      </c>
      <c r="I3490" s="4">
        <v>3</v>
      </c>
      <c r="J3490" s="5">
        <v>45735</v>
      </c>
      <c r="K3490" s="6">
        <v>0.77181712962962967</v>
      </c>
    </row>
    <row r="3491" spans="1:11" x14ac:dyDescent="0.25">
      <c r="A3491" s="4">
        <v>8</v>
      </c>
      <c r="B3491" s="4" t="s">
        <v>11</v>
      </c>
      <c r="C3491" s="7">
        <v>30.86</v>
      </c>
      <c r="D3491" s="4" t="s">
        <v>19</v>
      </c>
      <c r="E3491" s="4" t="s">
        <v>13</v>
      </c>
      <c r="F3491" s="4" t="s">
        <v>30</v>
      </c>
      <c r="G3491" s="4" t="s">
        <v>15</v>
      </c>
      <c r="H3491" s="4">
        <v>4</v>
      </c>
      <c r="I3491" s="4">
        <v>3</v>
      </c>
      <c r="J3491" s="5">
        <v>45736</v>
      </c>
      <c r="K3491" s="6">
        <v>0.34254629629629629</v>
      </c>
    </row>
    <row r="3492" spans="1:11" x14ac:dyDescent="0.25">
      <c r="A3492" s="4">
        <v>9</v>
      </c>
      <c r="B3492" s="4" t="s">
        <v>11</v>
      </c>
      <c r="C3492" s="7">
        <v>30.86</v>
      </c>
      <c r="D3492" s="4" t="s">
        <v>19</v>
      </c>
      <c r="E3492" s="4" t="s">
        <v>13</v>
      </c>
      <c r="F3492" s="4" t="s">
        <v>30</v>
      </c>
      <c r="G3492" s="4" t="s">
        <v>15</v>
      </c>
      <c r="H3492" s="4">
        <v>4</v>
      </c>
      <c r="I3492" s="4">
        <v>3</v>
      </c>
      <c r="J3492" s="5">
        <v>45736</v>
      </c>
      <c r="K3492" s="6">
        <v>0.41115740740740742</v>
      </c>
    </row>
    <row r="3493" spans="1:11" x14ac:dyDescent="0.25">
      <c r="A3493" s="4">
        <v>10</v>
      </c>
      <c r="B3493" s="4" t="s">
        <v>11</v>
      </c>
      <c r="C3493" s="7">
        <v>30.86</v>
      </c>
      <c r="D3493" s="4" t="s">
        <v>19</v>
      </c>
      <c r="E3493" s="4" t="s">
        <v>13</v>
      </c>
      <c r="F3493" s="4" t="s">
        <v>30</v>
      </c>
      <c r="G3493" s="4" t="s">
        <v>15</v>
      </c>
      <c r="H3493" s="4">
        <v>4</v>
      </c>
      <c r="I3493" s="4">
        <v>3</v>
      </c>
      <c r="J3493" s="5">
        <v>45736</v>
      </c>
      <c r="K3493" s="6">
        <v>0.4213425925925926</v>
      </c>
    </row>
    <row r="3494" spans="1:11" x14ac:dyDescent="0.25">
      <c r="A3494" s="4">
        <v>10</v>
      </c>
      <c r="B3494" s="4" t="s">
        <v>11</v>
      </c>
      <c r="C3494" s="7">
        <v>25.96</v>
      </c>
      <c r="D3494" s="4" t="s">
        <v>18</v>
      </c>
      <c r="E3494" s="4" t="s">
        <v>13</v>
      </c>
      <c r="F3494" s="4" t="s">
        <v>30</v>
      </c>
      <c r="G3494" s="4" t="s">
        <v>15</v>
      </c>
      <c r="H3494" s="4">
        <v>4</v>
      </c>
      <c r="I3494" s="4">
        <v>3</v>
      </c>
      <c r="J3494" s="5">
        <v>45736</v>
      </c>
      <c r="K3494" s="6">
        <v>0.44842592592592595</v>
      </c>
    </row>
    <row r="3495" spans="1:11" x14ac:dyDescent="0.25">
      <c r="A3495" s="4">
        <v>10</v>
      </c>
      <c r="B3495" s="4" t="s">
        <v>11</v>
      </c>
      <c r="C3495" s="7">
        <v>25.96</v>
      </c>
      <c r="D3495" s="4" t="s">
        <v>18</v>
      </c>
      <c r="E3495" s="4" t="s">
        <v>13</v>
      </c>
      <c r="F3495" s="4" t="s">
        <v>30</v>
      </c>
      <c r="G3495" s="4" t="s">
        <v>15</v>
      </c>
      <c r="H3495" s="4">
        <v>4</v>
      </c>
      <c r="I3495" s="4">
        <v>3</v>
      </c>
      <c r="J3495" s="5">
        <v>45736</v>
      </c>
      <c r="K3495" s="6">
        <v>0.45505787037037038</v>
      </c>
    </row>
    <row r="3496" spans="1:11" x14ac:dyDescent="0.25">
      <c r="A3496" s="4">
        <v>12</v>
      </c>
      <c r="B3496" s="4" t="s">
        <v>11</v>
      </c>
      <c r="C3496" s="7">
        <v>25.96</v>
      </c>
      <c r="D3496" s="4" t="s">
        <v>18</v>
      </c>
      <c r="E3496" s="4" t="s">
        <v>17</v>
      </c>
      <c r="F3496" s="4" t="s">
        <v>30</v>
      </c>
      <c r="G3496" s="4" t="s">
        <v>15</v>
      </c>
      <c r="H3496" s="4">
        <v>4</v>
      </c>
      <c r="I3496" s="4">
        <v>3</v>
      </c>
      <c r="J3496" s="5">
        <v>45736</v>
      </c>
      <c r="K3496" s="6">
        <v>0.53361111111111115</v>
      </c>
    </row>
    <row r="3497" spans="1:11" x14ac:dyDescent="0.25">
      <c r="A3497" s="4">
        <v>14</v>
      </c>
      <c r="B3497" s="4" t="s">
        <v>11</v>
      </c>
      <c r="C3497" s="7">
        <v>25.96</v>
      </c>
      <c r="D3497" s="4" t="s">
        <v>18</v>
      </c>
      <c r="E3497" s="4" t="s">
        <v>17</v>
      </c>
      <c r="F3497" s="4" t="s">
        <v>30</v>
      </c>
      <c r="G3497" s="4" t="s">
        <v>15</v>
      </c>
      <c r="H3497" s="4">
        <v>4</v>
      </c>
      <c r="I3497" s="4">
        <v>3</v>
      </c>
      <c r="J3497" s="5">
        <v>45736</v>
      </c>
      <c r="K3497" s="6">
        <v>0.58660879629629625</v>
      </c>
    </row>
    <row r="3498" spans="1:11" x14ac:dyDescent="0.25">
      <c r="A3498" s="4">
        <v>14</v>
      </c>
      <c r="B3498" s="4" t="s">
        <v>11</v>
      </c>
      <c r="C3498" s="7">
        <v>25.96</v>
      </c>
      <c r="D3498" s="4" t="s">
        <v>18</v>
      </c>
      <c r="E3498" s="4" t="s">
        <v>17</v>
      </c>
      <c r="F3498" s="4" t="s">
        <v>30</v>
      </c>
      <c r="G3498" s="4" t="s">
        <v>15</v>
      </c>
      <c r="H3498" s="4">
        <v>4</v>
      </c>
      <c r="I3498" s="4">
        <v>3</v>
      </c>
      <c r="J3498" s="5">
        <v>45736</v>
      </c>
      <c r="K3498" s="6">
        <v>0.59765046296296298</v>
      </c>
    </row>
    <row r="3499" spans="1:11" x14ac:dyDescent="0.25">
      <c r="A3499" s="4">
        <v>14</v>
      </c>
      <c r="B3499" s="4" t="s">
        <v>11</v>
      </c>
      <c r="C3499" s="7">
        <v>21.06</v>
      </c>
      <c r="D3499" s="4" t="s">
        <v>26</v>
      </c>
      <c r="E3499" s="4" t="s">
        <v>17</v>
      </c>
      <c r="F3499" s="4" t="s">
        <v>30</v>
      </c>
      <c r="G3499" s="4" t="s">
        <v>15</v>
      </c>
      <c r="H3499" s="4">
        <v>4</v>
      </c>
      <c r="I3499" s="4">
        <v>3</v>
      </c>
      <c r="J3499" s="5">
        <v>45736</v>
      </c>
      <c r="K3499" s="6">
        <v>0.59839120370370369</v>
      </c>
    </row>
    <row r="3500" spans="1:11" x14ac:dyDescent="0.25">
      <c r="A3500" s="4">
        <v>14</v>
      </c>
      <c r="B3500" s="4" t="s">
        <v>11</v>
      </c>
      <c r="C3500" s="7">
        <v>25.96</v>
      </c>
      <c r="D3500" s="4" t="s">
        <v>24</v>
      </c>
      <c r="E3500" s="4" t="s">
        <v>17</v>
      </c>
      <c r="F3500" s="4" t="s">
        <v>30</v>
      </c>
      <c r="G3500" s="4" t="s">
        <v>15</v>
      </c>
      <c r="H3500" s="4">
        <v>4</v>
      </c>
      <c r="I3500" s="4">
        <v>3</v>
      </c>
      <c r="J3500" s="5">
        <v>45736</v>
      </c>
      <c r="K3500" s="6">
        <v>0.60074074074074069</v>
      </c>
    </row>
    <row r="3501" spans="1:11" x14ac:dyDescent="0.25">
      <c r="A3501" s="4">
        <v>14</v>
      </c>
      <c r="B3501" s="4" t="s">
        <v>11</v>
      </c>
      <c r="C3501" s="7">
        <v>35.76</v>
      </c>
      <c r="D3501" s="4" t="s">
        <v>29</v>
      </c>
      <c r="E3501" s="4" t="s">
        <v>17</v>
      </c>
      <c r="F3501" s="4" t="s">
        <v>30</v>
      </c>
      <c r="G3501" s="4" t="s">
        <v>15</v>
      </c>
      <c r="H3501" s="4">
        <v>4</v>
      </c>
      <c r="I3501" s="4">
        <v>3</v>
      </c>
      <c r="J3501" s="5">
        <v>45736</v>
      </c>
      <c r="K3501" s="6">
        <v>0.60192129629629632</v>
      </c>
    </row>
    <row r="3502" spans="1:11" x14ac:dyDescent="0.25">
      <c r="A3502" s="4">
        <v>14</v>
      </c>
      <c r="B3502" s="4" t="s">
        <v>11</v>
      </c>
      <c r="C3502" s="7">
        <v>35.76</v>
      </c>
      <c r="D3502" s="4" t="s">
        <v>29</v>
      </c>
      <c r="E3502" s="4" t="s">
        <v>17</v>
      </c>
      <c r="F3502" s="4" t="s">
        <v>30</v>
      </c>
      <c r="G3502" s="4" t="s">
        <v>15</v>
      </c>
      <c r="H3502" s="4">
        <v>4</v>
      </c>
      <c r="I3502" s="4">
        <v>3</v>
      </c>
      <c r="J3502" s="5">
        <v>45736</v>
      </c>
      <c r="K3502" s="6">
        <v>0.62484953703703705</v>
      </c>
    </row>
    <row r="3503" spans="1:11" x14ac:dyDescent="0.25">
      <c r="A3503" s="4">
        <v>15</v>
      </c>
      <c r="B3503" s="4" t="s">
        <v>11</v>
      </c>
      <c r="C3503" s="7">
        <v>25.96</v>
      </c>
      <c r="D3503" s="4" t="s">
        <v>18</v>
      </c>
      <c r="E3503" s="4" t="s">
        <v>17</v>
      </c>
      <c r="F3503" s="4" t="s">
        <v>30</v>
      </c>
      <c r="G3503" s="4" t="s">
        <v>15</v>
      </c>
      <c r="H3503" s="4">
        <v>4</v>
      </c>
      <c r="I3503" s="4">
        <v>3</v>
      </c>
      <c r="J3503" s="5">
        <v>45736</v>
      </c>
      <c r="K3503" s="6">
        <v>0.62872685185185184</v>
      </c>
    </row>
    <row r="3504" spans="1:11" x14ac:dyDescent="0.25">
      <c r="A3504" s="4">
        <v>15</v>
      </c>
      <c r="B3504" s="4" t="s">
        <v>11</v>
      </c>
      <c r="C3504" s="7">
        <v>25.96</v>
      </c>
      <c r="D3504" s="4" t="s">
        <v>18</v>
      </c>
      <c r="E3504" s="4" t="s">
        <v>17</v>
      </c>
      <c r="F3504" s="4" t="s">
        <v>30</v>
      </c>
      <c r="G3504" s="4" t="s">
        <v>15</v>
      </c>
      <c r="H3504" s="4">
        <v>4</v>
      </c>
      <c r="I3504" s="4">
        <v>3</v>
      </c>
      <c r="J3504" s="5">
        <v>45736</v>
      </c>
      <c r="K3504" s="6">
        <v>0.64017361111111115</v>
      </c>
    </row>
    <row r="3505" spans="1:11" x14ac:dyDescent="0.25">
      <c r="A3505" s="4">
        <v>16</v>
      </c>
      <c r="B3505" s="4" t="s">
        <v>11</v>
      </c>
      <c r="C3505" s="7">
        <v>35.76</v>
      </c>
      <c r="D3505" s="4" t="s">
        <v>29</v>
      </c>
      <c r="E3505" s="4" t="s">
        <v>17</v>
      </c>
      <c r="F3505" s="4" t="s">
        <v>30</v>
      </c>
      <c r="G3505" s="4" t="s">
        <v>15</v>
      </c>
      <c r="H3505" s="4">
        <v>4</v>
      </c>
      <c r="I3505" s="4">
        <v>3</v>
      </c>
      <c r="J3505" s="5">
        <v>45736</v>
      </c>
      <c r="K3505" s="6">
        <v>0.69842592592592589</v>
      </c>
    </row>
    <row r="3506" spans="1:11" x14ac:dyDescent="0.25">
      <c r="A3506" s="4">
        <v>17</v>
      </c>
      <c r="B3506" s="4" t="s">
        <v>11</v>
      </c>
      <c r="C3506" s="7">
        <v>25.96</v>
      </c>
      <c r="D3506" s="4" t="s">
        <v>18</v>
      </c>
      <c r="E3506" s="4" t="s">
        <v>20</v>
      </c>
      <c r="F3506" s="4" t="s">
        <v>30</v>
      </c>
      <c r="G3506" s="4" t="s">
        <v>15</v>
      </c>
      <c r="H3506" s="4">
        <v>4</v>
      </c>
      <c r="I3506" s="4">
        <v>3</v>
      </c>
      <c r="J3506" s="5">
        <v>45736</v>
      </c>
      <c r="K3506" s="6">
        <v>0.72489583333333329</v>
      </c>
    </row>
    <row r="3507" spans="1:11" x14ac:dyDescent="0.25">
      <c r="A3507" s="4">
        <v>18</v>
      </c>
      <c r="B3507" s="4" t="s">
        <v>11</v>
      </c>
      <c r="C3507" s="7">
        <v>35.76</v>
      </c>
      <c r="D3507" s="4" t="s">
        <v>16</v>
      </c>
      <c r="E3507" s="4" t="s">
        <v>20</v>
      </c>
      <c r="F3507" s="4" t="s">
        <v>30</v>
      </c>
      <c r="G3507" s="4" t="s">
        <v>15</v>
      </c>
      <c r="H3507" s="4">
        <v>4</v>
      </c>
      <c r="I3507" s="4">
        <v>3</v>
      </c>
      <c r="J3507" s="5">
        <v>45736</v>
      </c>
      <c r="K3507" s="6">
        <v>0.78886574074074078</v>
      </c>
    </row>
    <row r="3508" spans="1:11" x14ac:dyDescent="0.25">
      <c r="A3508" s="4">
        <v>19</v>
      </c>
      <c r="B3508" s="4" t="s">
        <v>11</v>
      </c>
      <c r="C3508" s="7">
        <v>35.76</v>
      </c>
      <c r="D3508" s="4" t="s">
        <v>21</v>
      </c>
      <c r="E3508" s="4" t="s">
        <v>20</v>
      </c>
      <c r="F3508" s="4" t="s">
        <v>30</v>
      </c>
      <c r="G3508" s="4" t="s">
        <v>15</v>
      </c>
      <c r="H3508" s="4">
        <v>4</v>
      </c>
      <c r="I3508" s="4">
        <v>3</v>
      </c>
      <c r="J3508" s="5">
        <v>45736</v>
      </c>
      <c r="K3508" s="6">
        <v>0.81714120370370369</v>
      </c>
    </row>
    <row r="3509" spans="1:11" x14ac:dyDescent="0.25">
      <c r="A3509" s="4">
        <v>19</v>
      </c>
      <c r="B3509" s="4" t="s">
        <v>11</v>
      </c>
      <c r="C3509" s="7">
        <v>35.76</v>
      </c>
      <c r="D3509" s="4" t="s">
        <v>29</v>
      </c>
      <c r="E3509" s="4" t="s">
        <v>20</v>
      </c>
      <c r="F3509" s="4" t="s">
        <v>30</v>
      </c>
      <c r="G3509" s="4" t="s">
        <v>15</v>
      </c>
      <c r="H3509" s="4">
        <v>4</v>
      </c>
      <c r="I3509" s="4">
        <v>3</v>
      </c>
      <c r="J3509" s="5">
        <v>45736</v>
      </c>
      <c r="K3509" s="6">
        <v>0.83180555555555558</v>
      </c>
    </row>
    <row r="3510" spans="1:11" x14ac:dyDescent="0.25">
      <c r="A3510" s="4">
        <v>21</v>
      </c>
      <c r="B3510" s="4" t="s">
        <v>11</v>
      </c>
      <c r="C3510" s="7">
        <v>35.76</v>
      </c>
      <c r="D3510" s="4" t="s">
        <v>12</v>
      </c>
      <c r="E3510" s="4" t="s">
        <v>20</v>
      </c>
      <c r="F3510" s="4" t="s">
        <v>30</v>
      </c>
      <c r="G3510" s="4" t="s">
        <v>15</v>
      </c>
      <c r="H3510" s="4">
        <v>4</v>
      </c>
      <c r="I3510" s="4">
        <v>3</v>
      </c>
      <c r="J3510" s="5">
        <v>45736</v>
      </c>
      <c r="K3510" s="6">
        <v>0.90989583333333335</v>
      </c>
    </row>
    <row r="3511" spans="1:11" x14ac:dyDescent="0.25">
      <c r="A3511" s="4">
        <v>7</v>
      </c>
      <c r="B3511" s="4" t="s">
        <v>11</v>
      </c>
      <c r="C3511" s="7">
        <v>30.86</v>
      </c>
      <c r="D3511" s="4" t="s">
        <v>19</v>
      </c>
      <c r="E3511" s="4" t="s">
        <v>13</v>
      </c>
      <c r="F3511" s="4" t="s">
        <v>14</v>
      </c>
      <c r="G3511" s="4" t="s">
        <v>15</v>
      </c>
      <c r="H3511" s="4">
        <v>5</v>
      </c>
      <c r="I3511" s="4">
        <v>3</v>
      </c>
      <c r="J3511" s="5">
        <v>45737</v>
      </c>
      <c r="K3511" s="6">
        <v>0.29596064814814815</v>
      </c>
    </row>
    <row r="3512" spans="1:11" x14ac:dyDescent="0.25">
      <c r="A3512" s="4">
        <v>7</v>
      </c>
      <c r="B3512" s="4" t="s">
        <v>11</v>
      </c>
      <c r="C3512" s="7">
        <v>30.86</v>
      </c>
      <c r="D3512" s="4" t="s">
        <v>19</v>
      </c>
      <c r="E3512" s="4" t="s">
        <v>13</v>
      </c>
      <c r="F3512" s="4" t="s">
        <v>14</v>
      </c>
      <c r="G3512" s="4" t="s">
        <v>15</v>
      </c>
      <c r="H3512" s="4">
        <v>5</v>
      </c>
      <c r="I3512" s="4">
        <v>3</v>
      </c>
      <c r="J3512" s="5">
        <v>45737</v>
      </c>
      <c r="K3512" s="6">
        <v>0.29800925925925925</v>
      </c>
    </row>
    <row r="3513" spans="1:11" x14ac:dyDescent="0.25">
      <c r="A3513" s="4">
        <v>8</v>
      </c>
      <c r="B3513" s="4" t="s">
        <v>11</v>
      </c>
      <c r="C3513" s="7">
        <v>25.96</v>
      </c>
      <c r="D3513" s="4" t="s">
        <v>18</v>
      </c>
      <c r="E3513" s="4" t="s">
        <v>13</v>
      </c>
      <c r="F3513" s="4" t="s">
        <v>14</v>
      </c>
      <c r="G3513" s="4" t="s">
        <v>15</v>
      </c>
      <c r="H3513" s="4">
        <v>5</v>
      </c>
      <c r="I3513" s="4">
        <v>3</v>
      </c>
      <c r="J3513" s="5">
        <v>45737</v>
      </c>
      <c r="K3513" s="6">
        <v>0.34494212962962961</v>
      </c>
    </row>
    <row r="3514" spans="1:11" x14ac:dyDescent="0.25">
      <c r="A3514" s="4">
        <v>8</v>
      </c>
      <c r="B3514" s="4" t="s">
        <v>11</v>
      </c>
      <c r="C3514" s="7">
        <v>25.96</v>
      </c>
      <c r="D3514" s="4" t="s">
        <v>18</v>
      </c>
      <c r="E3514" s="4" t="s">
        <v>13</v>
      </c>
      <c r="F3514" s="4" t="s">
        <v>14</v>
      </c>
      <c r="G3514" s="4" t="s">
        <v>15</v>
      </c>
      <c r="H3514" s="4">
        <v>5</v>
      </c>
      <c r="I3514" s="4">
        <v>3</v>
      </c>
      <c r="J3514" s="5">
        <v>45737</v>
      </c>
      <c r="K3514" s="6">
        <v>0.35319444444444442</v>
      </c>
    </row>
    <row r="3515" spans="1:11" x14ac:dyDescent="0.25">
      <c r="A3515" s="4">
        <v>8</v>
      </c>
      <c r="B3515" s="4" t="s">
        <v>11</v>
      </c>
      <c r="C3515" s="7">
        <v>25.96</v>
      </c>
      <c r="D3515" s="4" t="s">
        <v>18</v>
      </c>
      <c r="E3515" s="4" t="s">
        <v>13</v>
      </c>
      <c r="F3515" s="4" t="s">
        <v>14</v>
      </c>
      <c r="G3515" s="4" t="s">
        <v>15</v>
      </c>
      <c r="H3515" s="4">
        <v>5</v>
      </c>
      <c r="I3515" s="4">
        <v>3</v>
      </c>
      <c r="J3515" s="5">
        <v>45737</v>
      </c>
      <c r="K3515" s="6">
        <v>0.35370370370370369</v>
      </c>
    </row>
    <row r="3516" spans="1:11" x14ac:dyDescent="0.25">
      <c r="A3516" s="4">
        <v>8</v>
      </c>
      <c r="B3516" s="4" t="s">
        <v>11</v>
      </c>
      <c r="C3516" s="7">
        <v>35.76</v>
      </c>
      <c r="D3516" s="4" t="s">
        <v>29</v>
      </c>
      <c r="E3516" s="4" t="s">
        <v>13</v>
      </c>
      <c r="F3516" s="4" t="s">
        <v>14</v>
      </c>
      <c r="G3516" s="4" t="s">
        <v>15</v>
      </c>
      <c r="H3516" s="4">
        <v>5</v>
      </c>
      <c r="I3516" s="4">
        <v>3</v>
      </c>
      <c r="J3516" s="5">
        <v>45737</v>
      </c>
      <c r="K3516" s="6">
        <v>0.35784722222222221</v>
      </c>
    </row>
    <row r="3517" spans="1:11" x14ac:dyDescent="0.25">
      <c r="A3517" s="4">
        <v>11</v>
      </c>
      <c r="B3517" s="4" t="s">
        <v>11</v>
      </c>
      <c r="C3517" s="7">
        <v>25.96</v>
      </c>
      <c r="D3517" s="4" t="s">
        <v>18</v>
      </c>
      <c r="E3517" s="4" t="s">
        <v>13</v>
      </c>
      <c r="F3517" s="4" t="s">
        <v>14</v>
      </c>
      <c r="G3517" s="4" t="s">
        <v>15</v>
      </c>
      <c r="H3517" s="4">
        <v>5</v>
      </c>
      <c r="I3517" s="4">
        <v>3</v>
      </c>
      <c r="J3517" s="5">
        <v>45737</v>
      </c>
      <c r="K3517" s="6">
        <v>0.49315972222222221</v>
      </c>
    </row>
    <row r="3518" spans="1:11" x14ac:dyDescent="0.25">
      <c r="A3518" s="4">
        <v>11</v>
      </c>
      <c r="B3518" s="4" t="s">
        <v>11</v>
      </c>
      <c r="C3518" s="7">
        <v>35.76</v>
      </c>
      <c r="D3518" s="4" t="s">
        <v>12</v>
      </c>
      <c r="E3518" s="4" t="s">
        <v>13</v>
      </c>
      <c r="F3518" s="4" t="s">
        <v>14</v>
      </c>
      <c r="G3518" s="4" t="s">
        <v>15</v>
      </c>
      <c r="H3518" s="4">
        <v>5</v>
      </c>
      <c r="I3518" s="4">
        <v>3</v>
      </c>
      <c r="J3518" s="5">
        <v>45737</v>
      </c>
      <c r="K3518" s="6">
        <v>0.49383101851851852</v>
      </c>
    </row>
    <row r="3519" spans="1:11" x14ac:dyDescent="0.25">
      <c r="A3519" s="4">
        <v>13</v>
      </c>
      <c r="B3519" s="4" t="s">
        <v>11</v>
      </c>
      <c r="C3519" s="7">
        <v>25.96</v>
      </c>
      <c r="D3519" s="4" t="s">
        <v>18</v>
      </c>
      <c r="E3519" s="4" t="s">
        <v>17</v>
      </c>
      <c r="F3519" s="4" t="s">
        <v>14</v>
      </c>
      <c r="G3519" s="4" t="s">
        <v>15</v>
      </c>
      <c r="H3519" s="4">
        <v>5</v>
      </c>
      <c r="I3519" s="4">
        <v>3</v>
      </c>
      <c r="J3519" s="5">
        <v>45737</v>
      </c>
      <c r="K3519" s="6">
        <v>0.54361111111111116</v>
      </c>
    </row>
    <row r="3520" spans="1:11" x14ac:dyDescent="0.25">
      <c r="A3520" s="4">
        <v>13</v>
      </c>
      <c r="B3520" s="4" t="s">
        <v>11</v>
      </c>
      <c r="C3520" s="7">
        <v>35.76</v>
      </c>
      <c r="D3520" s="4" t="s">
        <v>12</v>
      </c>
      <c r="E3520" s="4" t="s">
        <v>17</v>
      </c>
      <c r="F3520" s="4" t="s">
        <v>14</v>
      </c>
      <c r="G3520" s="4" t="s">
        <v>15</v>
      </c>
      <c r="H3520" s="4">
        <v>5</v>
      </c>
      <c r="I3520" s="4">
        <v>3</v>
      </c>
      <c r="J3520" s="5">
        <v>45737</v>
      </c>
      <c r="K3520" s="6">
        <v>0.55829861111111112</v>
      </c>
    </row>
    <row r="3521" spans="1:11" x14ac:dyDescent="0.25">
      <c r="A3521" s="4">
        <v>14</v>
      </c>
      <c r="B3521" s="4" t="s">
        <v>11</v>
      </c>
      <c r="C3521" s="7">
        <v>35.76</v>
      </c>
      <c r="D3521" s="4" t="s">
        <v>29</v>
      </c>
      <c r="E3521" s="4" t="s">
        <v>17</v>
      </c>
      <c r="F3521" s="4" t="s">
        <v>14</v>
      </c>
      <c r="G3521" s="4" t="s">
        <v>15</v>
      </c>
      <c r="H3521" s="4">
        <v>5</v>
      </c>
      <c r="I3521" s="4">
        <v>3</v>
      </c>
      <c r="J3521" s="5">
        <v>45737</v>
      </c>
      <c r="K3521" s="6">
        <v>0.5914814814814815</v>
      </c>
    </row>
    <row r="3522" spans="1:11" x14ac:dyDescent="0.25">
      <c r="A3522" s="4">
        <v>15</v>
      </c>
      <c r="B3522" s="4" t="s">
        <v>11</v>
      </c>
      <c r="C3522" s="7">
        <v>35.76</v>
      </c>
      <c r="D3522" s="4" t="s">
        <v>29</v>
      </c>
      <c r="E3522" s="4" t="s">
        <v>17</v>
      </c>
      <c r="F3522" s="4" t="s">
        <v>14</v>
      </c>
      <c r="G3522" s="4" t="s">
        <v>15</v>
      </c>
      <c r="H3522" s="4">
        <v>5</v>
      </c>
      <c r="I3522" s="4">
        <v>3</v>
      </c>
      <c r="J3522" s="5">
        <v>45737</v>
      </c>
      <c r="K3522" s="6">
        <v>0.63128472222222221</v>
      </c>
    </row>
    <row r="3523" spans="1:11" x14ac:dyDescent="0.25">
      <c r="A3523" s="4">
        <v>15</v>
      </c>
      <c r="B3523" s="4" t="s">
        <v>11</v>
      </c>
      <c r="C3523" s="7">
        <v>25.96</v>
      </c>
      <c r="D3523" s="4" t="s">
        <v>18</v>
      </c>
      <c r="E3523" s="4" t="s">
        <v>17</v>
      </c>
      <c r="F3523" s="4" t="s">
        <v>14</v>
      </c>
      <c r="G3523" s="4" t="s">
        <v>15</v>
      </c>
      <c r="H3523" s="4">
        <v>5</v>
      </c>
      <c r="I3523" s="4">
        <v>3</v>
      </c>
      <c r="J3523" s="5">
        <v>45737</v>
      </c>
      <c r="K3523" s="6">
        <v>0.64215277777777779</v>
      </c>
    </row>
    <row r="3524" spans="1:11" x14ac:dyDescent="0.25">
      <c r="A3524" s="4">
        <v>15</v>
      </c>
      <c r="B3524" s="4" t="s">
        <v>11</v>
      </c>
      <c r="C3524" s="7">
        <v>35.76</v>
      </c>
      <c r="D3524" s="4" t="s">
        <v>12</v>
      </c>
      <c r="E3524" s="4" t="s">
        <v>17</v>
      </c>
      <c r="F3524" s="4" t="s">
        <v>14</v>
      </c>
      <c r="G3524" s="4" t="s">
        <v>15</v>
      </c>
      <c r="H3524" s="4">
        <v>5</v>
      </c>
      <c r="I3524" s="4">
        <v>3</v>
      </c>
      <c r="J3524" s="5">
        <v>45737</v>
      </c>
      <c r="K3524" s="6">
        <v>0.64466435185185189</v>
      </c>
    </row>
    <row r="3525" spans="1:11" x14ac:dyDescent="0.25">
      <c r="A3525" s="4">
        <v>15</v>
      </c>
      <c r="B3525" s="4" t="s">
        <v>11</v>
      </c>
      <c r="C3525" s="7">
        <v>35.76</v>
      </c>
      <c r="D3525" s="4" t="s">
        <v>29</v>
      </c>
      <c r="E3525" s="4" t="s">
        <v>17</v>
      </c>
      <c r="F3525" s="4" t="s">
        <v>14</v>
      </c>
      <c r="G3525" s="4" t="s">
        <v>15</v>
      </c>
      <c r="H3525" s="4">
        <v>5</v>
      </c>
      <c r="I3525" s="4">
        <v>3</v>
      </c>
      <c r="J3525" s="5">
        <v>45737</v>
      </c>
      <c r="K3525" s="6">
        <v>0.64550925925925928</v>
      </c>
    </row>
    <row r="3526" spans="1:11" x14ac:dyDescent="0.25">
      <c r="A3526" s="4">
        <v>17</v>
      </c>
      <c r="B3526" s="4" t="s">
        <v>11</v>
      </c>
      <c r="C3526" s="7">
        <v>35.76</v>
      </c>
      <c r="D3526" s="4" t="s">
        <v>16</v>
      </c>
      <c r="E3526" s="4" t="s">
        <v>20</v>
      </c>
      <c r="F3526" s="4" t="s">
        <v>14</v>
      </c>
      <c r="G3526" s="4" t="s">
        <v>15</v>
      </c>
      <c r="H3526" s="4">
        <v>5</v>
      </c>
      <c r="I3526" s="4">
        <v>3</v>
      </c>
      <c r="J3526" s="5">
        <v>45737</v>
      </c>
      <c r="K3526" s="6">
        <v>0.7093518518518519</v>
      </c>
    </row>
    <row r="3527" spans="1:11" x14ac:dyDescent="0.25">
      <c r="A3527" s="4">
        <v>17</v>
      </c>
      <c r="B3527" s="4" t="s">
        <v>11</v>
      </c>
      <c r="C3527" s="7">
        <v>35.76</v>
      </c>
      <c r="D3527" s="4" t="s">
        <v>12</v>
      </c>
      <c r="E3527" s="4" t="s">
        <v>20</v>
      </c>
      <c r="F3527" s="4" t="s">
        <v>14</v>
      </c>
      <c r="G3527" s="4" t="s">
        <v>15</v>
      </c>
      <c r="H3527" s="4">
        <v>5</v>
      </c>
      <c r="I3527" s="4">
        <v>3</v>
      </c>
      <c r="J3527" s="5">
        <v>45737</v>
      </c>
      <c r="K3527" s="6">
        <v>0.72310185185185183</v>
      </c>
    </row>
    <row r="3528" spans="1:11" x14ac:dyDescent="0.25">
      <c r="A3528" s="4">
        <v>17</v>
      </c>
      <c r="B3528" s="4" t="s">
        <v>11</v>
      </c>
      <c r="C3528" s="7">
        <v>35.76</v>
      </c>
      <c r="D3528" s="4" t="s">
        <v>12</v>
      </c>
      <c r="E3528" s="4" t="s">
        <v>20</v>
      </c>
      <c r="F3528" s="4" t="s">
        <v>14</v>
      </c>
      <c r="G3528" s="4" t="s">
        <v>15</v>
      </c>
      <c r="H3528" s="4">
        <v>5</v>
      </c>
      <c r="I3528" s="4">
        <v>3</v>
      </c>
      <c r="J3528" s="5">
        <v>45737</v>
      </c>
      <c r="K3528" s="6">
        <v>0.72417824074074078</v>
      </c>
    </row>
    <row r="3529" spans="1:11" x14ac:dyDescent="0.25">
      <c r="A3529" s="4">
        <v>18</v>
      </c>
      <c r="B3529" s="4" t="s">
        <v>11</v>
      </c>
      <c r="C3529" s="7">
        <v>35.76</v>
      </c>
      <c r="D3529" s="4" t="s">
        <v>12</v>
      </c>
      <c r="E3529" s="4" t="s">
        <v>20</v>
      </c>
      <c r="F3529" s="4" t="s">
        <v>14</v>
      </c>
      <c r="G3529" s="4" t="s">
        <v>15</v>
      </c>
      <c r="H3529" s="4">
        <v>5</v>
      </c>
      <c r="I3529" s="4">
        <v>3</v>
      </c>
      <c r="J3529" s="5">
        <v>45737</v>
      </c>
      <c r="K3529" s="6">
        <v>0.78625</v>
      </c>
    </row>
    <row r="3530" spans="1:11" x14ac:dyDescent="0.25">
      <c r="A3530" s="4">
        <v>18</v>
      </c>
      <c r="B3530" s="4" t="s">
        <v>11</v>
      </c>
      <c r="C3530" s="7">
        <v>25.96</v>
      </c>
      <c r="D3530" s="4" t="s">
        <v>18</v>
      </c>
      <c r="E3530" s="4" t="s">
        <v>20</v>
      </c>
      <c r="F3530" s="4" t="s">
        <v>14</v>
      </c>
      <c r="G3530" s="4" t="s">
        <v>15</v>
      </c>
      <c r="H3530" s="4">
        <v>5</v>
      </c>
      <c r="I3530" s="4">
        <v>3</v>
      </c>
      <c r="J3530" s="5">
        <v>45737</v>
      </c>
      <c r="K3530" s="6">
        <v>0.79125000000000001</v>
      </c>
    </row>
    <row r="3531" spans="1:11" x14ac:dyDescent="0.25">
      <c r="A3531" s="4">
        <v>9</v>
      </c>
      <c r="B3531" s="4" t="s">
        <v>11</v>
      </c>
      <c r="C3531" s="7">
        <v>30.86</v>
      </c>
      <c r="D3531" s="4" t="s">
        <v>19</v>
      </c>
      <c r="E3531" s="4" t="s">
        <v>13</v>
      </c>
      <c r="F3531" s="4" t="s">
        <v>22</v>
      </c>
      <c r="G3531" s="4" t="s">
        <v>15</v>
      </c>
      <c r="H3531" s="4">
        <v>6</v>
      </c>
      <c r="I3531" s="4">
        <v>3</v>
      </c>
      <c r="J3531" s="5">
        <v>45738</v>
      </c>
      <c r="K3531" s="6">
        <v>0.37862268518518516</v>
      </c>
    </row>
    <row r="3532" spans="1:11" x14ac:dyDescent="0.25">
      <c r="A3532" s="4">
        <v>10</v>
      </c>
      <c r="B3532" s="4" t="s">
        <v>11</v>
      </c>
      <c r="C3532" s="7">
        <v>30.86</v>
      </c>
      <c r="D3532" s="4" t="s">
        <v>19</v>
      </c>
      <c r="E3532" s="4" t="s">
        <v>13</v>
      </c>
      <c r="F3532" s="4" t="s">
        <v>22</v>
      </c>
      <c r="G3532" s="4" t="s">
        <v>15</v>
      </c>
      <c r="H3532" s="4">
        <v>6</v>
      </c>
      <c r="I3532" s="4">
        <v>3</v>
      </c>
      <c r="J3532" s="5">
        <v>45738</v>
      </c>
      <c r="K3532" s="6">
        <v>0.43760416666666668</v>
      </c>
    </row>
    <row r="3533" spans="1:11" x14ac:dyDescent="0.25">
      <c r="A3533" s="4">
        <v>11</v>
      </c>
      <c r="B3533" s="4" t="s">
        <v>11</v>
      </c>
      <c r="C3533" s="7">
        <v>35.76</v>
      </c>
      <c r="D3533" s="4" t="s">
        <v>16</v>
      </c>
      <c r="E3533" s="4" t="s">
        <v>13</v>
      </c>
      <c r="F3533" s="4" t="s">
        <v>22</v>
      </c>
      <c r="G3533" s="4" t="s">
        <v>15</v>
      </c>
      <c r="H3533" s="4">
        <v>6</v>
      </c>
      <c r="I3533" s="4">
        <v>3</v>
      </c>
      <c r="J3533" s="5">
        <v>45738</v>
      </c>
      <c r="K3533" s="6">
        <v>0.46811342592592592</v>
      </c>
    </row>
    <row r="3534" spans="1:11" x14ac:dyDescent="0.25">
      <c r="A3534" s="4">
        <v>11</v>
      </c>
      <c r="B3534" s="4" t="s">
        <v>11</v>
      </c>
      <c r="C3534" s="7">
        <v>35.76</v>
      </c>
      <c r="D3534" s="4" t="s">
        <v>21</v>
      </c>
      <c r="E3534" s="4" t="s">
        <v>13</v>
      </c>
      <c r="F3534" s="4" t="s">
        <v>22</v>
      </c>
      <c r="G3534" s="4" t="s">
        <v>15</v>
      </c>
      <c r="H3534" s="4">
        <v>6</v>
      </c>
      <c r="I3534" s="4">
        <v>3</v>
      </c>
      <c r="J3534" s="5">
        <v>45738</v>
      </c>
      <c r="K3534" s="6">
        <v>0.48703703703703705</v>
      </c>
    </row>
    <row r="3535" spans="1:11" x14ac:dyDescent="0.25">
      <c r="A3535" s="4">
        <v>12</v>
      </c>
      <c r="B3535" s="4" t="s">
        <v>11</v>
      </c>
      <c r="C3535" s="7">
        <v>30.86</v>
      </c>
      <c r="D3535" s="4" t="s">
        <v>19</v>
      </c>
      <c r="E3535" s="4" t="s">
        <v>17</v>
      </c>
      <c r="F3535" s="4" t="s">
        <v>22</v>
      </c>
      <c r="G3535" s="4" t="s">
        <v>15</v>
      </c>
      <c r="H3535" s="4">
        <v>6</v>
      </c>
      <c r="I3535" s="4">
        <v>3</v>
      </c>
      <c r="J3535" s="5">
        <v>45738</v>
      </c>
      <c r="K3535" s="6">
        <v>0.5128125</v>
      </c>
    </row>
    <row r="3536" spans="1:11" x14ac:dyDescent="0.25">
      <c r="A3536" s="4">
        <v>12</v>
      </c>
      <c r="B3536" s="4" t="s">
        <v>11</v>
      </c>
      <c r="C3536" s="7">
        <v>25.96</v>
      </c>
      <c r="D3536" s="4" t="s">
        <v>18</v>
      </c>
      <c r="E3536" s="4" t="s">
        <v>17</v>
      </c>
      <c r="F3536" s="4" t="s">
        <v>22</v>
      </c>
      <c r="G3536" s="4" t="s">
        <v>15</v>
      </c>
      <c r="H3536" s="4">
        <v>6</v>
      </c>
      <c r="I3536" s="4">
        <v>3</v>
      </c>
      <c r="J3536" s="5">
        <v>45738</v>
      </c>
      <c r="K3536" s="6">
        <v>0.51804398148148145</v>
      </c>
    </row>
    <row r="3537" spans="1:11" x14ac:dyDescent="0.25">
      <c r="A3537" s="4">
        <v>13</v>
      </c>
      <c r="B3537" s="4" t="s">
        <v>11</v>
      </c>
      <c r="C3537" s="7">
        <v>25.96</v>
      </c>
      <c r="D3537" s="4" t="s">
        <v>18</v>
      </c>
      <c r="E3537" s="4" t="s">
        <v>17</v>
      </c>
      <c r="F3537" s="4" t="s">
        <v>22</v>
      </c>
      <c r="G3537" s="4" t="s">
        <v>15</v>
      </c>
      <c r="H3537" s="4">
        <v>6</v>
      </c>
      <c r="I3537" s="4">
        <v>3</v>
      </c>
      <c r="J3537" s="5">
        <v>45738</v>
      </c>
      <c r="K3537" s="6">
        <v>0.54607638888888888</v>
      </c>
    </row>
    <row r="3538" spans="1:11" x14ac:dyDescent="0.25">
      <c r="A3538" s="4">
        <v>13</v>
      </c>
      <c r="B3538" s="4" t="s">
        <v>11</v>
      </c>
      <c r="C3538" s="7">
        <v>30.86</v>
      </c>
      <c r="D3538" s="4" t="s">
        <v>19</v>
      </c>
      <c r="E3538" s="4" t="s">
        <v>17</v>
      </c>
      <c r="F3538" s="4" t="s">
        <v>22</v>
      </c>
      <c r="G3538" s="4" t="s">
        <v>15</v>
      </c>
      <c r="H3538" s="4">
        <v>6</v>
      </c>
      <c r="I3538" s="4">
        <v>3</v>
      </c>
      <c r="J3538" s="5">
        <v>45738</v>
      </c>
      <c r="K3538" s="6">
        <v>0.55783564814814812</v>
      </c>
    </row>
    <row r="3539" spans="1:11" x14ac:dyDescent="0.25">
      <c r="A3539" s="4">
        <v>15</v>
      </c>
      <c r="B3539" s="4" t="s">
        <v>11</v>
      </c>
      <c r="C3539" s="7">
        <v>21.06</v>
      </c>
      <c r="D3539" s="4" t="s">
        <v>26</v>
      </c>
      <c r="E3539" s="4" t="s">
        <v>17</v>
      </c>
      <c r="F3539" s="4" t="s">
        <v>22</v>
      </c>
      <c r="G3539" s="4" t="s">
        <v>15</v>
      </c>
      <c r="H3539" s="4">
        <v>6</v>
      </c>
      <c r="I3539" s="4">
        <v>3</v>
      </c>
      <c r="J3539" s="5">
        <v>45738</v>
      </c>
      <c r="K3539" s="6">
        <v>0.66525462962962967</v>
      </c>
    </row>
    <row r="3540" spans="1:11" x14ac:dyDescent="0.25">
      <c r="A3540" s="4">
        <v>16</v>
      </c>
      <c r="B3540" s="4" t="s">
        <v>11</v>
      </c>
      <c r="C3540" s="7">
        <v>35.76</v>
      </c>
      <c r="D3540" s="4" t="s">
        <v>12</v>
      </c>
      <c r="E3540" s="4" t="s">
        <v>17</v>
      </c>
      <c r="F3540" s="4" t="s">
        <v>22</v>
      </c>
      <c r="G3540" s="4" t="s">
        <v>15</v>
      </c>
      <c r="H3540" s="4">
        <v>6</v>
      </c>
      <c r="I3540" s="4">
        <v>3</v>
      </c>
      <c r="J3540" s="5">
        <v>45738</v>
      </c>
      <c r="K3540" s="6">
        <v>0.68540509259259264</v>
      </c>
    </row>
    <row r="3541" spans="1:11" x14ac:dyDescent="0.25">
      <c r="A3541" s="4">
        <v>17</v>
      </c>
      <c r="B3541" s="4" t="s">
        <v>11</v>
      </c>
      <c r="C3541" s="7">
        <v>30.86</v>
      </c>
      <c r="D3541" s="4" t="s">
        <v>19</v>
      </c>
      <c r="E3541" s="4" t="s">
        <v>20</v>
      </c>
      <c r="F3541" s="4" t="s">
        <v>22</v>
      </c>
      <c r="G3541" s="4" t="s">
        <v>15</v>
      </c>
      <c r="H3541" s="4">
        <v>6</v>
      </c>
      <c r="I3541" s="4">
        <v>3</v>
      </c>
      <c r="J3541" s="5">
        <v>45738</v>
      </c>
      <c r="K3541" s="6">
        <v>0.74554398148148149</v>
      </c>
    </row>
    <row r="3542" spans="1:11" x14ac:dyDescent="0.25">
      <c r="A3542" s="4">
        <v>19</v>
      </c>
      <c r="B3542" s="4" t="s">
        <v>11</v>
      </c>
      <c r="C3542" s="7">
        <v>30.86</v>
      </c>
      <c r="D3542" s="4" t="s">
        <v>19</v>
      </c>
      <c r="E3542" s="4" t="s">
        <v>20</v>
      </c>
      <c r="F3542" s="4" t="s">
        <v>22</v>
      </c>
      <c r="G3542" s="4" t="s">
        <v>15</v>
      </c>
      <c r="H3542" s="4">
        <v>6</v>
      </c>
      <c r="I3542" s="4">
        <v>3</v>
      </c>
      <c r="J3542" s="5">
        <v>45738</v>
      </c>
      <c r="K3542" s="6">
        <v>0.80337962962962961</v>
      </c>
    </row>
    <row r="3543" spans="1:11" x14ac:dyDescent="0.25">
      <c r="A3543" s="4">
        <v>10</v>
      </c>
      <c r="B3543" s="4" t="s">
        <v>11</v>
      </c>
      <c r="C3543" s="7">
        <v>35.76</v>
      </c>
      <c r="D3543" s="4" t="s">
        <v>12</v>
      </c>
      <c r="E3543" s="4" t="s">
        <v>13</v>
      </c>
      <c r="F3543" s="4" t="s">
        <v>23</v>
      </c>
      <c r="G3543" s="4" t="s">
        <v>15</v>
      </c>
      <c r="H3543" s="4">
        <v>7</v>
      </c>
      <c r="I3543" s="4">
        <v>3</v>
      </c>
      <c r="J3543" s="5">
        <v>45739</v>
      </c>
      <c r="K3543" s="6">
        <v>0.4216550925925926</v>
      </c>
    </row>
    <row r="3544" spans="1:11" x14ac:dyDescent="0.25">
      <c r="A3544" s="4">
        <v>10</v>
      </c>
      <c r="B3544" s="4" t="s">
        <v>11</v>
      </c>
      <c r="C3544" s="7">
        <v>35.76</v>
      </c>
      <c r="D3544" s="4" t="s">
        <v>29</v>
      </c>
      <c r="E3544" s="4" t="s">
        <v>13</v>
      </c>
      <c r="F3544" s="4" t="s">
        <v>23</v>
      </c>
      <c r="G3544" s="4" t="s">
        <v>15</v>
      </c>
      <c r="H3544" s="4">
        <v>7</v>
      </c>
      <c r="I3544" s="4">
        <v>3</v>
      </c>
      <c r="J3544" s="5">
        <v>45739</v>
      </c>
      <c r="K3544" s="6">
        <v>0.44090277777777775</v>
      </c>
    </row>
    <row r="3545" spans="1:11" x14ac:dyDescent="0.25">
      <c r="A3545" s="4">
        <v>14</v>
      </c>
      <c r="B3545" s="4" t="s">
        <v>11</v>
      </c>
      <c r="C3545" s="7">
        <v>35.76</v>
      </c>
      <c r="D3545" s="4" t="s">
        <v>21</v>
      </c>
      <c r="E3545" s="4" t="s">
        <v>17</v>
      </c>
      <c r="F3545" s="4" t="s">
        <v>23</v>
      </c>
      <c r="G3545" s="4" t="s">
        <v>15</v>
      </c>
      <c r="H3545" s="4">
        <v>7</v>
      </c>
      <c r="I3545" s="4">
        <v>3</v>
      </c>
      <c r="J3545" s="5">
        <v>45739</v>
      </c>
      <c r="K3545" s="6">
        <v>0.61362268518518515</v>
      </c>
    </row>
    <row r="3546" spans="1:11" x14ac:dyDescent="0.25">
      <c r="A3546" s="4">
        <v>14</v>
      </c>
      <c r="B3546" s="4" t="s">
        <v>11</v>
      </c>
      <c r="C3546" s="7">
        <v>35.76</v>
      </c>
      <c r="D3546" s="4" t="s">
        <v>21</v>
      </c>
      <c r="E3546" s="4" t="s">
        <v>17</v>
      </c>
      <c r="F3546" s="4" t="s">
        <v>23</v>
      </c>
      <c r="G3546" s="4" t="s">
        <v>15</v>
      </c>
      <c r="H3546" s="4">
        <v>7</v>
      </c>
      <c r="I3546" s="4">
        <v>3</v>
      </c>
      <c r="J3546" s="5">
        <v>45739</v>
      </c>
      <c r="K3546" s="6">
        <v>0.61407407407407411</v>
      </c>
    </row>
    <row r="3547" spans="1:11" x14ac:dyDescent="0.25">
      <c r="A3547" s="4">
        <v>15</v>
      </c>
      <c r="B3547" s="4" t="s">
        <v>11</v>
      </c>
      <c r="C3547" s="7">
        <v>25.96</v>
      </c>
      <c r="D3547" s="4" t="s">
        <v>18</v>
      </c>
      <c r="E3547" s="4" t="s">
        <v>17</v>
      </c>
      <c r="F3547" s="4" t="s">
        <v>23</v>
      </c>
      <c r="G3547" s="4" t="s">
        <v>15</v>
      </c>
      <c r="H3547" s="4">
        <v>7</v>
      </c>
      <c r="I3547" s="4">
        <v>3</v>
      </c>
      <c r="J3547" s="5">
        <v>45739</v>
      </c>
      <c r="K3547" s="6">
        <v>0.65796296296296297</v>
      </c>
    </row>
    <row r="3548" spans="1:11" x14ac:dyDescent="0.25">
      <c r="A3548" s="4">
        <v>18</v>
      </c>
      <c r="B3548" s="4" t="s">
        <v>11</v>
      </c>
      <c r="C3548" s="7">
        <v>35.76</v>
      </c>
      <c r="D3548" s="4" t="s">
        <v>12</v>
      </c>
      <c r="E3548" s="4" t="s">
        <v>20</v>
      </c>
      <c r="F3548" s="4" t="s">
        <v>23</v>
      </c>
      <c r="G3548" s="4" t="s">
        <v>15</v>
      </c>
      <c r="H3548" s="4">
        <v>7</v>
      </c>
      <c r="I3548" s="4">
        <v>3</v>
      </c>
      <c r="J3548" s="5">
        <v>45739</v>
      </c>
      <c r="K3548" s="6">
        <v>0.75807870370370367</v>
      </c>
    </row>
  </sheetData>
  <dataConsolid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1171F51-5E20-458E-98D2-CB931AF45C4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Dashboard</vt:lpstr>
      <vt:lpstr>Top Coffee Types</vt:lpstr>
      <vt:lpstr>KPI</vt:lpstr>
      <vt:lpstr>Forecast Sheet</vt:lpstr>
      <vt:lpstr>Revenue Trend</vt:lpstr>
      <vt:lpstr>SALES BY HOUR</vt:lpstr>
      <vt:lpstr>Payment Types</vt:lpstr>
      <vt:lpstr>Price Analysis</vt:lpstr>
      <vt:lpstr>Conclusions</vt:lpstr>
      <vt:lpstr>Data Validation</vt:lpstr>
      <vt:lpstr>Sort Data </vt:lpstr>
      <vt:lpstr>Sales Data</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damian.sienny@unilodz.eu</dc:creator>
  <cp:lastModifiedBy>Damian Sienny</cp:lastModifiedBy>
  <dcterms:created xsi:type="dcterms:W3CDTF">2025-11-20T00:13:13Z</dcterms:created>
  <dcterms:modified xsi:type="dcterms:W3CDTF">2025-12-06T22:37:48Z</dcterms:modified>
</cp:coreProperties>
</file>